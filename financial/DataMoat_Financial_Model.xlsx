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easonality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COGS_Build" sheetId="5" state="visible" r:id="rId5"/>
    <sheet xmlns:r="http://schemas.openxmlformats.org/officeDocument/2006/relationships" name="Institute_ROI" sheetId="6" state="visible" r:id="rId6"/>
    <sheet xmlns:r="http://schemas.openxmlformats.org/officeDocument/2006/relationships" name="Unit_Econ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Engine" sheetId="12" state="hidden" r:id="rId12"/>
  </sheets>
  <definedNames>
    <definedName name="Scenario">Cover!$C$6</definedName>
    <definedName name="Students_S">Assumptions!$G$6</definedName>
    <definedName name="Students_M">Assumptions!$G$7</definedName>
    <definedName name="Students_L">Assumptions!$G$8</definedName>
    <definedName name="Fee_S">Assumptions!$G$9</definedName>
    <definedName name="Fee_M">Assumptions!$G$10</definedName>
    <definedName name="Fee_L">Assumptions!$G$11</definedName>
    <definedName name="OnboardMult_S">Assumptions!$G$12</definedName>
    <definedName name="OnboardMult_M">Assumptions!$G$13</definedName>
    <definedName name="OnboardMult_L">Assumptions!$G$14</definedName>
    <definedName name="DropoutRate">Assumptions!$G$16</definedName>
    <definedName name="UpfrontShare">Assumptions!$G$17</definedName>
    <definedName name="NInstalments">Assumptions!$G$18</definedName>
    <definedName name="RefundEnforced">Assumptions!$G$19</definedName>
    <definedName name="CourseMonths">Assumptions!$G$20</definedName>
    <definedName name="BlindMonths">Assumptions!$G$21</definedName>
    <definedName name="Preventable">Assumptions!$G$22</definedName>
    <definedName name="MinorShare">Assumptions!$G$23</definedName>
    <definedName name="Recall_Minor">Assumptions!$G$24</definedName>
    <definedName name="Recall_Adult">Assumptions!$G$25</definedName>
    <definedName name="Precision">Assumptions!$G$26</definedName>
    <definedName name="ActionRate">Assumptions!$G$27</definedName>
    <definedName name="InterventionSuccess">Assumptions!$G$28</definedName>
    <definedName name="AdmissionUplift">Assumptions!$G$29</definedName>
    <definedName name="MarginExtraAdmission">Assumptions!$G$30</definedName>
    <definedName name="StaffHoursSaved">Assumptions!$G$31</definedName>
    <definedName name="StaffHourCost">Assumptions!$G$32</definedName>
    <definedName name="InterventionMinutes">Assumptions!$G$33</definedName>
    <definedName name="MentorHourCost">Assumptions!$G$34</definedName>
    <definedName name="GST">Assumptions!$G$35</definedName>
    <definedName name="ITCShare">Assumptions!$G$36</definedName>
    <definedName name="ListPrice">Assumptions!$G$38</definedName>
    <definedName name="CompetitorAnchor">Assumptions!$G$39</definedName>
    <definedName name="CompetitorAnchorHigh">Assumptions!$G$40</definedName>
    <definedName name="MinFee">Assumptions!$G$41</definedName>
    <definedName name="NegotiationDisc">Assumptions!$G$42</definedName>
    <definedName name="PrepayUptake">Assumptions!$G$43</definedName>
    <definedName name="PrepayDisc">Assumptions!$G$44</definedName>
    <definedName name="BadDebt">Assumptions!$G$45</definedName>
    <definedName name="GatewayFee">Assumptions!$G$46</definedName>
    <definedName name="ReportsPerStudentMonth">Assumptions!$G$48</definedName>
    <definedName name="TokensInPerReport">Assumptions!$G$49</definedName>
    <definedName name="TokensOutPerReport">Assumptions!$G$50</definedName>
    <definedName name="LLMPriceIn">Assumptions!$G$51</definedName>
    <definedName name="LLMPriceOut">Assumptions!$G$52</definedName>
    <definedName name="WAMsgsPerStudentMonth">Assumptions!$G$53</definedName>
    <definedName name="WAPricePerMsg">Assumptions!$G$54</definedName>
    <definedName name="ComputePerStudentMonth">Assumptions!$G$55</definedName>
    <definedName name="ConsentCostPerStudentYear">Assumptions!$G$56</definedName>
    <definedName name="ServerCostMonth">Assumptions!$G$57</definedName>
    <definedName name="BSPFeeMonth">Assumptions!$G$58</definedName>
    <definedName name="InstPerStack">Assumptions!$G$59</definedName>
    <definedName name="CompliancePerInstMonth">Assumptions!$G$60</definedName>
    <definedName name="CSM_CTC">Assumptions!$G$62</definedName>
    <definedName name="InstPerCSM">Assumptions!$G$63</definedName>
    <definedName name="RepCTC">Assumptions!$G$64</definedName>
    <definedName name="RepTravel">Assumptions!$G$65</definedName>
    <definedName name="PilotsPerRepMonth">Assumptions!$G$66</definedName>
    <definedName name="PilotConv">Assumptions!$G$67</definedName>
    <definedName name="PilotMonths">Assumptions!$G$68</definedName>
    <definedName name="PilotSetupCost">Assumptions!$G$69</definedName>
    <definedName name="OnboardBase">Assumptions!$G$70</definedName>
    <definedName name="MarketingPerPaid">Assumptions!$G$71</definedName>
    <definedName name="ChurnInSeason">Assumptions!$G$72</definedName>
    <definedName name="RenewalSpike">Assumptions!$G$73</definedName>
    <definedName name="DiscountRate">Assumptions!$G$74</definedName>
    <definedName name="StartMonth">Assumptions!$G$75</definedName>
    <definedName name="Founders">Assumptions!$G$77</definedName>
    <definedName name="FounderStipend">Assumptions!$G$78</definedName>
    <definedName name="Engineers">Assumptions!$G$79</definedName>
    <definedName name="EngineerCTC">Assumptions!$G$80</definedName>
    <definedName name="ToolsOpex">Assumptions!$G$81</definedName>
    <definedName name="G_Students">Assumptions!$G$83</definedName>
    <definedName name="G_Dropout">Assumptions!$G$84</definedName>
    <definedName name="G_RemainingFee">Assumptions!$G$85</definedName>
    <definedName name="G_Prevent">Assumptions!$G$86</definedName>
    <definedName name="G_Price">Assumptions!$G$87</definedName>
    <definedName name="G_Months">Assumptions!$G$88</definedName>
    <definedName name="G_Infra">Assumptions!$G$89</definedName>
    <definedName name="G_Support">Assumptions!$G$90</definedName>
    <definedName name="G_CAC">Assumptions!$G$91</definedName>
    <definedName name="G_Onboard">Assumptions!$G$92</definedName>
    <definedName name="G_Churn">Assumptions!$G$93</definedName>
    <definedName name="Season_Idx">Seasonality!$C$5:$C$16</definedName>
    <definedName name="Season_Flag">Seasonality!$D$5:$D$16</definedName>
    <definedName name="NRenew">Seasonality!$C$18</definedName>
    <definedName name="DropTiming">Seasonality!$C$22:$C$31</definedName>
    <definedName name="DropMonth">Seasonality!$A$22:$A$31</definedName>
    <definedName name="DropRemain">Seasonality!$D$22:$D$31</definedName>
    <definedName name="EffDisc">Pricing!$D$13</definedName>
    <definedName name="RealisedPrice">Pricing!$D$14</definedName>
    <definedName name="COGS_PerStudent">COGS_Build!$D$25</definedName>
    <definedName name="COGS_FixedInst">COGS_Build!$D$28</definedName>
    <definedName name="COGS_AllIn">COGS_Build!$D$29</definedName>
    <definedName name="ErrorCount">Checks!$D$28</definedName>
    <definedName name="WarningCount">Checks!$D$29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&quot;-&quot;"/>
    <numFmt numFmtId="165" formatCode="&quot;₹&quot;#,##0;(&quot;₹&quot;#,##0);&quot;-&quot;"/>
    <numFmt numFmtId="166" formatCode="#,##0.00;(#,##0.00);&quot;-&quot;"/>
    <numFmt numFmtId="167" formatCode="0.0%;(0.0%);&quot;-&quot;"/>
    <numFmt numFmtId="168" formatCode="&quot;₹&quot;#,##0.00;(&quot;₹&quot;#,##0.00);&quot;-&quot;"/>
    <numFmt numFmtId="169" formatCode="#,##0.0;(#,##0.0);&quot;-&quot;"/>
    <numFmt numFmtId="170" formatCode="0.000"/>
    <numFmt numFmtId="171" formatCode="0.00&quot;x&quot;;(0.00&quot;x&quot;);&quot;-&quot;"/>
  </numFmts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55555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1" fontId="7" fillId="4" borderId="1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167" fontId="9" fillId="5" borderId="1" pivotButton="0" quotePrefix="0" xfId="0"/>
    <xf numFmtId="167" fontId="9" fillId="0" borderId="1" pivotButton="0" quotePrefix="0" xfId="0"/>
    <xf numFmtId="169" fontId="9" fillId="5" borderId="1" pivotButton="0" quotePrefix="0" xfId="0"/>
    <xf numFmtId="169" fontId="9" fillId="0" borderId="1" pivotButton="0" quotePrefix="0" xfId="0"/>
    <xf numFmtId="171" fontId="9" fillId="5" borderId="1" pivotButton="0" quotePrefix="0" xfId="0"/>
    <xf numFmtId="171" fontId="9" fillId="0" borderId="1" pivotButton="0" quotePrefix="0" xfId="0"/>
    <xf numFmtId="165" fontId="9" fillId="5" borderId="1" pivotButton="0" quotePrefix="0" xfId="0"/>
    <xf numFmtId="165" fontId="9" fillId="0" borderId="1" pivotButton="0" quotePrefix="0" xfId="0"/>
    <xf numFmtId="0" fontId="7" fillId="0" borderId="0" pivotButton="0" quotePrefix="0" xfId="0"/>
    <xf numFmtId="0" fontId="9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7" fillId="0" borderId="0" pivotButton="0" quotePrefix="0" xfId="0"/>
    <xf numFmtId="164" fontId="8" fillId="4" borderId="0" pivotButton="0" quotePrefix="0" xfId="0"/>
    <xf numFmtId="165" fontId="7" fillId="0" borderId="0" pivotButton="0" quotePrefix="0" xfId="0"/>
    <xf numFmtId="165" fontId="8" fillId="4" borderId="0" pivotButton="0" quotePrefix="0" xfId="0"/>
    <xf numFmtId="166" fontId="7" fillId="0" borderId="0" pivotButton="0" quotePrefix="0" xfId="0"/>
    <xf numFmtId="166" fontId="8" fillId="4" borderId="0" pivotButton="0" quotePrefix="0" xfId="0"/>
    <xf numFmtId="167" fontId="7" fillId="0" borderId="0" pivotButton="0" quotePrefix="0" xfId="0"/>
    <xf numFmtId="167" fontId="8" fillId="4" borderId="0" pivotButton="0" quotePrefix="0" xfId="0"/>
    <xf numFmtId="168" fontId="7" fillId="0" borderId="0" pivotButton="0" quotePrefix="0" xfId="0"/>
    <xf numFmtId="168" fontId="8" fillId="4" borderId="0" pivotButton="0" quotePrefix="0" xfId="0"/>
    <xf numFmtId="169" fontId="7" fillId="0" borderId="0" pivotButton="0" quotePrefix="0" xfId="0"/>
    <xf numFmtId="169" fontId="8" fillId="4" borderId="0" pivotButton="0" quotePrefix="0" xfId="0"/>
    <xf numFmtId="0" fontId="4" fillId="0" borderId="0" pivotButton="0" quotePrefix="0" xfId="0"/>
    <xf numFmtId="1" fontId="7" fillId="0" borderId="0" pivotButton="0" quotePrefix="0" xfId="0"/>
    <xf numFmtId="1" fontId="6" fillId="5" borderId="0" pivotButton="0" quotePrefix="0" xfId="0"/>
    <xf numFmtId="167" fontId="6" fillId="0" borderId="0" pivotButton="0" quotePrefix="0" xfId="0"/>
    <xf numFmtId="167" fontId="6" fillId="5" borderId="0" pivotButton="0" quotePrefix="0" xfId="0"/>
    <xf numFmtId="166" fontId="6" fillId="0" borderId="0" pivotButton="0" quotePrefix="0" xfId="0"/>
    <xf numFmtId="1" fontId="6" fillId="0" borderId="0" pivotButton="0" quotePrefix="0" xfId="0"/>
    <xf numFmtId="170" fontId="6" fillId="0" borderId="0" pivotButton="0" quotePrefix="0" xfId="0"/>
    <xf numFmtId="165" fontId="9" fillId="0" borderId="0" pivotButton="0" quotePrefix="0" xfId="0"/>
    <xf numFmtId="167" fontId="9" fillId="0" borderId="0" pivotButton="0" quotePrefix="0" xfId="0"/>
    <xf numFmtId="168" fontId="6" fillId="5" borderId="0" pivotButton="0" quotePrefix="0" xfId="0"/>
    <xf numFmtId="168" fontId="6" fillId="0" borderId="0" pivotButton="0" quotePrefix="0" xfId="0"/>
    <xf numFmtId="168" fontId="9" fillId="0" borderId="0" pivotButton="0" quotePrefix="0" xfId="0"/>
    <xf numFmtId="171" fontId="6" fillId="0" borderId="0" pivotButton="0" quotePrefix="0" xfId="0"/>
    <xf numFmtId="165" fontId="6" fillId="0" borderId="0" pivotButton="0" quotePrefix="0" xfId="0"/>
    <xf numFmtId="164" fontId="9" fillId="0" borderId="0" pivotButton="0" quotePrefix="0" xfId="0"/>
    <xf numFmtId="165" fontId="6" fillId="5" borderId="0" pivotButton="0" quotePrefix="0" xfId="0"/>
    <xf numFmtId="169" fontId="6" fillId="0" borderId="0" pivotButton="0" quotePrefix="0" xfId="0"/>
    <xf numFmtId="169" fontId="6" fillId="5" borderId="0" pivotButton="0" quotePrefix="0" xfId="0"/>
    <xf numFmtId="171" fontId="6" fillId="5" borderId="0" pivotButton="0" quotePrefix="0" xfId="0"/>
    <xf numFmtId="0" fontId="3" fillId="2" borderId="0" pivotButton="0" quotePrefix="0" xfId="0"/>
    <xf numFmtId="164" fontId="6" fillId="0" borderId="0" pivotButton="0" quotePrefix="0" xfId="0"/>
    <xf numFmtId="169" fontId="9" fillId="0" borderId="0" pivotButton="0" quotePrefix="0" xfId="0"/>
    <xf numFmtId="166" fontId="9" fillId="0" borderId="0" pivotButton="0" quotePrefix="0" xfId="0"/>
    <xf numFmtId="164" fontId="6" fillId="5" borderId="0" pivotButton="0" quotePrefix="0" xfId="0"/>
    <xf numFmtId="171" fontId="9" fillId="0" borderId="0" pivotButton="0" quotePrefix="0" xfId="0"/>
    <xf numFmtId="171" fontId="9" fillId="5" borderId="0" pivotButton="0" quotePrefix="0" xfId="0"/>
    <xf numFmtId="169" fontId="9" fillId="5" borderId="0" pivotButton="0" quotePrefix="0" xfId="0"/>
    <xf numFmtId="165" fontId="7" fillId="3" borderId="0" pivotButton="0" quotePrefix="0" xfId="0"/>
    <xf numFmtId="167" fontId="7" fillId="3" borderId="0" pivotButton="0" quotePrefix="0" xfId="0"/>
    <xf numFmtId="1" fontId="8" fillId="0" borderId="0" pivotButton="0" quotePrefix="0" xfId="0"/>
    <xf numFmtId="1" fontId="8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Institute ROI: Bear vs Bull value of each input (Mid, rest Base)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'Sensitivity'!D4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'Sensitivity'!$A$6:$A$19</f>
            </numRef>
          </cat>
          <val>
            <numRef>
              <f>'Sensitivity'!$D$5:$D$19</f>
            </numRef>
          </val>
        </ser>
        <ser>
          <idx val="1"/>
          <order val="1"/>
          <tx>
            <strRef>
              <f>'Sensitivity'!E4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'Sensitivity'!$A$6:$A$19</f>
            </numRef>
          </cat>
          <val>
            <numRef>
              <f>'Sensitivity'!$E$5:$E$19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C6" authorId="0" shapeId="0">
      <text>
        <t>Scenario selector: 1 Bear, 2 Base, 3 Bull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22" customWidth="1" min="3" max="3"/>
    <col width="22" customWidth="1" min="4" max="4"/>
  </cols>
  <sheetData>
    <row r="1">
      <c r="A1" s="1" t="inlineStr">
        <is>
          <t>The Data Moat — Financial Model</t>
        </is>
      </c>
    </row>
    <row r="2">
      <c r="A2" s="2" t="inlineStr">
        <is>
          <t>Institute Intelligence Platform · Nextute × Finance Club IIT Patna, Case B · R1-v1.0 · 2026-10-20</t>
        </is>
      </c>
    </row>
    <row r="6">
      <c r="B6" s="3" t="inlineStr">
        <is>
          <t>SCENARIO  (1 = Bear, 2 = Base, 3 = Bull)  →</t>
        </is>
      </c>
      <c r="C6" s="4" t="n">
        <v>2</v>
      </c>
      <c r="D6" s="3">
        <f>CHOOSE(Scenario,"Bear","Base","Bull")</f>
        <v/>
      </c>
    </row>
    <row r="7">
      <c r="B7" s="3" t="inlineStr">
        <is>
          <t>Model checks</t>
        </is>
      </c>
      <c r="C7" s="3">
        <f>IF(ErrorCount=0,"ALL CHECKS PASS","ERRORS: "&amp;ErrorCount)</f>
        <v/>
      </c>
      <c r="D7" s="5">
        <f>"Warnings to discuss: "&amp;WarningCount</f>
        <v/>
      </c>
    </row>
    <row r="9">
      <c r="A9" s="6" t="inlineStr"/>
      <c r="B9" s="6" t="inlineStr">
        <is>
          <t>Headline (Mid institute, 400 students, live scenario)</t>
        </is>
      </c>
      <c r="C9" s="6" t="inlineStr">
        <is>
          <t>Our model</t>
        </is>
      </c>
      <c r="D9" s="6" t="inlineStr">
        <is>
          <t>Guide (naive)</t>
        </is>
      </c>
    </row>
    <row r="10">
      <c r="B10" s="7" t="inlineStr">
        <is>
          <t>Effective dropout reduction</t>
        </is>
      </c>
      <c r="C10" s="8">
        <f>Institute_ROI!E37</f>
        <v/>
      </c>
      <c r="D10" s="9">
        <f>G_Prevent</f>
        <v/>
      </c>
    </row>
    <row r="11">
      <c r="B11" s="7" t="inlineStr">
        <is>
          <t>Dropouts prevented per year</t>
        </is>
      </c>
      <c r="C11" s="10">
        <f>Institute_ROI!E38</f>
        <v/>
      </c>
      <c r="D11" s="11">
        <f>Institute_ROI!$E$65</f>
        <v/>
      </c>
    </row>
    <row r="12">
      <c r="B12" s="7" t="inlineStr">
        <is>
          <t>Institute ROI (all benefits)</t>
        </is>
      </c>
      <c r="C12" s="12">
        <f>Institute_ROI!E53</f>
        <v/>
      </c>
      <c r="D12" s="13">
        <f>Institute_ROI!$E$68</f>
        <v/>
      </c>
    </row>
    <row r="13">
      <c r="B13" s="7" t="inlineStr">
        <is>
          <t>Institute ROI (fees only)</t>
        </is>
      </c>
      <c r="C13" s="12">
        <f>Institute_ROI!E54</f>
        <v/>
      </c>
      <c r="D13" s="13">
        <f>Institute_ROI!$E$68</f>
        <v/>
      </c>
    </row>
    <row r="14">
      <c r="B14" s="7" t="inlineStr">
        <is>
          <t>Break-even: students to save per year</t>
        </is>
      </c>
      <c r="C14" s="10">
        <f>Institute_ROI!E55</f>
        <v/>
      </c>
      <c r="D14" s="11">
        <f>Institute_ROI!$E$69</f>
        <v/>
      </c>
    </row>
    <row r="15">
      <c r="B15" s="7" t="inlineStr">
        <is>
          <t>Extra admissions needed to break even (after fees + staff time)</t>
        </is>
      </c>
      <c r="C15" s="10">
        <f>Institute_ROI!E58</f>
        <v/>
      </c>
      <c r="D15" s="11" t="inlineStr">
        <is>
          <t>n/a</t>
        </is>
      </c>
    </row>
    <row r="16">
      <c r="B16" s="7" t="inlineStr">
        <is>
          <t>Platform cost as % of a student's fee</t>
        </is>
      </c>
      <c r="C16" s="8">
        <f>Institute_ROI!E60</f>
        <v/>
      </c>
      <c r="D16" s="9">
        <f>G_Price*G_Months/Fee_M</f>
        <v/>
      </c>
    </row>
    <row r="17">
      <c r="B17" s="7" t="inlineStr">
        <is>
          <t>Avg monthly revenue per institute</t>
        </is>
      </c>
      <c r="C17" s="14">
        <f>Unit_Econ!E30</f>
        <v/>
      </c>
      <c r="D17" s="15">
        <f>Unit_Econ!$I$5</f>
        <v/>
      </c>
    </row>
    <row r="18">
      <c r="B18" s="7" t="inlineStr">
        <is>
          <t>Contribution margin</t>
        </is>
      </c>
      <c r="C18" s="8">
        <f>Unit_Econ!E35</f>
        <v/>
      </c>
      <c r="D18" s="9">
        <f>Unit_Econ!$I$6/Unit_Econ!$I$5</f>
        <v/>
      </c>
    </row>
    <row r="19">
      <c r="B19" s="7" t="inlineStr">
        <is>
          <t>Fully loaded acquisition cost</t>
        </is>
      </c>
      <c r="C19" s="14">
        <f>Unit_Econ!E41</f>
        <v/>
      </c>
      <c r="D19" s="15">
        <f>Unit_Econ!$I$7</f>
        <v/>
      </c>
    </row>
    <row r="20">
      <c r="B20" s="7" t="inlineStr">
        <is>
          <t>LTV</t>
        </is>
      </c>
      <c r="C20" s="14">
        <f>Unit_Econ!E48</f>
        <v/>
      </c>
      <c r="D20" s="15">
        <f>Unit_Econ!$I$9</f>
        <v/>
      </c>
    </row>
    <row r="21">
      <c r="B21" s="7" t="inlineStr">
        <is>
          <t>LTV ÷ acquisition cost</t>
        </is>
      </c>
      <c r="C21" s="12">
        <f>Unit_Econ!E49</f>
        <v/>
      </c>
      <c r="D21" s="13">
        <f>Unit_Econ!$I$10</f>
        <v/>
      </c>
    </row>
    <row r="22">
      <c r="B22" s="7" t="inlineStr">
        <is>
          <t>Payback (months)</t>
        </is>
      </c>
      <c r="C22" s="10">
        <f>Unit_Econ!E50</f>
        <v/>
      </c>
      <c r="D22" s="11">
        <f>Unit_Econ!$I$8</f>
        <v/>
      </c>
    </row>
    <row r="23">
      <c r="B23" s="7" t="inlineStr">
        <is>
          <t>Institutes needed to cover fixed team cost</t>
        </is>
      </c>
      <c r="C23" s="10">
        <f>Unit_Econ!I16</f>
        <v/>
      </c>
      <c r="D23" s="11" t="inlineStr">
        <is>
          <t>n/a</t>
        </is>
      </c>
    </row>
    <row r="25">
      <c r="B25" s="3" t="inlineStr">
        <is>
          <t>Colour code</t>
        </is>
      </c>
      <c r="C25" s="5" t="inlineStr"/>
    </row>
    <row r="26">
      <c r="B26" s="16" t="inlineStr">
        <is>
          <t>Blue text</t>
        </is>
      </c>
      <c r="C26" s="5" t="inlineStr">
        <is>
          <t>Input — edit only these (Assumptions D:F, Seasonality, grid points, Scenario)</t>
        </is>
      </c>
    </row>
    <row r="27">
      <c r="B27" s="7" t="inlineStr">
        <is>
          <t>Black text</t>
        </is>
      </c>
      <c r="C27" s="5" t="inlineStr">
        <is>
          <t>Formula</t>
        </is>
      </c>
    </row>
    <row r="28">
      <c r="B28" s="17" t="inlineStr">
        <is>
          <t>Green text</t>
        </is>
      </c>
      <c r="C28" s="5" t="inlineStr">
        <is>
          <t>Link from another sheet</t>
        </is>
      </c>
    </row>
    <row r="29">
      <c r="B29" s="18" t="inlineStr">
        <is>
          <t>Yellow fill</t>
        </is>
      </c>
      <c r="C29" s="5" t="inlineStr">
        <is>
          <t>Key lever / live value</t>
        </is>
      </c>
    </row>
    <row r="30">
      <c r="B30" s="19" t="inlineStr">
        <is>
          <t>Green fill</t>
        </is>
      </c>
      <c r="C30" s="5" t="inlineStr">
        <is>
          <t>Key output</t>
        </is>
      </c>
    </row>
    <row r="31">
      <c r="B31" s="7" t="inlineStr"/>
      <c r="C31" s="5" t="inlineStr"/>
    </row>
    <row r="32">
      <c r="B32" s="3" t="inlineStr">
        <is>
          <t>How to use</t>
        </is>
      </c>
      <c r="C32" s="5" t="inlineStr"/>
    </row>
    <row r="33">
      <c r="B33" s="7" t="inlineStr">
        <is>
          <t>1</t>
        </is>
      </c>
      <c r="C33" s="5" t="inlineStr">
        <is>
          <t>Pick a scenario in C6. Everything recalculates; Scenarios and Sensitivity always show all three.</t>
        </is>
      </c>
    </row>
    <row r="34">
      <c r="B34" s="7" t="inlineStr">
        <is>
          <t>2</t>
        </is>
      </c>
      <c r="C34" s="5" t="inlineStr">
        <is>
          <t>Change an input on Assumptions (Bear/Base/Bull) — never type over a formula.</t>
        </is>
      </c>
    </row>
    <row r="35">
      <c r="B35" s="7" t="inlineStr">
        <is>
          <t>3</t>
        </is>
      </c>
      <c r="C35" s="5" t="inlineStr">
        <is>
          <t>Cover C7 must say ALL CHECKS PASS before you quote any number.</t>
        </is>
      </c>
    </row>
    <row r="36">
      <c r="B36" s="7" t="inlineStr">
        <is>
          <t>4</t>
        </is>
      </c>
      <c r="C36" s="5" t="inlineStr">
        <is>
          <t>To rebuild from the CSVs: python build_model.py (Financial_Model folder).</t>
        </is>
      </c>
    </row>
    <row r="37">
      <c r="B37" s="7" t="inlineStr"/>
      <c r="C37" s="5" t="inlineStr"/>
    </row>
    <row r="38">
      <c r="B38" s="3" t="inlineStr">
        <is>
          <t>Evidence labels</t>
        </is>
      </c>
      <c r="C38" s="5" t="inlineStr">
        <is>
          <t>Researched/Public = sourced (see Sources) · Guide = case brief · Assumption = unverified · Structural = modelling convention</t>
        </is>
      </c>
    </row>
    <row r="39">
      <c r="B39" s="3" t="inlineStr">
        <is>
          <t>Scope</t>
        </is>
      </c>
      <c r="C39" s="5" t="inlineStr">
        <is>
          <t>Round 1: Pricing, COGS, Institute ROI, Unit economics, Scenarios, Sensitivity. Round 2 adds cohorts, hiring plan, 3-year P&amp;L, cash and funding need.</t>
        </is>
      </c>
    </row>
  </sheetData>
  <conditionalFormatting sqref="C7">
    <cfRule type="cellIs" priority="1" operator="equal" dxfId="0">
      <formula>"ALL CHECKS PASS"</formula>
    </cfRule>
  </conditionalFormatting>
  <dataValidations count="1">
    <dataValidation sqref="C6" showDropDown="0" showInputMessage="0" showErrorMessage="0" allowBlank="0" type="list">
      <formula1>"1,2,3"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16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0" customWidth="1" min="9" max="9"/>
    <col width="60" customWidth="1" min="10" max="10"/>
    <col width="40" customWidth="1" min="11" max="11"/>
    <col width="9" customWidth="1" min="12" max="12"/>
    <col width="9" customWidth="1" min="13" max="13"/>
  </cols>
  <sheetData>
    <row r="1">
      <c r="A1" s="1" t="inlineStr">
        <is>
          <t>Assumptions — every input in the model lives here</t>
        </is>
      </c>
    </row>
    <row r="2">
      <c r="A2" s="2" t="inlineStr">
        <is>
          <t>Blue = input you may edit (Bear / Base / Bull). Live = CHOOSE(Scenario, Bear, Base, Bull). Bear = worst case for OUR business. Type: Researched/Public = sourced · Guide = case brief · Assumption = unverified · Structural = modelling convention.</t>
        </is>
      </c>
    </row>
    <row r="4">
      <c r="A4" s="6" t="inlineStr">
        <is>
          <t>Name (named range → Live)</t>
        </is>
      </c>
      <c r="B4" s="6" t="inlineStr">
        <is>
          <t>Input</t>
        </is>
      </c>
      <c r="C4" s="6" t="inlineStr">
        <is>
          <t>Unit</t>
        </is>
      </c>
      <c r="D4" s="6" t="inlineStr">
        <is>
          <t>Bear</t>
        </is>
      </c>
      <c r="E4" s="6" t="inlineStr">
        <is>
          <t>Base</t>
        </is>
      </c>
      <c r="F4" s="6" t="inlineStr">
        <is>
          <t>Bull</t>
        </is>
      </c>
      <c r="G4" s="6" t="inlineStr">
        <is>
          <t>LIVE</t>
        </is>
      </c>
      <c r="H4" s="6" t="inlineStr">
        <is>
          <t>Type</t>
        </is>
      </c>
      <c r="I4" s="6" t="inlineStr">
        <is>
          <t>Confidence</t>
        </is>
      </c>
      <c r="J4" s="6" t="inlineStr">
        <is>
          <t>Source</t>
        </is>
      </c>
      <c r="K4" s="6" t="inlineStr">
        <is>
          <t>Note</t>
        </is>
      </c>
      <c r="L4" s="6" t="inlineStr">
        <is>
          <t>Pct out of [0,1]</t>
        </is>
      </c>
      <c r="M4" s="6" t="inlineStr">
        <is>
          <t>Live outside Bear–Bull</t>
        </is>
      </c>
    </row>
    <row r="5">
      <c r="A5" s="20" t="inlineStr">
        <is>
          <t>Segments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>
      <c r="A6" s="5" t="inlineStr">
        <is>
          <t>Students_S</t>
        </is>
      </c>
      <c r="B6" s="7" t="inlineStr">
        <is>
          <t>Students per institute - Small</t>
        </is>
      </c>
      <c r="C6" s="5" t="inlineStr">
        <is>
          <t>students</t>
        </is>
      </c>
      <c r="D6" s="22" t="n">
        <v>180</v>
      </c>
      <c r="E6" s="22" t="n">
        <v>180</v>
      </c>
      <c r="F6" s="22" t="n">
        <v>180</v>
      </c>
      <c r="G6" s="23">
        <f>CHOOSE(Scenario,D6,E6,F6)</f>
        <v/>
      </c>
      <c r="H6" s="5" t="inlineStr">
        <is>
          <t>Assumption</t>
        </is>
      </c>
      <c r="I6" s="5" t="inlineStr">
        <is>
          <t>M</t>
        </is>
      </c>
      <c r="J6" s="5" t="inlineStr">
        <is>
          <t>Case brief range 150-2000; our cut &lt;250</t>
        </is>
      </c>
      <c r="K6" s="5" t="inlineStr">
        <is>
          <t>Segment midpoint</t>
        </is>
      </c>
      <c r="L6" s="5" t="n">
        <v>0</v>
      </c>
      <c r="M6" s="5">
        <f>IF(AND(G6&gt;=MIN(D6,F6),G6&lt;=MAX(D6,F6)),0,1)</f>
        <v/>
      </c>
    </row>
    <row r="7">
      <c r="A7" s="5" t="inlineStr">
        <is>
          <t>Students_M</t>
        </is>
      </c>
      <c r="B7" s="7" t="inlineStr">
        <is>
          <t>Students per institute - Mid</t>
        </is>
      </c>
      <c r="C7" s="5" t="inlineStr">
        <is>
          <t>students</t>
        </is>
      </c>
      <c r="D7" s="22" t="n">
        <v>400</v>
      </c>
      <c r="E7" s="22" t="n">
        <v>400</v>
      </c>
      <c r="F7" s="22" t="n">
        <v>400</v>
      </c>
      <c r="G7" s="23">
        <f>CHOOSE(Scenario,D7,E7,F7)</f>
        <v/>
      </c>
      <c r="H7" s="5" t="inlineStr">
        <is>
          <t>Guide</t>
        </is>
      </c>
      <c r="I7" s="5" t="inlineStr">
        <is>
          <t>M</t>
        </is>
      </c>
      <c r="J7" s="5" t="inlineStr">
        <is>
          <t>Case brief baseline 400</t>
        </is>
      </c>
      <c r="K7" s="5" t="inlineStr"/>
      <c r="L7" s="5" t="n">
        <v>0</v>
      </c>
      <c r="M7" s="5">
        <f>IF(AND(G7&gt;=MIN(D7,F7),G7&lt;=MAX(D7,F7)),0,1)</f>
        <v/>
      </c>
    </row>
    <row r="8">
      <c r="A8" s="5" t="inlineStr">
        <is>
          <t>Students_L</t>
        </is>
      </c>
      <c r="B8" s="7" t="inlineStr">
        <is>
          <t>Students per institute - Large</t>
        </is>
      </c>
      <c r="C8" s="5" t="inlineStr">
        <is>
          <t>students</t>
        </is>
      </c>
      <c r="D8" s="22" t="n">
        <v>1200</v>
      </c>
      <c r="E8" s="22" t="n">
        <v>1200</v>
      </c>
      <c r="F8" s="22" t="n">
        <v>1200</v>
      </c>
      <c r="G8" s="23">
        <f>CHOOSE(Scenario,D8,E8,F8)</f>
        <v/>
      </c>
      <c r="H8" s="5" t="inlineStr">
        <is>
          <t>Assumption</t>
        </is>
      </c>
      <c r="I8" s="5" t="inlineStr">
        <is>
          <t>M</t>
        </is>
      </c>
      <c r="J8" s="5" t="inlineStr">
        <is>
          <t>Case brief range 150-2000; our cut &gt;800</t>
        </is>
      </c>
      <c r="K8" s="5" t="inlineStr"/>
      <c r="L8" s="5" t="n">
        <v>0</v>
      </c>
      <c r="M8" s="5">
        <f>IF(AND(G8&gt;=MIN(D8,F8),G8&lt;=MAX(D8,F8)),0,1)</f>
        <v/>
      </c>
    </row>
    <row r="9">
      <c r="A9" s="5" t="inlineStr">
        <is>
          <t>Fee_S</t>
        </is>
      </c>
      <c r="B9" s="7" t="inlineStr">
        <is>
          <t>Annual fee per student - Small</t>
        </is>
      </c>
      <c r="C9" s="5" t="inlineStr">
        <is>
          <t>Rs/yr</t>
        </is>
      </c>
      <c r="D9" s="24" t="n">
        <v>50000</v>
      </c>
      <c r="E9" s="24" t="n">
        <v>65000</v>
      </c>
      <c r="F9" s="24" t="n">
        <v>80000</v>
      </c>
      <c r="G9" s="25">
        <f>CHOOSE(Scenario,D9,E9,F9)</f>
        <v/>
      </c>
      <c r="H9" s="5" t="inlineStr">
        <is>
          <t>Researched</t>
        </is>
      </c>
      <c r="I9" s="5" t="inlineStr">
        <is>
          <t>L</t>
        </is>
      </c>
      <c r="J9" s="5" t="inlineStr">
        <is>
          <t>R2: Vedantu Gaya 1-yr Rs50-56k; Rupantri Muzaffarpur Rs55-60k; GOAL Patna Rs51-99k (research/R2_R3)</t>
        </is>
      </c>
      <c r="K9" s="5" t="inlineStr">
        <is>
          <t>Size-to-fee mapping is our assumption</t>
        </is>
      </c>
      <c r="L9" s="5" t="n">
        <v>0</v>
      </c>
      <c r="M9" s="5">
        <f>IF(AND(G9&gt;=MIN(D9,F9),G9&lt;=MAX(D9,F9)),0,1)</f>
        <v/>
      </c>
    </row>
    <row r="10">
      <c r="A10" s="5" t="inlineStr">
        <is>
          <t>Fee_M</t>
        </is>
      </c>
      <c r="B10" s="7" t="inlineStr">
        <is>
          <t>Annual fee per student - Mid</t>
        </is>
      </c>
      <c r="C10" s="5" t="inlineStr">
        <is>
          <t>Rs/yr</t>
        </is>
      </c>
      <c r="D10" s="24" t="n">
        <v>70000</v>
      </c>
      <c r="E10" s="24" t="n">
        <v>95000</v>
      </c>
      <c r="F10" s="24" t="n">
        <v>120000</v>
      </c>
      <c r="G10" s="25">
        <f>CHOOSE(Scenario,D10,E10,F10)</f>
        <v/>
      </c>
      <c r="H10" s="5" t="inlineStr">
        <is>
          <t>Researched</t>
        </is>
      </c>
      <c r="I10" s="5" t="inlineStr">
        <is>
          <t>L</t>
        </is>
      </c>
      <c r="J10" s="5" t="inlineStr">
        <is>
          <t>R2: GOAL Patna 1-yr Rs1.2L; Vedantu Patna Rs95k; Pathshala Lucknow ~Rs82.5k; Vedantu Indore Rs67k</t>
        </is>
      </c>
      <c r="K10" s="5" t="inlineStr">
        <is>
          <t>Case brief used Rs60k</t>
        </is>
      </c>
      <c r="L10" s="5" t="n">
        <v>0</v>
      </c>
      <c r="M10" s="5">
        <f>IF(AND(G10&gt;=MIN(D10,F10),G10&lt;=MAX(D10,F10)),0,1)</f>
        <v/>
      </c>
    </row>
    <row r="11">
      <c r="A11" s="5" t="inlineStr">
        <is>
          <t>Fee_L</t>
        </is>
      </c>
      <c r="B11" s="7" t="inlineStr">
        <is>
          <t>Annual fee per student - Large</t>
        </is>
      </c>
      <c r="C11" s="5" t="inlineStr">
        <is>
          <t>Rs/yr</t>
        </is>
      </c>
      <c r="D11" s="24" t="n">
        <v>100000</v>
      </c>
      <c r="E11" s="24" t="n">
        <v>125000</v>
      </c>
      <c r="F11" s="24" t="n">
        <v>150000</v>
      </c>
      <c r="G11" s="25">
        <f>CHOOSE(Scenario,D11,E11,F11)</f>
        <v/>
      </c>
      <c r="H11" s="5" t="inlineStr">
        <is>
          <t>Researched</t>
        </is>
      </c>
      <c r="I11" s="5" t="inlineStr">
        <is>
          <t>M</t>
        </is>
      </c>
      <c r="J11" s="5" t="inlineStr">
        <is>
          <t>R2: Udaan Patna Rs1.15-1.25L/yr (own site 2025-27); chains Rs1.1-1.4L (Motion/Allen/Vedantu)</t>
        </is>
      </c>
      <c r="K11" s="5" t="inlineStr"/>
      <c r="L11" s="5" t="n">
        <v>0</v>
      </c>
      <c r="M11" s="5">
        <f>IF(AND(G11&gt;=MIN(D11,F11),G11&lt;=MAX(D11,F11)),0,1)</f>
        <v/>
      </c>
    </row>
    <row r="12">
      <c r="A12" s="5" t="inlineStr">
        <is>
          <t>OnboardMult_S</t>
        </is>
      </c>
      <c r="B12" s="7" t="inlineStr">
        <is>
          <t>Onboarding cost multiplier - Small</t>
        </is>
      </c>
      <c r="C12" s="5" t="inlineStr">
        <is>
          <t>x</t>
        </is>
      </c>
      <c r="D12" s="26" t="n">
        <v>0.8</v>
      </c>
      <c r="E12" s="26" t="n">
        <v>0.8</v>
      </c>
      <c r="F12" s="26" t="n">
        <v>0.8</v>
      </c>
      <c r="G12" s="27">
        <f>CHOOSE(Scenario,D12,E12,F12)</f>
        <v/>
      </c>
      <c r="H12" s="5" t="inlineStr">
        <is>
          <t>Assumption</t>
        </is>
      </c>
      <c r="I12" s="5" t="inlineStr">
        <is>
          <t>L</t>
        </is>
      </c>
      <c r="J12" s="5" t="inlineStr">
        <is>
          <t>Fewer batches to migrate</t>
        </is>
      </c>
      <c r="K12" s="5" t="inlineStr"/>
      <c r="L12" s="5" t="n">
        <v>0</v>
      </c>
      <c r="M12" s="5">
        <f>IF(AND(G12&gt;=MIN(D12,F12),G12&lt;=MAX(D12,F12)),0,1)</f>
        <v/>
      </c>
    </row>
    <row r="13">
      <c r="A13" s="5" t="inlineStr">
        <is>
          <t>OnboardMult_M</t>
        </is>
      </c>
      <c r="B13" s="7" t="inlineStr">
        <is>
          <t>Onboarding cost multiplier - Mid</t>
        </is>
      </c>
      <c r="C13" s="5" t="inlineStr">
        <is>
          <t>x</t>
        </is>
      </c>
      <c r="D13" s="26" t="n">
        <v>1</v>
      </c>
      <c r="E13" s="26" t="n">
        <v>1</v>
      </c>
      <c r="F13" s="26" t="n">
        <v>1</v>
      </c>
      <c r="G13" s="27">
        <f>CHOOSE(Scenario,D13,E13,F13)</f>
        <v/>
      </c>
      <c r="H13" s="5" t="inlineStr">
        <is>
          <t>Structural</t>
        </is>
      </c>
      <c r="I13" s="5" t="inlineStr">
        <is>
          <t>H</t>
        </is>
      </c>
      <c r="J13" s="5" t="inlineStr">
        <is>
          <t>Reference segment</t>
        </is>
      </c>
      <c r="K13" s="5" t="inlineStr"/>
      <c r="L13" s="5" t="n">
        <v>0</v>
      </c>
      <c r="M13" s="5">
        <f>IF(AND(G13&gt;=MIN(D13,F13),G13&lt;=MAX(D13,F13)),0,1)</f>
        <v/>
      </c>
    </row>
    <row r="14">
      <c r="A14" s="5" t="inlineStr">
        <is>
          <t>OnboardMult_L</t>
        </is>
      </c>
      <c r="B14" s="7" t="inlineStr">
        <is>
          <t>Onboarding cost multiplier - Large</t>
        </is>
      </c>
      <c r="C14" s="5" t="inlineStr">
        <is>
          <t>x</t>
        </is>
      </c>
      <c r="D14" s="26" t="n">
        <v>1.6</v>
      </c>
      <c r="E14" s="26" t="n">
        <v>1.6</v>
      </c>
      <c r="F14" s="26" t="n">
        <v>1.6</v>
      </c>
      <c r="G14" s="27">
        <f>CHOOSE(Scenario,D14,E14,F14)</f>
        <v/>
      </c>
      <c r="H14" s="5" t="inlineStr">
        <is>
          <t>Assumption</t>
        </is>
      </c>
      <c r="I14" s="5" t="inlineStr">
        <is>
          <t>L</t>
        </is>
      </c>
      <c r="J14" s="5" t="inlineStr">
        <is>
          <t>More batches and staff to train</t>
        </is>
      </c>
      <c r="K14" s="5" t="inlineStr"/>
      <c r="L14" s="5" t="n">
        <v>0</v>
      </c>
      <c r="M14" s="5">
        <f>IF(AND(G14&gt;=MIN(D14,F14),G14&lt;=MAX(D14,F14)),0,1)</f>
        <v/>
      </c>
    </row>
    <row r="15">
      <c r="A15" s="20" t="inlineStr">
        <is>
          <t>Institute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>
      <c r="A16" s="5" t="inlineStr">
        <is>
          <t>DropoutRate</t>
        </is>
      </c>
      <c r="B16" s="7" t="inlineStr">
        <is>
          <t>Mid-session dropout/default rate</t>
        </is>
      </c>
      <c r="C16" s="5" t="inlineStr">
        <is>
          <t>% of students/yr</t>
        </is>
      </c>
      <c r="D16" s="28" t="n">
        <v>0.06</v>
      </c>
      <c r="E16" s="28" t="n">
        <v>0.1</v>
      </c>
      <c r="F16" s="28" t="n">
        <v>0.18</v>
      </c>
      <c r="G16" s="29">
        <f>CHOOSE(Scenario,D16,E16,F16)</f>
        <v/>
      </c>
      <c r="H16" s="5" t="inlineStr">
        <is>
          <t>Researched</t>
        </is>
      </c>
      <c r="I16" s="5" t="inlineStr">
        <is>
          <t>L</t>
        </is>
      </c>
      <c r="J16" s="5" t="inlineStr">
        <is>
          <t>R3: Coaching Federation of India 'at least 10 per cent of students in every batch' (ThePrint 31-Jul-2025); YourStory May-2026 ~20% offline (unattributed); analogue UDISE+ Cl.9-10 11.5%</t>
        </is>
      </c>
      <c r="K16" s="5" t="inlineStr">
        <is>
          <t>Higher = more value to protect (Bull); case brief 8-15%</t>
        </is>
      </c>
      <c r="L16" s="5">
        <f>IF(OR(G16&lt;0,G16&gt;1),1,0)</f>
        <v/>
      </c>
      <c r="M16" s="5">
        <f>IF(AND(G16&gt;=MIN(D16,F16),G16&lt;=MAX(D16,F16)),0,1)</f>
        <v/>
      </c>
    </row>
    <row r="17">
      <c r="A17" s="5" t="inlineStr">
        <is>
          <t>UpfrontShare</t>
        </is>
      </c>
      <c r="B17" s="7" t="inlineStr">
        <is>
          <t>Share of students paying full fee upfront</t>
        </is>
      </c>
      <c r="C17" s="5" t="inlineStr">
        <is>
          <t>%</t>
        </is>
      </c>
      <c r="D17" s="28" t="n">
        <v>0.4</v>
      </c>
      <c r="E17" s="28" t="n">
        <v>0.25</v>
      </c>
      <c r="F17" s="28" t="n">
        <v>0.15</v>
      </c>
      <c r="G17" s="29">
        <f>CHOOSE(Scenario,D17,E17,F17)</f>
        <v/>
      </c>
      <c r="H17" s="5" t="inlineStr">
        <is>
          <t>Assumption</t>
        </is>
      </c>
      <c r="I17" s="5" t="inlineStr">
        <is>
          <t>L</t>
        </is>
      </c>
      <c r="J17" s="5" t="inlineStr">
        <is>
          <t>R2: not found. Instalments are the norm (Allen 2; PW 3; Aakash several; Rajasthan Act s.6(2)(d) &gt;=4 option)</t>
        </is>
      </c>
      <c r="K17" s="5" t="inlineStr">
        <is>
          <t>TECH_PLAN's 35% had no source</t>
        </is>
      </c>
      <c r="L17" s="5">
        <f>IF(OR(G17&lt;0,G17&gt;1),1,0)</f>
        <v/>
      </c>
      <c r="M17" s="5">
        <f>IF(AND(G17&gt;=MIN(D17,F17),G17&lt;=MAX(D17,F17)),0,1)</f>
        <v/>
      </c>
    </row>
    <row r="18">
      <c r="A18" s="5" t="inlineStr">
        <is>
          <t>NInstalments</t>
        </is>
      </c>
      <c r="B18" s="7" t="inlineStr">
        <is>
          <t>Instalments per year for non-upfront payers</t>
        </is>
      </c>
      <c r="C18" s="5" t="inlineStr">
        <is>
          <t>count</t>
        </is>
      </c>
      <c r="D18" s="22" t="n">
        <v>2</v>
      </c>
      <c r="E18" s="22" t="n">
        <v>3</v>
      </c>
      <c r="F18" s="22" t="n">
        <v>4</v>
      </c>
      <c r="G18" s="23">
        <f>CHOOSE(Scenario,D18,E18,F18)</f>
        <v/>
      </c>
      <c r="H18" s="5" t="inlineStr">
        <is>
          <t>Researched</t>
        </is>
      </c>
      <c r="I18" s="5" t="inlineStr">
        <is>
          <t>M</t>
        </is>
      </c>
      <c r="J18" s="5" t="inlineStr">
        <is>
          <t>R2: Allen 2 (2nd within 45 days); PW 3; Rajasthan Act 16/2025 s.6(2)(d) min. 4 equal</t>
        </is>
      </c>
      <c r="K18" s="5" t="inlineStr">
        <is>
          <t>Fewer instalments = cash collected early = less at risk</t>
        </is>
      </c>
      <c r="L18" s="5" t="n">
        <v>0</v>
      </c>
      <c r="M18" s="5">
        <f>IF(AND(G18&gt;=MIN(D18,F18),G18&lt;=MAX(D18,F18)),0,1)</f>
        <v/>
      </c>
    </row>
    <row r="19">
      <c r="A19" s="5" t="inlineStr">
        <is>
          <t>RefundEnforced</t>
        </is>
      </c>
      <c r="B19" s="7" t="inlineStr">
        <is>
          <t>Share of upfront leavers actually refunded pro-rata</t>
        </is>
      </c>
      <c r="C19" s="5" t="inlineStr">
        <is>
          <t>%</t>
        </is>
      </c>
      <c r="D19" s="28" t="n">
        <v>0.1</v>
      </c>
      <c r="E19" s="28" t="n">
        <v>0.3</v>
      </c>
      <c r="F19" s="28" t="n">
        <v>0.6</v>
      </c>
      <c r="G19" s="29">
        <f>CHOOSE(Scenario,D19,E19,F19)</f>
        <v/>
      </c>
      <c r="H19" s="5" t="inlineStr">
        <is>
          <t>Assumption</t>
        </is>
      </c>
      <c r="I19" s="5" t="inlineStr">
        <is>
          <t>L</t>
        </is>
      </c>
      <c r="J19" s="5" t="inlineStr">
        <is>
          <t>R2: MoE Guidelines 2024 cl.8(iv) and Rajasthan s.13(4) require pro-rata refund within 10 days; MoE is advisory and Allen/Aakash/PW practice is cut-off or no refund</t>
        </is>
      </c>
      <c r="K19" s="5" t="inlineStr">
        <is>
          <t>Refunded upfront leavers = fee at risk</t>
        </is>
      </c>
      <c r="L19" s="5">
        <f>IF(OR(G19&lt;0,G19&gt;1),1,0)</f>
        <v/>
      </c>
      <c r="M19" s="5">
        <f>IF(AND(G19&gt;=MIN(D19,F19),G19&lt;=MAX(D19,F19)),0,1)</f>
        <v/>
      </c>
    </row>
    <row r="20">
      <c r="A20" s="5" t="inlineStr">
        <is>
          <t>CourseMonths</t>
        </is>
      </c>
      <c r="B20" s="7" t="inlineStr">
        <is>
          <t>Course length</t>
        </is>
      </c>
      <c r="C20" s="5" t="inlineStr">
        <is>
          <t>months</t>
        </is>
      </c>
      <c r="D20" s="22" t="n">
        <v>10</v>
      </c>
      <c r="E20" s="22" t="n">
        <v>10</v>
      </c>
      <c r="F20" s="22" t="n">
        <v>10</v>
      </c>
      <c r="G20" s="23">
        <f>CHOOSE(Scenario,D20,E20,F20)</f>
        <v/>
      </c>
      <c r="H20" s="5" t="inlineStr">
        <is>
          <t>Guide</t>
        </is>
      </c>
      <c r="I20" s="5" t="inlineStr">
        <is>
          <t>H</t>
        </is>
      </c>
      <c r="J20" s="5" t="inlineStr">
        <is>
          <t>Case brief ~10 months</t>
        </is>
      </c>
      <c r="K20" s="5" t="inlineStr"/>
      <c r="L20" s="5" t="n">
        <v>0</v>
      </c>
      <c r="M20" s="5">
        <f>IF(AND(G20&gt;=MIN(D20,F20),G20&lt;=MAX(D20,F20)),0,1)</f>
        <v/>
      </c>
    </row>
    <row r="21">
      <c r="A21" s="5" t="inlineStr">
        <is>
          <t>BlindMonths</t>
        </is>
      </c>
      <c r="B21" s="7" t="inlineStr">
        <is>
          <t>Months before the model can flag (no test data yet)</t>
        </is>
      </c>
      <c r="C21" s="5" t="inlineStr">
        <is>
          <t>months</t>
        </is>
      </c>
      <c r="D21" s="22" t="n">
        <v>2</v>
      </c>
      <c r="E21" s="22" t="n">
        <v>1</v>
      </c>
      <c r="F21" s="22" t="n">
        <v>0</v>
      </c>
      <c r="G21" s="23">
        <f>CHOOSE(Scenario,D21,E21,F21)</f>
        <v/>
      </c>
      <c r="H21" s="5" t="inlineStr">
        <is>
          <t>Assumption</t>
        </is>
      </c>
      <c r="I21" s="5" t="inlineStr">
        <is>
          <t>M</t>
        </is>
      </c>
      <c r="J21" s="5" t="inlineStr">
        <is>
          <t>Model needs &gt;=1-2 tests; R2: refund windows weeks 1-4 mean early exits are fast</t>
        </is>
      </c>
      <c r="K21" s="5" t="inlineStr">
        <is>
          <t>Dropouts in these months cannot be caught</t>
        </is>
      </c>
      <c r="L21" s="5" t="n">
        <v>0</v>
      </c>
      <c r="M21" s="5">
        <f>IF(AND(G21&gt;=MIN(D21,F21),G21&lt;=MAX(D21,F21)),0,1)</f>
        <v/>
      </c>
    </row>
    <row r="22">
      <c r="A22" s="5" t="inlineStr">
        <is>
          <t>Preventable</t>
        </is>
      </c>
      <c r="B22" s="7" t="inlineStr">
        <is>
          <t>Share of dropouts that are preventable (check only)</t>
        </is>
      </c>
      <c r="C22" s="5" t="inlineStr">
        <is>
          <t>%</t>
        </is>
      </c>
      <c r="D22" s="28" t="n">
        <v>0.3</v>
      </c>
      <c r="E22" s="28" t="n">
        <v>0.45</v>
      </c>
      <c r="F22" s="28" t="n">
        <v>0.6</v>
      </c>
      <c r="G22" s="29">
        <f>CHOOSE(Scenario,D22,E22,F22)</f>
        <v/>
      </c>
      <c r="H22" s="5" t="inlineStr">
        <is>
          <t>Assumption</t>
        </is>
      </c>
      <c r="I22" s="5" t="inlineStr">
        <is>
          <t>L</t>
        </is>
      </c>
      <c r="J22" s="5" t="inlineStr">
        <is>
          <t>R3: reasons listed without shares (interest; family; health; dissatisfaction - ThePrint/CFI)</t>
        </is>
      </c>
      <c r="K22" s="5" t="inlineStr">
        <is>
          <t>Upper bound for the RCT effect</t>
        </is>
      </c>
      <c r="L22" s="5">
        <f>IF(OR(G22&lt;0,G22&gt;1),1,0)</f>
        <v/>
      </c>
      <c r="M22" s="5">
        <f>IF(AND(G22&gt;=MIN(D22,F22),G22&lt;=MAX(D22,F22)),0,1)</f>
        <v/>
      </c>
    </row>
    <row r="23">
      <c r="A23" s="5" t="inlineStr">
        <is>
          <t>MinorShare</t>
        </is>
      </c>
      <c r="B23" s="7" t="inlineStr">
        <is>
          <t>Share of students under 18</t>
        </is>
      </c>
      <c r="C23" s="5" t="inlineStr">
        <is>
          <t>%</t>
        </is>
      </c>
      <c r="D23" s="28" t="n">
        <v>0.85</v>
      </c>
      <c r="E23" s="28" t="n">
        <v>0.75</v>
      </c>
      <c r="F23" s="28" t="n">
        <v>0.6</v>
      </c>
      <c r="G23" s="29">
        <f>CHOOSE(Scenario,D23,E23,F23)</f>
        <v/>
      </c>
      <c r="H23" s="5" t="inlineStr">
        <is>
          <t>Assumption</t>
        </is>
      </c>
      <c r="I23" s="5" t="inlineStr">
        <is>
          <t>M</t>
        </is>
      </c>
      <c r="J23" s="5" t="inlineStr">
        <is>
          <t>JEE/NEET Class 11-12 are 16-17; droppers 18+</t>
        </is>
      </c>
      <c r="K23" s="5" t="inlineStr">
        <is>
          <t>DPDP s.9(3): minors get academic-support model + rules only</t>
        </is>
      </c>
      <c r="L23" s="5">
        <f>IF(OR(G23&lt;0,G23&gt;1),1,0)</f>
        <v/>
      </c>
      <c r="M23" s="5">
        <f>IF(AND(G23&gt;=MIN(D23,F23),G23&lt;=MAX(D23,F23)),0,1)</f>
        <v/>
      </c>
    </row>
    <row r="24">
      <c r="A24" s="5" t="inlineStr">
        <is>
          <t>Recall_Minor</t>
        </is>
      </c>
      <c r="B24" s="7" t="inlineStr">
        <is>
          <t>Model recall on minors (academic-support + rules)</t>
        </is>
      </c>
      <c r="C24" s="5" t="inlineStr">
        <is>
          <t>%</t>
        </is>
      </c>
      <c r="D24" s="28" t="n">
        <v>0.4</v>
      </c>
      <c r="E24" s="28" t="n">
        <v>0.55</v>
      </c>
      <c r="F24" s="28" t="n">
        <v>0.7</v>
      </c>
      <c r="G24" s="29">
        <f>CHOOSE(Scenario,D24,E24,F24)</f>
        <v/>
      </c>
      <c r="H24" s="5" t="inlineStr">
        <is>
          <t>Assumption</t>
        </is>
      </c>
      <c r="I24" s="5" t="inlineStr">
        <is>
          <t>L</t>
        </is>
      </c>
      <c r="J24" s="5" t="inlineStr">
        <is>
          <t>TECH_PLAN NB04 rules-only vs ML; replace with metrics.json</t>
        </is>
      </c>
      <c r="K24" s="5" t="inlineStr">
        <is>
          <t>At mentor-capacity threshold</t>
        </is>
      </c>
      <c r="L24" s="5">
        <f>IF(OR(G24&lt;0,G24&gt;1),1,0)</f>
        <v/>
      </c>
      <c r="M24" s="5">
        <f>IF(AND(G24&gt;=MIN(D24,F24),G24&lt;=MAX(D24,F24)),0,1)</f>
        <v/>
      </c>
    </row>
    <row r="25">
      <c r="A25" s="5" t="inlineStr">
        <is>
          <t>Recall_Adult</t>
        </is>
      </c>
      <c r="B25" s="7" t="inlineStr">
        <is>
          <t>Model recall on 18+ (full ML)</t>
        </is>
      </c>
      <c r="C25" s="5" t="inlineStr">
        <is>
          <t>%</t>
        </is>
      </c>
      <c r="D25" s="28" t="n">
        <v>0.5</v>
      </c>
      <c r="E25" s="28" t="n">
        <v>0.65</v>
      </c>
      <c r="F25" s="28" t="n">
        <v>0.8</v>
      </c>
      <c r="G25" s="29">
        <f>CHOOSE(Scenario,D25,E25,F25)</f>
        <v/>
      </c>
      <c r="H25" s="5" t="inlineStr">
        <is>
          <t>Public</t>
        </is>
      </c>
      <c r="I25" s="5" t="inlineStr">
        <is>
          <t>M</t>
        </is>
      </c>
      <c r="J25" s="5" t="inlineStr">
        <is>
          <t>OULAD withdrawal AUC 0.727-0.794 (TECH_PLAN s.24); replace with metrics.json</t>
        </is>
      </c>
      <c r="K25" s="5" t="inlineStr">
        <is>
          <t>At mentor-capacity threshold</t>
        </is>
      </c>
      <c r="L25" s="5">
        <f>IF(OR(G25&lt;0,G25&gt;1),1,0)</f>
        <v/>
      </c>
      <c r="M25" s="5">
        <f>IF(AND(G25&gt;=MIN(D25,F25),G25&lt;=MAX(D25,F25)),0,1)</f>
        <v/>
      </c>
    </row>
    <row r="26">
      <c r="A26" s="5" t="inlineStr">
        <is>
          <t>Precision</t>
        </is>
      </c>
      <c r="B26" s="7" t="inlineStr">
        <is>
          <t>Precision of at-risk flag</t>
        </is>
      </c>
      <c r="C26" s="5" t="inlineStr">
        <is>
          <t>%</t>
        </is>
      </c>
      <c r="D26" s="28" t="n">
        <v>0.25</v>
      </c>
      <c r="E26" s="28" t="n">
        <v>0.35</v>
      </c>
      <c r="F26" s="28" t="n">
        <v>0.5</v>
      </c>
      <c r="G26" s="29">
        <f>CHOOSE(Scenario,D26,E26,F26)</f>
        <v/>
      </c>
      <c r="H26" s="5" t="inlineStr">
        <is>
          <t>Assumption</t>
        </is>
      </c>
      <c r="I26" s="5" t="inlineStr">
        <is>
          <t>L</t>
        </is>
      </c>
      <c r="J26" s="5" t="inlineStr">
        <is>
          <t>Replace with metrics.json</t>
        </is>
      </c>
      <c r="K26" s="5" t="inlineStr">
        <is>
          <t>Drives wasted mentor time</t>
        </is>
      </c>
      <c r="L26" s="5">
        <f>IF(OR(G26&lt;0,G26&gt;1),1,0)</f>
        <v/>
      </c>
      <c r="M26" s="5">
        <f>IF(AND(G26&gt;=MIN(D26,F26),G26&lt;=MAX(D26,F26)),0,1)</f>
        <v/>
      </c>
    </row>
    <row r="27">
      <c r="A27" s="5" t="inlineStr">
        <is>
          <t>ActionRate</t>
        </is>
      </c>
      <c r="B27" s="7" t="inlineStr">
        <is>
          <t>Share of flags the institute assigns to outreach</t>
        </is>
      </c>
      <c r="C27" s="5" t="inlineStr">
        <is>
          <t>%</t>
        </is>
      </c>
      <c r="D27" s="28" t="n">
        <v>0.7</v>
      </c>
      <c r="E27" s="28" t="n">
        <v>0.9</v>
      </c>
      <c r="F27" s="28" t="n">
        <v>1</v>
      </c>
      <c r="G27" s="29">
        <f>CHOOSE(Scenario,D27,E27,F27)</f>
        <v/>
      </c>
      <c r="H27" s="5" t="inlineStr">
        <is>
          <t>Assumption</t>
        </is>
      </c>
      <c r="I27" s="5" t="inlineStr">
        <is>
          <t>L</t>
        </is>
      </c>
      <c r="J27" s="5" t="inlineStr">
        <is>
          <t>Mentor capacity; the RCT effect below is already intention-to-treat</t>
        </is>
      </c>
      <c r="K27" s="5" t="inlineStr">
        <is>
          <t>Primary research needed</t>
        </is>
      </c>
      <c r="L27" s="5">
        <f>IF(OR(G27&lt;0,G27&gt;1),1,0)</f>
        <v/>
      </c>
      <c r="M27" s="5">
        <f>IF(AND(G27&gt;=MIN(D27,F27),G27&lt;=MAX(D27,F27)),0,1)</f>
        <v/>
      </c>
    </row>
    <row r="28">
      <c r="A28" s="5" t="inlineStr">
        <is>
          <t>InterventionSuccess</t>
        </is>
      </c>
      <c r="B28" s="7" t="inlineStr">
        <is>
          <t>Dropout reduction among flagged students given outreach (RCT)</t>
        </is>
      </c>
      <c r="C28" s="5" t="inlineStr">
        <is>
          <t>relative %</t>
        </is>
      </c>
      <c r="D28" s="28" t="n">
        <v>0.05</v>
      </c>
      <c r="E28" s="28" t="n">
        <v>0.15</v>
      </c>
      <c r="F28" s="28" t="n">
        <v>0.3</v>
      </c>
      <c r="G28" s="29">
        <f>CHOOSE(Scenario,D28,E28,F28)</f>
        <v/>
      </c>
      <c r="H28" s="5" t="inlineStr">
        <is>
          <t>Researched</t>
        </is>
      </c>
      <c r="I28" s="5" t="inlineStr">
        <is>
          <t>M</t>
        </is>
      </c>
      <c r="J28" s="5" t="inlineStr">
        <is>
          <t>R4: mean 15.8% / median 12.5% over 8 RCTs - OU outreach RCT 2020 -19%/-35%; Room to Read India -30%; Bergman parent texts; MAAPS/Samata/Oreopoulos nulls (research/R4_R5)</t>
        </is>
      </c>
      <c r="K28" s="5" t="inlineStr">
        <is>
          <t>Borrowed from other settings - not our measured effect</t>
        </is>
      </c>
      <c r="L28" s="5">
        <f>IF(OR(G28&lt;0,G28&gt;1),1,0)</f>
        <v/>
      </c>
      <c r="M28" s="5">
        <f>IF(AND(G28&gt;=MIN(D28,F28),G28&lt;=MAX(D28,F28)),0,1)</f>
        <v/>
      </c>
    </row>
    <row r="29">
      <c r="A29" s="5" t="inlineStr">
        <is>
          <t>AdmissionUplift</t>
        </is>
      </c>
      <c r="B29" s="7" t="inlineStr">
        <is>
          <t>Admissions uplift next session from results/parent trust</t>
        </is>
      </c>
      <c r="C29" s="5" t="inlineStr">
        <is>
          <t>% of students</t>
        </is>
      </c>
      <c r="D29" s="28" t="n">
        <v>0</v>
      </c>
      <c r="E29" s="28" t="n">
        <v>0.01</v>
      </c>
      <c r="F29" s="28" t="n">
        <v>0.03</v>
      </c>
      <c r="G29" s="29">
        <f>CHOOSE(Scenario,D29,E29,F29)</f>
        <v/>
      </c>
      <c r="H29" s="5" t="inlineStr">
        <is>
          <t>Assumption</t>
        </is>
      </c>
      <c r="I29" s="5" t="inlineStr">
        <is>
          <t>L</t>
        </is>
      </c>
      <c r="J29" s="5" t="inlineStr">
        <is>
          <t>No evidence - Bear = 0</t>
        </is>
      </c>
      <c r="K29" s="5" t="inlineStr"/>
      <c r="L29" s="5">
        <f>IF(OR(G29&lt;0,G29&gt;1),1,0)</f>
        <v/>
      </c>
      <c r="M29" s="5">
        <f>IF(AND(G29&gt;=MIN(D29,F29),G29&lt;=MAX(D29,F29)),0,1)</f>
        <v/>
      </c>
    </row>
    <row r="30">
      <c r="A30" s="5" t="inlineStr">
        <is>
          <t>MarginExtraAdmission</t>
        </is>
      </c>
      <c r="B30" s="7" t="inlineStr">
        <is>
          <t>Institute margin on one extra admission</t>
        </is>
      </c>
      <c r="C30" s="5" t="inlineStr">
        <is>
          <t>%</t>
        </is>
      </c>
      <c r="D30" s="28" t="n">
        <v>0.4</v>
      </c>
      <c r="E30" s="28" t="n">
        <v>0.6</v>
      </c>
      <c r="F30" s="28" t="n">
        <v>0.8</v>
      </c>
      <c r="G30" s="29">
        <f>CHOOSE(Scenario,D30,E30,F30)</f>
        <v/>
      </c>
      <c r="H30" s="5" t="inlineStr">
        <is>
          <t>Assumption</t>
        </is>
      </c>
      <c r="I30" s="5" t="inlineStr">
        <is>
          <t>L</t>
        </is>
      </c>
      <c r="J30" s="5" t="inlineStr">
        <is>
          <t>Marginal seat in an existing batch</t>
        </is>
      </c>
      <c r="K30" s="5" t="inlineStr"/>
      <c r="L30" s="5">
        <f>IF(OR(G30&lt;0,G30&gt;1),1,0)</f>
        <v/>
      </c>
      <c r="M30" s="5">
        <f>IF(AND(G30&gt;=MIN(D30,F30),G30&lt;=MAX(D30,F30)),0,1)</f>
        <v/>
      </c>
    </row>
    <row r="31">
      <c r="A31" s="5" t="inlineStr">
        <is>
          <t>StaffHoursSaved</t>
        </is>
      </c>
      <c r="B31" s="7" t="inlineStr">
        <is>
          <t>Staff hours saved per month</t>
        </is>
      </c>
      <c r="C31" s="5" t="inlineStr">
        <is>
          <t>hours/month</t>
        </is>
      </c>
      <c r="D31" s="22" t="n">
        <v>10</v>
      </c>
      <c r="E31" s="22" t="n">
        <v>25</v>
      </c>
      <c r="F31" s="22" t="n">
        <v>50</v>
      </c>
      <c r="G31" s="23">
        <f>CHOOSE(Scenario,D31,E31,F31)</f>
        <v/>
      </c>
      <c r="H31" s="5" t="inlineStr">
        <is>
          <t>Guide</t>
        </is>
      </c>
      <c r="I31" s="5" t="inlineStr">
        <is>
          <t>L</t>
        </is>
      </c>
      <c r="J31" s="5" t="inlineStr">
        <is>
          <t>Case brief value lever; primary research needed</t>
        </is>
      </c>
      <c r="K31" s="5" t="inlineStr"/>
      <c r="L31" s="5" t="n">
        <v>0</v>
      </c>
      <c r="M31" s="5">
        <f>IF(AND(G31&gt;=MIN(D31,F31),G31&lt;=MAX(D31,F31)),0,1)</f>
        <v/>
      </c>
    </row>
    <row r="32">
      <c r="A32" s="5" t="inlineStr">
        <is>
          <t>StaffHourCost</t>
        </is>
      </c>
      <c r="B32" s="7" t="inlineStr">
        <is>
          <t>Cost of one admin staff hour</t>
        </is>
      </c>
      <c r="C32" s="5" t="inlineStr">
        <is>
          <t>Rs/hour</t>
        </is>
      </c>
      <c r="D32" s="24" t="n">
        <v>75</v>
      </c>
      <c r="E32" s="24" t="n">
        <v>100</v>
      </c>
      <c r="F32" s="24" t="n">
        <v>150</v>
      </c>
      <c r="G32" s="25">
        <f>CHOOSE(Scenario,D32,E32,F32)</f>
        <v/>
      </c>
      <c r="H32" s="5" t="inlineStr">
        <is>
          <t>Researched</t>
        </is>
      </c>
      <c r="I32" s="5" t="inlineStr">
        <is>
          <t>M</t>
        </is>
      </c>
      <c r="J32" s="5" t="inlineStr">
        <is>
          <t>R5: Tier-2 executive pay Rs18-25k/month (Payscale/Indeed Patna) / ~200 h</t>
        </is>
      </c>
      <c r="K32" s="5" t="inlineStr"/>
      <c r="L32" s="5" t="n">
        <v>0</v>
      </c>
      <c r="M32" s="5">
        <f>IF(AND(G32&gt;=MIN(D32,F32),G32&lt;=MAX(D32,F32)),0,1)</f>
        <v/>
      </c>
    </row>
    <row r="33">
      <c r="A33" s="5" t="inlineStr">
        <is>
          <t>InterventionMinutes</t>
        </is>
      </c>
      <c r="B33" s="7" t="inlineStr">
        <is>
          <t>Mentor minutes per intervention</t>
        </is>
      </c>
      <c r="C33" s="5" t="inlineStr">
        <is>
          <t>minutes</t>
        </is>
      </c>
      <c r="D33" s="22" t="n">
        <v>45</v>
      </c>
      <c r="E33" s="22" t="n">
        <v>30</v>
      </c>
      <c r="F33" s="22" t="n">
        <v>20</v>
      </c>
      <c r="G33" s="23">
        <f>CHOOSE(Scenario,D33,E33,F33)</f>
        <v/>
      </c>
      <c r="H33" s="5" t="inlineStr">
        <is>
          <t>Assumption</t>
        </is>
      </c>
      <c r="I33" s="5" t="inlineStr">
        <is>
          <t>L</t>
        </is>
      </c>
      <c r="J33" s="5" t="inlineStr">
        <is>
          <t>Call + meeting with parent</t>
        </is>
      </c>
      <c r="K33" s="5" t="inlineStr"/>
      <c r="L33" s="5" t="n">
        <v>0</v>
      </c>
      <c r="M33" s="5">
        <f>IF(AND(G33&gt;=MIN(D33,F33),G33&lt;=MAX(D33,F33)),0,1)</f>
        <v/>
      </c>
    </row>
    <row r="34">
      <c r="A34" s="5" t="inlineStr">
        <is>
          <t>MentorHourCost</t>
        </is>
      </c>
      <c r="B34" s="7" t="inlineStr">
        <is>
          <t>Cost of one mentor hour</t>
        </is>
      </c>
      <c r="C34" s="5" t="inlineStr">
        <is>
          <t>Rs/hour</t>
        </is>
      </c>
      <c r="D34" s="24" t="n">
        <v>250</v>
      </c>
      <c r="E34" s="24" t="n">
        <v>200</v>
      </c>
      <c r="F34" s="24" t="n">
        <v>150</v>
      </c>
      <c r="G34" s="25">
        <f>CHOOSE(Scenario,D34,E34,F34)</f>
        <v/>
      </c>
      <c r="H34" s="5" t="inlineStr">
        <is>
          <t>Assumption</t>
        </is>
      </c>
      <c r="I34" s="5" t="inlineStr">
        <is>
          <t>M</t>
        </is>
      </c>
      <c r="J34" s="5" t="inlineStr">
        <is>
          <t>Teacher pay ~Rs30-50k/month / ~200 h</t>
        </is>
      </c>
      <c r="K34" s="5" t="inlineStr"/>
      <c r="L34" s="5" t="n">
        <v>0</v>
      </c>
      <c r="M34" s="5">
        <f>IF(AND(G34&gt;=MIN(D34,F34),G34&lt;=MAX(D34,F34)),0,1)</f>
        <v/>
      </c>
    </row>
    <row r="35">
      <c r="A35" s="5" t="inlineStr">
        <is>
          <t>GST</t>
        </is>
      </c>
      <c r="B35" s="7" t="inlineStr">
        <is>
          <t>GST on SaaS</t>
        </is>
      </c>
      <c r="C35" s="5" t="inlineStr">
        <is>
          <t>%</t>
        </is>
      </c>
      <c r="D35" s="28" t="n">
        <v>0.18</v>
      </c>
      <c r="E35" s="28" t="n">
        <v>0.18</v>
      </c>
      <c r="F35" s="28" t="n">
        <v>0.18</v>
      </c>
      <c r="G35" s="29">
        <f>CHOOSE(Scenario,D35,E35,F35)</f>
        <v/>
      </c>
      <c r="H35" s="5" t="inlineStr">
        <is>
          <t>Researched</t>
        </is>
      </c>
      <c r="I35" s="5" t="inlineStr">
        <is>
          <t>M</t>
        </is>
      </c>
      <c r="J35" s="5" t="inlineStr">
        <is>
          <t>R6: 18% (heading 9983 residual entry; Notif. 11/2017-CTR as amended by 15/2025-CTR)</t>
        </is>
      </c>
      <c r="K35" s="5" t="inlineStr">
        <is>
          <t>SAC code 9983 vs 9984 unconfirmed - ask a CA</t>
        </is>
      </c>
      <c r="L35" s="5">
        <f>IF(OR(G35&lt;0,G35&gt;1),1,0)</f>
        <v/>
      </c>
      <c r="M35" s="5">
        <f>IF(AND(G35&gt;=MIN(D35,F35),G35&lt;=MAX(D35,F35)),0,1)</f>
        <v/>
      </c>
    </row>
    <row r="36">
      <c r="A36" s="5" t="inlineStr">
        <is>
          <t>ITCShare</t>
        </is>
      </c>
      <c r="B36" s="7" t="inlineStr">
        <is>
          <t>Share of institutes that reclaim our GST as input credit</t>
        </is>
      </c>
      <c r="C36" s="5" t="inlineStr">
        <is>
          <t>%</t>
        </is>
      </c>
      <c r="D36" s="28" t="n">
        <v>0.3</v>
      </c>
      <c r="E36" s="28" t="n">
        <v>0.6</v>
      </c>
      <c r="F36" s="28" t="n">
        <v>0.9</v>
      </c>
      <c r="G36" s="29">
        <f>CHOOSE(Scenario,D36,E36,F36)</f>
        <v/>
      </c>
      <c r="H36" s="5" t="inlineStr">
        <is>
          <t>Assumption</t>
        </is>
      </c>
      <c r="I36" s="5" t="inlineStr">
        <is>
          <t>L</t>
        </is>
      </c>
      <c r="J36" s="5" t="inlineStr">
        <is>
          <t>R6: coaching is taxable at 18%; registration mandatory above Rs20L turnover; CGST s.16(1) gives ITC to registered persons. A 180-student institute turns over ~Rs1 Cr, so legally registered - but cash/informal practice in Tier-3</t>
        </is>
      </c>
      <c r="K36" s="5" t="inlineStr">
        <is>
          <t>Was 'all unregistered' in the naive view</t>
        </is>
      </c>
      <c r="L36" s="5">
        <f>IF(OR(G36&lt;0,G36&gt;1),1,0)</f>
        <v/>
      </c>
      <c r="M36" s="5">
        <f>IF(AND(G36&gt;=MIN(D36,F36),G36&lt;=MAX(D36,F36)),0,1)</f>
        <v/>
      </c>
    </row>
    <row r="37">
      <c r="A37" s="20" t="inlineStr">
        <is>
          <t>Pricing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>
      <c r="A38" s="5" t="inlineStr">
        <is>
          <t>ListPrice</t>
        </is>
      </c>
      <c r="B38" s="7" t="inlineStr">
        <is>
          <t>List price per active student per month</t>
        </is>
      </c>
      <c r="C38" s="5" t="inlineStr">
        <is>
          <t>Rs/student/month</t>
        </is>
      </c>
      <c r="D38" s="24" t="n">
        <v>20</v>
      </c>
      <c r="E38" s="24" t="n">
        <v>30</v>
      </c>
      <c r="F38" s="24" t="n">
        <v>40</v>
      </c>
      <c r="G38" s="25">
        <f>CHOOSE(Scenario,D38,E38,F38)</f>
        <v/>
      </c>
      <c r="H38" s="5" t="inlineStr">
        <is>
          <t>Assumption</t>
        </is>
      </c>
      <c r="I38" s="5" t="inlineStr">
        <is>
          <t>L</t>
        </is>
      </c>
      <c r="J38" s="5" t="inlineStr">
        <is>
          <t>R1: ERP/LMS anchors Rs4-21/student/month at 400 students (Classplus/Fedena/Graphy); no competitor bundles OMR + topic analytics + Hindi WhatsApp</t>
        </is>
      </c>
      <c r="K38" s="5" t="inlineStr">
        <is>
          <t>Decision lever - test in interviews (Van Westendorp)</t>
        </is>
      </c>
      <c r="L38" s="5" t="n">
        <v>0</v>
      </c>
      <c r="M38" s="5">
        <f>IF(AND(G38&gt;=MIN(D38,F38),G38&lt;=MAX(D38,F38)),0,1)</f>
        <v/>
      </c>
    </row>
    <row r="39">
      <c r="A39" s="5" t="inlineStr">
        <is>
          <t>CompetitorAnchor</t>
        </is>
      </c>
      <c r="B39" s="7" t="inlineStr">
        <is>
          <t>What institutes already pay for an ERP/LMS</t>
        </is>
      </c>
      <c r="C39" s="5" t="inlineStr">
        <is>
          <t>Rs/student/month</t>
        </is>
      </c>
      <c r="D39" s="30" t="n">
        <v>4.17</v>
      </c>
      <c r="E39" s="30" t="n">
        <v>10.42</v>
      </c>
      <c r="F39" s="30" t="n">
        <v>20.83</v>
      </c>
      <c r="G39" s="31">
        <f>CHOOSE(Scenario,D39,E39,F39)</f>
        <v/>
      </c>
      <c r="H39" s="5" t="inlineStr">
        <is>
          <t>Researched</t>
        </is>
      </c>
      <c r="I39" s="5" t="inlineStr">
        <is>
          <t>M</t>
        </is>
      </c>
      <c r="J39" s="5" t="inlineStr">
        <is>
          <t>R1: Classplus Starter Rs19999/yr (Capterra); Fedena Standard / Graphy Grow Rs50k/yr; Fedena Ultimate Rs1L/yr - all at 400 students</t>
        </is>
      </c>
      <c r="K39" s="5" t="inlineStr">
        <is>
          <t>Reference only - not used in revenue</t>
        </is>
      </c>
      <c r="L39" s="5" t="n">
        <v>0</v>
      </c>
      <c r="M39" s="5">
        <f>IF(AND(G39&gt;=MIN(D39,F39),G39&lt;=MAX(D39,F39)),0,1)</f>
        <v/>
      </c>
    </row>
    <row r="40">
      <c r="A40" s="5" t="inlineStr">
        <is>
          <t>CompetitorAnchorHigh</t>
        </is>
      </c>
      <c r="B40" s="7" t="inlineStr">
        <is>
          <t>Highest priced ERP/LMS anchor found</t>
        </is>
      </c>
      <c r="C40" s="5" t="inlineStr">
        <is>
          <t>Rs/student/month</t>
        </is>
      </c>
      <c r="D40" s="30" t="n">
        <v>20.83</v>
      </c>
      <c r="E40" s="30" t="n">
        <v>20.83</v>
      </c>
      <c r="F40" s="30" t="n">
        <v>20.83</v>
      </c>
      <c r="G40" s="31">
        <f>CHOOSE(Scenario,D40,E40,F40)</f>
        <v/>
      </c>
      <c r="H40" s="5" t="inlineStr">
        <is>
          <t>Researched</t>
        </is>
      </c>
      <c r="I40" s="5" t="inlineStr">
        <is>
          <t>M</t>
        </is>
      </c>
      <c r="J40" s="5" t="inlineStr">
        <is>
          <t>R1: Fedena Ultimate / Graphy Rise Rs1L/yr at 400 students</t>
        </is>
      </c>
      <c r="K40" s="5" t="inlineStr">
        <is>
          <t>Used in a warning check</t>
        </is>
      </c>
      <c r="L40" s="5" t="n">
        <v>0</v>
      </c>
      <c r="M40" s="5">
        <f>IF(AND(G40&gt;=MIN(D40,F40),G40&lt;=MAX(D40,F40)),0,1)</f>
        <v/>
      </c>
    </row>
    <row r="41">
      <c r="A41" s="5" t="inlineStr">
        <is>
          <t>MinFee</t>
        </is>
      </c>
      <c r="B41" s="7" t="inlineStr">
        <is>
          <t>Minimum monthly fee per institute</t>
        </is>
      </c>
      <c r="C41" s="5" t="inlineStr">
        <is>
          <t>Rs/month</t>
        </is>
      </c>
      <c r="D41" s="24" t="n">
        <v>2000</v>
      </c>
      <c r="E41" s="24" t="n">
        <v>3000</v>
      </c>
      <c r="F41" s="24" t="n">
        <v>4000</v>
      </c>
      <c r="G41" s="25">
        <f>CHOOSE(Scenario,D41,E41,F41)</f>
        <v/>
      </c>
      <c r="H41" s="5" t="inlineStr">
        <is>
          <t>Assumption</t>
        </is>
      </c>
      <c r="I41" s="5" t="inlineStr">
        <is>
          <t>L</t>
        </is>
      </c>
      <c r="J41" s="5" t="inlineStr">
        <is>
          <t>FINANCE_PLAN s.3.2</t>
        </is>
      </c>
      <c r="K41" s="5" t="inlineStr"/>
      <c r="L41" s="5" t="n">
        <v>0</v>
      </c>
      <c r="M41" s="5">
        <f>IF(AND(G41&gt;=MIN(D41,F41),G41&lt;=MAX(D41,F41)),0,1)</f>
        <v/>
      </c>
    </row>
    <row r="42">
      <c r="A42" s="5" t="inlineStr">
        <is>
          <t>NegotiationDisc</t>
        </is>
      </c>
      <c r="B42" s="7" t="inlineStr">
        <is>
          <t>Average negotiated discount off list</t>
        </is>
      </c>
      <c r="C42" s="5" t="inlineStr">
        <is>
          <t>%</t>
        </is>
      </c>
      <c r="D42" s="28" t="n">
        <v>0.2</v>
      </c>
      <c r="E42" s="28" t="n">
        <v>0.1</v>
      </c>
      <c r="F42" s="28" t="n">
        <v>0.05</v>
      </c>
      <c r="G42" s="29">
        <f>CHOOSE(Scenario,D42,E42,F42)</f>
        <v/>
      </c>
      <c r="H42" s="5" t="inlineStr">
        <is>
          <t>Assumption</t>
        </is>
      </c>
      <c r="I42" s="5" t="inlineStr">
        <is>
          <t>L</t>
        </is>
      </c>
      <c r="J42" s="5" t="inlineStr">
        <is>
          <t>Primary research needed</t>
        </is>
      </c>
      <c r="K42" s="5" t="inlineStr"/>
      <c r="L42" s="5">
        <f>IF(OR(G42&lt;0,G42&gt;1),1,0)</f>
        <v/>
      </c>
      <c r="M42" s="5">
        <f>IF(AND(G42&gt;=MIN(D42,F42),G42&lt;=MAX(D42,F42)),0,1)</f>
        <v/>
      </c>
    </row>
    <row r="43">
      <c r="A43" s="5" t="inlineStr">
        <is>
          <t>PrepayUptake</t>
        </is>
      </c>
      <c r="B43" s="7" t="inlineStr">
        <is>
          <t>Share of institutes choosing annual prepay</t>
        </is>
      </c>
      <c r="C43" s="5" t="inlineStr">
        <is>
          <t>%</t>
        </is>
      </c>
      <c r="D43" s="28" t="n">
        <v>0.2</v>
      </c>
      <c r="E43" s="28" t="n">
        <v>0.4</v>
      </c>
      <c r="F43" s="28" t="n">
        <v>0.6</v>
      </c>
      <c r="G43" s="29">
        <f>CHOOSE(Scenario,D43,E43,F43)</f>
        <v/>
      </c>
      <c r="H43" s="5" t="inlineStr">
        <is>
          <t>Assumption</t>
        </is>
      </c>
      <c r="I43" s="5" t="inlineStr">
        <is>
          <t>L</t>
        </is>
      </c>
      <c r="J43" s="5" t="inlineStr">
        <is>
          <t>Coaching institutes are cash-rich in Apr-Jun (admission season)</t>
        </is>
      </c>
      <c r="K43" s="5" t="inlineStr">
        <is>
          <t>Prepaid institutes cannot churn mid-session</t>
        </is>
      </c>
      <c r="L43" s="5">
        <f>IF(OR(G43&lt;0,G43&gt;1),1,0)</f>
        <v/>
      </c>
      <c r="M43" s="5">
        <f>IF(AND(G43&gt;=MIN(D43,F43),G43&lt;=MAX(D43,F43)),0,1)</f>
        <v/>
      </c>
    </row>
    <row r="44">
      <c r="A44" s="5" t="inlineStr">
        <is>
          <t>PrepayDisc</t>
        </is>
      </c>
      <c r="B44" s="7" t="inlineStr">
        <is>
          <t>Annual prepay discount</t>
        </is>
      </c>
      <c r="C44" s="5" t="inlineStr">
        <is>
          <t>%</t>
        </is>
      </c>
      <c r="D44" s="28" t="n">
        <v>0.15</v>
      </c>
      <c r="E44" s="28" t="n">
        <v>0.15</v>
      </c>
      <c r="F44" s="28" t="n">
        <v>0.15</v>
      </c>
      <c r="G44" s="29">
        <f>CHOOSE(Scenario,D44,E44,F44)</f>
        <v/>
      </c>
      <c r="H44" s="5" t="inlineStr">
        <is>
          <t>Assumption</t>
        </is>
      </c>
      <c r="I44" s="5" t="inlineStr">
        <is>
          <t>M</t>
        </is>
      </c>
      <c r="J44" s="5" t="inlineStr">
        <is>
          <t>FINANCE_PLAN s.3.2; R2 shows institutes give 4-6% for upfront fees</t>
        </is>
      </c>
      <c r="K44" s="5" t="inlineStr"/>
      <c r="L44" s="5">
        <f>IF(OR(G44&lt;0,G44&gt;1),1,0)</f>
        <v/>
      </c>
      <c r="M44" s="5">
        <f>IF(AND(G44&gt;=MIN(D44,F44),G44&lt;=MAX(D44,F44)),0,1)</f>
        <v/>
      </c>
    </row>
    <row r="45">
      <c r="A45" s="5" t="inlineStr">
        <is>
          <t>BadDebt</t>
        </is>
      </c>
      <c r="B45" s="7" t="inlineStr">
        <is>
          <t>Bad debt / uncollected billing</t>
        </is>
      </c>
      <c r="C45" s="5" t="inlineStr">
        <is>
          <t>%</t>
        </is>
      </c>
      <c r="D45" s="28" t="n">
        <v>0.08</v>
      </c>
      <c r="E45" s="28" t="n">
        <v>0.03</v>
      </c>
      <c r="F45" s="28" t="n">
        <v>0.01</v>
      </c>
      <c r="G45" s="29">
        <f>CHOOSE(Scenario,D45,E45,F45)</f>
        <v/>
      </c>
      <c r="H45" s="5" t="inlineStr">
        <is>
          <t>Assumption</t>
        </is>
      </c>
      <c r="I45" s="5" t="inlineStr">
        <is>
          <t>M</t>
        </is>
      </c>
      <c r="J45" s="5" t="inlineStr">
        <is>
          <t>FINANCE_PLAN s.3.2</t>
        </is>
      </c>
      <c r="K45" s="5" t="inlineStr"/>
      <c r="L45" s="5">
        <f>IF(OR(G45&lt;0,G45&gt;1),1,0)</f>
        <v/>
      </c>
      <c r="M45" s="5">
        <f>IF(AND(G45&gt;=MIN(D45,F45),G45&lt;=MAX(D45,F45)),0,1)</f>
        <v/>
      </c>
    </row>
    <row r="46">
      <c r="A46" s="5" t="inlineStr">
        <is>
          <t>GatewayFee</t>
        </is>
      </c>
      <c r="B46" s="7" t="inlineStr">
        <is>
          <t>Payment collection cost (blended)</t>
        </is>
      </c>
      <c r="C46" s="5" t="inlineStr">
        <is>
          <t>% of revenue</t>
        </is>
      </c>
      <c r="D46" s="28" t="n">
        <v>0.0236</v>
      </c>
      <c r="E46" s="28" t="n">
        <v>0.012</v>
      </c>
      <c r="F46" s="28" t="n">
        <v>0.004</v>
      </c>
      <c r="G46" s="29">
        <f>CHOOSE(Scenario,D46,E46,F46)</f>
        <v/>
      </c>
      <c r="H46" s="5" t="inlineStr">
        <is>
          <t>Researched</t>
        </is>
      </c>
      <c r="I46" s="5" t="inlineStr">
        <is>
          <t>M</t>
        </is>
      </c>
      <c r="J46" s="5" t="inlineStr">
        <is>
          <t>R6: Razorpay 2% + 18% GST = 2.36%; UPI MDR 0.4% on P2M &gt;Rs2000 from 15-Oct-2026; NEFT ~0</t>
        </is>
      </c>
      <c r="K46" s="5" t="inlineStr">
        <is>
          <t>Base assumes half paid by bank transfer</t>
        </is>
      </c>
      <c r="L46" s="5">
        <f>IF(OR(G46&lt;0,G46&gt;1),1,0)</f>
        <v/>
      </c>
      <c r="M46" s="5">
        <f>IF(AND(G46&gt;=MIN(D46,F46),G46&lt;=MAX(D46,F46)),0,1)</f>
        <v/>
      </c>
    </row>
    <row r="47">
      <c r="A47" s="20" t="inlineStr">
        <is>
          <t>COGS</t>
        </is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>
      <c r="A48" s="5" t="inlineStr">
        <is>
          <t>ReportsPerStudentMonth</t>
        </is>
      </c>
      <c r="B48" s="7" t="inlineStr">
        <is>
          <t>AI parent reports per student per month</t>
        </is>
      </c>
      <c r="C48" s="5" t="inlineStr">
        <is>
          <t>reports</t>
        </is>
      </c>
      <c r="D48" s="22" t="n">
        <v>6</v>
      </c>
      <c r="E48" s="22" t="n">
        <v>4</v>
      </c>
      <c r="F48" s="22" t="n">
        <v>4</v>
      </c>
      <c r="G48" s="23">
        <f>CHOOSE(Scenario,D48,E48,F48)</f>
        <v/>
      </c>
      <c r="H48" s="5" t="inlineStr">
        <is>
          <t>Assumption</t>
        </is>
      </c>
      <c r="I48" s="5" t="inlineStr">
        <is>
          <t>M</t>
        </is>
      </c>
      <c r="J48" s="5" t="inlineStr">
        <is>
          <t>TECH_PLAN s.11 weekly report; Bear adds alerts</t>
        </is>
      </c>
      <c r="K48" s="5" t="inlineStr"/>
      <c r="L48" s="5" t="n">
        <v>0</v>
      </c>
      <c r="M48" s="5">
        <f>IF(AND(G48&gt;=MIN(D48,F48),G48&lt;=MAX(D48,F48)),0,1)</f>
        <v/>
      </c>
    </row>
    <row r="49">
      <c r="A49" s="5" t="inlineStr">
        <is>
          <t>TokensInPerReport</t>
        </is>
      </c>
      <c r="B49" s="7" t="inlineStr">
        <is>
          <t>LLM input tokens per report</t>
        </is>
      </c>
      <c r="C49" s="5" t="inlineStr">
        <is>
          <t>tokens</t>
        </is>
      </c>
      <c r="D49" s="22" t="n">
        <v>2500</v>
      </c>
      <c r="E49" s="22" t="n">
        <v>1500</v>
      </c>
      <c r="F49" s="22" t="n">
        <v>1000</v>
      </c>
      <c r="G49" s="23">
        <f>CHOOSE(Scenario,D49,E49,F49)</f>
        <v/>
      </c>
      <c r="H49" s="5" t="inlineStr">
        <is>
          <t>Assumption</t>
        </is>
      </c>
      <c r="I49" s="5" t="inlineStr">
        <is>
          <t>M</t>
        </is>
      </c>
      <c r="J49" s="5" t="inlineStr">
        <is>
          <t>TECH_PLAN GenAI design (numbers_json + template)</t>
        </is>
      </c>
      <c r="K49" s="5" t="inlineStr"/>
      <c r="L49" s="5" t="n">
        <v>0</v>
      </c>
      <c r="M49" s="5">
        <f>IF(AND(G49&gt;=MIN(D49,F49),G49&lt;=MAX(D49,F49)),0,1)</f>
        <v/>
      </c>
    </row>
    <row r="50">
      <c r="A50" s="5" t="inlineStr">
        <is>
          <t>TokensOutPerReport</t>
        </is>
      </c>
      <c r="B50" s="7" t="inlineStr">
        <is>
          <t>LLM output tokens per report</t>
        </is>
      </c>
      <c r="C50" s="5" t="inlineStr">
        <is>
          <t>tokens</t>
        </is>
      </c>
      <c r="D50" s="22" t="n">
        <v>1200</v>
      </c>
      <c r="E50" s="22" t="n">
        <v>1000</v>
      </c>
      <c r="F50" s="22" t="n">
        <v>600</v>
      </c>
      <c r="G50" s="23">
        <f>CHOOSE(Scenario,D50,E50,F50)</f>
        <v/>
      </c>
      <c r="H50" s="5" t="inlineStr">
        <is>
          <t>Assumption</t>
        </is>
      </c>
      <c r="I50" s="5" t="inlineStr">
        <is>
          <t>M</t>
        </is>
      </c>
      <c r="J50" s="5" t="inlineStr">
        <is>
          <t>Bilingual report ~400-600 words</t>
        </is>
      </c>
      <c r="K50" s="5" t="inlineStr"/>
      <c r="L50" s="5" t="n">
        <v>0</v>
      </c>
      <c r="M50" s="5">
        <f>IF(AND(G50&gt;=MIN(D50,F50),G50&lt;=MAX(D50,F50)),0,1)</f>
        <v/>
      </c>
    </row>
    <row r="51">
      <c r="A51" s="5" t="inlineStr">
        <is>
          <t>LLMPriceIn</t>
        </is>
      </c>
      <c r="B51" s="7" t="inlineStr">
        <is>
          <t>LLM input price (hosted)</t>
        </is>
      </c>
      <c r="C51" s="5" t="inlineStr">
        <is>
          <t>Rs per 1M tokens</t>
        </is>
      </c>
      <c r="D51" s="30" t="n">
        <v>142.58</v>
      </c>
      <c r="E51" s="30" t="n">
        <v>23.76</v>
      </c>
      <c r="F51" s="30" t="n">
        <v>9.51</v>
      </c>
      <c r="G51" s="31">
        <f>CHOOSE(Scenario,D51,E51,F51)</f>
        <v/>
      </c>
      <c r="H51" s="5" t="inlineStr">
        <is>
          <t>Researched</t>
        </is>
      </c>
      <c r="I51" s="5" t="inlineStr">
        <is>
          <t>H</t>
        </is>
      </c>
      <c r="J51" s="5" t="inlineStr">
        <is>
          <t>R6: Gemini 3.8 Flash from 1-Jan-2027 / Gemini 3.1 Flash-Lite / Claude Haiku 5.5 at Rs95.05/USD (official pricing pages 20-Oct-2026)</t>
        </is>
      </c>
      <c r="K51" s="5" t="inlineStr">
        <is>
          <t>Local Ollama = ~0 (prototype)</t>
        </is>
      </c>
      <c r="L51" s="5" t="n">
        <v>0</v>
      </c>
      <c r="M51" s="5">
        <f>IF(AND(G51&gt;=MIN(D51,F51),G51&lt;=MAX(D51,F51)),0,1)</f>
        <v/>
      </c>
    </row>
    <row r="52">
      <c r="A52" s="5" t="inlineStr">
        <is>
          <t>LLMPriceOut</t>
        </is>
      </c>
      <c r="B52" s="7" t="inlineStr">
        <is>
          <t>LLM output price (hosted)</t>
        </is>
      </c>
      <c r="C52" s="5" t="inlineStr">
        <is>
          <t>Rs per 1M tokens</t>
        </is>
      </c>
      <c r="D52" s="30" t="n">
        <v>712.88</v>
      </c>
      <c r="E52" s="30" t="n">
        <v>142.58</v>
      </c>
      <c r="F52" s="30" t="n">
        <v>47.53</v>
      </c>
      <c r="G52" s="31">
        <f>CHOOSE(Scenario,D52,E52,F52)</f>
        <v/>
      </c>
      <c r="H52" s="5" t="inlineStr">
        <is>
          <t>Researched</t>
        </is>
      </c>
      <c r="I52" s="5" t="inlineStr">
        <is>
          <t>H</t>
        </is>
      </c>
      <c r="J52" s="5" t="inlineStr">
        <is>
          <t>R6: same models as input price</t>
        </is>
      </c>
      <c r="K52" s="5" t="inlineStr"/>
      <c r="L52" s="5" t="n">
        <v>0</v>
      </c>
      <c r="M52" s="5">
        <f>IF(AND(G52&gt;=MIN(D52,F52),G52&lt;=MAX(D52,F52)),0,1)</f>
        <v/>
      </c>
    </row>
    <row r="53">
      <c r="A53" s="5" t="inlineStr">
        <is>
          <t>WAMsgsPerStudentMonth</t>
        </is>
      </c>
      <c r="B53" s="7" t="inlineStr">
        <is>
          <t>WhatsApp utility messages per student per month</t>
        </is>
      </c>
      <c r="C53" s="5" t="inlineStr">
        <is>
          <t>messages</t>
        </is>
      </c>
      <c r="D53" s="22" t="n">
        <v>10</v>
      </c>
      <c r="E53" s="22" t="n">
        <v>6</v>
      </c>
      <c r="F53" s="22" t="n">
        <v>4</v>
      </c>
      <c r="G53" s="23">
        <f>CHOOSE(Scenario,D53,E53,F53)</f>
        <v/>
      </c>
      <c r="H53" s="5" t="inlineStr">
        <is>
          <t>Assumption</t>
        </is>
      </c>
      <c r="I53" s="5" t="inlineStr">
        <is>
          <t>M</t>
        </is>
      </c>
      <c r="J53" s="5" t="inlineStr">
        <is>
          <t>Weekly report + alerts + fee reminders</t>
        </is>
      </c>
      <c r="K53" s="5" t="inlineStr"/>
      <c r="L53" s="5" t="n">
        <v>0</v>
      </c>
      <c r="M53" s="5">
        <f>IF(AND(G53&gt;=MIN(D53,F53),G53&lt;=MAX(D53,F53)),0,1)</f>
        <v/>
      </c>
    </row>
    <row r="54">
      <c r="A54" s="5" t="inlineStr">
        <is>
          <t>WAPricePerMsg</t>
        </is>
      </c>
      <c r="B54" s="7" t="inlineStr">
        <is>
          <t>WhatsApp utility message price (India)</t>
        </is>
      </c>
      <c r="C54" s="5" t="inlineStr">
        <is>
          <t>Rs/message</t>
        </is>
      </c>
      <c r="D54" s="30" t="n">
        <v>0.145</v>
      </c>
      <c r="E54" s="30" t="n">
        <v>0.1323</v>
      </c>
      <c r="F54" s="30" t="n">
        <v>0.115</v>
      </c>
      <c r="G54" s="31">
        <f>CHOOSE(Scenario,D54,E54,F54)</f>
        <v/>
      </c>
      <c r="H54" s="5" t="inlineStr">
        <is>
          <t>Researched</t>
        </is>
      </c>
      <c r="I54" s="5" t="inlineStr">
        <is>
          <t>H</t>
        </is>
      </c>
      <c r="J54" s="5" t="inlineStr">
        <is>
          <t>R6: Meta list Rs0.115 (eff. 1-Oct-2026); Gallabox Rs0.1323; AiSensy Rs0.145. Utility replies in window charged again from 1-Oct-2026</t>
        </is>
      </c>
      <c r="K54" s="5" t="inlineStr"/>
      <c r="L54" s="5" t="n">
        <v>0</v>
      </c>
      <c r="M54" s="5">
        <f>IF(AND(G54&gt;=MIN(D54,F54),G54&lt;=MAX(D54,F54)),0,1)</f>
        <v/>
      </c>
    </row>
    <row r="55">
      <c r="A55" s="5" t="inlineStr">
        <is>
          <t>ComputePerStudentMonth</t>
        </is>
      </c>
      <c r="B55" s="7" t="inlineStr">
        <is>
          <t>Compute + storage + backups per student</t>
        </is>
      </c>
      <c r="C55" s="5" t="inlineStr">
        <is>
          <t>Rs/student/month</t>
        </is>
      </c>
      <c r="D55" s="30" t="n">
        <v>1.5</v>
      </c>
      <c r="E55" s="30" t="n">
        <v>0.8</v>
      </c>
      <c r="F55" s="30" t="n">
        <v>0.4</v>
      </c>
      <c r="G55" s="31">
        <f>CHOOSE(Scenario,D55,E55,F55)</f>
        <v/>
      </c>
      <c r="H55" s="5" t="inlineStr">
        <is>
          <t>Assumption</t>
        </is>
      </c>
      <c r="I55" s="5" t="inlineStr">
        <is>
          <t>L</t>
        </is>
      </c>
      <c r="J55" s="5" t="inlineStr">
        <is>
          <t>TECH_PLAN s.16 cost model (NB09 pending); OMR images auto-deleted after 7 days</t>
        </is>
      </c>
      <c r="K55" s="5" t="inlineStr"/>
      <c r="L55" s="5" t="n">
        <v>0</v>
      </c>
      <c r="M55" s="5">
        <f>IF(AND(G55&gt;=MIN(D55,F55),G55&lt;=MAX(D55,F55)),0,1)</f>
        <v/>
      </c>
    </row>
    <row r="56">
      <c r="A56" s="5" t="inlineStr">
        <is>
          <t>ConsentCostPerStudentYear</t>
        </is>
      </c>
      <c r="B56" s="7" t="inlineStr">
        <is>
          <t>Consent OTP + verification per student</t>
        </is>
      </c>
      <c r="C56" s="5" t="inlineStr">
        <is>
          <t>Rs/student/yr</t>
        </is>
      </c>
      <c r="D56" s="30" t="n">
        <v>3</v>
      </c>
      <c r="E56" s="30" t="n">
        <v>1.5</v>
      </c>
      <c r="F56" s="30" t="n">
        <v>0.5</v>
      </c>
      <c r="G56" s="31">
        <f>CHOOSE(Scenario,D56,E56,F56)</f>
        <v/>
      </c>
      <c r="H56" s="5" t="inlineStr">
        <is>
          <t>Assumption</t>
        </is>
      </c>
      <c r="I56" s="5" t="inlineStr">
        <is>
          <t>L</t>
        </is>
      </c>
      <c r="J56" s="5" t="inlineStr">
        <is>
          <t>TECH_PLAN consent design (OTP)</t>
        </is>
      </c>
      <c r="K56" s="5" t="inlineStr"/>
      <c r="L56" s="5" t="n">
        <v>0</v>
      </c>
      <c r="M56" s="5">
        <f>IF(AND(G56&gt;=MIN(D56,F56),G56&lt;=MAX(D56,F56)),0,1)</f>
        <v/>
      </c>
    </row>
    <row r="57">
      <c r="A57" s="5" t="inlineStr">
        <is>
          <t>ServerCostMonth</t>
        </is>
      </c>
      <c r="B57" s="7" t="inlineStr">
        <is>
          <t>App server + managed Postgres + backups per stack</t>
        </is>
      </c>
      <c r="C57" s="5" t="inlineStr">
        <is>
          <t>Rs/month</t>
        </is>
      </c>
      <c r="D57" s="24" t="n">
        <v>9000</v>
      </c>
      <c r="E57" s="24" t="n">
        <v>4000</v>
      </c>
      <c r="F57" s="24" t="n">
        <v>3000</v>
      </c>
      <c r="G57" s="25">
        <f>CHOOSE(Scenario,D57,E57,F57)</f>
        <v/>
      </c>
      <c r="H57" s="5" t="inlineStr">
        <is>
          <t>Researched</t>
        </is>
      </c>
      <c r="I57" s="5" t="inlineStr">
        <is>
          <t>M</t>
        </is>
      </c>
      <c r="J57" s="5" t="inlineStr">
        <is>
          <t>R6: AWS t3.medium Rs3108 + DO PG 2vCPU Rs5789 / Lightsail-DO Rs2281 + DO PG Rs1440 / t4g Rs1554 + Lightsail DB Rs1426</t>
        </is>
      </c>
      <c r="K57" s="5" t="inlineStr">
        <is>
          <t>Base adds ~Rs300 backups</t>
        </is>
      </c>
      <c r="L57" s="5" t="n">
        <v>0</v>
      </c>
      <c r="M57" s="5">
        <f>IF(AND(G57&gt;=MIN(D57,F57),G57&lt;=MAX(D57,F57)),0,1)</f>
        <v/>
      </c>
    </row>
    <row r="58">
      <c r="A58" s="5" t="inlineStr">
        <is>
          <t>BSPFeeMonth</t>
        </is>
      </c>
      <c r="B58" s="7" t="inlineStr">
        <is>
          <t>WhatsApp BSP platform fee per stack</t>
        </is>
      </c>
      <c r="C58" s="5" t="inlineStr">
        <is>
          <t>Rs/month</t>
        </is>
      </c>
      <c r="D58" s="24" t="n">
        <v>3200</v>
      </c>
      <c r="E58" s="24" t="n">
        <v>1500</v>
      </c>
      <c r="F58" s="24" t="n">
        <v>0</v>
      </c>
      <c r="G58" s="25">
        <f>CHOOSE(Scenario,D58,E58,F58)</f>
        <v/>
      </c>
      <c r="H58" s="5" t="inlineStr">
        <is>
          <t>Researched</t>
        </is>
      </c>
      <c r="I58" s="5" t="inlineStr">
        <is>
          <t>M</t>
        </is>
      </c>
      <c r="J58" s="5" t="inlineStr">
        <is>
          <t>R6: AiSensy Pro Rs3200 / Basic Rs1500 / Gupshup self-serve Rs0 + per-msg</t>
        </is>
      </c>
      <c r="K58" s="5" t="inlineStr"/>
      <c r="L58" s="5" t="n">
        <v>0</v>
      </c>
      <c r="M58" s="5">
        <f>IF(AND(G58&gt;=MIN(D58,F58),G58&lt;=MAX(D58,F58)),0,1)</f>
        <v/>
      </c>
    </row>
    <row r="59">
      <c r="A59" s="5" t="inlineStr">
        <is>
          <t>InstPerStack</t>
        </is>
      </c>
      <c r="B59" s="7" t="inlineStr">
        <is>
          <t>Institutes sharing one server stack</t>
        </is>
      </c>
      <c r="C59" s="5" t="inlineStr">
        <is>
          <t>institutes</t>
        </is>
      </c>
      <c r="D59" s="22" t="n">
        <v>10</v>
      </c>
      <c r="E59" s="22" t="n">
        <v>20</v>
      </c>
      <c r="F59" s="22" t="n">
        <v>40</v>
      </c>
      <c r="G59" s="23">
        <f>CHOOSE(Scenario,D59,E59,F59)</f>
        <v/>
      </c>
      <c r="H59" s="5" t="inlineStr">
        <is>
          <t>Assumption</t>
        </is>
      </c>
      <c r="I59" s="5" t="inlineStr">
        <is>
          <t>L</t>
        </is>
      </c>
      <c r="J59" s="5" t="inlineStr">
        <is>
          <t>Depends on load test (NB09)</t>
        </is>
      </c>
      <c r="K59" s="5" t="inlineStr"/>
      <c r="L59" s="5" t="n">
        <v>0</v>
      </c>
      <c r="M59" s="5">
        <f>IF(AND(G59&gt;=MIN(D59,F59),G59&lt;=MAX(D59,F59)),0,1)</f>
        <v/>
      </c>
    </row>
    <row r="60">
      <c r="A60" s="5" t="inlineStr">
        <is>
          <t>CompliancePerInstMonth</t>
        </is>
      </c>
      <c r="B60" s="7" t="inlineStr">
        <is>
          <t>DPDP compliance cost per institute</t>
        </is>
      </c>
      <c r="C60" s="5" t="inlineStr">
        <is>
          <t>Rs/month</t>
        </is>
      </c>
      <c r="D60" s="24" t="n">
        <v>400</v>
      </c>
      <c r="E60" s="24" t="n">
        <v>200</v>
      </c>
      <c r="F60" s="24" t="n">
        <v>100</v>
      </c>
      <c r="G60" s="25">
        <f>CHOOSE(Scenario,D60,E60,F60)</f>
        <v/>
      </c>
      <c r="H60" s="5" t="inlineStr">
        <is>
          <t>Assumption</t>
        </is>
      </c>
      <c r="I60" s="5" t="inlineStr">
        <is>
          <t>L</t>
        </is>
      </c>
      <c r="J60" s="5" t="inlineStr">
        <is>
          <t>Audits / consent management / DPO time</t>
        </is>
      </c>
      <c r="K60" s="5" t="inlineStr"/>
      <c r="L60" s="5" t="n">
        <v>0</v>
      </c>
      <c r="M60" s="5">
        <f>IF(AND(G60&gt;=MIN(D60,F60),G60&lt;=MAX(D60,F60)),0,1)</f>
        <v/>
      </c>
    </row>
    <row r="61">
      <c r="A61" s="20" t="inlineStr">
        <is>
          <t>GTM</t>
        </is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5" t="inlineStr">
        <is>
          <t>CSM_CTC</t>
        </is>
      </c>
      <c r="B62" s="7" t="inlineStr">
        <is>
          <t>Customer-success / onboarding exec monthly CTC</t>
        </is>
      </c>
      <c r="C62" s="5" t="inlineStr">
        <is>
          <t>Rs/month</t>
        </is>
      </c>
      <c r="D62" s="24" t="n">
        <v>45000</v>
      </c>
      <c r="E62" s="24" t="n">
        <v>35000</v>
      </c>
      <c r="F62" s="24" t="n">
        <v>25000</v>
      </c>
      <c r="G62" s="25">
        <f>CHOOSE(Scenario,D62,E62,F62)</f>
        <v/>
      </c>
      <c r="H62" s="5" t="inlineStr">
        <is>
          <t>Researched</t>
        </is>
      </c>
      <c r="I62" s="5" t="inlineStr">
        <is>
          <t>L</t>
        </is>
      </c>
      <c r="J62" s="5" t="inlineStr">
        <is>
          <t>R5: Tier-2 remote CS median Rs33-42k (Frontlines 2026); Payscale Jaipur CSM-manager Rs58k</t>
        </is>
      </c>
      <c r="K62" s="5" t="inlineStr"/>
      <c r="L62" s="5" t="n">
        <v>0</v>
      </c>
      <c r="M62" s="5">
        <f>IF(AND(G62&gt;=MIN(D62,F62),G62&lt;=MAX(D62,F62)),0,1)</f>
        <v/>
      </c>
    </row>
    <row r="63">
      <c r="A63" s="5" t="inlineStr">
        <is>
          <t>InstPerCSM</t>
        </is>
      </c>
      <c r="B63" s="7" t="inlineStr">
        <is>
          <t>Institutes per CSM</t>
        </is>
      </c>
      <c r="C63" s="5" t="inlineStr">
        <is>
          <t>institutes</t>
        </is>
      </c>
      <c r="D63" s="22" t="n">
        <v>40</v>
      </c>
      <c r="E63" s="22" t="n">
        <v>80</v>
      </c>
      <c r="F63" s="22" t="n">
        <v>120</v>
      </c>
      <c r="G63" s="23">
        <f>CHOOSE(Scenario,D63,E63,F63)</f>
        <v/>
      </c>
      <c r="H63" s="5" t="inlineStr">
        <is>
          <t>Researched</t>
        </is>
      </c>
      <c r="I63" s="5" t="inlineStr">
        <is>
          <t>L</t>
        </is>
      </c>
      <c r="J63" s="5" t="inlineStr">
        <is>
          <t>R5: Gainsight SMB 100-250 accounts per CSM - cut for high-touch Tier-2 onboarding</t>
        </is>
      </c>
      <c r="K63" s="5" t="inlineStr"/>
      <c r="L63" s="5" t="n">
        <v>0</v>
      </c>
      <c r="M63" s="5">
        <f>IF(AND(G63&gt;=MIN(D63,F63),G63&lt;=MAX(D63,F63)),0,1)</f>
        <v/>
      </c>
    </row>
    <row r="64">
      <c r="A64" s="5" t="inlineStr">
        <is>
          <t>RepCTC</t>
        </is>
      </c>
      <c r="B64" s="7" t="inlineStr">
        <is>
          <t>Field sales rep monthly CTC (incl. fuel)</t>
        </is>
      </c>
      <c r="C64" s="5" t="inlineStr">
        <is>
          <t>Rs/month</t>
        </is>
      </c>
      <c r="D64" s="24" t="n">
        <v>30000</v>
      </c>
      <c r="E64" s="24" t="n">
        <v>24000</v>
      </c>
      <c r="F64" s="24" t="n">
        <v>19000</v>
      </c>
      <c r="G64" s="25">
        <f>CHOOSE(Scenario,D64,E64,F64)</f>
        <v/>
      </c>
      <c r="H64" s="5" t="inlineStr">
        <is>
          <t>Researched</t>
        </is>
      </c>
      <c r="I64" s="5" t="inlineStr">
        <is>
          <t>M</t>
        </is>
      </c>
      <c r="J64" s="5" t="inlineStr">
        <is>
          <t>R5: Payscale Patna field sales ~Rs20k base; PhonePe postings Rs18-25k + Rs4-4.5k fuel</t>
        </is>
      </c>
      <c r="K64" s="5" t="inlineStr"/>
      <c r="L64" s="5" t="n">
        <v>0</v>
      </c>
      <c r="M64" s="5">
        <f>IF(AND(G64&gt;=MIN(D64,F64),G64&lt;=MAX(D64,F64)),0,1)</f>
        <v/>
      </c>
    </row>
    <row r="65">
      <c r="A65" s="5" t="inlineStr">
        <is>
          <t>RepTravel</t>
        </is>
      </c>
      <c r="B65" s="7" t="inlineStr">
        <is>
          <t>Rep intercity travel + demo material per month</t>
        </is>
      </c>
      <c r="C65" s="5" t="inlineStr">
        <is>
          <t>Rs/month</t>
        </is>
      </c>
      <c r="D65" s="24" t="n">
        <v>8000</v>
      </c>
      <c r="E65" s="24" t="n">
        <v>5000</v>
      </c>
      <c r="F65" s="24" t="n">
        <v>3000</v>
      </c>
      <c r="G65" s="25">
        <f>CHOOSE(Scenario,D65,E65,F65)</f>
        <v/>
      </c>
      <c r="H65" s="5" t="inlineStr">
        <is>
          <t>Assumption</t>
        </is>
      </c>
      <c r="I65" s="5" t="inlineStr">
        <is>
          <t>L</t>
        </is>
      </c>
      <c r="J65" s="5" t="inlineStr">
        <is>
          <t>R5: per-km allowance not found</t>
        </is>
      </c>
      <c r="K65" s="5" t="inlineStr"/>
      <c r="L65" s="5" t="n">
        <v>0</v>
      </c>
      <c r="M65" s="5">
        <f>IF(AND(G65&gt;=MIN(D65,F65),G65&lt;=MAX(D65,F65)),0,1)</f>
        <v/>
      </c>
    </row>
    <row r="66">
      <c r="A66" s="5" t="inlineStr">
        <is>
          <t>PilotsPerRepMonth</t>
        </is>
      </c>
      <c r="B66" s="7" t="inlineStr">
        <is>
          <t>Pilots started per rep per month (yearly avg)</t>
        </is>
      </c>
      <c r="C66" s="5" t="inlineStr">
        <is>
          <t>pilots</t>
        </is>
      </c>
      <c r="D66" s="32" t="n">
        <v>6</v>
      </c>
      <c r="E66" s="32" t="n">
        <v>10</v>
      </c>
      <c r="F66" s="32" t="n">
        <v>14</v>
      </c>
      <c r="G66" s="33">
        <f>CHOOSE(Scenario,D66,E66,F66)</f>
        <v/>
      </c>
      <c r="H66" s="5" t="inlineStr">
        <is>
          <t>Assumption</t>
        </is>
      </c>
      <c r="I66" s="5" t="inlineStr">
        <is>
          <t>L</t>
        </is>
      </c>
      <c r="J66" s="5" t="inlineStr">
        <is>
          <t>R5: SaaStr 20-50 deals/month is inside sales; cut for in-person Tier-2 demos; peak Mar-Jun</t>
        </is>
      </c>
      <c r="K66" s="5" t="inlineStr"/>
      <c r="L66" s="5" t="n">
        <v>0</v>
      </c>
      <c r="M66" s="5">
        <f>IF(AND(G66&gt;=MIN(D66,F66),G66&lt;=MAX(D66,F66)),0,1)</f>
        <v/>
      </c>
    </row>
    <row r="67">
      <c r="A67" s="5" t="inlineStr">
        <is>
          <t>PilotConv</t>
        </is>
      </c>
      <c r="B67" s="7" t="inlineStr">
        <is>
          <t>Pilot-to-paid conversion</t>
        </is>
      </c>
      <c r="C67" s="5" t="inlineStr">
        <is>
          <t>%</t>
        </is>
      </c>
      <c r="D67" s="28" t="n">
        <v>0.15</v>
      </c>
      <c r="E67" s="28" t="n">
        <v>0.3</v>
      </c>
      <c r="F67" s="28" t="n">
        <v>0.5</v>
      </c>
      <c r="G67" s="29">
        <f>CHOOSE(Scenario,D67,E67,F67)</f>
        <v/>
      </c>
      <c r="H67" s="5" t="inlineStr">
        <is>
          <t>Researched</t>
        </is>
      </c>
      <c r="I67" s="5" t="inlineStr">
        <is>
          <t>L</t>
        </is>
      </c>
      <c r="J67" s="5" t="inlineStr">
        <is>
          <t>R5: trial-to-paid 8% median / 18.2% opt-in / 48.8% opt-out (Userpilot 2026); assisted-pilot benchmark not found</t>
        </is>
      </c>
      <c r="K67" s="5" t="inlineStr"/>
      <c r="L67" s="5">
        <f>IF(OR(G67&lt;0,G67&gt;1),1,0)</f>
        <v/>
      </c>
      <c r="M67" s="5">
        <f>IF(AND(G67&gt;=MIN(D67,F67),G67&lt;=MAX(D67,F67)),0,1)</f>
        <v/>
      </c>
    </row>
    <row r="68">
      <c r="A68" s="5" t="inlineStr">
        <is>
          <t>PilotMonths</t>
        </is>
      </c>
      <c r="B68" s="7" t="inlineStr">
        <is>
          <t>Free pilot length</t>
        </is>
      </c>
      <c r="C68" s="5" t="inlineStr">
        <is>
          <t>months</t>
        </is>
      </c>
      <c r="D68" s="22" t="n">
        <v>2</v>
      </c>
      <c r="E68" s="22" t="n">
        <v>1</v>
      </c>
      <c r="F68" s="22" t="n">
        <v>1</v>
      </c>
      <c r="G68" s="23">
        <f>CHOOSE(Scenario,D68,E68,F68)</f>
        <v/>
      </c>
      <c r="H68" s="5" t="inlineStr">
        <is>
          <t>Assumption</t>
        </is>
      </c>
      <c r="I68" s="5" t="inlineStr">
        <is>
          <t>M</t>
        </is>
      </c>
      <c r="J68" s="5" t="inlineStr">
        <is>
          <t>FINANCE_PLAN s.3.2</t>
        </is>
      </c>
      <c r="K68" s="5" t="inlineStr"/>
      <c r="L68" s="5" t="n">
        <v>0</v>
      </c>
      <c r="M68" s="5">
        <f>IF(AND(G68&gt;=MIN(D68,F68),G68&lt;=MAX(D68,F68)),0,1)</f>
        <v/>
      </c>
    </row>
    <row r="69">
      <c r="A69" s="5" t="inlineStr">
        <is>
          <t>PilotSetupCost</t>
        </is>
      </c>
      <c r="B69" s="7" t="inlineStr">
        <is>
          <t>Retro-pilot setup (import last year's Excel; show who left)</t>
        </is>
      </c>
      <c r="C69" s="5" t="inlineStr">
        <is>
          <t>Rs per pilot</t>
        </is>
      </c>
      <c r="D69" s="24" t="n">
        <v>5000</v>
      </c>
      <c r="E69" s="24" t="n">
        <v>3000</v>
      </c>
      <c r="F69" s="24" t="n">
        <v>1500</v>
      </c>
      <c r="G69" s="25">
        <f>CHOOSE(Scenario,D69,E69,F69)</f>
        <v/>
      </c>
      <c r="H69" s="5" t="inlineStr">
        <is>
          <t>Assumption</t>
        </is>
      </c>
      <c r="I69" s="5" t="inlineStr">
        <is>
          <t>L</t>
        </is>
      </c>
      <c r="J69" s="5" t="inlineStr">
        <is>
          <t>GTM design: light pilot; full onboarding only after conversion</t>
        </is>
      </c>
      <c r="K69" s="5" t="inlineStr">
        <is>
          <t>Primary research needed</t>
        </is>
      </c>
      <c r="L69" s="5" t="n">
        <v>0</v>
      </c>
      <c r="M69" s="5">
        <f>IF(AND(G69&gt;=MIN(D69,F69),G69&lt;=MAX(D69,F69)),0,1)</f>
        <v/>
      </c>
    </row>
    <row r="70">
      <c r="A70" s="5" t="inlineStr">
        <is>
          <t>OnboardBase</t>
        </is>
      </c>
      <c r="B70" s="7" t="inlineStr">
        <is>
          <t>Onboarding cost per institute (mid)</t>
        </is>
      </c>
      <c r="C70" s="5" t="inlineStr">
        <is>
          <t>Rs</t>
        </is>
      </c>
      <c r="D70" s="24" t="n">
        <v>15000</v>
      </c>
      <c r="E70" s="24" t="n">
        <v>8000</v>
      </c>
      <c r="F70" s="24" t="n">
        <v>5000</v>
      </c>
      <c r="G70" s="25">
        <f>CHOOSE(Scenario,D70,E70,F70)</f>
        <v/>
      </c>
      <c r="H70" s="5" t="inlineStr">
        <is>
          <t>Guide</t>
        </is>
      </c>
      <c r="I70" s="5" t="inlineStr">
        <is>
          <t>L</t>
        </is>
      </c>
      <c r="J70" s="5" t="inlineStr">
        <is>
          <t>Case brief Rs5-10k; low-tech institutes higher</t>
        </is>
      </c>
      <c r="K70" s="5" t="inlineStr"/>
      <c r="L70" s="5" t="n">
        <v>0</v>
      </c>
      <c r="M70" s="5">
        <f>IF(AND(G70&gt;=MIN(D70,F70),G70&lt;=MAX(D70,F70)),0,1)</f>
        <v/>
      </c>
    </row>
    <row r="71">
      <c r="A71" s="5" t="inlineStr">
        <is>
          <t>MarketingPerPaid</t>
        </is>
      </c>
      <c r="B71" s="7" t="inlineStr">
        <is>
          <t>Marketing spend per paid institute</t>
        </is>
      </c>
      <c r="C71" s="5" t="inlineStr">
        <is>
          <t>Rs</t>
        </is>
      </c>
      <c r="D71" s="24" t="n">
        <v>6000</v>
      </c>
      <c r="E71" s="24" t="n">
        <v>3000</v>
      </c>
      <c r="F71" s="24" t="n">
        <v>1000</v>
      </c>
      <c r="G71" s="25">
        <f>CHOOSE(Scenario,D71,E71,F71)</f>
        <v/>
      </c>
      <c r="H71" s="5" t="inlineStr">
        <is>
          <t>Assumption</t>
        </is>
      </c>
      <c r="I71" s="5" t="inlineStr">
        <is>
          <t>L</t>
        </is>
      </c>
      <c r="J71" s="5" t="inlineStr"/>
      <c r="K71" s="5" t="inlineStr"/>
      <c r="L71" s="5" t="n">
        <v>0</v>
      </c>
      <c r="M71" s="5">
        <f>IF(AND(G71&gt;=MIN(D71,F71),G71&lt;=MAX(D71,F71)),0,1)</f>
        <v/>
      </c>
    </row>
    <row r="72">
      <c r="A72" s="5" t="inlineStr">
        <is>
          <t>ChurnInSeason</t>
        </is>
      </c>
      <c r="B72" s="7" t="inlineStr">
        <is>
          <t>Monthly logo churn for monthly payers</t>
        </is>
      </c>
      <c r="C72" s="5" t="inlineStr">
        <is>
          <t>%/month</t>
        </is>
      </c>
      <c r="D72" s="28" t="n">
        <v>0.05</v>
      </c>
      <c r="E72" s="28" t="n">
        <v>0.03</v>
      </c>
      <c r="F72" s="28" t="n">
        <v>0.015</v>
      </c>
      <c r="G72" s="29">
        <f>CHOOSE(Scenario,D72,E72,F72)</f>
        <v/>
      </c>
      <c r="H72" s="5" t="inlineStr">
        <is>
          <t>Researched</t>
        </is>
      </c>
      <c r="I72" s="5" t="inlineStr">
        <is>
          <t>L</t>
        </is>
      </c>
      <c r="J72" s="5" t="inlineStr">
        <is>
          <t>R5: ChartMogul 6.1%/month at ARPA &lt;$25 (2022); eChai India SMB 3-5%; SaaS Capital 2025 GRR 90%/yr</t>
        </is>
      </c>
      <c r="K72" s="5" t="inlineStr">
        <is>
          <t>Applied only to institutes not on annual prepay</t>
        </is>
      </c>
      <c r="L72" s="5">
        <f>IF(OR(G72&lt;0,G72&gt;1),1,0)</f>
        <v/>
      </c>
      <c r="M72" s="5">
        <f>IF(AND(G72&gt;=MIN(D72,F72),G72&lt;=MAX(D72,F72)),0,1)</f>
        <v/>
      </c>
    </row>
    <row r="73">
      <c r="A73" s="5" t="inlineStr">
        <is>
          <t>RenewalSpike</t>
        </is>
      </c>
      <c r="B73" s="7" t="inlineStr">
        <is>
          <t>Non-renewal at session end (annual)</t>
        </is>
      </c>
      <c r="C73" s="5" t="inlineStr">
        <is>
          <t>% of logos</t>
        </is>
      </c>
      <c r="D73" s="28" t="n">
        <v>0.3</v>
      </c>
      <c r="E73" s="28" t="n">
        <v>0.2</v>
      </c>
      <c r="F73" s="28" t="n">
        <v>0.1</v>
      </c>
      <c r="G73" s="29">
        <f>CHOOSE(Scenario,D73,E73,F73)</f>
        <v/>
      </c>
      <c r="H73" s="5" t="inlineStr">
        <is>
          <t>Assumption</t>
        </is>
      </c>
      <c r="I73" s="5" t="inlineStr">
        <is>
          <t>L</t>
        </is>
      </c>
      <c r="J73" s="5" t="inlineStr">
        <is>
          <t>R5: no benchmark found - answers the judges' post-exam churn question</t>
        </is>
      </c>
      <c r="K73" s="5" t="inlineStr">
        <is>
          <t>Spread over renewal months</t>
        </is>
      </c>
      <c r="L73" s="5">
        <f>IF(OR(G73&lt;0,G73&gt;1),1,0)</f>
        <v/>
      </c>
      <c r="M73" s="5">
        <f>IF(AND(G73&gt;=MIN(D73,F73),G73&lt;=MAX(D73,F73)),0,1)</f>
        <v/>
      </c>
    </row>
    <row r="74">
      <c r="A74" s="5" t="inlineStr">
        <is>
          <t>DiscountRate</t>
        </is>
      </c>
      <c r="B74" s="7" t="inlineStr">
        <is>
          <t>Discount rate for LTV</t>
        </is>
      </c>
      <c r="C74" s="5" t="inlineStr">
        <is>
          <t>%/yr</t>
        </is>
      </c>
      <c r="D74" s="28" t="n">
        <v>0.2</v>
      </c>
      <c r="E74" s="28" t="n">
        <v>0.2</v>
      </c>
      <c r="F74" s="28" t="n">
        <v>0.2</v>
      </c>
      <c r="G74" s="29">
        <f>CHOOSE(Scenario,D74,E74,F74)</f>
        <v/>
      </c>
      <c r="H74" s="5" t="inlineStr">
        <is>
          <t>Structural</t>
        </is>
      </c>
      <c r="I74" s="5" t="inlineStr">
        <is>
          <t>M</t>
        </is>
      </c>
      <c r="J74" s="5" t="inlineStr">
        <is>
          <t>Early-stage cost of capital convention</t>
        </is>
      </c>
      <c r="K74" s="5" t="inlineStr"/>
      <c r="L74" s="5">
        <f>IF(OR(G74&lt;0,G74&gt;1),1,0)</f>
        <v/>
      </c>
      <c r="M74" s="5">
        <f>IF(AND(G74&gt;=MIN(D74,F74),G74&lt;=MAX(D74,F74)),0,1)</f>
        <v/>
      </c>
    </row>
    <row r="75">
      <c r="A75" s="5" t="inlineStr">
        <is>
          <t>StartMonth</t>
        </is>
      </c>
      <c r="B75" s="7" t="inlineStr">
        <is>
          <t>Paid start month (1 = April)</t>
        </is>
      </c>
      <c r="C75" s="5" t="inlineStr">
        <is>
          <t>month #</t>
        </is>
      </c>
      <c r="D75" s="22" t="n">
        <v>2</v>
      </c>
      <c r="E75" s="22" t="n">
        <v>2</v>
      </c>
      <c r="F75" s="22" t="n">
        <v>2</v>
      </c>
      <c r="G75" s="23">
        <f>CHOOSE(Scenario,D75,E75,F75)</f>
        <v/>
      </c>
      <c r="H75" s="5" t="inlineStr">
        <is>
          <t>Structural</t>
        </is>
      </c>
      <c r="I75" s="5" t="inlineStr">
        <is>
          <t>M</t>
        </is>
      </c>
      <c r="J75" s="5" t="inlineStr">
        <is>
          <t>Sales peak Mar-Jun; paid from May after a 1-month pilot</t>
        </is>
      </c>
      <c r="K75" s="5" t="inlineStr"/>
      <c r="L75" s="5" t="n">
        <v>0</v>
      </c>
      <c r="M75" s="5">
        <f>IF(AND(G75&gt;=MIN(D75,F75),G75&lt;=MAX(D75,F75)),0,1)</f>
        <v/>
      </c>
    </row>
    <row r="76">
      <c r="A76" s="20" t="inlineStr">
        <is>
          <t>Team</t>
        </is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5" t="inlineStr">
        <is>
          <t>Founders</t>
        </is>
      </c>
      <c r="B77" s="7" t="inlineStr">
        <is>
          <t>Founders drawing a stipend</t>
        </is>
      </c>
      <c r="C77" s="5" t="inlineStr">
        <is>
          <t>people</t>
        </is>
      </c>
      <c r="D77" s="22" t="n">
        <v>3</v>
      </c>
      <c r="E77" s="22" t="n">
        <v>3</v>
      </c>
      <c r="F77" s="22" t="n">
        <v>3</v>
      </c>
      <c r="G77" s="23">
        <f>CHOOSE(Scenario,D77,E77,F77)</f>
        <v/>
      </c>
      <c r="H77" s="5" t="inlineStr">
        <is>
          <t>Assumption</t>
        </is>
      </c>
      <c r="I77" s="5" t="inlineStr">
        <is>
          <t>M</t>
        </is>
      </c>
      <c r="J77" s="5" t="inlineStr">
        <is>
          <t>Owner decision</t>
        </is>
      </c>
      <c r="K77" s="5" t="inlineStr"/>
      <c r="L77" s="5" t="n">
        <v>0</v>
      </c>
      <c r="M77" s="5">
        <f>IF(AND(G77&gt;=MIN(D77,F77),G77&lt;=MAX(D77,F77)),0,1)</f>
        <v/>
      </c>
    </row>
    <row r="78">
      <c r="A78" s="5" t="inlineStr">
        <is>
          <t>FounderStipend</t>
        </is>
      </c>
      <c r="B78" s="7" t="inlineStr">
        <is>
          <t>Founder stipend per month</t>
        </is>
      </c>
      <c r="C78" s="5" t="inlineStr">
        <is>
          <t>Rs/month</t>
        </is>
      </c>
      <c r="D78" s="24" t="n">
        <v>30000</v>
      </c>
      <c r="E78" s="24" t="n">
        <v>20000</v>
      </c>
      <c r="F78" s="24" t="n">
        <v>15000</v>
      </c>
      <c r="G78" s="25">
        <f>CHOOSE(Scenario,D78,E78,F78)</f>
        <v/>
      </c>
      <c r="H78" s="5" t="inlineStr">
        <is>
          <t>Assumption</t>
        </is>
      </c>
      <c r="I78" s="5" t="inlineStr">
        <is>
          <t>M</t>
        </is>
      </c>
      <c r="J78" s="5" t="inlineStr">
        <is>
          <t>Owner decision</t>
        </is>
      </c>
      <c r="K78" s="5" t="inlineStr"/>
      <c r="L78" s="5" t="n">
        <v>0</v>
      </c>
      <c r="M78" s="5">
        <f>IF(AND(G78&gt;=MIN(D78,F78),G78&lt;=MAX(D78,F78)),0,1)</f>
        <v/>
      </c>
    </row>
    <row r="79">
      <c r="A79" s="5" t="inlineStr">
        <is>
          <t>Engineers</t>
        </is>
      </c>
      <c r="B79" s="7" t="inlineStr">
        <is>
          <t>Engineers hired</t>
        </is>
      </c>
      <c r="C79" s="5" t="inlineStr">
        <is>
          <t>people</t>
        </is>
      </c>
      <c r="D79" s="22" t="n">
        <v>2</v>
      </c>
      <c r="E79" s="22" t="n">
        <v>1</v>
      </c>
      <c r="F79" s="22" t="n">
        <v>1</v>
      </c>
      <c r="G79" s="23">
        <f>CHOOSE(Scenario,D79,E79,F79)</f>
        <v/>
      </c>
      <c r="H79" s="5" t="inlineStr">
        <is>
          <t>Assumption</t>
        </is>
      </c>
      <c r="I79" s="5" t="inlineStr">
        <is>
          <t>M</t>
        </is>
      </c>
      <c r="J79" s="5" t="inlineStr"/>
      <c r="K79" s="5" t="inlineStr"/>
      <c r="L79" s="5" t="n">
        <v>0</v>
      </c>
      <c r="M79" s="5">
        <f>IF(AND(G79&gt;=MIN(D79,F79),G79&lt;=MAX(D79,F79)),0,1)</f>
        <v/>
      </c>
    </row>
    <row r="80">
      <c r="A80" s="5" t="inlineStr">
        <is>
          <t>EngineerCTC</t>
        </is>
      </c>
      <c r="B80" s="7" t="inlineStr">
        <is>
          <t>Engineer monthly CTC</t>
        </is>
      </c>
      <c r="C80" s="5" t="inlineStr">
        <is>
          <t>Rs/month</t>
        </is>
      </c>
      <c r="D80" s="24" t="n">
        <v>67000</v>
      </c>
      <c r="E80" s="24" t="n">
        <v>50000</v>
      </c>
      <c r="F80" s="24" t="n">
        <v>35000</v>
      </c>
      <c r="G80" s="25">
        <f>CHOOSE(Scenario,D80,E80,F80)</f>
        <v/>
      </c>
      <c r="H80" s="5" t="inlineStr">
        <is>
          <t>Researched</t>
        </is>
      </c>
      <c r="I80" s="5" t="inlineStr">
        <is>
          <t>L</t>
        </is>
      </c>
      <c r="J80" s="5" t="inlineStr">
        <is>
          <t>R5: Glassdoor Jaipur Rs6L/yr; Indore Rs6-8L/yr (1-3 yrs)</t>
        </is>
      </c>
      <c r="K80" s="5" t="inlineStr"/>
      <c r="L80" s="5" t="n">
        <v>0</v>
      </c>
      <c r="M80" s="5">
        <f>IF(AND(G80&gt;=MIN(D80,F80),G80&lt;=MAX(D80,F80)),0,1)</f>
        <v/>
      </c>
    </row>
    <row r="81">
      <c r="A81" s="5" t="inlineStr">
        <is>
          <t>ToolsOpex</t>
        </is>
      </c>
      <c r="B81" s="7" t="inlineStr">
        <is>
          <t>Tools / office / legal per month</t>
        </is>
      </c>
      <c r="C81" s="5" t="inlineStr">
        <is>
          <t>Rs/month</t>
        </is>
      </c>
      <c r="D81" s="24" t="n">
        <v>20000</v>
      </c>
      <c r="E81" s="24" t="n">
        <v>12000</v>
      </c>
      <c r="F81" s="24" t="n">
        <v>8000</v>
      </c>
      <c r="G81" s="25">
        <f>CHOOSE(Scenario,D81,E81,F81)</f>
        <v/>
      </c>
      <c r="H81" s="5" t="inlineStr">
        <is>
          <t>Assumption</t>
        </is>
      </c>
      <c r="I81" s="5" t="inlineStr">
        <is>
          <t>L</t>
        </is>
      </c>
      <c r="J81" s="5" t="inlineStr"/>
      <c r="K81" s="5" t="inlineStr"/>
      <c r="L81" s="5" t="n">
        <v>0</v>
      </c>
      <c r="M81" s="5">
        <f>IF(AND(G81&gt;=MIN(D81,F81),G81&lt;=MAX(D81,F81)),0,1)</f>
        <v/>
      </c>
    </row>
    <row r="82">
      <c r="A82" s="20" t="inlineStr">
        <is>
          <t>Guide</t>
        </is>
      </c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</row>
    <row r="83">
      <c r="A83" s="5" t="inlineStr">
        <is>
          <t>G_Students</t>
        </is>
      </c>
      <c r="B83" s="7" t="inlineStr">
        <is>
          <t>Guide: students</t>
        </is>
      </c>
      <c r="C83" s="5" t="inlineStr">
        <is>
          <t>students</t>
        </is>
      </c>
      <c r="D83" s="22" t="n">
        <v>400</v>
      </c>
      <c r="E83" s="22" t="n">
        <v>400</v>
      </c>
      <c r="F83" s="22" t="n">
        <v>400</v>
      </c>
      <c r="G83" s="23">
        <f>CHOOSE(Scenario,D83,E83,F83)</f>
        <v/>
      </c>
      <c r="H83" s="5" t="inlineStr">
        <is>
          <t>Guide</t>
        </is>
      </c>
      <c r="I83" s="5" t="inlineStr">
        <is>
          <t>H</t>
        </is>
      </c>
      <c r="J83" s="5" t="inlineStr">
        <is>
          <t>Case brief</t>
        </is>
      </c>
      <c r="K83" s="5" t="inlineStr"/>
      <c r="L83" s="5" t="n">
        <v>0</v>
      </c>
      <c r="M83" s="5">
        <f>IF(AND(G83&gt;=MIN(D83,F83),G83&lt;=MAX(D83,F83)),0,1)</f>
        <v/>
      </c>
    </row>
    <row r="84">
      <c r="A84" s="5" t="inlineStr">
        <is>
          <t>G_Dropout</t>
        </is>
      </c>
      <c r="B84" s="7" t="inlineStr">
        <is>
          <t>Guide: dropout rate</t>
        </is>
      </c>
      <c r="C84" s="5" t="inlineStr">
        <is>
          <t>%</t>
        </is>
      </c>
      <c r="D84" s="28" t="n">
        <v>0.12</v>
      </c>
      <c r="E84" s="28" t="n">
        <v>0.12</v>
      </c>
      <c r="F84" s="28" t="n">
        <v>0.12</v>
      </c>
      <c r="G84" s="29">
        <f>CHOOSE(Scenario,D84,E84,F84)</f>
        <v/>
      </c>
      <c r="H84" s="5" t="inlineStr">
        <is>
          <t>Guide</t>
        </is>
      </c>
      <c r="I84" s="5" t="inlineStr">
        <is>
          <t>H</t>
        </is>
      </c>
      <c r="J84" s="5" t="inlineStr">
        <is>
          <t>Case brief</t>
        </is>
      </c>
      <c r="K84" s="5" t="inlineStr"/>
      <c r="L84" s="5">
        <f>IF(OR(G84&lt;0,G84&gt;1),1,0)</f>
        <v/>
      </c>
      <c r="M84" s="5">
        <f>IF(AND(G84&gt;=MIN(D84,F84),G84&lt;=MAX(D84,F84)),0,1)</f>
        <v/>
      </c>
    </row>
    <row r="85">
      <c r="A85" s="5" t="inlineStr">
        <is>
          <t>G_RemainingFee</t>
        </is>
      </c>
      <c r="B85" s="7" t="inlineStr">
        <is>
          <t>Guide: remaining fee per dropout</t>
        </is>
      </c>
      <c r="C85" s="5" t="inlineStr">
        <is>
          <t>Rs</t>
        </is>
      </c>
      <c r="D85" s="24" t="n">
        <v>36000</v>
      </c>
      <c r="E85" s="24" t="n">
        <v>36000</v>
      </c>
      <c r="F85" s="24" t="n">
        <v>36000</v>
      </c>
      <c r="G85" s="25">
        <f>CHOOSE(Scenario,D85,E85,F85)</f>
        <v/>
      </c>
      <c r="H85" s="5" t="inlineStr">
        <is>
          <t>Guide</t>
        </is>
      </c>
      <c r="I85" s="5" t="inlineStr">
        <is>
          <t>H</t>
        </is>
      </c>
      <c r="J85" s="5" t="inlineStr">
        <is>
          <t>Case brief</t>
        </is>
      </c>
      <c r="K85" s="5" t="inlineStr"/>
      <c r="L85" s="5" t="n">
        <v>0</v>
      </c>
      <c r="M85" s="5">
        <f>IF(AND(G85&gt;=MIN(D85,F85),G85&lt;=MAX(D85,F85)),0,1)</f>
        <v/>
      </c>
    </row>
    <row r="86">
      <c r="A86" s="5" t="inlineStr">
        <is>
          <t>G_Prevent</t>
        </is>
      </c>
      <c r="B86" s="7" t="inlineStr">
        <is>
          <t>Guide: share of dropouts prevented</t>
        </is>
      </c>
      <c r="C86" s="5" t="inlineStr">
        <is>
          <t>%</t>
        </is>
      </c>
      <c r="D86" s="28" t="n">
        <v>0.25</v>
      </c>
      <c r="E86" s="28" t="n">
        <v>0.25</v>
      </c>
      <c r="F86" s="28" t="n">
        <v>0.25</v>
      </c>
      <c r="G86" s="29">
        <f>CHOOSE(Scenario,D86,E86,F86)</f>
        <v/>
      </c>
      <c r="H86" s="5" t="inlineStr">
        <is>
          <t>Guide</t>
        </is>
      </c>
      <c r="I86" s="5" t="inlineStr">
        <is>
          <t>H</t>
        </is>
      </c>
      <c r="J86" s="5" t="inlineStr">
        <is>
          <t>Case brief</t>
        </is>
      </c>
      <c r="K86" s="5" t="inlineStr"/>
      <c r="L86" s="5">
        <f>IF(OR(G86&lt;0,G86&gt;1),1,0)</f>
        <v/>
      </c>
      <c r="M86" s="5">
        <f>IF(AND(G86&gt;=MIN(D86,F86),G86&lt;=MAX(D86,F86)),0,1)</f>
        <v/>
      </c>
    </row>
    <row r="87">
      <c r="A87" s="5" t="inlineStr">
        <is>
          <t>G_Price</t>
        </is>
      </c>
      <c r="B87" s="7" t="inlineStr">
        <is>
          <t>Guide: price per student per month</t>
        </is>
      </c>
      <c r="C87" s="5" t="inlineStr">
        <is>
          <t>Rs</t>
        </is>
      </c>
      <c r="D87" s="24" t="n">
        <v>40</v>
      </c>
      <c r="E87" s="24" t="n">
        <v>40</v>
      </c>
      <c r="F87" s="24" t="n">
        <v>40</v>
      </c>
      <c r="G87" s="25">
        <f>CHOOSE(Scenario,D87,E87,F87)</f>
        <v/>
      </c>
      <c r="H87" s="5" t="inlineStr">
        <is>
          <t>Guide</t>
        </is>
      </c>
      <c r="I87" s="5" t="inlineStr">
        <is>
          <t>H</t>
        </is>
      </c>
      <c r="J87" s="5" t="inlineStr">
        <is>
          <t>Case brief</t>
        </is>
      </c>
      <c r="K87" s="5" t="inlineStr"/>
      <c r="L87" s="5" t="n">
        <v>0</v>
      </c>
      <c r="M87" s="5">
        <f>IF(AND(G87&gt;=MIN(D87,F87),G87&lt;=MAX(D87,F87)),0,1)</f>
        <v/>
      </c>
    </row>
    <row r="88">
      <c r="A88" s="5" t="inlineStr">
        <is>
          <t>G_Months</t>
        </is>
      </c>
      <c r="B88" s="7" t="inlineStr">
        <is>
          <t>Guide: billing months per year</t>
        </is>
      </c>
      <c r="C88" s="5" t="inlineStr">
        <is>
          <t>months</t>
        </is>
      </c>
      <c r="D88" s="22" t="n">
        <v>12</v>
      </c>
      <c r="E88" s="22" t="n">
        <v>12</v>
      </c>
      <c r="F88" s="22" t="n">
        <v>12</v>
      </c>
      <c r="G88" s="23">
        <f>CHOOSE(Scenario,D88,E88,F88)</f>
        <v/>
      </c>
      <c r="H88" s="5" t="inlineStr">
        <is>
          <t>Guide</t>
        </is>
      </c>
      <c r="I88" s="5" t="inlineStr">
        <is>
          <t>H</t>
        </is>
      </c>
      <c r="J88" s="5" t="inlineStr">
        <is>
          <t>Case brief</t>
        </is>
      </c>
      <c r="K88" s="5" t="inlineStr"/>
      <c r="L88" s="5" t="n">
        <v>0</v>
      </c>
      <c r="M88" s="5">
        <f>IF(AND(G88&gt;=MIN(D88,F88),G88&lt;=MAX(D88,F88)),0,1)</f>
        <v/>
      </c>
    </row>
    <row r="89">
      <c r="A89" s="5" t="inlineStr">
        <is>
          <t>G_Infra</t>
        </is>
      </c>
      <c r="B89" s="7" t="inlineStr">
        <is>
          <t>Guide: infra + AI per student per month</t>
        </is>
      </c>
      <c r="C89" s="5" t="inlineStr">
        <is>
          <t>Rs</t>
        </is>
      </c>
      <c r="D89" s="24" t="n">
        <v>6</v>
      </c>
      <c r="E89" s="24" t="n">
        <v>6</v>
      </c>
      <c r="F89" s="24" t="n">
        <v>6</v>
      </c>
      <c r="G89" s="25">
        <f>CHOOSE(Scenario,D89,E89,F89)</f>
        <v/>
      </c>
      <c r="H89" s="5" t="inlineStr">
        <is>
          <t>Guide</t>
        </is>
      </c>
      <c r="I89" s="5" t="inlineStr">
        <is>
          <t>H</t>
        </is>
      </c>
      <c r="J89" s="5" t="inlineStr">
        <is>
          <t>Case brief</t>
        </is>
      </c>
      <c r="K89" s="5" t="inlineStr"/>
      <c r="L89" s="5" t="n">
        <v>0</v>
      </c>
      <c r="M89" s="5">
        <f>IF(AND(G89&gt;=MIN(D89,F89),G89&lt;=MAX(D89,F89)),0,1)</f>
        <v/>
      </c>
    </row>
    <row r="90">
      <c r="A90" s="5" t="inlineStr">
        <is>
          <t>G_Support</t>
        </is>
      </c>
      <c r="B90" s="7" t="inlineStr">
        <is>
          <t>Guide: support per institute per month</t>
        </is>
      </c>
      <c r="C90" s="5" t="inlineStr">
        <is>
          <t>Rs</t>
        </is>
      </c>
      <c r="D90" s="24" t="n">
        <v>3000</v>
      </c>
      <c r="E90" s="24" t="n">
        <v>3000</v>
      </c>
      <c r="F90" s="24" t="n">
        <v>3000</v>
      </c>
      <c r="G90" s="25">
        <f>CHOOSE(Scenario,D90,E90,F90)</f>
        <v/>
      </c>
      <c r="H90" s="5" t="inlineStr">
        <is>
          <t>Guide</t>
        </is>
      </c>
      <c r="I90" s="5" t="inlineStr">
        <is>
          <t>H</t>
        </is>
      </c>
      <c r="J90" s="5" t="inlineStr">
        <is>
          <t>Case brief</t>
        </is>
      </c>
      <c r="K90" s="5" t="inlineStr"/>
      <c r="L90" s="5" t="n">
        <v>0</v>
      </c>
      <c r="M90" s="5">
        <f>IF(AND(G90&gt;=MIN(D90,F90),G90&lt;=MAX(D90,F90)),0,1)</f>
        <v/>
      </c>
    </row>
    <row r="91">
      <c r="A91" s="5" t="inlineStr">
        <is>
          <t>G_CAC</t>
        </is>
      </c>
      <c r="B91" s="7" t="inlineStr">
        <is>
          <t>Guide: CAC</t>
        </is>
      </c>
      <c r="C91" s="5" t="inlineStr">
        <is>
          <t>Rs</t>
        </is>
      </c>
      <c r="D91" s="24" t="n">
        <v>25000</v>
      </c>
      <c r="E91" s="24" t="n">
        <v>25000</v>
      </c>
      <c r="F91" s="24" t="n">
        <v>25000</v>
      </c>
      <c r="G91" s="25">
        <f>CHOOSE(Scenario,D91,E91,F91)</f>
        <v/>
      </c>
      <c r="H91" s="5" t="inlineStr">
        <is>
          <t>Guide</t>
        </is>
      </c>
      <c r="I91" s="5" t="inlineStr">
        <is>
          <t>H</t>
        </is>
      </c>
      <c r="J91" s="5" t="inlineStr">
        <is>
          <t>Case brief</t>
        </is>
      </c>
      <c r="K91" s="5" t="inlineStr"/>
      <c r="L91" s="5" t="n">
        <v>0</v>
      </c>
      <c r="M91" s="5">
        <f>IF(AND(G91&gt;=MIN(D91,F91),G91&lt;=MAX(D91,F91)),0,1)</f>
        <v/>
      </c>
    </row>
    <row r="92">
      <c r="A92" s="5" t="inlineStr">
        <is>
          <t>G_Onboard</t>
        </is>
      </c>
      <c r="B92" s="7" t="inlineStr">
        <is>
          <t>Guide: onboarding</t>
        </is>
      </c>
      <c r="C92" s="5" t="inlineStr">
        <is>
          <t>Rs</t>
        </is>
      </c>
      <c r="D92" s="24" t="n">
        <v>8000</v>
      </c>
      <c r="E92" s="24" t="n">
        <v>8000</v>
      </c>
      <c r="F92" s="24" t="n">
        <v>8000</v>
      </c>
      <c r="G92" s="25">
        <f>CHOOSE(Scenario,D92,E92,F92)</f>
        <v/>
      </c>
      <c r="H92" s="5" t="inlineStr">
        <is>
          <t>Guide</t>
        </is>
      </c>
      <c r="I92" s="5" t="inlineStr">
        <is>
          <t>H</t>
        </is>
      </c>
      <c r="J92" s="5" t="inlineStr">
        <is>
          <t>Case brief</t>
        </is>
      </c>
      <c r="K92" s="5" t="inlineStr"/>
      <c r="L92" s="5" t="n">
        <v>0</v>
      </c>
      <c r="M92" s="5">
        <f>IF(AND(G92&gt;=MIN(D92,F92),G92&lt;=MAX(D92,F92)),0,1)</f>
        <v/>
      </c>
    </row>
    <row r="93">
      <c r="A93" s="5" t="inlineStr">
        <is>
          <t>G_Churn</t>
        </is>
      </c>
      <c r="B93" s="7" t="inlineStr">
        <is>
          <t>Guide: monthly churn</t>
        </is>
      </c>
      <c r="C93" s="5" t="inlineStr">
        <is>
          <t>%</t>
        </is>
      </c>
      <c r="D93" s="28" t="n">
        <v>0.03</v>
      </c>
      <c r="E93" s="28" t="n">
        <v>0.03</v>
      </c>
      <c r="F93" s="28" t="n">
        <v>0.03</v>
      </c>
      <c r="G93" s="29">
        <f>CHOOSE(Scenario,D93,E93,F93)</f>
        <v/>
      </c>
      <c r="H93" s="5" t="inlineStr">
        <is>
          <t>Guide</t>
        </is>
      </c>
      <c r="I93" s="5" t="inlineStr">
        <is>
          <t>H</t>
        </is>
      </c>
      <c r="J93" s="5" t="inlineStr">
        <is>
          <t>Case brief</t>
        </is>
      </c>
      <c r="K93" s="5" t="inlineStr"/>
      <c r="L93" s="5">
        <f>IF(OR(G93&lt;0,G93&gt;1),1,0)</f>
        <v/>
      </c>
      <c r="M93" s="5">
        <f>IF(AND(G93&gt;=MIN(D93,F93),G93&lt;=MAX(D93,F93)),0,1)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70" customWidth="1" min="5" max="5"/>
  </cols>
  <sheetData>
    <row r="1">
      <c r="A1" s="1" t="inlineStr">
        <is>
          <t>Seasonality, dropout timing and the 60-month timeline</t>
        </is>
      </c>
    </row>
    <row r="2">
      <c r="A2" s="2" t="inlineStr">
        <is>
          <t>Session month 1 = April. Blue cells are inputs (currently assumptions, see Source).</t>
        </is>
      </c>
    </row>
    <row r="3">
      <c r="A3" s="34" t="inlineStr">
        <is>
          <t>A. Active-student index and renewal (churn) months</t>
        </is>
      </c>
    </row>
    <row r="4">
      <c r="A4" s="6" t="inlineStr">
        <is>
          <t>No.</t>
        </is>
      </c>
      <c r="B4" s="6" t="inlineStr">
        <is>
          <t>Month</t>
        </is>
      </c>
      <c r="C4" s="6" t="inlineStr">
        <is>
          <t>Active-student index</t>
        </is>
      </c>
      <c r="D4" s="6" t="inlineStr">
        <is>
          <t>Renewal month (1/0)</t>
        </is>
      </c>
      <c r="E4" s="6" t="inlineStr">
        <is>
          <t>Source</t>
        </is>
      </c>
    </row>
    <row r="5">
      <c r="A5" s="7" t="n">
        <v>1</v>
      </c>
      <c r="B5" s="7" t="inlineStr">
        <is>
          <t>Apr</t>
        </is>
      </c>
      <c r="C5" s="26" t="n">
        <v>0.85</v>
      </c>
      <c r="D5" s="35" t="n">
        <v>1</v>
      </c>
      <c r="E5" s="5" t="inlineStr">
        <is>
          <t>Assumption (L): new session starts; admissions still coming in | flag: Assumption: renewal decision for the new session</t>
        </is>
      </c>
    </row>
    <row r="6">
      <c r="A6" s="7" t="n">
        <v>2</v>
      </c>
      <c r="B6" s="7" t="inlineStr">
        <is>
          <t>May</t>
        </is>
      </c>
      <c r="C6" s="26" t="n">
        <v>0.95</v>
      </c>
      <c r="D6" s="35" t="n">
        <v>1</v>
      </c>
      <c r="E6" s="5" t="inlineStr">
        <is>
          <t>Assumption (L) | flag: Assumption</t>
        </is>
      </c>
    </row>
    <row r="7">
      <c r="A7" s="7" t="n">
        <v>3</v>
      </c>
      <c r="B7" s="7" t="inlineStr">
        <is>
          <t>Jun</t>
        </is>
      </c>
      <c r="C7" s="26" t="n">
        <v>1</v>
      </c>
      <c r="D7" s="35" t="n">
        <v>0</v>
      </c>
      <c r="E7" s="5" t="inlineStr">
        <is>
          <t>Assumption (L)</t>
        </is>
      </c>
    </row>
    <row r="8">
      <c r="A8" s="7" t="n">
        <v>4</v>
      </c>
      <c r="B8" s="7" t="inlineStr">
        <is>
          <t>Jul</t>
        </is>
      </c>
      <c r="C8" s="26" t="n">
        <v>1</v>
      </c>
      <c r="D8" s="35" t="n">
        <v>0</v>
      </c>
      <c r="E8" s="5" t="inlineStr">
        <is>
          <t>Assumption (L)</t>
        </is>
      </c>
    </row>
    <row r="9">
      <c r="A9" s="7" t="n">
        <v>5</v>
      </c>
      <c r="B9" s="7" t="inlineStr">
        <is>
          <t>Aug</t>
        </is>
      </c>
      <c r="C9" s="26" t="n">
        <v>1</v>
      </c>
      <c r="D9" s="35" t="n">
        <v>0</v>
      </c>
      <c r="E9" s="5" t="inlineStr">
        <is>
          <t>Assumption (L)</t>
        </is>
      </c>
    </row>
    <row r="10">
      <c r="A10" s="7" t="n">
        <v>6</v>
      </c>
      <c r="B10" s="7" t="inlineStr">
        <is>
          <t>Sep</t>
        </is>
      </c>
      <c r="C10" s="26" t="n">
        <v>1</v>
      </c>
      <c r="D10" s="35" t="n">
        <v>0</v>
      </c>
      <c r="E10" s="5" t="inlineStr">
        <is>
          <t>Assumption (L)</t>
        </is>
      </c>
    </row>
    <row r="11">
      <c r="A11" s="7" t="n">
        <v>7</v>
      </c>
      <c r="B11" s="7" t="inlineStr">
        <is>
          <t>Oct</t>
        </is>
      </c>
      <c r="C11" s="26" t="n">
        <v>0.98</v>
      </c>
      <c r="D11" s="35" t="n">
        <v>0</v>
      </c>
      <c r="E11" s="5" t="inlineStr">
        <is>
          <t>Assumption (L): dropouts start reducing roster</t>
        </is>
      </c>
    </row>
    <row r="12">
      <c r="A12" s="7" t="n">
        <v>8</v>
      </c>
      <c r="B12" s="7" t="inlineStr">
        <is>
          <t>Nov</t>
        </is>
      </c>
      <c r="C12" s="26" t="n">
        <v>0.96</v>
      </c>
      <c r="D12" s="35" t="n">
        <v>0</v>
      </c>
      <c r="E12" s="5" t="inlineStr">
        <is>
          <t>Assumption (L)</t>
        </is>
      </c>
    </row>
    <row r="13">
      <c r="A13" s="7" t="n">
        <v>9</v>
      </c>
      <c r="B13" s="7" t="inlineStr">
        <is>
          <t>Dec</t>
        </is>
      </c>
      <c r="C13" s="26" t="n">
        <v>0.93</v>
      </c>
      <c r="D13" s="35" t="n">
        <v>0</v>
      </c>
      <c r="E13" s="5" t="inlineStr">
        <is>
          <t>Assumption (L)</t>
        </is>
      </c>
    </row>
    <row r="14">
      <c r="A14" s="7" t="n">
        <v>10</v>
      </c>
      <c r="B14" s="7" t="inlineStr">
        <is>
          <t>Jan</t>
        </is>
      </c>
      <c r="C14" s="26" t="n">
        <v>0.85</v>
      </c>
      <c r="D14" s="35" t="n">
        <v>0</v>
      </c>
      <c r="E14" s="5" t="inlineStr">
        <is>
          <t>Assumption (L): JEE Main Jan; 12th students thin out</t>
        </is>
      </c>
    </row>
    <row r="15">
      <c r="A15" s="7" t="n">
        <v>11</v>
      </c>
      <c r="B15" s="7" t="inlineStr">
        <is>
          <t>Feb</t>
        </is>
      </c>
      <c r="C15" s="26" t="n">
        <v>0.6</v>
      </c>
      <c r="D15" s="35" t="n">
        <v>0</v>
      </c>
      <c r="E15" s="5" t="inlineStr">
        <is>
          <t>Assumption (L): board exams</t>
        </is>
      </c>
    </row>
    <row r="16">
      <c r="A16" s="7" t="n">
        <v>12</v>
      </c>
      <c r="B16" s="7" t="inlineStr">
        <is>
          <t>Mar</t>
        </is>
      </c>
      <c r="C16" s="26" t="n">
        <v>0.45</v>
      </c>
      <c r="D16" s="35" t="n">
        <v>1</v>
      </c>
      <c r="E16" s="5" t="inlineStr">
        <is>
          <t>Assumption (L): boards end; session over for 12th | flag: Assumption: post-exam churn window</t>
        </is>
      </c>
    </row>
    <row r="18">
      <c r="B18" s="7" t="inlineStr">
        <is>
          <t>Renewal months per year</t>
        </is>
      </c>
      <c r="C18" s="36">
        <f>SUM(Season_Flag)</f>
        <v/>
      </c>
    </row>
    <row r="20">
      <c r="A20" s="34" t="inlineStr">
        <is>
          <t>B. When in the course students drop out</t>
        </is>
      </c>
    </row>
    <row r="21">
      <c r="A21" s="6" t="inlineStr">
        <is>
          <t>Course month</t>
        </is>
      </c>
      <c r="B21" s="6" t="inlineStr"/>
      <c r="C21" s="6" t="inlineStr">
        <is>
          <t>Share of dropouts</t>
        </is>
      </c>
      <c r="D21" s="6" t="inlineStr">
        <is>
          <t>Share of course left</t>
        </is>
      </c>
      <c r="E21" s="6" t="inlineStr">
        <is>
          <t>Source</t>
        </is>
      </c>
    </row>
    <row r="22">
      <c r="A22" s="7" t="n">
        <v>1</v>
      </c>
      <c r="B22" s="5" t="inlineStr">
        <is>
          <t>Course month 1</t>
        </is>
      </c>
      <c r="C22" s="28" t="n">
        <v>0.15</v>
      </c>
      <c r="D22" s="37">
        <f>MAX(0,(CourseMonths-A22)/CourseMonths)</f>
        <v/>
      </c>
      <c r="E22" s="5" t="inlineStr">
        <is>
          <t>Assumption (L): R3 found no monthly data; front-loaded shape from refund windows (weeks 1-4) and case exits at months 2-4 (ThePrint 2025)</t>
        </is>
      </c>
    </row>
    <row r="23">
      <c r="A23" s="7" t="n">
        <v>2</v>
      </c>
      <c r="B23" s="5" t="inlineStr">
        <is>
          <t>Course month 2</t>
        </is>
      </c>
      <c r="C23" s="28" t="n">
        <v>0.15</v>
      </c>
      <c r="D23" s="37">
        <f>MAX(0,(CourseMonths-A23)/CourseMonths)</f>
        <v/>
      </c>
      <c r="E23" s="5" t="inlineStr">
        <is>
          <t>Assumption (L): R3 base curve</t>
        </is>
      </c>
    </row>
    <row r="24">
      <c r="A24" s="7" t="n">
        <v>3</v>
      </c>
      <c r="B24" s="5" t="inlineStr">
        <is>
          <t>Course month 3</t>
        </is>
      </c>
      <c r="C24" s="28" t="n">
        <v>0.14</v>
      </c>
      <c r="D24" s="37">
        <f>MAX(0,(CourseMonths-A24)/CourseMonths)</f>
        <v/>
      </c>
      <c r="E24" s="5" t="inlineStr">
        <is>
          <t>Assumption (L): R3 base curve</t>
        </is>
      </c>
    </row>
    <row r="25">
      <c r="A25" s="7" t="n">
        <v>4</v>
      </c>
      <c r="B25" s="5" t="inlineStr">
        <is>
          <t>Course month 4</t>
        </is>
      </c>
      <c r="C25" s="28" t="n">
        <v>0.12</v>
      </c>
      <c r="D25" s="37">
        <f>MAX(0,(CourseMonths-A25)/CourseMonths)</f>
        <v/>
      </c>
      <c r="E25" s="5" t="inlineStr">
        <is>
          <t>Assumption (L): R3 base curve</t>
        </is>
      </c>
    </row>
    <row r="26">
      <c r="A26" s="7" t="n">
        <v>5</v>
      </c>
      <c r="B26" s="5" t="inlineStr">
        <is>
          <t>Course month 5</t>
        </is>
      </c>
      <c r="C26" s="28" t="n">
        <v>0.1</v>
      </c>
      <c r="D26" s="37">
        <f>MAX(0,(CourseMonths-A26)/CourseMonths)</f>
        <v/>
      </c>
      <c r="E26" s="5" t="inlineStr">
        <is>
          <t>Assumption (L): R3 base curve</t>
        </is>
      </c>
    </row>
    <row r="27">
      <c r="A27" s="7" t="n">
        <v>6</v>
      </c>
      <c r="B27" s="5" t="inlineStr">
        <is>
          <t>Course month 6</t>
        </is>
      </c>
      <c r="C27" s="28" t="n">
        <v>0.09</v>
      </c>
      <c r="D27" s="37">
        <f>MAX(0,(CourseMonths-A27)/CourseMonths)</f>
        <v/>
      </c>
      <c r="E27" s="5" t="inlineStr">
        <is>
          <t>Assumption (L): R3 base curve</t>
        </is>
      </c>
    </row>
    <row r="28">
      <c r="A28" s="7" t="n">
        <v>7</v>
      </c>
      <c r="B28" s="5" t="inlineStr">
        <is>
          <t>Course month 7</t>
        </is>
      </c>
      <c r="C28" s="28" t="n">
        <v>0.08</v>
      </c>
      <c r="D28" s="37">
        <f>MAX(0,(CourseMonths-A28)/CourseMonths)</f>
        <v/>
      </c>
      <c r="E28" s="5" t="inlineStr">
        <is>
          <t>Assumption (L): R3 base curve</t>
        </is>
      </c>
    </row>
    <row r="29">
      <c r="A29" s="7" t="n">
        <v>8</v>
      </c>
      <c r="B29" s="5" t="inlineStr">
        <is>
          <t>Course month 8</t>
        </is>
      </c>
      <c r="C29" s="28" t="n">
        <v>0.07000000000000001</v>
      </c>
      <c r="D29" s="37">
        <f>MAX(0,(CourseMonths-A29)/CourseMonths)</f>
        <v/>
      </c>
      <c r="E29" s="5" t="inlineStr">
        <is>
          <t>Assumption (L): R3 base curve</t>
        </is>
      </c>
    </row>
    <row r="30">
      <c r="A30" s="7" t="n">
        <v>9</v>
      </c>
      <c r="B30" s="5" t="inlineStr">
        <is>
          <t>Course month 9</t>
        </is>
      </c>
      <c r="C30" s="28" t="n">
        <v>0.06</v>
      </c>
      <c r="D30" s="37">
        <f>MAX(0,(CourseMonths-A30)/CourseMonths)</f>
        <v/>
      </c>
      <c r="E30" s="5" t="inlineStr">
        <is>
          <t>Assumption (L): R3 base curve</t>
        </is>
      </c>
    </row>
    <row r="31">
      <c r="A31" s="7" t="n">
        <v>10</v>
      </c>
      <c r="B31" s="5" t="inlineStr">
        <is>
          <t>Course month 10</t>
        </is>
      </c>
      <c r="C31" s="28" t="n">
        <v>0.04</v>
      </c>
      <c r="D31" s="37">
        <f>MAX(0,(CourseMonths-A31)/CourseMonths)</f>
        <v/>
      </c>
      <c r="E31" s="5" t="inlineStr">
        <is>
          <t>Assumption (L): R3 base curve</t>
        </is>
      </c>
    </row>
    <row r="32">
      <c r="B32" s="34" t="inlineStr">
        <is>
          <t>Total (must be 100%)</t>
        </is>
      </c>
      <c r="C32" s="38">
        <f>SUM(DropTiming)</f>
        <v/>
      </c>
    </row>
    <row r="34">
      <c r="A34" s="34" t="inlineStr">
        <is>
          <t>C. Timeline for LTV: paid month t → calendar month, student index, renewal flag, discount factor</t>
        </is>
      </c>
    </row>
    <row r="36">
      <c r="A36" s="6" t="inlineStr">
        <is>
          <t>t (paid month)</t>
        </is>
      </c>
      <c r="B36" s="6" t="inlineStr">
        <is>
          <t>Calendar month #</t>
        </is>
      </c>
      <c r="C36" s="6" t="inlineStr">
        <is>
          <t>Active-student index</t>
        </is>
      </c>
      <c r="D36" s="6" t="inlineStr">
        <is>
          <t>Renewal flag</t>
        </is>
      </c>
      <c r="E36" s="6" t="inlineStr">
        <is>
          <t>Discount factor</t>
        </is>
      </c>
    </row>
    <row r="37">
      <c r="A37" s="7" t="n">
        <v>1</v>
      </c>
      <c r="B37" s="7">
        <f>MOD(StartMonth+A37-2,12)+1</f>
        <v/>
      </c>
      <c r="C37" s="39">
        <f>INDEX(Season_Idx,B37)</f>
        <v/>
      </c>
      <c r="D37" s="40">
        <f>INDEX(Season_Flag,B37)</f>
        <v/>
      </c>
      <c r="E37" s="41">
        <f>1/(1+DiscountRate)^(A37/12)</f>
        <v/>
      </c>
    </row>
    <row r="38">
      <c r="A38" s="7" t="n">
        <v>2</v>
      </c>
      <c r="B38" s="7">
        <f>MOD(StartMonth+A38-2,12)+1</f>
        <v/>
      </c>
      <c r="C38" s="39">
        <f>INDEX(Season_Idx,B38)</f>
        <v/>
      </c>
      <c r="D38" s="40">
        <f>INDEX(Season_Flag,B38)</f>
        <v/>
      </c>
      <c r="E38" s="41">
        <f>1/(1+DiscountRate)^(A38/12)</f>
        <v/>
      </c>
    </row>
    <row r="39">
      <c r="A39" s="7" t="n">
        <v>3</v>
      </c>
      <c r="B39" s="7">
        <f>MOD(StartMonth+A39-2,12)+1</f>
        <v/>
      </c>
      <c r="C39" s="39">
        <f>INDEX(Season_Idx,B39)</f>
        <v/>
      </c>
      <c r="D39" s="40">
        <f>INDEX(Season_Flag,B39)</f>
        <v/>
      </c>
      <c r="E39" s="41">
        <f>1/(1+DiscountRate)^(A39/12)</f>
        <v/>
      </c>
    </row>
    <row r="40">
      <c r="A40" s="7" t="n">
        <v>4</v>
      </c>
      <c r="B40" s="7">
        <f>MOD(StartMonth+A40-2,12)+1</f>
        <v/>
      </c>
      <c r="C40" s="39">
        <f>INDEX(Season_Idx,B40)</f>
        <v/>
      </c>
      <c r="D40" s="40">
        <f>INDEX(Season_Flag,B40)</f>
        <v/>
      </c>
      <c r="E40" s="41">
        <f>1/(1+DiscountRate)^(A40/12)</f>
        <v/>
      </c>
    </row>
    <row r="41">
      <c r="A41" s="7" t="n">
        <v>5</v>
      </c>
      <c r="B41" s="7">
        <f>MOD(StartMonth+A41-2,12)+1</f>
        <v/>
      </c>
      <c r="C41" s="39">
        <f>INDEX(Season_Idx,B41)</f>
        <v/>
      </c>
      <c r="D41" s="40">
        <f>INDEX(Season_Flag,B41)</f>
        <v/>
      </c>
      <c r="E41" s="41">
        <f>1/(1+DiscountRate)^(A41/12)</f>
        <v/>
      </c>
    </row>
    <row r="42">
      <c r="A42" s="7" t="n">
        <v>6</v>
      </c>
      <c r="B42" s="7">
        <f>MOD(StartMonth+A42-2,12)+1</f>
        <v/>
      </c>
      <c r="C42" s="39">
        <f>INDEX(Season_Idx,B42)</f>
        <v/>
      </c>
      <c r="D42" s="40">
        <f>INDEX(Season_Flag,B42)</f>
        <v/>
      </c>
      <c r="E42" s="41">
        <f>1/(1+DiscountRate)^(A42/12)</f>
        <v/>
      </c>
    </row>
    <row r="43">
      <c r="A43" s="7" t="n">
        <v>7</v>
      </c>
      <c r="B43" s="7">
        <f>MOD(StartMonth+A43-2,12)+1</f>
        <v/>
      </c>
      <c r="C43" s="39">
        <f>INDEX(Season_Idx,B43)</f>
        <v/>
      </c>
      <c r="D43" s="40">
        <f>INDEX(Season_Flag,B43)</f>
        <v/>
      </c>
      <c r="E43" s="41">
        <f>1/(1+DiscountRate)^(A43/12)</f>
        <v/>
      </c>
    </row>
    <row r="44">
      <c r="A44" s="7" t="n">
        <v>8</v>
      </c>
      <c r="B44" s="7">
        <f>MOD(StartMonth+A44-2,12)+1</f>
        <v/>
      </c>
      <c r="C44" s="39">
        <f>INDEX(Season_Idx,B44)</f>
        <v/>
      </c>
      <c r="D44" s="40">
        <f>INDEX(Season_Flag,B44)</f>
        <v/>
      </c>
      <c r="E44" s="41">
        <f>1/(1+DiscountRate)^(A44/12)</f>
        <v/>
      </c>
    </row>
    <row r="45">
      <c r="A45" s="7" t="n">
        <v>9</v>
      </c>
      <c r="B45" s="7">
        <f>MOD(StartMonth+A45-2,12)+1</f>
        <v/>
      </c>
      <c r="C45" s="39">
        <f>INDEX(Season_Idx,B45)</f>
        <v/>
      </c>
      <c r="D45" s="40">
        <f>INDEX(Season_Flag,B45)</f>
        <v/>
      </c>
      <c r="E45" s="41">
        <f>1/(1+DiscountRate)^(A45/12)</f>
        <v/>
      </c>
    </row>
    <row r="46">
      <c r="A46" s="7" t="n">
        <v>10</v>
      </c>
      <c r="B46" s="7">
        <f>MOD(StartMonth+A46-2,12)+1</f>
        <v/>
      </c>
      <c r="C46" s="39">
        <f>INDEX(Season_Idx,B46)</f>
        <v/>
      </c>
      <c r="D46" s="40">
        <f>INDEX(Season_Flag,B46)</f>
        <v/>
      </c>
      <c r="E46" s="41">
        <f>1/(1+DiscountRate)^(A46/12)</f>
        <v/>
      </c>
    </row>
    <row r="47">
      <c r="A47" s="7" t="n">
        <v>11</v>
      </c>
      <c r="B47" s="7">
        <f>MOD(StartMonth+A47-2,12)+1</f>
        <v/>
      </c>
      <c r="C47" s="39">
        <f>INDEX(Season_Idx,B47)</f>
        <v/>
      </c>
      <c r="D47" s="40">
        <f>INDEX(Season_Flag,B47)</f>
        <v/>
      </c>
      <c r="E47" s="41">
        <f>1/(1+DiscountRate)^(A47/12)</f>
        <v/>
      </c>
    </row>
    <row r="48">
      <c r="A48" s="7" t="n">
        <v>12</v>
      </c>
      <c r="B48" s="7">
        <f>MOD(StartMonth+A48-2,12)+1</f>
        <v/>
      </c>
      <c r="C48" s="39">
        <f>INDEX(Season_Idx,B48)</f>
        <v/>
      </c>
      <c r="D48" s="40">
        <f>INDEX(Season_Flag,B48)</f>
        <v/>
      </c>
      <c r="E48" s="41">
        <f>1/(1+DiscountRate)^(A48/12)</f>
        <v/>
      </c>
    </row>
    <row r="49">
      <c r="A49" s="7" t="n">
        <v>13</v>
      </c>
      <c r="B49" s="7">
        <f>MOD(StartMonth+A49-2,12)+1</f>
        <v/>
      </c>
      <c r="C49" s="39">
        <f>INDEX(Season_Idx,B49)</f>
        <v/>
      </c>
      <c r="D49" s="40">
        <f>INDEX(Season_Flag,B49)</f>
        <v/>
      </c>
      <c r="E49" s="41">
        <f>1/(1+DiscountRate)^(A49/12)</f>
        <v/>
      </c>
    </row>
    <row r="50">
      <c r="A50" s="7" t="n">
        <v>14</v>
      </c>
      <c r="B50" s="7">
        <f>MOD(StartMonth+A50-2,12)+1</f>
        <v/>
      </c>
      <c r="C50" s="39">
        <f>INDEX(Season_Idx,B50)</f>
        <v/>
      </c>
      <c r="D50" s="40">
        <f>INDEX(Season_Flag,B50)</f>
        <v/>
      </c>
      <c r="E50" s="41">
        <f>1/(1+DiscountRate)^(A50/12)</f>
        <v/>
      </c>
    </row>
    <row r="51">
      <c r="A51" s="7" t="n">
        <v>15</v>
      </c>
      <c r="B51" s="7">
        <f>MOD(StartMonth+A51-2,12)+1</f>
        <v/>
      </c>
      <c r="C51" s="39">
        <f>INDEX(Season_Idx,B51)</f>
        <v/>
      </c>
      <c r="D51" s="40">
        <f>INDEX(Season_Flag,B51)</f>
        <v/>
      </c>
      <c r="E51" s="41">
        <f>1/(1+DiscountRate)^(A51/12)</f>
        <v/>
      </c>
    </row>
    <row r="52">
      <c r="A52" s="7" t="n">
        <v>16</v>
      </c>
      <c r="B52" s="7">
        <f>MOD(StartMonth+A52-2,12)+1</f>
        <v/>
      </c>
      <c r="C52" s="39">
        <f>INDEX(Season_Idx,B52)</f>
        <v/>
      </c>
      <c r="D52" s="40">
        <f>INDEX(Season_Flag,B52)</f>
        <v/>
      </c>
      <c r="E52" s="41">
        <f>1/(1+DiscountRate)^(A52/12)</f>
        <v/>
      </c>
    </row>
    <row r="53">
      <c r="A53" s="7" t="n">
        <v>17</v>
      </c>
      <c r="B53" s="7">
        <f>MOD(StartMonth+A53-2,12)+1</f>
        <v/>
      </c>
      <c r="C53" s="39">
        <f>INDEX(Season_Idx,B53)</f>
        <v/>
      </c>
      <c r="D53" s="40">
        <f>INDEX(Season_Flag,B53)</f>
        <v/>
      </c>
      <c r="E53" s="41">
        <f>1/(1+DiscountRate)^(A53/12)</f>
        <v/>
      </c>
    </row>
    <row r="54">
      <c r="A54" s="7" t="n">
        <v>18</v>
      </c>
      <c r="B54" s="7">
        <f>MOD(StartMonth+A54-2,12)+1</f>
        <v/>
      </c>
      <c r="C54" s="39">
        <f>INDEX(Season_Idx,B54)</f>
        <v/>
      </c>
      <c r="D54" s="40">
        <f>INDEX(Season_Flag,B54)</f>
        <v/>
      </c>
      <c r="E54" s="41">
        <f>1/(1+DiscountRate)^(A54/12)</f>
        <v/>
      </c>
    </row>
    <row r="55">
      <c r="A55" s="7" t="n">
        <v>19</v>
      </c>
      <c r="B55" s="7">
        <f>MOD(StartMonth+A55-2,12)+1</f>
        <v/>
      </c>
      <c r="C55" s="39">
        <f>INDEX(Season_Idx,B55)</f>
        <v/>
      </c>
      <c r="D55" s="40">
        <f>INDEX(Season_Flag,B55)</f>
        <v/>
      </c>
      <c r="E55" s="41">
        <f>1/(1+DiscountRate)^(A55/12)</f>
        <v/>
      </c>
    </row>
    <row r="56">
      <c r="A56" s="7" t="n">
        <v>20</v>
      </c>
      <c r="B56" s="7">
        <f>MOD(StartMonth+A56-2,12)+1</f>
        <v/>
      </c>
      <c r="C56" s="39">
        <f>INDEX(Season_Idx,B56)</f>
        <v/>
      </c>
      <c r="D56" s="40">
        <f>INDEX(Season_Flag,B56)</f>
        <v/>
      </c>
      <c r="E56" s="41">
        <f>1/(1+DiscountRate)^(A56/12)</f>
        <v/>
      </c>
    </row>
    <row r="57">
      <c r="A57" s="7" t="n">
        <v>21</v>
      </c>
      <c r="B57" s="7">
        <f>MOD(StartMonth+A57-2,12)+1</f>
        <v/>
      </c>
      <c r="C57" s="39">
        <f>INDEX(Season_Idx,B57)</f>
        <v/>
      </c>
      <c r="D57" s="40">
        <f>INDEX(Season_Flag,B57)</f>
        <v/>
      </c>
      <c r="E57" s="41">
        <f>1/(1+DiscountRate)^(A57/12)</f>
        <v/>
      </c>
    </row>
    <row r="58">
      <c r="A58" s="7" t="n">
        <v>22</v>
      </c>
      <c r="B58" s="7">
        <f>MOD(StartMonth+A58-2,12)+1</f>
        <v/>
      </c>
      <c r="C58" s="39">
        <f>INDEX(Season_Idx,B58)</f>
        <v/>
      </c>
      <c r="D58" s="40">
        <f>INDEX(Season_Flag,B58)</f>
        <v/>
      </c>
      <c r="E58" s="41">
        <f>1/(1+DiscountRate)^(A58/12)</f>
        <v/>
      </c>
    </row>
    <row r="59">
      <c r="A59" s="7" t="n">
        <v>23</v>
      </c>
      <c r="B59" s="7">
        <f>MOD(StartMonth+A59-2,12)+1</f>
        <v/>
      </c>
      <c r="C59" s="39">
        <f>INDEX(Season_Idx,B59)</f>
        <v/>
      </c>
      <c r="D59" s="40">
        <f>INDEX(Season_Flag,B59)</f>
        <v/>
      </c>
      <c r="E59" s="41">
        <f>1/(1+DiscountRate)^(A59/12)</f>
        <v/>
      </c>
    </row>
    <row r="60">
      <c r="A60" s="7" t="n">
        <v>24</v>
      </c>
      <c r="B60" s="7">
        <f>MOD(StartMonth+A60-2,12)+1</f>
        <v/>
      </c>
      <c r="C60" s="39">
        <f>INDEX(Season_Idx,B60)</f>
        <v/>
      </c>
      <c r="D60" s="40">
        <f>INDEX(Season_Flag,B60)</f>
        <v/>
      </c>
      <c r="E60" s="41">
        <f>1/(1+DiscountRate)^(A60/12)</f>
        <v/>
      </c>
    </row>
    <row r="61">
      <c r="A61" s="7" t="n">
        <v>25</v>
      </c>
      <c r="B61" s="7">
        <f>MOD(StartMonth+A61-2,12)+1</f>
        <v/>
      </c>
      <c r="C61" s="39">
        <f>INDEX(Season_Idx,B61)</f>
        <v/>
      </c>
      <c r="D61" s="40">
        <f>INDEX(Season_Flag,B61)</f>
        <v/>
      </c>
      <c r="E61" s="41">
        <f>1/(1+DiscountRate)^(A61/12)</f>
        <v/>
      </c>
    </row>
    <row r="62">
      <c r="A62" s="7" t="n">
        <v>26</v>
      </c>
      <c r="B62" s="7">
        <f>MOD(StartMonth+A62-2,12)+1</f>
        <v/>
      </c>
      <c r="C62" s="39">
        <f>INDEX(Season_Idx,B62)</f>
        <v/>
      </c>
      <c r="D62" s="40">
        <f>INDEX(Season_Flag,B62)</f>
        <v/>
      </c>
      <c r="E62" s="41">
        <f>1/(1+DiscountRate)^(A62/12)</f>
        <v/>
      </c>
    </row>
    <row r="63">
      <c r="A63" s="7" t="n">
        <v>27</v>
      </c>
      <c r="B63" s="7">
        <f>MOD(StartMonth+A63-2,12)+1</f>
        <v/>
      </c>
      <c r="C63" s="39">
        <f>INDEX(Season_Idx,B63)</f>
        <v/>
      </c>
      <c r="D63" s="40">
        <f>INDEX(Season_Flag,B63)</f>
        <v/>
      </c>
      <c r="E63" s="41">
        <f>1/(1+DiscountRate)^(A63/12)</f>
        <v/>
      </c>
    </row>
    <row r="64">
      <c r="A64" s="7" t="n">
        <v>28</v>
      </c>
      <c r="B64" s="7">
        <f>MOD(StartMonth+A64-2,12)+1</f>
        <v/>
      </c>
      <c r="C64" s="39">
        <f>INDEX(Season_Idx,B64)</f>
        <v/>
      </c>
      <c r="D64" s="40">
        <f>INDEX(Season_Flag,B64)</f>
        <v/>
      </c>
      <c r="E64" s="41">
        <f>1/(1+DiscountRate)^(A64/12)</f>
        <v/>
      </c>
    </row>
    <row r="65">
      <c r="A65" s="7" t="n">
        <v>29</v>
      </c>
      <c r="B65" s="7">
        <f>MOD(StartMonth+A65-2,12)+1</f>
        <v/>
      </c>
      <c r="C65" s="39">
        <f>INDEX(Season_Idx,B65)</f>
        <v/>
      </c>
      <c r="D65" s="40">
        <f>INDEX(Season_Flag,B65)</f>
        <v/>
      </c>
      <c r="E65" s="41">
        <f>1/(1+DiscountRate)^(A65/12)</f>
        <v/>
      </c>
    </row>
    <row r="66">
      <c r="A66" s="7" t="n">
        <v>30</v>
      </c>
      <c r="B66" s="7">
        <f>MOD(StartMonth+A66-2,12)+1</f>
        <v/>
      </c>
      <c r="C66" s="39">
        <f>INDEX(Season_Idx,B66)</f>
        <v/>
      </c>
      <c r="D66" s="40">
        <f>INDEX(Season_Flag,B66)</f>
        <v/>
      </c>
      <c r="E66" s="41">
        <f>1/(1+DiscountRate)^(A66/12)</f>
        <v/>
      </c>
    </row>
    <row r="67">
      <c r="A67" s="7" t="n">
        <v>31</v>
      </c>
      <c r="B67" s="7">
        <f>MOD(StartMonth+A67-2,12)+1</f>
        <v/>
      </c>
      <c r="C67" s="39">
        <f>INDEX(Season_Idx,B67)</f>
        <v/>
      </c>
      <c r="D67" s="40">
        <f>INDEX(Season_Flag,B67)</f>
        <v/>
      </c>
      <c r="E67" s="41">
        <f>1/(1+DiscountRate)^(A67/12)</f>
        <v/>
      </c>
    </row>
    <row r="68">
      <c r="A68" s="7" t="n">
        <v>32</v>
      </c>
      <c r="B68" s="7">
        <f>MOD(StartMonth+A68-2,12)+1</f>
        <v/>
      </c>
      <c r="C68" s="39">
        <f>INDEX(Season_Idx,B68)</f>
        <v/>
      </c>
      <c r="D68" s="40">
        <f>INDEX(Season_Flag,B68)</f>
        <v/>
      </c>
      <c r="E68" s="41">
        <f>1/(1+DiscountRate)^(A68/12)</f>
        <v/>
      </c>
    </row>
    <row r="69">
      <c r="A69" s="7" t="n">
        <v>33</v>
      </c>
      <c r="B69" s="7">
        <f>MOD(StartMonth+A69-2,12)+1</f>
        <v/>
      </c>
      <c r="C69" s="39">
        <f>INDEX(Season_Idx,B69)</f>
        <v/>
      </c>
      <c r="D69" s="40">
        <f>INDEX(Season_Flag,B69)</f>
        <v/>
      </c>
      <c r="E69" s="41">
        <f>1/(1+DiscountRate)^(A69/12)</f>
        <v/>
      </c>
    </row>
    <row r="70">
      <c r="A70" s="7" t="n">
        <v>34</v>
      </c>
      <c r="B70" s="7">
        <f>MOD(StartMonth+A70-2,12)+1</f>
        <v/>
      </c>
      <c r="C70" s="39">
        <f>INDEX(Season_Idx,B70)</f>
        <v/>
      </c>
      <c r="D70" s="40">
        <f>INDEX(Season_Flag,B70)</f>
        <v/>
      </c>
      <c r="E70" s="41">
        <f>1/(1+DiscountRate)^(A70/12)</f>
        <v/>
      </c>
    </row>
    <row r="71">
      <c r="A71" s="7" t="n">
        <v>35</v>
      </c>
      <c r="B71" s="7">
        <f>MOD(StartMonth+A71-2,12)+1</f>
        <v/>
      </c>
      <c r="C71" s="39">
        <f>INDEX(Season_Idx,B71)</f>
        <v/>
      </c>
      <c r="D71" s="40">
        <f>INDEX(Season_Flag,B71)</f>
        <v/>
      </c>
      <c r="E71" s="41">
        <f>1/(1+DiscountRate)^(A71/12)</f>
        <v/>
      </c>
    </row>
    <row r="72">
      <c r="A72" s="7" t="n">
        <v>36</v>
      </c>
      <c r="B72" s="7">
        <f>MOD(StartMonth+A72-2,12)+1</f>
        <v/>
      </c>
      <c r="C72" s="39">
        <f>INDEX(Season_Idx,B72)</f>
        <v/>
      </c>
      <c r="D72" s="40">
        <f>INDEX(Season_Flag,B72)</f>
        <v/>
      </c>
      <c r="E72" s="41">
        <f>1/(1+DiscountRate)^(A72/12)</f>
        <v/>
      </c>
    </row>
    <row r="73">
      <c r="A73" s="7" t="n">
        <v>37</v>
      </c>
      <c r="B73" s="7">
        <f>MOD(StartMonth+A73-2,12)+1</f>
        <v/>
      </c>
      <c r="C73" s="39">
        <f>INDEX(Season_Idx,B73)</f>
        <v/>
      </c>
      <c r="D73" s="40">
        <f>INDEX(Season_Flag,B73)</f>
        <v/>
      </c>
      <c r="E73" s="41">
        <f>1/(1+DiscountRate)^(A73/12)</f>
        <v/>
      </c>
    </row>
    <row r="74">
      <c r="A74" s="7" t="n">
        <v>38</v>
      </c>
      <c r="B74" s="7">
        <f>MOD(StartMonth+A74-2,12)+1</f>
        <v/>
      </c>
      <c r="C74" s="39">
        <f>INDEX(Season_Idx,B74)</f>
        <v/>
      </c>
      <c r="D74" s="40">
        <f>INDEX(Season_Flag,B74)</f>
        <v/>
      </c>
      <c r="E74" s="41">
        <f>1/(1+DiscountRate)^(A74/12)</f>
        <v/>
      </c>
    </row>
    <row r="75">
      <c r="A75" s="7" t="n">
        <v>39</v>
      </c>
      <c r="B75" s="7">
        <f>MOD(StartMonth+A75-2,12)+1</f>
        <v/>
      </c>
      <c r="C75" s="39">
        <f>INDEX(Season_Idx,B75)</f>
        <v/>
      </c>
      <c r="D75" s="40">
        <f>INDEX(Season_Flag,B75)</f>
        <v/>
      </c>
      <c r="E75" s="41">
        <f>1/(1+DiscountRate)^(A75/12)</f>
        <v/>
      </c>
    </row>
    <row r="76">
      <c r="A76" s="7" t="n">
        <v>40</v>
      </c>
      <c r="B76" s="7">
        <f>MOD(StartMonth+A76-2,12)+1</f>
        <v/>
      </c>
      <c r="C76" s="39">
        <f>INDEX(Season_Idx,B76)</f>
        <v/>
      </c>
      <c r="D76" s="40">
        <f>INDEX(Season_Flag,B76)</f>
        <v/>
      </c>
      <c r="E76" s="41">
        <f>1/(1+DiscountRate)^(A76/12)</f>
        <v/>
      </c>
    </row>
    <row r="77">
      <c r="A77" s="7" t="n">
        <v>41</v>
      </c>
      <c r="B77" s="7">
        <f>MOD(StartMonth+A77-2,12)+1</f>
        <v/>
      </c>
      <c r="C77" s="39">
        <f>INDEX(Season_Idx,B77)</f>
        <v/>
      </c>
      <c r="D77" s="40">
        <f>INDEX(Season_Flag,B77)</f>
        <v/>
      </c>
      <c r="E77" s="41">
        <f>1/(1+DiscountRate)^(A77/12)</f>
        <v/>
      </c>
    </row>
    <row r="78">
      <c r="A78" s="7" t="n">
        <v>42</v>
      </c>
      <c r="B78" s="7">
        <f>MOD(StartMonth+A78-2,12)+1</f>
        <v/>
      </c>
      <c r="C78" s="39">
        <f>INDEX(Season_Idx,B78)</f>
        <v/>
      </c>
      <c r="D78" s="40">
        <f>INDEX(Season_Flag,B78)</f>
        <v/>
      </c>
      <c r="E78" s="41">
        <f>1/(1+DiscountRate)^(A78/12)</f>
        <v/>
      </c>
    </row>
    <row r="79">
      <c r="A79" s="7" t="n">
        <v>43</v>
      </c>
      <c r="B79" s="7">
        <f>MOD(StartMonth+A79-2,12)+1</f>
        <v/>
      </c>
      <c r="C79" s="39">
        <f>INDEX(Season_Idx,B79)</f>
        <v/>
      </c>
      <c r="D79" s="40">
        <f>INDEX(Season_Flag,B79)</f>
        <v/>
      </c>
      <c r="E79" s="41">
        <f>1/(1+DiscountRate)^(A79/12)</f>
        <v/>
      </c>
    </row>
    <row r="80">
      <c r="A80" s="7" t="n">
        <v>44</v>
      </c>
      <c r="B80" s="7">
        <f>MOD(StartMonth+A80-2,12)+1</f>
        <v/>
      </c>
      <c r="C80" s="39">
        <f>INDEX(Season_Idx,B80)</f>
        <v/>
      </c>
      <c r="D80" s="40">
        <f>INDEX(Season_Flag,B80)</f>
        <v/>
      </c>
      <c r="E80" s="41">
        <f>1/(1+DiscountRate)^(A80/12)</f>
        <v/>
      </c>
    </row>
    <row r="81">
      <c r="A81" s="7" t="n">
        <v>45</v>
      </c>
      <c r="B81" s="7">
        <f>MOD(StartMonth+A81-2,12)+1</f>
        <v/>
      </c>
      <c r="C81" s="39">
        <f>INDEX(Season_Idx,B81)</f>
        <v/>
      </c>
      <c r="D81" s="40">
        <f>INDEX(Season_Flag,B81)</f>
        <v/>
      </c>
      <c r="E81" s="41">
        <f>1/(1+DiscountRate)^(A81/12)</f>
        <v/>
      </c>
    </row>
    <row r="82">
      <c r="A82" s="7" t="n">
        <v>46</v>
      </c>
      <c r="B82" s="7">
        <f>MOD(StartMonth+A82-2,12)+1</f>
        <v/>
      </c>
      <c r="C82" s="39">
        <f>INDEX(Season_Idx,B82)</f>
        <v/>
      </c>
      <c r="D82" s="40">
        <f>INDEX(Season_Flag,B82)</f>
        <v/>
      </c>
      <c r="E82" s="41">
        <f>1/(1+DiscountRate)^(A82/12)</f>
        <v/>
      </c>
    </row>
    <row r="83">
      <c r="A83" s="7" t="n">
        <v>47</v>
      </c>
      <c r="B83" s="7">
        <f>MOD(StartMonth+A83-2,12)+1</f>
        <v/>
      </c>
      <c r="C83" s="39">
        <f>INDEX(Season_Idx,B83)</f>
        <v/>
      </c>
      <c r="D83" s="40">
        <f>INDEX(Season_Flag,B83)</f>
        <v/>
      </c>
      <c r="E83" s="41">
        <f>1/(1+DiscountRate)^(A83/12)</f>
        <v/>
      </c>
    </row>
    <row r="84">
      <c r="A84" s="7" t="n">
        <v>48</v>
      </c>
      <c r="B84" s="7">
        <f>MOD(StartMonth+A84-2,12)+1</f>
        <v/>
      </c>
      <c r="C84" s="39">
        <f>INDEX(Season_Idx,B84)</f>
        <v/>
      </c>
      <c r="D84" s="40">
        <f>INDEX(Season_Flag,B84)</f>
        <v/>
      </c>
      <c r="E84" s="41">
        <f>1/(1+DiscountRate)^(A84/12)</f>
        <v/>
      </c>
    </row>
    <row r="85">
      <c r="A85" s="7" t="n">
        <v>49</v>
      </c>
      <c r="B85" s="7">
        <f>MOD(StartMonth+A85-2,12)+1</f>
        <v/>
      </c>
      <c r="C85" s="39">
        <f>INDEX(Season_Idx,B85)</f>
        <v/>
      </c>
      <c r="D85" s="40">
        <f>INDEX(Season_Flag,B85)</f>
        <v/>
      </c>
      <c r="E85" s="41">
        <f>1/(1+DiscountRate)^(A85/12)</f>
        <v/>
      </c>
    </row>
    <row r="86">
      <c r="A86" s="7" t="n">
        <v>50</v>
      </c>
      <c r="B86" s="7">
        <f>MOD(StartMonth+A86-2,12)+1</f>
        <v/>
      </c>
      <c r="C86" s="39">
        <f>INDEX(Season_Idx,B86)</f>
        <v/>
      </c>
      <c r="D86" s="40">
        <f>INDEX(Season_Flag,B86)</f>
        <v/>
      </c>
      <c r="E86" s="41">
        <f>1/(1+DiscountRate)^(A86/12)</f>
        <v/>
      </c>
    </row>
    <row r="87">
      <c r="A87" s="7" t="n">
        <v>51</v>
      </c>
      <c r="B87" s="7">
        <f>MOD(StartMonth+A87-2,12)+1</f>
        <v/>
      </c>
      <c r="C87" s="39">
        <f>INDEX(Season_Idx,B87)</f>
        <v/>
      </c>
      <c r="D87" s="40">
        <f>INDEX(Season_Flag,B87)</f>
        <v/>
      </c>
      <c r="E87" s="41">
        <f>1/(1+DiscountRate)^(A87/12)</f>
        <v/>
      </c>
    </row>
    <row r="88">
      <c r="A88" s="7" t="n">
        <v>52</v>
      </c>
      <c r="B88" s="7">
        <f>MOD(StartMonth+A88-2,12)+1</f>
        <v/>
      </c>
      <c r="C88" s="39">
        <f>INDEX(Season_Idx,B88)</f>
        <v/>
      </c>
      <c r="D88" s="40">
        <f>INDEX(Season_Flag,B88)</f>
        <v/>
      </c>
      <c r="E88" s="41">
        <f>1/(1+DiscountRate)^(A88/12)</f>
        <v/>
      </c>
    </row>
    <row r="89">
      <c r="A89" s="7" t="n">
        <v>53</v>
      </c>
      <c r="B89" s="7">
        <f>MOD(StartMonth+A89-2,12)+1</f>
        <v/>
      </c>
      <c r="C89" s="39">
        <f>INDEX(Season_Idx,B89)</f>
        <v/>
      </c>
      <c r="D89" s="40">
        <f>INDEX(Season_Flag,B89)</f>
        <v/>
      </c>
      <c r="E89" s="41">
        <f>1/(1+DiscountRate)^(A89/12)</f>
        <v/>
      </c>
    </row>
    <row r="90">
      <c r="A90" s="7" t="n">
        <v>54</v>
      </c>
      <c r="B90" s="7">
        <f>MOD(StartMonth+A90-2,12)+1</f>
        <v/>
      </c>
      <c r="C90" s="39">
        <f>INDEX(Season_Idx,B90)</f>
        <v/>
      </c>
      <c r="D90" s="40">
        <f>INDEX(Season_Flag,B90)</f>
        <v/>
      </c>
      <c r="E90" s="41">
        <f>1/(1+DiscountRate)^(A90/12)</f>
        <v/>
      </c>
    </row>
    <row r="91">
      <c r="A91" s="7" t="n">
        <v>55</v>
      </c>
      <c r="B91" s="7">
        <f>MOD(StartMonth+A91-2,12)+1</f>
        <v/>
      </c>
      <c r="C91" s="39">
        <f>INDEX(Season_Idx,B91)</f>
        <v/>
      </c>
      <c r="D91" s="40">
        <f>INDEX(Season_Flag,B91)</f>
        <v/>
      </c>
      <c r="E91" s="41">
        <f>1/(1+DiscountRate)^(A91/12)</f>
        <v/>
      </c>
    </row>
    <row r="92">
      <c r="A92" s="7" t="n">
        <v>56</v>
      </c>
      <c r="B92" s="7">
        <f>MOD(StartMonth+A92-2,12)+1</f>
        <v/>
      </c>
      <c r="C92" s="39">
        <f>INDEX(Season_Idx,B92)</f>
        <v/>
      </c>
      <c r="D92" s="40">
        <f>INDEX(Season_Flag,B92)</f>
        <v/>
      </c>
      <c r="E92" s="41">
        <f>1/(1+DiscountRate)^(A92/12)</f>
        <v/>
      </c>
    </row>
    <row r="93">
      <c r="A93" s="7" t="n">
        <v>57</v>
      </c>
      <c r="B93" s="7">
        <f>MOD(StartMonth+A93-2,12)+1</f>
        <v/>
      </c>
      <c r="C93" s="39">
        <f>INDEX(Season_Idx,B93)</f>
        <v/>
      </c>
      <c r="D93" s="40">
        <f>INDEX(Season_Flag,B93)</f>
        <v/>
      </c>
      <c r="E93" s="41">
        <f>1/(1+DiscountRate)^(A93/12)</f>
        <v/>
      </c>
    </row>
    <row r="94">
      <c r="A94" s="7" t="n">
        <v>58</v>
      </c>
      <c r="B94" s="7">
        <f>MOD(StartMonth+A94-2,12)+1</f>
        <v/>
      </c>
      <c r="C94" s="39">
        <f>INDEX(Season_Idx,B94)</f>
        <v/>
      </c>
      <c r="D94" s="40">
        <f>INDEX(Season_Flag,B94)</f>
        <v/>
      </c>
      <c r="E94" s="41">
        <f>1/(1+DiscountRate)^(A94/12)</f>
        <v/>
      </c>
    </row>
    <row r="95">
      <c r="A95" s="7" t="n">
        <v>59</v>
      </c>
      <c r="B95" s="7">
        <f>MOD(StartMonth+A95-2,12)+1</f>
        <v/>
      </c>
      <c r="C95" s="39">
        <f>INDEX(Season_Idx,B95)</f>
        <v/>
      </c>
      <c r="D95" s="40">
        <f>INDEX(Season_Flag,B95)</f>
        <v/>
      </c>
      <c r="E95" s="41">
        <f>1/(1+DiscountRate)^(A95/12)</f>
        <v/>
      </c>
    </row>
    <row r="96">
      <c r="A96" s="7" t="n">
        <v>60</v>
      </c>
      <c r="B96" s="7">
        <f>MOD(StartMonth+A96-2,12)+1</f>
        <v/>
      </c>
      <c r="C96" s="39">
        <f>INDEX(Season_Idx,B96)</f>
        <v/>
      </c>
      <c r="D96" s="40">
        <f>INDEX(Season_Flag,B96)</f>
        <v/>
      </c>
      <c r="E96" s="41">
        <f>1/(1+DiscountRate)^(A96/12)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20" customWidth="1" min="3" max="3"/>
    <col width="50" customWidth="1" min="4" max="4"/>
  </cols>
  <sheetData>
    <row r="1">
      <c r="A1" s="1" t="inlineStr">
        <is>
          <t>Pricing — list price, discounts, realised price</t>
        </is>
      </c>
    </row>
    <row r="2">
      <c r="A2" s="2" t="inlineStr">
        <is>
          <t>Green = linked input · black = formula · green fill = output used elsewhere</t>
        </is>
      </c>
    </row>
    <row r="4">
      <c r="A4" s="6" t="inlineStr"/>
      <c r="B4" s="6" t="inlineStr">
        <is>
          <t>Item</t>
        </is>
      </c>
      <c r="C4" s="6" t="inlineStr">
        <is>
          <t>Unit</t>
        </is>
      </c>
      <c r="D4" s="6" t="inlineStr">
        <is>
          <t>LIVE</t>
        </is>
      </c>
    </row>
    <row r="5">
      <c r="A5" s="21" t="n"/>
      <c r="B5" s="20" t="inlineStr">
        <is>
          <t>Inputs (from Assumptions)</t>
        </is>
      </c>
      <c r="C5" s="21" t="n"/>
      <c r="D5" s="21" t="n"/>
    </row>
    <row r="6">
      <c r="B6" s="7" t="inlineStr">
        <is>
          <t>List price per active student per month</t>
        </is>
      </c>
      <c r="C6" s="5" t="inlineStr">
        <is>
          <t>Rs/student/month</t>
        </is>
      </c>
      <c r="D6" s="42">
        <f>ListPrice</f>
        <v/>
      </c>
    </row>
    <row r="7">
      <c r="B7" s="7" t="inlineStr">
        <is>
          <t>Minimum monthly fee per institute</t>
        </is>
      </c>
      <c r="C7" s="5" t="inlineStr">
        <is>
          <t>Rs/month</t>
        </is>
      </c>
      <c r="D7" s="42">
        <f>MinFee</f>
        <v/>
      </c>
    </row>
    <row r="8">
      <c r="B8" s="7" t="inlineStr">
        <is>
          <t>Average negotiated discount off list</t>
        </is>
      </c>
      <c r="C8" s="5" t="inlineStr">
        <is>
          <t>%</t>
        </is>
      </c>
      <c r="D8" s="43">
        <f>NegotiationDisc</f>
        <v/>
      </c>
    </row>
    <row r="9">
      <c r="B9" s="7" t="inlineStr">
        <is>
          <t>Share of institutes choosing annual prepay</t>
        </is>
      </c>
      <c r="C9" s="5" t="inlineStr">
        <is>
          <t>%</t>
        </is>
      </c>
      <c r="D9" s="43">
        <f>PrepayUptake</f>
        <v/>
      </c>
    </row>
    <row r="10">
      <c r="B10" s="7" t="inlineStr">
        <is>
          <t>Annual prepay discount</t>
        </is>
      </c>
      <c r="C10" s="5" t="inlineStr">
        <is>
          <t>%</t>
        </is>
      </c>
      <c r="D10" s="43">
        <f>PrepayDisc</f>
        <v/>
      </c>
    </row>
    <row r="11">
      <c r="B11" s="7" t="inlineStr">
        <is>
          <t>GST on SaaS</t>
        </is>
      </c>
      <c r="C11" s="5" t="inlineStr">
        <is>
          <t>%</t>
        </is>
      </c>
      <c r="D11" s="43">
        <f>GST</f>
        <v/>
      </c>
    </row>
    <row r="12">
      <c r="A12" s="21" t="n"/>
      <c r="B12" s="20" t="inlineStr">
        <is>
          <t>Realised price</t>
        </is>
      </c>
      <c r="C12" s="21" t="n"/>
      <c r="D12" s="21" t="n"/>
    </row>
    <row r="13">
      <c r="B13" s="7" t="inlineStr">
        <is>
          <t>Effective discount = negotiation + prepay uptake × prepay discount</t>
        </is>
      </c>
      <c r="C13" s="5" t="inlineStr">
        <is>
          <t>%</t>
        </is>
      </c>
      <c r="D13" s="38">
        <f>D8+D9*D10</f>
        <v/>
      </c>
    </row>
    <row r="14">
      <c r="B14" s="7" t="inlineStr">
        <is>
          <t>Realised price per student-month (ex-GST)</t>
        </is>
      </c>
      <c r="C14" s="5" t="inlineStr">
        <is>
          <t>₹/student/month</t>
        </is>
      </c>
      <c r="D14" s="44">
        <f>D6*(1-D13)</f>
        <v/>
      </c>
    </row>
    <row r="15">
      <c r="B15" s="7" t="inlineStr">
        <is>
          <t>Price the owner feels (incl. GST)</t>
        </is>
      </c>
      <c r="C15" s="5" t="inlineStr">
        <is>
          <t>₹/student/month</t>
        </is>
      </c>
      <c r="D15" s="45">
        <f>D14*(1+D11)</f>
        <v/>
      </c>
    </row>
    <row r="16">
      <c r="B16" s="7" t="inlineStr">
        <is>
          <t>What institutes already pay for an ERP/LMS</t>
        </is>
      </c>
      <c r="C16" s="5" t="inlineStr">
        <is>
          <t>Rs/student/month</t>
        </is>
      </c>
      <c r="D16" s="46">
        <f>CompetitorAnchor</f>
        <v/>
      </c>
    </row>
    <row r="17">
      <c r="B17" s="7" t="inlineStr">
        <is>
          <t>Our realised price ÷ what institutes already pay for an ERP/LMS</t>
        </is>
      </c>
      <c r="C17" s="5" t="inlineStr">
        <is>
          <t>x</t>
        </is>
      </c>
      <c r="D17" s="47">
        <f>IF(D16&gt;0,D14/D16,0)</f>
        <v/>
      </c>
    </row>
    <row r="20">
      <c r="A20" s="34" t="inlineStr">
        <is>
          <t>Packaging (for the deck; Pro price is the model's list price)</t>
        </is>
      </c>
    </row>
    <row r="21">
      <c r="A21" s="6" t="inlineStr">
        <is>
          <t>Tier</t>
        </is>
      </c>
      <c r="B21" s="6" t="inlineStr">
        <is>
          <t>Contents</t>
        </is>
      </c>
      <c r="C21" s="6" t="inlineStr">
        <is>
          <t>Price</t>
        </is>
      </c>
      <c r="D21" s="6" t="inlineStr">
        <is>
          <t>Role</t>
        </is>
      </c>
    </row>
    <row r="22">
      <c r="A22" s="3" t="inlineStr">
        <is>
          <t>Starter</t>
        </is>
      </c>
      <c r="B22" s="7" t="inlineStr">
        <is>
          <t>CSV / OMR upload, test-level reports, 1 batch</t>
        </is>
      </c>
      <c r="C22" s="48" t="n">
        <v>0</v>
      </c>
      <c r="D22" s="5" t="inlineStr">
        <is>
          <t>Free — lead generation, data on-ramp</t>
        </is>
      </c>
    </row>
    <row r="23">
      <c r="A23" s="3" t="inlineStr">
        <is>
          <t>Pro (core)</t>
        </is>
      </c>
      <c r="B23" s="7" t="inlineStr">
        <is>
          <t>Topic heatmap, at-risk list with reasons, template parent reports</t>
        </is>
      </c>
      <c r="C23" s="48">
        <f>ListPrice</f>
        <v/>
      </c>
      <c r="D23" s="5" t="inlineStr">
        <is>
          <t>Core paid plan, ₹/active student/month, min fee applies</t>
        </is>
      </c>
    </row>
    <row r="24">
      <c r="A24" s="3" t="inlineStr">
        <is>
          <t>Premium (AI)</t>
        </is>
      </c>
      <c r="B24" s="7" t="inlineStr">
        <is>
          <t>GenAI Hindi/English parent reports on WhatsApp, percentile band, study plans</t>
        </is>
      </c>
      <c r="C24" s="48" t="inlineStr">
        <is>
          <t>Pro + add-on</t>
        </is>
      </c>
      <c r="D24" s="5" t="inlineStr">
        <is>
          <t>Upsell — NOT in base revenue until priced by research</t>
        </is>
      </c>
    </row>
    <row r="25">
      <c r="A25" s="3" t="inlineStr">
        <is>
          <t>Annual plan</t>
        </is>
      </c>
      <c r="B25" s="7" t="inlineStr">
        <is>
          <t>Pro billed yearly upfront</t>
        </is>
      </c>
      <c r="C25" s="48">
        <f>ListPrice*(1-PrepayDisc)</f>
        <v/>
      </c>
      <c r="D25" s="5" t="inlineStr">
        <is>
          <t>Cash up front, lower churn at renewal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20" customWidth="1" min="3" max="3"/>
    <col width="14" customWidth="1" min="4" max="4"/>
  </cols>
  <sheetData>
    <row r="1">
      <c r="A1" s="1" t="inlineStr">
        <is>
          <t>COGS build-up — cost to serve one student (must match TECH_PLAN §16 / NB09)</t>
        </is>
      </c>
    </row>
    <row r="2">
      <c r="A2" s="2" t="inlineStr">
        <is>
          <t>Mid-segment size used for the all-in figure. Tech plan target band: ₹3–10 per student-month.</t>
        </is>
      </c>
    </row>
    <row r="4">
      <c r="A4" s="6" t="inlineStr"/>
      <c r="B4" s="6" t="inlineStr">
        <is>
          <t>Item</t>
        </is>
      </c>
      <c r="C4" s="6" t="inlineStr">
        <is>
          <t>Unit</t>
        </is>
      </c>
      <c r="D4" s="6" t="inlineStr">
        <is>
          <t>LIVE</t>
        </is>
      </c>
    </row>
    <row r="5">
      <c r="A5" s="21" t="n"/>
      <c r="B5" s="20" t="inlineStr">
        <is>
          <t>Inputs (from Assumptions)</t>
        </is>
      </c>
      <c r="C5" s="21" t="n"/>
      <c r="D5" s="21" t="n"/>
    </row>
    <row r="6">
      <c r="B6" s="7" t="inlineStr">
        <is>
          <t>AI parent reports per student per month</t>
        </is>
      </c>
      <c r="C6" s="5" t="inlineStr">
        <is>
          <t>reports</t>
        </is>
      </c>
      <c r="D6" s="49">
        <f>ReportsPerStudentMonth</f>
        <v/>
      </c>
    </row>
    <row r="7">
      <c r="B7" s="7" t="inlineStr">
        <is>
          <t>LLM input tokens per report</t>
        </is>
      </c>
      <c r="C7" s="5" t="inlineStr">
        <is>
          <t>tokens</t>
        </is>
      </c>
      <c r="D7" s="49">
        <f>TokensInPerReport</f>
        <v/>
      </c>
    </row>
    <row r="8">
      <c r="B8" s="7" t="inlineStr">
        <is>
          <t>LLM output tokens per report</t>
        </is>
      </c>
      <c r="C8" s="5" t="inlineStr">
        <is>
          <t>tokens</t>
        </is>
      </c>
      <c r="D8" s="49">
        <f>TokensOutPerReport</f>
        <v/>
      </c>
    </row>
    <row r="9">
      <c r="B9" s="7" t="inlineStr">
        <is>
          <t>LLM input price (hosted)</t>
        </is>
      </c>
      <c r="C9" s="5" t="inlineStr">
        <is>
          <t>Rs per 1M tokens</t>
        </is>
      </c>
      <c r="D9" s="46">
        <f>LLMPriceIn</f>
        <v/>
      </c>
    </row>
    <row r="10">
      <c r="B10" s="7" t="inlineStr">
        <is>
          <t>LLM output price (hosted)</t>
        </is>
      </c>
      <c r="C10" s="5" t="inlineStr">
        <is>
          <t>Rs per 1M tokens</t>
        </is>
      </c>
      <c r="D10" s="46">
        <f>LLMPriceOut</f>
        <v/>
      </c>
    </row>
    <row r="11">
      <c r="B11" s="7" t="inlineStr">
        <is>
          <t>WhatsApp utility messages per student per month</t>
        </is>
      </c>
      <c r="C11" s="5" t="inlineStr">
        <is>
          <t>messages</t>
        </is>
      </c>
      <c r="D11" s="49">
        <f>WAMsgsPerStudentMonth</f>
        <v/>
      </c>
    </row>
    <row r="12">
      <c r="B12" s="7" t="inlineStr">
        <is>
          <t>WhatsApp utility message price (India)</t>
        </is>
      </c>
      <c r="C12" s="5" t="inlineStr">
        <is>
          <t>Rs/message</t>
        </is>
      </c>
      <c r="D12" s="46">
        <f>WAPricePerMsg</f>
        <v/>
      </c>
    </row>
    <row r="13">
      <c r="B13" s="7" t="inlineStr">
        <is>
          <t>Compute + storage + backups per student</t>
        </is>
      </c>
      <c r="C13" s="5" t="inlineStr">
        <is>
          <t>Rs/student/month</t>
        </is>
      </c>
      <c r="D13" s="46">
        <f>ComputePerStudentMonth</f>
        <v/>
      </c>
    </row>
    <row r="14">
      <c r="B14" s="7" t="inlineStr">
        <is>
          <t>Consent OTP + verification per student</t>
        </is>
      </c>
      <c r="C14" s="5" t="inlineStr">
        <is>
          <t>Rs/student/yr</t>
        </is>
      </c>
      <c r="D14" s="46">
        <f>ConsentCostPerStudentYear</f>
        <v/>
      </c>
    </row>
    <row r="15">
      <c r="B15" s="7" t="inlineStr">
        <is>
          <t>App server + managed Postgres + backups per stack</t>
        </is>
      </c>
      <c r="C15" s="5" t="inlineStr">
        <is>
          <t>Rs/month</t>
        </is>
      </c>
      <c r="D15" s="42">
        <f>ServerCostMonth</f>
        <v/>
      </c>
    </row>
    <row r="16">
      <c r="B16" s="7" t="inlineStr">
        <is>
          <t>WhatsApp BSP platform fee per stack</t>
        </is>
      </c>
      <c r="C16" s="5" t="inlineStr">
        <is>
          <t>Rs/month</t>
        </is>
      </c>
      <c r="D16" s="42">
        <f>BSPFeeMonth</f>
        <v/>
      </c>
    </row>
    <row r="17">
      <c r="B17" s="7" t="inlineStr">
        <is>
          <t>Institutes sharing one server stack</t>
        </is>
      </c>
      <c r="C17" s="5" t="inlineStr">
        <is>
          <t>institutes</t>
        </is>
      </c>
      <c r="D17" s="49">
        <f>InstPerStack</f>
        <v/>
      </c>
    </row>
    <row r="18">
      <c r="B18" s="7" t="inlineStr">
        <is>
          <t>DPDP compliance cost per institute</t>
        </is>
      </c>
      <c r="C18" s="5" t="inlineStr">
        <is>
          <t>Rs/month</t>
        </is>
      </c>
      <c r="D18" s="42">
        <f>CompliancePerInstMonth</f>
        <v/>
      </c>
    </row>
    <row r="19">
      <c r="B19" s="7" t="inlineStr">
        <is>
          <t>Students per institute</t>
        </is>
      </c>
      <c r="C19" s="5" t="inlineStr">
        <is>
          <t>students</t>
        </is>
      </c>
      <c r="D19" s="49">
        <f>Students_M</f>
        <v/>
      </c>
    </row>
    <row r="20">
      <c r="A20" s="21" t="n"/>
      <c r="B20" s="20" t="inlineStr">
        <is>
          <t>Variable cost per active student per month</t>
        </is>
      </c>
      <c r="C20" s="21" t="n"/>
      <c r="D20" s="21" t="n"/>
    </row>
    <row r="21">
      <c r="B21" s="7" t="inlineStr">
        <is>
          <t>LLM (AI parent reports, hosted model)</t>
        </is>
      </c>
      <c r="C21" s="5" t="inlineStr">
        <is>
          <t>₹/student/month</t>
        </is>
      </c>
      <c r="D21" s="45">
        <f>D6*(D7*D9+D8*D10)/1000000</f>
        <v/>
      </c>
    </row>
    <row r="22">
      <c r="B22" s="7" t="inlineStr">
        <is>
          <t>WhatsApp utility messages</t>
        </is>
      </c>
      <c r="C22" s="5" t="inlineStr">
        <is>
          <t>₹/student/month</t>
        </is>
      </c>
      <c r="D22" s="45">
        <f>D11*D12</f>
        <v/>
      </c>
    </row>
    <row r="23">
      <c r="B23" s="7" t="inlineStr">
        <is>
          <t>Compute + storage + backups</t>
        </is>
      </c>
      <c r="C23" s="5" t="inlineStr">
        <is>
          <t>₹/student/month</t>
        </is>
      </c>
      <c r="D23" s="45">
        <f>D13</f>
        <v/>
      </c>
    </row>
    <row r="24">
      <c r="B24" s="7" t="inlineStr">
        <is>
          <t>Consent OTP / verification (annual ÷ 12)</t>
        </is>
      </c>
      <c r="C24" s="5" t="inlineStr">
        <is>
          <t>₹/student/month</t>
        </is>
      </c>
      <c r="D24" s="45">
        <f>D14/12</f>
        <v/>
      </c>
    </row>
    <row r="25">
      <c r="B25" s="7" t="inlineStr">
        <is>
          <t>Total variable COGS per student-month</t>
        </is>
      </c>
      <c r="C25" s="5" t="inlineStr">
        <is>
          <t>₹/student/month</t>
        </is>
      </c>
      <c r="D25" s="44">
        <f>SUM(D21:D24)</f>
        <v/>
      </c>
    </row>
    <row r="26">
      <c r="A26" s="21" t="n"/>
      <c r="B26" s="20" t="inlineStr">
        <is>
          <t>Fixed cost per institute per month</t>
        </is>
      </c>
      <c r="C26" s="21" t="n"/>
      <c r="D26" s="21" t="n"/>
    </row>
    <row r="27">
      <c r="B27" s="7" t="inlineStr">
        <is>
          <t>Hosting share = (server + DB + WhatsApp BSP fee) ÷ institutes per stack</t>
        </is>
      </c>
      <c r="C27" s="5" t="inlineStr">
        <is>
          <t>₹/institute/month</t>
        </is>
      </c>
      <c r="D27" s="48">
        <f>(D15+D16)/D17</f>
        <v/>
      </c>
    </row>
    <row r="28">
      <c r="B28" s="7" t="inlineStr">
        <is>
          <t>Hosting share + DPDP compliance</t>
        </is>
      </c>
      <c r="C28" s="5" t="inlineStr">
        <is>
          <t>₹/institute/month</t>
        </is>
      </c>
      <c r="D28" s="50">
        <f>D27+D18</f>
        <v/>
      </c>
    </row>
    <row r="29">
      <c r="B29" s="7" t="inlineStr">
        <is>
          <t>All-in COGS per student-month at this size</t>
        </is>
      </c>
      <c r="C29" s="5" t="inlineStr">
        <is>
          <t>₹/student/month</t>
        </is>
      </c>
      <c r="D29" s="44">
        <f>D25+D28/D19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0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Institute ROI — does it pay for the owner? (per segment, live scenario)</t>
        </is>
      </c>
    </row>
    <row r="2">
      <c r="A2" s="2" t="inlineStr">
        <is>
          <t>Same price and same dropout funnel as Unit_Econ. Green fill = key outputs.</t>
        </is>
      </c>
    </row>
    <row r="4">
      <c r="A4" s="6" t="inlineStr"/>
      <c r="B4" s="6" t="inlineStr">
        <is>
          <t>Line</t>
        </is>
      </c>
      <c r="C4" s="6" t="inlineStr">
        <is>
          <t>Unit</t>
        </is>
      </c>
      <c r="D4" s="6" t="inlineStr">
        <is>
          <t>Small (&lt;250)</t>
        </is>
      </c>
      <c r="E4" s="6" t="inlineStr">
        <is>
          <t>Mid (250-800)</t>
        </is>
      </c>
      <c r="F4" s="6" t="inlineStr">
        <is>
          <t>Large (&gt;800)</t>
        </is>
      </c>
    </row>
    <row r="5">
      <c r="A5" s="21" t="n"/>
      <c r="B5" s="20" t="inlineStr">
        <is>
          <t>Inputs (from Assumptions / Pricing)</t>
        </is>
      </c>
      <c r="C5" s="21" t="n"/>
      <c r="D5" s="21" t="n"/>
      <c r="E5" s="21" t="n"/>
      <c r="F5" s="21" t="n"/>
    </row>
    <row r="6">
      <c r="B6" s="7" t="inlineStr">
        <is>
          <t>Students per institute</t>
        </is>
      </c>
      <c r="C6" s="5" t="inlineStr">
        <is>
          <t>students</t>
        </is>
      </c>
      <c r="D6" s="49">
        <f>Students_S</f>
        <v/>
      </c>
      <c r="E6" s="49">
        <f>Students_M</f>
        <v/>
      </c>
      <c r="F6" s="49">
        <f>Students_L</f>
        <v/>
      </c>
    </row>
    <row r="7">
      <c r="B7" s="7" t="inlineStr">
        <is>
          <t>Annual fee per student</t>
        </is>
      </c>
      <c r="C7" s="5" t="inlineStr">
        <is>
          <t>Rs/yr</t>
        </is>
      </c>
      <c r="D7" s="42">
        <f>Fee_S</f>
        <v/>
      </c>
      <c r="E7" s="42">
        <f>Fee_M</f>
        <v/>
      </c>
      <c r="F7" s="42">
        <f>Fee_L</f>
        <v/>
      </c>
    </row>
    <row r="8">
      <c r="B8" s="7" t="inlineStr">
        <is>
          <t>Mid-session dropout/default rate</t>
        </is>
      </c>
      <c r="C8" s="5" t="inlineStr">
        <is>
          <t>% of students/yr</t>
        </is>
      </c>
      <c r="D8" s="43">
        <f>DropoutRate</f>
        <v/>
      </c>
      <c r="E8" s="43">
        <f>DropoutRate</f>
        <v/>
      </c>
      <c r="F8" s="43">
        <f>DropoutRate</f>
        <v/>
      </c>
    </row>
    <row r="9">
      <c r="B9" s="7" t="inlineStr">
        <is>
          <t>Share of students paying full fee upfront</t>
        </is>
      </c>
      <c r="C9" s="5" t="inlineStr">
        <is>
          <t>%</t>
        </is>
      </c>
      <c r="D9" s="43">
        <f>UpfrontShare</f>
        <v/>
      </c>
      <c r="E9" s="43">
        <f>UpfrontShare</f>
        <v/>
      </c>
      <c r="F9" s="43">
        <f>UpfrontShare</f>
        <v/>
      </c>
    </row>
    <row r="10">
      <c r="B10" s="7" t="inlineStr">
        <is>
          <t>Instalments per year for non-upfront payers</t>
        </is>
      </c>
      <c r="C10" s="5" t="inlineStr">
        <is>
          <t>count</t>
        </is>
      </c>
      <c r="D10" s="49">
        <f>NInstalments</f>
        <v/>
      </c>
      <c r="E10" s="49">
        <f>NInstalments</f>
        <v/>
      </c>
      <c r="F10" s="49">
        <f>NInstalments</f>
        <v/>
      </c>
    </row>
    <row r="11">
      <c r="B11" s="7" t="inlineStr">
        <is>
          <t>Share of upfront leavers actually refunded pro-rata</t>
        </is>
      </c>
      <c r="C11" s="5" t="inlineStr">
        <is>
          <t>%</t>
        </is>
      </c>
      <c r="D11" s="43">
        <f>RefundEnforced</f>
        <v/>
      </c>
      <c r="E11" s="43">
        <f>RefundEnforced</f>
        <v/>
      </c>
      <c r="F11" s="43">
        <f>RefundEnforced</f>
        <v/>
      </c>
    </row>
    <row r="12">
      <c r="B12" s="7" t="inlineStr">
        <is>
          <t>Months before the model can flag (no test data yet)</t>
        </is>
      </c>
      <c r="C12" s="5" t="inlineStr">
        <is>
          <t>months</t>
        </is>
      </c>
      <c r="D12" s="49">
        <f>BlindMonths</f>
        <v/>
      </c>
      <c r="E12" s="49">
        <f>BlindMonths</f>
        <v/>
      </c>
      <c r="F12" s="49">
        <f>BlindMonths</f>
        <v/>
      </c>
    </row>
    <row r="13">
      <c r="B13" s="7" t="inlineStr">
        <is>
          <t>Share of students under 18</t>
        </is>
      </c>
      <c r="C13" s="5" t="inlineStr">
        <is>
          <t>%</t>
        </is>
      </c>
      <c r="D13" s="43">
        <f>MinorShare</f>
        <v/>
      </c>
      <c r="E13" s="43">
        <f>MinorShare</f>
        <v/>
      </c>
      <c r="F13" s="43">
        <f>MinorShare</f>
        <v/>
      </c>
    </row>
    <row r="14">
      <c r="B14" s="7" t="inlineStr">
        <is>
          <t>Model recall on minors (academic-support + rules)</t>
        </is>
      </c>
      <c r="C14" s="5" t="inlineStr">
        <is>
          <t>%</t>
        </is>
      </c>
      <c r="D14" s="43">
        <f>Recall_Minor</f>
        <v/>
      </c>
      <c r="E14" s="43">
        <f>Recall_Minor</f>
        <v/>
      </c>
      <c r="F14" s="43">
        <f>Recall_Minor</f>
        <v/>
      </c>
    </row>
    <row r="15">
      <c r="B15" s="7" t="inlineStr">
        <is>
          <t>Model recall on 18+ (full ML)</t>
        </is>
      </c>
      <c r="C15" s="5" t="inlineStr">
        <is>
          <t>%</t>
        </is>
      </c>
      <c r="D15" s="43">
        <f>Recall_Adult</f>
        <v/>
      </c>
      <c r="E15" s="43">
        <f>Recall_Adult</f>
        <v/>
      </c>
      <c r="F15" s="43">
        <f>Recall_Adult</f>
        <v/>
      </c>
    </row>
    <row r="16">
      <c r="B16" s="7" t="inlineStr">
        <is>
          <t>Precision of at-risk flag</t>
        </is>
      </c>
      <c r="C16" s="5" t="inlineStr">
        <is>
          <t>%</t>
        </is>
      </c>
      <c r="D16" s="43">
        <f>Precision</f>
        <v/>
      </c>
      <c r="E16" s="43">
        <f>Precision</f>
        <v/>
      </c>
      <c r="F16" s="43">
        <f>Precision</f>
        <v/>
      </c>
    </row>
    <row r="17">
      <c r="B17" s="7" t="inlineStr">
        <is>
          <t>Share of flags the institute assigns to outreach</t>
        </is>
      </c>
      <c r="C17" s="5" t="inlineStr">
        <is>
          <t>%</t>
        </is>
      </c>
      <c r="D17" s="43">
        <f>ActionRate</f>
        <v/>
      </c>
      <c r="E17" s="43">
        <f>ActionRate</f>
        <v/>
      </c>
      <c r="F17" s="43">
        <f>ActionRate</f>
        <v/>
      </c>
    </row>
    <row r="18">
      <c r="B18" s="7" t="inlineStr">
        <is>
          <t>Dropout reduction among flagged students given outreach (RCT)</t>
        </is>
      </c>
      <c r="C18" s="5" t="inlineStr">
        <is>
          <t>relative %</t>
        </is>
      </c>
      <c r="D18" s="43">
        <f>InterventionSuccess</f>
        <v/>
      </c>
      <c r="E18" s="43">
        <f>InterventionSuccess</f>
        <v/>
      </c>
      <c r="F18" s="43">
        <f>InterventionSuccess</f>
        <v/>
      </c>
    </row>
    <row r="19">
      <c r="B19" s="7" t="inlineStr">
        <is>
          <t>Admissions uplift next session from results/parent trust</t>
        </is>
      </c>
      <c r="C19" s="5" t="inlineStr">
        <is>
          <t>% of students</t>
        </is>
      </c>
      <c r="D19" s="43">
        <f>AdmissionUplift</f>
        <v/>
      </c>
      <c r="E19" s="43">
        <f>AdmissionUplift</f>
        <v/>
      </c>
      <c r="F19" s="43">
        <f>AdmissionUplift</f>
        <v/>
      </c>
    </row>
    <row r="20">
      <c r="B20" s="7" t="inlineStr">
        <is>
          <t>Institute margin on one extra admission</t>
        </is>
      </c>
      <c r="C20" s="5" t="inlineStr">
        <is>
          <t>%</t>
        </is>
      </c>
      <c r="D20" s="43">
        <f>MarginExtraAdmission</f>
        <v/>
      </c>
      <c r="E20" s="43">
        <f>MarginExtraAdmission</f>
        <v/>
      </c>
      <c r="F20" s="43">
        <f>MarginExtraAdmission</f>
        <v/>
      </c>
    </row>
    <row r="21">
      <c r="B21" s="7" t="inlineStr">
        <is>
          <t>Staff hours saved per month</t>
        </is>
      </c>
      <c r="C21" s="5" t="inlineStr">
        <is>
          <t>hours/month</t>
        </is>
      </c>
      <c r="D21" s="49">
        <f>StaffHoursSaved</f>
        <v/>
      </c>
      <c r="E21" s="49">
        <f>StaffHoursSaved</f>
        <v/>
      </c>
      <c r="F21" s="49">
        <f>StaffHoursSaved</f>
        <v/>
      </c>
    </row>
    <row r="22">
      <c r="B22" s="7" t="inlineStr">
        <is>
          <t>Cost of one admin staff hour</t>
        </is>
      </c>
      <c r="C22" s="5" t="inlineStr">
        <is>
          <t>Rs/hour</t>
        </is>
      </c>
      <c r="D22" s="42">
        <f>StaffHourCost</f>
        <v/>
      </c>
      <c r="E22" s="42">
        <f>StaffHourCost</f>
        <v/>
      </c>
      <c r="F22" s="42">
        <f>StaffHourCost</f>
        <v/>
      </c>
    </row>
    <row r="23">
      <c r="B23" s="7" t="inlineStr">
        <is>
          <t>Mentor minutes per intervention</t>
        </is>
      </c>
      <c r="C23" s="5" t="inlineStr">
        <is>
          <t>minutes</t>
        </is>
      </c>
      <c r="D23" s="49">
        <f>InterventionMinutes</f>
        <v/>
      </c>
      <c r="E23" s="49">
        <f>InterventionMinutes</f>
        <v/>
      </c>
      <c r="F23" s="49">
        <f>InterventionMinutes</f>
        <v/>
      </c>
    </row>
    <row r="24">
      <c r="B24" s="7" t="inlineStr">
        <is>
          <t>Cost of one mentor hour</t>
        </is>
      </c>
      <c r="C24" s="5" t="inlineStr">
        <is>
          <t>Rs/hour</t>
        </is>
      </c>
      <c r="D24" s="42">
        <f>MentorHourCost</f>
        <v/>
      </c>
      <c r="E24" s="42">
        <f>MentorHourCost</f>
        <v/>
      </c>
      <c r="F24" s="42">
        <f>MentorHourCost</f>
        <v/>
      </c>
    </row>
    <row r="25">
      <c r="B25" s="7" t="inlineStr">
        <is>
          <t>List price per active student per month</t>
        </is>
      </c>
      <c r="C25" s="5" t="inlineStr">
        <is>
          <t>Rs/student/month</t>
        </is>
      </c>
      <c r="D25" s="42">
        <f>ListPrice</f>
        <v/>
      </c>
      <c r="E25" s="42">
        <f>ListPrice</f>
        <v/>
      </c>
      <c r="F25" s="42">
        <f>ListPrice</f>
        <v/>
      </c>
    </row>
    <row r="26">
      <c r="B26" s="7" t="inlineStr">
        <is>
          <t>Minimum monthly fee per institute</t>
        </is>
      </c>
      <c r="C26" s="5" t="inlineStr">
        <is>
          <t>Rs/month</t>
        </is>
      </c>
      <c r="D26" s="42">
        <f>MinFee</f>
        <v/>
      </c>
      <c r="E26" s="42">
        <f>MinFee</f>
        <v/>
      </c>
      <c r="F26" s="42">
        <f>MinFee</f>
        <v/>
      </c>
    </row>
    <row r="27">
      <c r="B27" s="7" t="inlineStr">
        <is>
          <t>GST on SaaS</t>
        </is>
      </c>
      <c r="C27" s="5" t="inlineStr">
        <is>
          <t>%</t>
        </is>
      </c>
      <c r="D27" s="43">
        <f>GST</f>
        <v/>
      </c>
      <c r="E27" s="43">
        <f>GST</f>
        <v/>
      </c>
      <c r="F27" s="43">
        <f>GST</f>
        <v/>
      </c>
    </row>
    <row r="28">
      <c r="B28" s="7" t="inlineStr">
        <is>
          <t>Share of institutes that reclaim our GST as input credit</t>
        </is>
      </c>
      <c r="C28" s="5" t="inlineStr">
        <is>
          <t>%</t>
        </is>
      </c>
      <c r="D28" s="43">
        <f>ITCShare</f>
        <v/>
      </c>
      <c r="E28" s="43">
        <f>ITCShare</f>
        <v/>
      </c>
      <c r="F28" s="43">
        <f>ITCShare</f>
        <v/>
      </c>
    </row>
    <row r="29">
      <c r="B29" s="7" t="inlineStr">
        <is>
          <t>Effective discount (Pricing)</t>
        </is>
      </c>
      <c r="C29" s="5" t="inlineStr">
        <is>
          <t>%</t>
        </is>
      </c>
      <c r="D29" s="43">
        <f>EffDisc</f>
        <v/>
      </c>
      <c r="E29" s="43">
        <f>EffDisc</f>
        <v/>
      </c>
      <c r="F29" s="43">
        <f>EffDisc</f>
        <v/>
      </c>
    </row>
    <row r="30">
      <c r="A30" s="21" t="n"/>
      <c r="B30" s="20" t="inlineStr">
        <is>
          <t>1. What a dropout actually costs (unpaid instalments + refunds to full payers)</t>
        </is>
      </c>
      <c r="C30" s="21" t="n"/>
      <c r="D30" s="21" t="n"/>
      <c r="E30" s="21" t="n"/>
      <c r="F30" s="21" t="n"/>
    </row>
    <row r="31">
      <c r="B31" s="7" t="inlineStr">
        <is>
          <t>Dropouts per year</t>
        </is>
      </c>
      <c r="C31" s="5" t="inlineStr">
        <is>
          <t>students/yr</t>
        </is>
      </c>
      <c r="D31" s="51">
        <f>D6*D8</f>
        <v/>
      </c>
      <c r="E31" s="51">
        <f>E6*E8</f>
        <v/>
      </c>
      <c r="F31" s="51">
        <f>F6*F8</f>
        <v/>
      </c>
    </row>
    <row r="32">
      <c r="B32" s="7" t="inlineStr">
        <is>
          <t>Avg fee lost per dropout (timing curve × unpaid instalments / pro-rata refund)</t>
        </is>
      </c>
      <c r="C32" s="5" t="inlineStr">
        <is>
          <t>₹/dropout</t>
        </is>
      </c>
      <c r="D32" s="50">
        <f>SUMPRODUCT(DropTiming,D7*((1-D9)*(1-(INT((DropMonth-1)*D10/CourseMonths)+1)/D10)+D9*D11*DropRemain))</f>
        <v/>
      </c>
      <c r="E32" s="50">
        <f>SUMPRODUCT(DropTiming,E7*((1-E9)*(1-(INT((DropMonth-1)*E10/CourseMonths)+1)/E10)+E9*E11*DropRemain))</f>
        <v/>
      </c>
      <c r="F32" s="50">
        <f>SUMPRODUCT(DropTiming,F7*((1-F9)*(1-(INT((DropMonth-1)*F10/CourseMonths)+1)/F10)+F9*F11*DropRemain))</f>
        <v/>
      </c>
    </row>
    <row r="33">
      <c r="B33" s="7" t="inlineStr">
        <is>
          <t>Fee lost to dropouts per year (no platform)</t>
        </is>
      </c>
      <c r="C33" s="5" t="inlineStr">
        <is>
          <t>₹/yr</t>
        </is>
      </c>
      <c r="D33" s="48">
        <f>D31*D32</f>
        <v/>
      </c>
      <c r="E33" s="48">
        <f>E31*E32</f>
        <v/>
      </c>
      <c r="F33" s="48">
        <f>F31*F32</f>
        <v/>
      </c>
    </row>
    <row r="34">
      <c r="A34" s="21" t="n"/>
      <c r="B34" s="20" t="inlineStr">
        <is>
          <t>2. Prevention funnel (replaces the guide's flat 25%)</t>
        </is>
      </c>
      <c r="C34" s="21" t="n"/>
      <c r="D34" s="21" t="n"/>
      <c r="E34" s="21" t="n"/>
      <c r="F34" s="21" t="n"/>
    </row>
    <row r="35">
      <c r="B35" s="7" t="inlineStr">
        <is>
          <t>Blended recall (minors: academic model + rules; 18+: full ML)</t>
        </is>
      </c>
      <c r="C35" s="5" t="inlineStr">
        <is>
          <t>%</t>
        </is>
      </c>
      <c r="D35" s="37">
        <f>D13*D14+(1-D13)*D15</f>
        <v/>
      </c>
      <c r="E35" s="37">
        <f>E13*E14+(1-E13)*E15</f>
        <v/>
      </c>
      <c r="F35" s="37">
        <f>F13*F14+(1-F13)*F15</f>
        <v/>
      </c>
    </row>
    <row r="36">
      <c r="B36" s="7" t="inlineStr">
        <is>
          <t>Share of dropouts after the 'blind' months (enough test data to flag)</t>
        </is>
      </c>
      <c r="C36" s="5" t="inlineStr">
        <is>
          <t>%</t>
        </is>
      </c>
      <c r="D36" s="37">
        <f>SUMPRODUCT(DropTiming*(DropMonth&gt;D12))</f>
        <v/>
      </c>
      <c r="E36" s="37">
        <f>SUMPRODUCT(DropTiming*(DropMonth&gt;E12))</f>
        <v/>
      </c>
      <c r="F36" s="37">
        <f>SUMPRODUCT(DropTiming*(DropMonth&gt;F12))</f>
        <v/>
      </c>
    </row>
    <row r="37">
      <c r="B37" s="7" t="inlineStr">
        <is>
          <t>Effective dropout reduction = recall × action × RCT effect × catchable</t>
        </is>
      </c>
      <c r="C37" s="5" t="inlineStr">
        <is>
          <t>%</t>
        </is>
      </c>
      <c r="D37" s="38">
        <f>D35*D17*D18*D36</f>
        <v/>
      </c>
      <c r="E37" s="38">
        <f>E35*E17*E18*E36</f>
        <v/>
      </c>
      <c r="F37" s="38">
        <f>F35*F17*F18*F36</f>
        <v/>
      </c>
    </row>
    <row r="38">
      <c r="B38" s="7" t="inlineStr">
        <is>
          <t>Dropouts prevented per year</t>
        </is>
      </c>
      <c r="C38" s="5" t="inlineStr">
        <is>
          <t>students/yr</t>
        </is>
      </c>
      <c r="D38" s="52">
        <f>D31*D37</f>
        <v/>
      </c>
      <c r="E38" s="52">
        <f>E31*E37</f>
        <v/>
      </c>
      <c r="F38" s="52">
        <f>F31*F37</f>
        <v/>
      </c>
    </row>
    <row r="39">
      <c r="B39" s="7" t="inlineStr">
        <is>
          <t>Fee saved per prevented dropout (catchable months only)</t>
        </is>
      </c>
      <c r="C39" s="5" t="inlineStr">
        <is>
          <t>₹/student</t>
        </is>
      </c>
      <c r="D39" s="50">
        <f>IF(D36&gt;0,SUMPRODUCT(DropTiming*(DropMonth&gt;D12)*D7*((1-D9)*(1-(INT((DropMonth-1)*D10/CourseMonths)+1)/D10)+D9*D11*DropRemain))/D36,0)</f>
        <v/>
      </c>
      <c r="E39" s="50">
        <f>IF(E36&gt;0,SUMPRODUCT(DropTiming*(DropMonth&gt;E12)*E7*((1-E9)*(1-(INT((DropMonth-1)*E10/CourseMonths)+1)/E10)+E9*E11*DropRemain))/E36,0)</f>
        <v/>
      </c>
      <c r="F39" s="50">
        <f>IF(F36&gt;0,SUMPRODUCT(DropTiming*(DropMonth&gt;F12)*F7*((1-F9)*(1-(INT((DropMonth-1)*F10/CourseMonths)+1)/F10)+F9*F11*DropRemain))/F36,0)</f>
        <v/>
      </c>
    </row>
    <row r="40">
      <c r="A40" s="21" t="n"/>
      <c r="B40" s="20" t="inlineStr">
        <is>
          <t>3. Value to the institute (₹/yr)</t>
        </is>
      </c>
      <c r="C40" s="21" t="n"/>
      <c r="D40" s="21" t="n"/>
      <c r="E40" s="21" t="n"/>
      <c r="F40" s="21" t="n"/>
    </row>
    <row r="41">
      <c r="B41" s="7" t="inlineStr">
        <is>
          <t>Fees retained</t>
        </is>
      </c>
      <c r="C41" s="5" t="inlineStr">
        <is>
          <t>₹/yr</t>
        </is>
      </c>
      <c r="D41" s="48">
        <f>D38*D39</f>
        <v/>
      </c>
      <c r="E41" s="48">
        <f>E38*E39</f>
        <v/>
      </c>
      <c r="F41" s="48">
        <f>F38*F39</f>
        <v/>
      </c>
    </row>
    <row r="42">
      <c r="B42" s="7" t="inlineStr">
        <is>
          <t>Margin on extra admissions (results / parent trust)</t>
        </is>
      </c>
      <c r="C42" s="5" t="inlineStr">
        <is>
          <t>₹/yr</t>
        </is>
      </c>
      <c r="D42" s="48">
        <f>D6*D19*D7*D20</f>
        <v/>
      </c>
      <c r="E42" s="48">
        <f>E6*E19*E7*E20</f>
        <v/>
      </c>
      <c r="F42" s="48">
        <f>F6*F19*F7*F20</f>
        <v/>
      </c>
    </row>
    <row r="43">
      <c r="B43" s="7" t="inlineStr">
        <is>
          <t>Staff time saved</t>
        </is>
      </c>
      <c r="C43" s="5" t="inlineStr">
        <is>
          <t>₹/yr</t>
        </is>
      </c>
      <c r="D43" s="48">
        <f>D21*D22*12</f>
        <v/>
      </c>
      <c r="E43" s="48">
        <f>E21*E22*12</f>
        <v/>
      </c>
      <c r="F43" s="48">
        <f>F21*F22*12</f>
        <v/>
      </c>
    </row>
    <row r="44">
      <c r="B44" s="7" t="inlineStr">
        <is>
          <t>Total value</t>
        </is>
      </c>
      <c r="C44" s="5" t="inlineStr">
        <is>
          <t>₹/yr</t>
        </is>
      </c>
      <c r="D44" s="50">
        <f>D41+D42+D43</f>
        <v/>
      </c>
      <c r="E44" s="50">
        <f>E41+E42+E43</f>
        <v/>
      </c>
      <c r="F44" s="50">
        <f>F41+F42+F43</f>
        <v/>
      </c>
    </row>
    <row r="45">
      <c r="A45" s="21" t="n"/>
      <c r="B45" s="20" t="inlineStr">
        <is>
          <t>4. Cost to the institute (₹/yr)</t>
        </is>
      </c>
      <c r="C45" s="21" t="n"/>
      <c r="D45" s="21" t="n"/>
      <c r="E45" s="21" t="n"/>
      <c r="F45" s="21" t="n"/>
    </row>
    <row r="46">
      <c r="B46" s="7" t="inlineStr">
        <is>
          <t>Platform fee (seasonal active students, min fee, discounts; ex-GST)</t>
        </is>
      </c>
      <c r="C46" s="5" t="inlineStr">
        <is>
          <t>₹/yr</t>
        </is>
      </c>
      <c r="D46" s="48">
        <f>SUMPRODUCT((D6*Season_Idx*D25&gt;D26)*(D6*Season_Idx*D25)+(D6*Season_Idx*D25&lt;=D26)*D26)*(1-D29)</f>
        <v/>
      </c>
      <c r="E46" s="48">
        <f>SUMPRODUCT((E6*Season_Idx*E25&gt;E26)*(E6*Season_Idx*E25)+(E6*Season_Idx*E25&lt;=E26)*E26)*(1-E29)</f>
        <v/>
      </c>
      <c r="F46" s="48">
        <f>SUMPRODUCT((F6*Season_Idx*F25&gt;F26)*(F6*Season_Idx*F25)+(F6*Season_Idx*F25&lt;=F26)*F26)*(1-F29)</f>
        <v/>
      </c>
    </row>
    <row r="47">
      <c r="B47" s="7" t="inlineStr">
        <is>
          <t>GST the institute cannot reclaim</t>
        </is>
      </c>
      <c r="C47" s="5" t="inlineStr">
        <is>
          <t>₹/yr</t>
        </is>
      </c>
      <c r="D47" s="48">
        <f>D46*D27*(1-D28)</f>
        <v/>
      </c>
      <c r="E47" s="48">
        <f>E46*E27*(1-E28)</f>
        <v/>
      </c>
      <c r="F47" s="48">
        <f>F46*F27*(1-F28)</f>
        <v/>
      </c>
    </row>
    <row r="48">
      <c r="B48" s="7" t="inlineStr">
        <is>
          <t>Students flagged per year (true + false alarms)</t>
        </is>
      </c>
      <c r="C48" s="5" t="inlineStr">
        <is>
          <t>students/yr</t>
        </is>
      </c>
      <c r="D48" s="51">
        <f>IF(D16&gt;0,D31*D35/D16,0)</f>
        <v/>
      </c>
      <c r="E48" s="51">
        <f>IF(E16&gt;0,E31*E35/E16,0)</f>
        <v/>
      </c>
      <c r="F48" s="51">
        <f>IF(F16&gt;0,F31*F35/F16,0)</f>
        <v/>
      </c>
    </row>
    <row r="49">
      <c r="B49" s="7" t="inlineStr">
        <is>
          <t>Mentor time spent acting on flags</t>
        </is>
      </c>
      <c r="C49" s="5" t="inlineStr">
        <is>
          <t>₹/yr</t>
        </is>
      </c>
      <c r="D49" s="48">
        <f>D48*D17*D23/60*D24</f>
        <v/>
      </c>
      <c r="E49" s="48">
        <f>E48*E17*E23/60*E24</f>
        <v/>
      </c>
      <c r="F49" s="48">
        <f>F48*F17*F23/60*F24</f>
        <v/>
      </c>
    </row>
    <row r="50">
      <c r="B50" s="7" t="inlineStr">
        <is>
          <t>Total cost</t>
        </is>
      </c>
      <c r="C50" s="5" t="inlineStr">
        <is>
          <t>₹/yr</t>
        </is>
      </c>
      <c r="D50" s="50">
        <f>D46+D47+D49</f>
        <v/>
      </c>
      <c r="E50" s="50">
        <f>E46+E47+E49</f>
        <v/>
      </c>
      <c r="F50" s="50">
        <f>F46+F47+F49</f>
        <v/>
      </c>
    </row>
    <row r="51">
      <c r="A51" s="21" t="n"/>
      <c r="B51" s="20" t="inlineStr">
        <is>
          <t>5. Result</t>
        </is>
      </c>
      <c r="C51" s="21" t="n"/>
      <c r="D51" s="21" t="n"/>
      <c r="E51" s="21" t="n"/>
      <c r="F51" s="21" t="n"/>
    </row>
    <row r="52">
      <c r="B52" s="7" t="inlineStr">
        <is>
          <t>Net benefit to institute</t>
        </is>
      </c>
      <c r="C52" s="5" t="inlineStr">
        <is>
          <t>₹/yr</t>
        </is>
      </c>
      <c r="D52" s="50">
        <f>D44-D50</f>
        <v/>
      </c>
      <c r="E52" s="50">
        <f>E44-E50</f>
        <v/>
      </c>
      <c r="F52" s="50">
        <f>F44-F50</f>
        <v/>
      </c>
    </row>
    <row r="53">
      <c r="B53" s="7" t="inlineStr">
        <is>
          <t>Institute ROI (value ÷ cost)</t>
        </is>
      </c>
      <c r="C53" s="5" t="inlineStr">
        <is>
          <t>x</t>
        </is>
      </c>
      <c r="D53" s="53">
        <f>IF(D50&gt;0,D44/D50,0)</f>
        <v/>
      </c>
      <c r="E53" s="53">
        <f>IF(E50&gt;0,E44/E50,0)</f>
        <v/>
      </c>
      <c r="F53" s="53">
        <f>IF(F50&gt;0,F44/F50,0)</f>
        <v/>
      </c>
    </row>
    <row r="54">
      <c r="B54" s="7" t="inlineStr">
        <is>
          <t>Fees-only ROI (no soft benefits)</t>
        </is>
      </c>
      <c r="C54" s="5" t="inlineStr">
        <is>
          <t>x</t>
        </is>
      </c>
      <c r="D54" s="53">
        <f>IF(D50&gt;0,D41/D50,0)</f>
        <v/>
      </c>
      <c r="E54" s="53">
        <f>IF(E50&gt;0,E41/E50,0)</f>
        <v/>
      </c>
      <c r="F54" s="53">
        <f>IF(F50&gt;0,F41/F50,0)</f>
        <v/>
      </c>
    </row>
    <row r="55">
      <c r="B55" s="7" t="inlineStr">
        <is>
          <t>Break-even: students to save per year (fees only)</t>
        </is>
      </c>
      <c r="C55" s="5" t="inlineStr">
        <is>
          <t>students/yr</t>
        </is>
      </c>
      <c r="D55" s="52">
        <f>IF(D39&gt;0,D50/D39,0)</f>
        <v/>
      </c>
      <c r="E55" s="52">
        <f>IF(E39&gt;0,E50/E39,0)</f>
        <v/>
      </c>
      <c r="F55" s="52">
        <f>IF(F39&gt;0,F50/F39,0)</f>
        <v/>
      </c>
    </row>
    <row r="56">
      <c r="B56" s="7" t="inlineStr">
        <is>
          <t>Break-even dropout reduction needed</t>
        </is>
      </c>
      <c r="C56" s="5" t="inlineStr">
        <is>
          <t>%</t>
        </is>
      </c>
      <c r="D56" s="38">
        <f>IF(D31&gt;0,D55/D31,0)</f>
        <v/>
      </c>
      <c r="E56" s="38">
        <f>IF(E31&gt;0,E55/E31,0)</f>
        <v/>
      </c>
      <c r="F56" s="38">
        <f>IF(F31&gt;0,F55/F31,0)</f>
        <v/>
      </c>
    </row>
    <row r="57">
      <c r="B57" s="7" t="inlineStr">
        <is>
          <t>Admissions uplift needed to break even, after fees + staff time</t>
        </is>
      </c>
      <c r="C57" s="5" t="inlineStr">
        <is>
          <t>% of students</t>
        </is>
      </c>
      <c r="D57" s="38">
        <f>IF(D6*D7*D20&gt;0,MAX(0,D50-D41-D43)/(D6*D7*D20),0)</f>
        <v/>
      </c>
      <c r="E57" s="38">
        <f>IF(E6*E7*E20&gt;0,MAX(0,E50-E41-E43)/(E6*E7*E20),0)</f>
        <v/>
      </c>
      <c r="F57" s="38">
        <f>IF(F6*F7*F20&gt;0,MAX(0,F50-F41-F43)/(F6*F7*F20),0)</f>
        <v/>
      </c>
    </row>
    <row r="58">
      <c r="B58" s="7" t="inlineStr">
        <is>
          <t>…in extra admissions per year</t>
        </is>
      </c>
      <c r="C58" s="5" t="inlineStr">
        <is>
          <t>students/yr</t>
        </is>
      </c>
      <c r="D58" s="52">
        <f>D57*D6</f>
        <v/>
      </c>
      <c r="E58" s="52">
        <f>E57*E6</f>
        <v/>
      </c>
      <c r="F58" s="52">
        <f>F57*F6</f>
        <v/>
      </c>
    </row>
    <row r="59">
      <c r="B59" s="7" t="inlineStr">
        <is>
          <t>Platform cost per student per year (incl. unreclaimed GST)</t>
        </is>
      </c>
      <c r="C59" s="5" t="inlineStr">
        <is>
          <t>₹/student/yr</t>
        </is>
      </c>
      <c r="D59" s="50">
        <f>(D46+D47)/D6</f>
        <v/>
      </c>
      <c r="E59" s="50">
        <f>(E46+E47)/E6</f>
        <v/>
      </c>
      <c r="F59" s="50">
        <f>(F46+F47)/F6</f>
        <v/>
      </c>
    </row>
    <row r="60">
      <c r="B60" s="7" t="inlineStr">
        <is>
          <t>Platform cost as % of the student's fee</t>
        </is>
      </c>
      <c r="C60" s="5" t="inlineStr">
        <is>
          <t>%</t>
        </is>
      </c>
      <c r="D60" s="38">
        <f>D59/D7</f>
        <v/>
      </c>
      <c r="E60" s="38">
        <f>E59/E7</f>
        <v/>
      </c>
      <c r="F60" s="38">
        <f>F59/F7</f>
        <v/>
      </c>
    </row>
    <row r="63">
      <c r="A63" s="34" t="inlineStr">
        <is>
          <t>The guide's naive model (for contrast — all inputs from the Guide block on Assumptions)</t>
        </is>
      </c>
    </row>
    <row r="64">
      <c r="B64" s="7" t="inlineStr">
        <is>
          <t>Dropouts per year</t>
        </is>
      </c>
      <c r="E64" s="51">
        <f>G_Students*G_Dropout</f>
        <v/>
      </c>
    </row>
    <row r="65">
      <c r="B65" s="7" t="inlineStr">
        <is>
          <t>Dropouts prevented (flat 25%)</t>
        </is>
      </c>
      <c r="E65" s="51">
        <f>G_Students*G_Dropout*G_Prevent</f>
        <v/>
      </c>
    </row>
    <row r="66">
      <c r="B66" s="7" t="inlineStr">
        <is>
          <t>Fees saved</t>
        </is>
      </c>
      <c r="E66" s="48">
        <f>G_Students*G_Dropout*G_Prevent*G_RemainingFee</f>
        <v/>
      </c>
    </row>
    <row r="67">
      <c r="B67" s="7" t="inlineStr">
        <is>
          <t>Platform cost (12 months, no GST, no seasonality)</t>
        </is>
      </c>
      <c r="E67" s="48">
        <f>G_Students*G_Price*G_Months</f>
        <v/>
      </c>
    </row>
    <row r="68">
      <c r="B68" s="7" t="inlineStr">
        <is>
          <t>Guide ROI</t>
        </is>
      </c>
      <c r="E68" s="47">
        <f>IF(ROUND(G_Students*G_Price*G_Months,6)&gt;0,G_Students*G_Dropout*G_Prevent*G_RemainingFee/(G_Students*G_Price*G_Months),0)</f>
        <v/>
      </c>
    </row>
    <row r="69">
      <c r="B69" s="7" t="inlineStr">
        <is>
          <t>Guide break-even students</t>
        </is>
      </c>
      <c r="E69" s="51">
        <f>G_Students*G_Price*G_Months/G_RemainingFee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6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50" customWidth="1" min="8" max="8"/>
    <col width="14" customWidth="1" min="9" max="9"/>
  </cols>
  <sheetData>
    <row r="1">
      <c r="A1" s="1" t="inlineStr">
        <is>
          <t>Unit economics per institute (live scenario)</t>
        </is>
      </c>
    </row>
    <row r="2">
      <c r="A2" s="2" t="inlineStr">
        <is>
          <t>LTV uses a seasonal survival curve (monthly churn + renewal spike), discounted, capped at 60 months. Payback = 61 means 'not within 60 months'.</t>
        </is>
      </c>
    </row>
    <row r="4">
      <c r="A4" s="6" t="inlineStr"/>
      <c r="B4" s="6" t="inlineStr">
        <is>
          <t>Line</t>
        </is>
      </c>
      <c r="C4" s="6" t="inlineStr">
        <is>
          <t>Unit</t>
        </is>
      </c>
      <c r="D4" s="6" t="inlineStr">
        <is>
          <t>Small (&lt;250)</t>
        </is>
      </c>
      <c r="E4" s="6" t="inlineStr">
        <is>
          <t>Mid (250-800)</t>
        </is>
      </c>
      <c r="F4" s="6" t="inlineStr">
        <is>
          <t>Large (&gt;800)</t>
        </is>
      </c>
      <c r="H4" s="54" t="inlineStr">
        <is>
          <t>Guide's naive unit economics</t>
        </is>
      </c>
      <c r="I4" s="54" t="inlineStr">
        <is>
          <t>Value</t>
        </is>
      </c>
    </row>
    <row r="5">
      <c r="A5" s="21" t="n"/>
      <c r="B5" s="20" t="inlineStr">
        <is>
          <t>Inputs (from Assumptions / Pricing / COGS_Build)</t>
        </is>
      </c>
      <c r="C5" s="21" t="n"/>
      <c r="D5" s="21" t="n"/>
      <c r="E5" s="21" t="n"/>
      <c r="F5" s="21" t="n"/>
      <c r="H5" s="7" t="inlineStr">
        <is>
          <t>Revenue per institute per month</t>
        </is>
      </c>
      <c r="I5" s="48">
        <f>G_Students*G_Price</f>
        <v/>
      </c>
    </row>
    <row r="6">
      <c r="B6" s="7" t="inlineStr">
        <is>
          <t>Students per institute</t>
        </is>
      </c>
      <c r="C6" s="5" t="inlineStr">
        <is>
          <t>students</t>
        </is>
      </c>
      <c r="D6" s="49">
        <f>Students_S</f>
        <v/>
      </c>
      <c r="E6" s="49">
        <f>Students_M</f>
        <v/>
      </c>
      <c r="F6" s="49">
        <f>Students_L</f>
        <v/>
      </c>
      <c r="H6" s="7" t="inlineStr">
        <is>
          <t>Contribution per month</t>
        </is>
      </c>
      <c r="I6" s="48">
        <f>G_Students*G_Price-G_Students*G_Infra-G_Support</f>
        <v/>
      </c>
    </row>
    <row r="7">
      <c r="B7" s="7" t="inlineStr">
        <is>
          <t>List price per active student per month</t>
        </is>
      </c>
      <c r="C7" s="5" t="inlineStr">
        <is>
          <t>Rs/student/month</t>
        </is>
      </c>
      <c r="D7" s="42">
        <f>ListPrice</f>
        <v/>
      </c>
      <c r="E7" s="42">
        <f>ListPrice</f>
        <v/>
      </c>
      <c r="F7" s="42">
        <f>ListPrice</f>
        <v/>
      </c>
      <c r="H7" s="7" t="inlineStr">
        <is>
          <t>CAC + onboarding</t>
        </is>
      </c>
      <c r="I7" s="48">
        <f>G_CAC+G_Onboard</f>
        <v/>
      </c>
    </row>
    <row r="8">
      <c r="B8" s="7" t="inlineStr">
        <is>
          <t>Minimum monthly fee per institute</t>
        </is>
      </c>
      <c r="C8" s="5" t="inlineStr">
        <is>
          <t>Rs/month</t>
        </is>
      </c>
      <c r="D8" s="42">
        <f>MinFee</f>
        <v/>
      </c>
      <c r="E8" s="42">
        <f>MinFee</f>
        <v/>
      </c>
      <c r="F8" s="42">
        <f>MinFee</f>
        <v/>
      </c>
      <c r="H8" s="7" t="inlineStr">
        <is>
          <t>Payback (months)</t>
        </is>
      </c>
      <c r="I8" s="51">
        <f>(G_CAC+G_Onboard)/(G_Students*G_Price-G_Students*G_Infra-G_Support)</f>
        <v/>
      </c>
    </row>
    <row r="9">
      <c r="B9" s="7" t="inlineStr">
        <is>
          <t>Bad debt / uncollected billing</t>
        </is>
      </c>
      <c r="C9" s="5" t="inlineStr">
        <is>
          <t>%</t>
        </is>
      </c>
      <c r="D9" s="43">
        <f>BadDebt</f>
        <v/>
      </c>
      <c r="E9" s="43">
        <f>BadDebt</f>
        <v/>
      </c>
      <c r="F9" s="43">
        <f>BadDebt</f>
        <v/>
      </c>
      <c r="H9" s="7" t="inlineStr">
        <is>
          <t>LTV = contribution ÷ churn</t>
        </is>
      </c>
      <c r="I9" s="48">
        <f>(G_Students*G_Price-G_Students*G_Infra-G_Support)/G_Churn</f>
        <v/>
      </c>
    </row>
    <row r="10">
      <c r="B10" s="7" t="inlineStr">
        <is>
          <t>Payment collection cost (blended)</t>
        </is>
      </c>
      <c r="C10" s="5" t="inlineStr">
        <is>
          <t>% of revenue</t>
        </is>
      </c>
      <c r="D10" s="43">
        <f>GatewayFee</f>
        <v/>
      </c>
      <c r="E10" s="43">
        <f>GatewayFee</f>
        <v/>
      </c>
      <c r="F10" s="43">
        <f>GatewayFee</f>
        <v/>
      </c>
      <c r="H10" s="7" t="inlineStr">
        <is>
          <t>LTV ÷ (CAC + onboarding)</t>
        </is>
      </c>
      <c r="I10" s="47">
        <f>((G_Students*G_Price-G_Students*G_Infra-G_Support)/G_Churn)/(G_CAC+G_Onboard)</f>
        <v/>
      </c>
    </row>
    <row r="11">
      <c r="B11" s="7" t="inlineStr">
        <is>
          <t>Monthly logo churn for monthly payers</t>
        </is>
      </c>
      <c r="C11" s="5" t="inlineStr">
        <is>
          <t>%/month</t>
        </is>
      </c>
      <c r="D11" s="43">
        <f>ChurnInSeason</f>
        <v/>
      </c>
      <c r="E11" s="43">
        <f>ChurnInSeason</f>
        <v/>
      </c>
      <c r="F11" s="43">
        <f>ChurnInSeason</f>
        <v/>
      </c>
    </row>
    <row r="12">
      <c r="B12" s="7" t="inlineStr">
        <is>
          <t>Share of institutes choosing annual prepay</t>
        </is>
      </c>
      <c r="C12" s="5" t="inlineStr">
        <is>
          <t>%</t>
        </is>
      </c>
      <c r="D12" s="43">
        <f>PrepayUptake</f>
        <v/>
      </c>
      <c r="E12" s="43">
        <f>PrepayUptake</f>
        <v/>
      </c>
      <c r="F12" s="43">
        <f>PrepayUptake</f>
        <v/>
      </c>
    </row>
    <row r="13">
      <c r="B13" s="7" t="inlineStr">
        <is>
          <t>Non-renewal at session end (annual)</t>
        </is>
      </c>
      <c r="C13" s="5" t="inlineStr">
        <is>
          <t>% of logos</t>
        </is>
      </c>
      <c r="D13" s="43">
        <f>RenewalSpike</f>
        <v/>
      </c>
      <c r="E13" s="43">
        <f>RenewalSpike</f>
        <v/>
      </c>
      <c r="F13" s="43">
        <f>RenewalSpike</f>
        <v/>
      </c>
      <c r="H13" s="54" t="inlineStr">
        <is>
          <t>Break-even scale (fixed team cost ÷ Mid contribution)</t>
        </is>
      </c>
      <c r="I13" s="54" t="inlineStr">
        <is>
          <t>Value</t>
        </is>
      </c>
    </row>
    <row r="14">
      <c r="B14" s="7" t="inlineStr">
        <is>
          <t>Customer-success / onboarding exec monthly CTC</t>
        </is>
      </c>
      <c r="C14" s="5" t="inlineStr">
        <is>
          <t>Rs/month</t>
        </is>
      </c>
      <c r="D14" s="42">
        <f>CSM_CTC</f>
        <v/>
      </c>
      <c r="E14" s="42">
        <f>CSM_CTC</f>
        <v/>
      </c>
      <c r="F14" s="42">
        <f>CSM_CTC</f>
        <v/>
      </c>
      <c r="H14" s="7" t="inlineStr">
        <is>
          <t>Fixed team + tools cost per month</t>
        </is>
      </c>
      <c r="I14" s="48">
        <f>Founders*FounderStipend+Engineers*EngineerCTC+ToolsOpex</f>
        <v/>
      </c>
    </row>
    <row r="15">
      <c r="B15" s="7" t="inlineStr">
        <is>
          <t>Institutes per CSM</t>
        </is>
      </c>
      <c r="C15" s="5" t="inlineStr">
        <is>
          <t>institutes</t>
        </is>
      </c>
      <c r="D15" s="49">
        <f>InstPerCSM</f>
        <v/>
      </c>
      <c r="E15" s="49">
        <f>InstPerCSM</f>
        <v/>
      </c>
      <c r="F15" s="49">
        <f>InstPerCSM</f>
        <v/>
      </c>
      <c r="H15" s="7" t="inlineStr">
        <is>
          <t>Mid-institute avg monthly contribution</t>
        </is>
      </c>
      <c r="I15" s="48">
        <f>E34</f>
        <v/>
      </c>
    </row>
    <row r="16">
      <c r="B16" s="7" t="inlineStr">
        <is>
          <t>Field sales rep monthly CTC (incl. fuel)</t>
        </is>
      </c>
      <c r="C16" s="5" t="inlineStr">
        <is>
          <t>Rs/month</t>
        </is>
      </c>
      <c r="D16" s="42">
        <f>RepCTC</f>
        <v/>
      </c>
      <c r="E16" s="42">
        <f>RepCTC</f>
        <v/>
      </c>
      <c r="F16" s="42">
        <f>RepCTC</f>
        <v/>
      </c>
      <c r="H16" s="7" t="inlineStr">
        <is>
          <t>Institutes needed to cover fixed cost</t>
        </is>
      </c>
      <c r="I16" s="52">
        <f>IF(I15&gt;0,I14/I15,0)</f>
        <v/>
      </c>
    </row>
    <row r="17">
      <c r="B17" s="7" t="inlineStr">
        <is>
          <t>Rep intercity travel + demo material per month</t>
        </is>
      </c>
      <c r="C17" s="5" t="inlineStr">
        <is>
          <t>Rs/month</t>
        </is>
      </c>
      <c r="D17" s="42">
        <f>RepTravel</f>
        <v/>
      </c>
      <c r="E17" s="42">
        <f>RepTravel</f>
        <v/>
      </c>
      <c r="F17" s="42">
        <f>RepTravel</f>
        <v/>
      </c>
      <c r="H17" s="7" t="inlineStr">
        <is>
          <t>…equivalent active students</t>
        </is>
      </c>
      <c r="I17" s="55">
        <f>I16*Students_M</f>
        <v/>
      </c>
    </row>
    <row r="18">
      <c r="B18" s="7" t="inlineStr">
        <is>
          <t>Pilots started per rep per month (yearly avg)</t>
        </is>
      </c>
      <c r="C18" s="5" t="inlineStr">
        <is>
          <t>pilots</t>
        </is>
      </c>
      <c r="D18" s="56">
        <f>PilotsPerRepMonth</f>
        <v/>
      </c>
      <c r="E18" s="56">
        <f>PilotsPerRepMonth</f>
        <v/>
      </c>
      <c r="F18" s="56">
        <f>PilotsPerRepMonth</f>
        <v/>
      </c>
      <c r="H18" s="7" t="inlineStr">
        <is>
          <t>Paid institutes one rep adds per month</t>
        </is>
      </c>
      <c r="I18" s="51">
        <f>PilotsPerRepMonth*PilotConv</f>
        <v/>
      </c>
    </row>
    <row r="19">
      <c r="B19" s="7" t="inlineStr">
        <is>
          <t>Pilot-to-paid conversion</t>
        </is>
      </c>
      <c r="C19" s="5" t="inlineStr">
        <is>
          <t>%</t>
        </is>
      </c>
      <c r="D19" s="43">
        <f>PilotConv</f>
        <v/>
      </c>
      <c r="E19" s="43">
        <f>PilotConv</f>
        <v/>
      </c>
      <c r="F19" s="43">
        <f>PilotConv</f>
        <v/>
      </c>
    </row>
    <row r="20">
      <c r="B20" s="7" t="inlineStr">
        <is>
          <t>Free pilot length</t>
        </is>
      </c>
      <c r="C20" s="5" t="inlineStr">
        <is>
          <t>months</t>
        </is>
      </c>
      <c r="D20" s="49">
        <f>PilotMonths</f>
        <v/>
      </c>
      <c r="E20" s="49">
        <f>PilotMonths</f>
        <v/>
      </c>
      <c r="F20" s="49">
        <f>PilotMonths</f>
        <v/>
      </c>
      <c r="H20" s="5" t="inlineStr">
        <is>
          <t>Full hiring plan, cohorts, cash and funding need: Round 2 sheets.</t>
        </is>
      </c>
    </row>
    <row r="21">
      <c r="B21" s="7" t="inlineStr">
        <is>
          <t>Retro-pilot setup (import last year's Excel; show who left)</t>
        </is>
      </c>
      <c r="C21" s="5" t="inlineStr">
        <is>
          <t>Rs per pilot</t>
        </is>
      </c>
      <c r="D21" s="42">
        <f>PilotSetupCost</f>
        <v/>
      </c>
      <c r="E21" s="42">
        <f>PilotSetupCost</f>
        <v/>
      </c>
      <c r="F21" s="42">
        <f>PilotSetupCost</f>
        <v/>
      </c>
    </row>
    <row r="22">
      <c r="B22" s="7" t="inlineStr">
        <is>
          <t>Onboarding cost per institute (mid)</t>
        </is>
      </c>
      <c r="C22" s="5" t="inlineStr">
        <is>
          <t>Rs</t>
        </is>
      </c>
      <c r="D22" s="42">
        <f>OnboardBase</f>
        <v/>
      </c>
      <c r="E22" s="42">
        <f>OnboardBase</f>
        <v/>
      </c>
      <c r="F22" s="42">
        <f>OnboardBase</f>
        <v/>
      </c>
    </row>
    <row r="23">
      <c r="B23" s="7" t="inlineStr">
        <is>
          <t>Onboarding cost multiplier</t>
        </is>
      </c>
      <c r="C23" s="5" t="inlineStr">
        <is>
          <t>x</t>
        </is>
      </c>
      <c r="D23" s="57">
        <f>OnboardMult_S</f>
        <v/>
      </c>
      <c r="E23" s="57">
        <f>OnboardMult_M</f>
        <v/>
      </c>
      <c r="F23" s="57">
        <f>OnboardMult_L</f>
        <v/>
      </c>
    </row>
    <row r="24">
      <c r="B24" s="7" t="inlineStr">
        <is>
          <t>Marketing spend per paid institute</t>
        </is>
      </c>
      <c r="C24" s="5" t="inlineStr">
        <is>
          <t>Rs</t>
        </is>
      </c>
      <c r="D24" s="42">
        <f>MarketingPerPaid</f>
        <v/>
      </c>
      <c r="E24" s="42">
        <f>MarketingPerPaid</f>
        <v/>
      </c>
      <c r="F24" s="42">
        <f>MarketingPerPaid</f>
        <v/>
      </c>
    </row>
    <row r="25">
      <c r="B25" s="7" t="inlineStr">
        <is>
          <t>Effective discount (Pricing)</t>
        </is>
      </c>
      <c r="C25" s="5" t="inlineStr">
        <is>
          <t>%</t>
        </is>
      </c>
      <c r="D25" s="43">
        <f>EffDisc</f>
        <v/>
      </c>
      <c r="E25" s="43">
        <f>EffDisc</f>
        <v/>
      </c>
      <c r="F25" s="43">
        <f>EffDisc</f>
        <v/>
      </c>
    </row>
    <row r="26">
      <c r="B26" s="7" t="inlineStr">
        <is>
          <t>Variable COGS per student-month (COGS_Build)</t>
        </is>
      </c>
      <c r="C26" s="5" t="inlineStr">
        <is>
          <t>₹/student/month</t>
        </is>
      </c>
      <c r="D26" s="46">
        <f>COGS_PerStudent</f>
        <v/>
      </c>
      <c r="E26" s="46">
        <f>COGS_PerStudent</f>
        <v/>
      </c>
      <c r="F26" s="46">
        <f>COGS_PerStudent</f>
        <v/>
      </c>
    </row>
    <row r="27">
      <c r="B27" s="7" t="inlineStr">
        <is>
          <t>Fixed COGS per institute-month (COGS_Build)</t>
        </is>
      </c>
      <c r="C27" s="5" t="inlineStr">
        <is>
          <t>₹/month</t>
        </is>
      </c>
      <c r="D27" s="42">
        <f>COGS_FixedInst</f>
        <v/>
      </c>
      <c r="E27" s="42">
        <f>COGS_FixedInst</f>
        <v/>
      </c>
      <c r="F27" s="42">
        <f>COGS_FixedInst</f>
        <v/>
      </c>
    </row>
    <row r="28">
      <c r="A28" s="21" t="n"/>
      <c r="B28" s="20" t="inlineStr">
        <is>
          <t>1. Year-1 economics per institute (before churn)</t>
        </is>
      </c>
      <c r="C28" s="21" t="n"/>
      <c r="D28" s="21" t="n"/>
      <c r="E28" s="21" t="n"/>
      <c r="F28" s="21" t="n"/>
    </row>
    <row r="29">
      <c r="B29" s="7" t="inlineStr">
        <is>
          <t>Collected revenue, first 12 paid months (ex-GST, after bad debt)</t>
        </is>
      </c>
      <c r="C29" s="5" t="inlineStr">
        <is>
          <t>₹/yr</t>
        </is>
      </c>
      <c r="D29" s="50">
        <f>SUM(D52:D63)</f>
        <v/>
      </c>
      <c r="E29" s="50">
        <f>SUM(E52:E63)</f>
        <v/>
      </c>
      <c r="F29" s="50">
        <f>SUM(F52:F63)</f>
        <v/>
      </c>
    </row>
    <row r="30">
      <c r="B30" s="7" t="inlineStr">
        <is>
          <t>Average monthly revenue</t>
        </is>
      </c>
      <c r="C30" s="5" t="inlineStr">
        <is>
          <t>₹/month</t>
        </is>
      </c>
      <c r="D30" s="50">
        <f>D29/12</f>
        <v/>
      </c>
      <c r="E30" s="50">
        <f>E29/12</f>
        <v/>
      </c>
      <c r="F30" s="50">
        <f>F29/12</f>
        <v/>
      </c>
    </row>
    <row r="31">
      <c r="B31" s="7" t="inlineStr">
        <is>
          <t>COGS, first 12 months (students × seasonality × COGS + fixed + gateway)</t>
        </is>
      </c>
      <c r="C31" s="5" t="inlineStr">
        <is>
          <t>₹/yr</t>
        </is>
      </c>
      <c r="D31" s="48">
        <f>D6*D26*SUM(Seasonality!$C$37:$C$48)+12*D27+D10*D29</f>
        <v/>
      </c>
      <c r="E31" s="48">
        <f>E6*E26*SUM(Seasonality!$C$37:$C$48)+12*E27+E10*E29</f>
        <v/>
      </c>
      <c r="F31" s="48">
        <f>F6*F26*SUM(Seasonality!$C$37:$C$48)+12*F27+F10*F29</f>
        <v/>
      </c>
    </row>
    <row r="32">
      <c r="B32" s="7" t="inlineStr">
        <is>
          <t>Gross margin</t>
        </is>
      </c>
      <c r="C32" s="5" t="inlineStr">
        <is>
          <t>%</t>
        </is>
      </c>
      <c r="D32" s="38">
        <f>IF(D29&gt;0,(D29-D31)/D29,0)</f>
        <v/>
      </c>
      <c r="E32" s="38">
        <f>IF(E29&gt;0,(E29-E31)/E29,0)</f>
        <v/>
      </c>
      <c r="F32" s="38">
        <f>IF(F29&gt;0,(F29-F31)/F29,0)</f>
        <v/>
      </c>
    </row>
    <row r="33">
      <c r="B33" s="7" t="inlineStr">
        <is>
          <t>Customer-success cost per institute</t>
        </is>
      </c>
      <c r="C33" s="5" t="inlineStr">
        <is>
          <t>₹/month</t>
        </is>
      </c>
      <c r="D33" s="48">
        <f>D14/D15</f>
        <v/>
      </c>
      <c r="E33" s="48">
        <f>E14/E15</f>
        <v/>
      </c>
      <c r="F33" s="48">
        <f>F14/F15</f>
        <v/>
      </c>
    </row>
    <row r="34">
      <c r="B34" s="7" t="inlineStr">
        <is>
          <t>Average monthly contribution (after COGS + support)</t>
        </is>
      </c>
      <c r="C34" s="5" t="inlineStr">
        <is>
          <t>₹/month</t>
        </is>
      </c>
      <c r="D34" s="50">
        <f>SUM(D112:D123)/12</f>
        <v/>
      </c>
      <c r="E34" s="50">
        <f>SUM(E112:E123)/12</f>
        <v/>
      </c>
      <c r="F34" s="50">
        <f>SUM(F112:F123)/12</f>
        <v/>
      </c>
    </row>
    <row r="35">
      <c r="B35" s="7" t="inlineStr">
        <is>
          <t>Contribution margin</t>
        </is>
      </c>
      <c r="C35" s="5" t="inlineStr">
        <is>
          <t>%</t>
        </is>
      </c>
      <c r="D35" s="38">
        <f>IF(D30&gt;0,D34/D30,0)</f>
        <v/>
      </c>
      <c r="E35" s="38">
        <f>IF(E30&gt;0,E34/E30,0)</f>
        <v/>
      </c>
      <c r="F35" s="38">
        <f>IF(F30&gt;0,F34/F30,0)</f>
        <v/>
      </c>
    </row>
    <row r="36">
      <c r="A36" s="21" t="n"/>
      <c r="B36" s="20" t="inlineStr">
        <is>
          <t>2. Cost to acquire one paying institute</t>
        </is>
      </c>
      <c r="C36" s="21" t="n"/>
      <c r="D36" s="21" t="n"/>
      <c r="E36" s="21" t="n"/>
      <c r="F36" s="21" t="n"/>
    </row>
    <row r="37">
      <c r="B37" s="7" t="inlineStr">
        <is>
          <t>Sales cost per pilot started (rep CTC + travel ÷ pilots)</t>
        </is>
      </c>
      <c r="C37" s="5" t="inlineStr">
        <is>
          <t>₹</t>
        </is>
      </c>
      <c r="D37" s="48">
        <f>(D16+D17)/D18</f>
        <v/>
      </c>
      <c r="E37" s="48">
        <f>(E16+E17)/E18</f>
        <v/>
      </c>
      <c r="F37" s="48">
        <f>(F16+F17)/F18</f>
        <v/>
      </c>
    </row>
    <row r="38">
      <c r="B38" s="7" t="inlineStr">
        <is>
          <t>Onboarding cost (data migration + training)</t>
        </is>
      </c>
      <c r="C38" s="5" t="inlineStr">
        <is>
          <t>₹</t>
        </is>
      </c>
      <c r="D38" s="48">
        <f>D22*D23</f>
        <v/>
      </c>
      <c r="E38" s="48">
        <f>E22*E23</f>
        <v/>
      </c>
      <c r="F38" s="48">
        <f>F22*F23</f>
        <v/>
      </c>
    </row>
    <row r="39">
      <c r="B39" s="7" t="inlineStr">
        <is>
          <t>Cost of serving the free pilot</t>
        </is>
      </c>
      <c r="C39" s="5" t="inlineStr">
        <is>
          <t>₹</t>
        </is>
      </c>
      <c r="D39" s="48">
        <f>D20*(D6*D26+D27)</f>
        <v/>
      </c>
      <c r="E39" s="48">
        <f>E20*(E6*E26+E27)</f>
        <v/>
      </c>
      <c r="F39" s="48">
        <f>F20*(F6*F26+F27)</f>
        <v/>
      </c>
    </row>
    <row r="40">
      <c r="B40" s="7" t="inlineStr">
        <is>
          <t>CAC: sales + marketing per paid institute (failed pilots included)</t>
        </is>
      </c>
      <c r="C40" s="5" t="inlineStr">
        <is>
          <t>₹</t>
        </is>
      </c>
      <c r="D40" s="50">
        <f>D37/D19+D24</f>
        <v/>
      </c>
      <c r="E40" s="50">
        <f>E37/E19+E24</f>
        <v/>
      </c>
      <c r="F40" s="50">
        <f>F37/F19+F24</f>
        <v/>
      </c>
    </row>
    <row r="41">
      <c r="B41" s="7" t="inlineStr">
        <is>
          <t>Fully loaded acquisition cost = (sales + pilot setup + pilot COGS) ÷ conversion + onboarding (paid only) + marketing</t>
        </is>
      </c>
      <c r="C41" s="5" t="inlineStr">
        <is>
          <t>₹</t>
        </is>
      </c>
      <c r="D41" s="50">
        <f>(D37+D21+D39)/D19+D38+D24</f>
        <v/>
      </c>
      <c r="E41" s="50">
        <f>(E37+E21+E39)/E19+E38+E24</f>
        <v/>
      </c>
      <c r="F41" s="50">
        <f>(F37+F21+F39)/F19+F38+F24</f>
        <v/>
      </c>
    </row>
    <row r="42">
      <c r="A42" s="21" t="n"/>
      <c r="B42" s="20" t="inlineStr">
        <is>
          <t>3. Retention (seasonal, not 1/churn)</t>
        </is>
      </c>
      <c r="C42" s="21" t="n"/>
      <c r="D42" s="21" t="n"/>
      <c r="E42" s="21" t="n"/>
      <c r="F42" s="21" t="n"/>
    </row>
    <row r="43">
      <c r="B43" s="7" t="inlineStr">
        <is>
          <t>In-season churn, monthly payers only (prepaid annual plans cannot leave mid-year)</t>
        </is>
      </c>
      <c r="C43" s="5" t="inlineStr">
        <is>
          <t>%/month</t>
        </is>
      </c>
      <c r="D43" s="37">
        <f>D11*(1-D12)</f>
        <v/>
      </c>
      <c r="E43" s="37">
        <f>E11*(1-E12)</f>
        <v/>
      </c>
      <c r="F43" s="37">
        <f>F11*(1-F12)</f>
        <v/>
      </c>
    </row>
    <row r="44">
      <c r="B44" s="7" t="inlineStr">
        <is>
          <t>Extra churn per renewal month</t>
        </is>
      </c>
      <c r="C44" s="5" t="inlineStr">
        <is>
          <t>%/month</t>
        </is>
      </c>
      <c r="D44" s="37">
        <f>1-(1-D13)^(1/NRenew)</f>
        <v/>
      </c>
      <c r="E44" s="37">
        <f>1-(1-E13)^(1/NRenew)</f>
        <v/>
      </c>
      <c r="F44" s="37">
        <f>1-(1-F13)^(1/NRenew)</f>
        <v/>
      </c>
    </row>
    <row r="45">
      <c r="B45" s="7" t="inlineStr">
        <is>
          <t>Annual logo retention</t>
        </is>
      </c>
      <c r="C45" s="5" t="inlineStr">
        <is>
          <t>%</t>
        </is>
      </c>
      <c r="D45" s="38">
        <f>(1-D43)^12*(1-D13)</f>
        <v/>
      </c>
      <c r="E45" s="38">
        <f>(1-E43)^12*(1-E13)</f>
        <v/>
      </c>
      <c r="F45" s="38">
        <f>(1-F43)^12*(1-F13)</f>
        <v/>
      </c>
    </row>
    <row r="46">
      <c r="B46" s="7" t="inlineStr">
        <is>
          <t>Expected paid lifetime within horizon</t>
        </is>
      </c>
      <c r="C46" s="5" t="inlineStr">
        <is>
          <t>months</t>
        </is>
      </c>
      <c r="D46" s="52">
        <f>SUM(D172:D231)</f>
        <v/>
      </c>
      <c r="E46" s="52">
        <f>SUM(E172:E231)</f>
        <v/>
      </c>
      <c r="F46" s="52">
        <f>SUM(F172:F231)</f>
        <v/>
      </c>
    </row>
    <row r="47">
      <c r="A47" s="21" t="n"/>
      <c r="B47" s="20" t="inlineStr">
        <is>
          <t>4. Lifetime value (60-month horizon, survival-weighted, discounted)</t>
        </is>
      </c>
      <c r="C47" s="21" t="n"/>
      <c r="D47" s="21" t="n"/>
      <c r="E47" s="21" t="n"/>
      <c r="F47" s="21" t="n"/>
    </row>
    <row r="48">
      <c r="B48" s="7" t="inlineStr">
        <is>
          <t>LTV (contribution)</t>
        </is>
      </c>
      <c r="C48" s="5" t="inlineStr">
        <is>
          <t>₹</t>
        </is>
      </c>
      <c r="D48" s="50">
        <f>D291</f>
        <v/>
      </c>
      <c r="E48" s="50">
        <f>E291</f>
        <v/>
      </c>
      <c r="F48" s="50">
        <f>F291</f>
        <v/>
      </c>
    </row>
    <row r="49">
      <c r="B49" s="7" t="inlineStr">
        <is>
          <t>LTV ÷ fully loaded acquisition cost</t>
        </is>
      </c>
      <c r="C49" s="5" t="inlineStr">
        <is>
          <t>x</t>
        </is>
      </c>
      <c r="D49" s="53">
        <f>IF(D41&gt;0,D48/D41,0)</f>
        <v/>
      </c>
      <c r="E49" s="53">
        <f>IF(E41&gt;0,E48/E41,0)</f>
        <v/>
      </c>
      <c r="F49" s="53">
        <f>IF(F41&gt;0,F48/F41,0)</f>
        <v/>
      </c>
    </row>
    <row r="50">
      <c r="B50" s="7" t="inlineStr">
        <is>
          <t>Payback (months of paid life, discounted)</t>
        </is>
      </c>
      <c r="C50" s="5" t="inlineStr">
        <is>
          <t>months</t>
        </is>
      </c>
      <c r="D50" s="58">
        <f>IF(D291&lt;D41,61,COUNTIF(D232:D291,"&lt;"&amp;D41)+1)</f>
        <v/>
      </c>
      <c r="E50" s="58">
        <f>IF(E291&lt;E41,61,COUNTIF(E232:E291,"&lt;"&amp;E41)+1)</f>
        <v/>
      </c>
      <c r="F50" s="58">
        <f>IF(F291&lt;F41,61,COUNTIF(F232:F291,"&lt;"&amp;F41)+1)</f>
        <v/>
      </c>
    </row>
    <row r="51">
      <c r="A51" s="21" t="n"/>
      <c r="B51" s="20" t="inlineStr">
        <is>
          <t>5. Month-by-month engine (t = paid month; calendar from Seasonality timeline)</t>
        </is>
      </c>
      <c r="C51" s="21" t="n"/>
      <c r="D51" s="21" t="n"/>
      <c r="E51" s="21" t="n"/>
      <c r="F51" s="21" t="n"/>
    </row>
    <row r="52" hidden="1" outlineLevel="1">
      <c r="B52" s="7" t="inlineStr">
        <is>
          <t>Revenue collected · month 1</t>
        </is>
      </c>
      <c r="C52" s="5" t="inlineStr">
        <is>
          <t>₹</t>
        </is>
      </c>
      <c r="D52" s="48">
        <f>MAX(D8,D6*Seasonality!$C$37*D7)*(1-D25)*(1-D9)</f>
        <v/>
      </c>
      <c r="E52" s="48">
        <f>MAX(E8,E6*Seasonality!$C$37*E7)*(1-E25)*(1-E9)</f>
        <v/>
      </c>
      <c r="F52" s="48">
        <f>MAX(F8,F6*Seasonality!$C$37*F7)*(1-F25)*(1-F9)</f>
        <v/>
      </c>
    </row>
    <row r="53" hidden="1" outlineLevel="1">
      <c r="B53" s="7" t="inlineStr">
        <is>
          <t>Revenue collected · month 2</t>
        </is>
      </c>
      <c r="C53" s="5" t="inlineStr">
        <is>
          <t>₹</t>
        </is>
      </c>
      <c r="D53" s="48">
        <f>MAX(D8,D6*Seasonality!$C$38*D7)*(1-D25)*(1-D9)</f>
        <v/>
      </c>
      <c r="E53" s="48">
        <f>MAX(E8,E6*Seasonality!$C$38*E7)*(1-E25)*(1-E9)</f>
        <v/>
      </c>
      <c r="F53" s="48">
        <f>MAX(F8,F6*Seasonality!$C$38*F7)*(1-F25)*(1-F9)</f>
        <v/>
      </c>
    </row>
    <row r="54" hidden="1" outlineLevel="1">
      <c r="B54" s="7" t="inlineStr">
        <is>
          <t>Revenue collected · month 3</t>
        </is>
      </c>
      <c r="C54" s="5" t="inlineStr">
        <is>
          <t>₹</t>
        </is>
      </c>
      <c r="D54" s="48">
        <f>MAX(D8,D6*Seasonality!$C$39*D7)*(1-D25)*(1-D9)</f>
        <v/>
      </c>
      <c r="E54" s="48">
        <f>MAX(E8,E6*Seasonality!$C$39*E7)*(1-E25)*(1-E9)</f>
        <v/>
      </c>
      <c r="F54" s="48">
        <f>MAX(F8,F6*Seasonality!$C$39*F7)*(1-F25)*(1-F9)</f>
        <v/>
      </c>
    </row>
    <row r="55" hidden="1" outlineLevel="1">
      <c r="B55" s="7" t="inlineStr">
        <is>
          <t>Revenue collected · month 4</t>
        </is>
      </c>
      <c r="C55" s="5" t="inlineStr">
        <is>
          <t>₹</t>
        </is>
      </c>
      <c r="D55" s="48">
        <f>MAX(D8,D6*Seasonality!$C$40*D7)*(1-D25)*(1-D9)</f>
        <v/>
      </c>
      <c r="E55" s="48">
        <f>MAX(E8,E6*Seasonality!$C$40*E7)*(1-E25)*(1-E9)</f>
        <v/>
      </c>
      <c r="F55" s="48">
        <f>MAX(F8,F6*Seasonality!$C$40*F7)*(1-F25)*(1-F9)</f>
        <v/>
      </c>
    </row>
    <row r="56" hidden="1" outlineLevel="1">
      <c r="B56" s="7" t="inlineStr">
        <is>
          <t>Revenue collected · month 5</t>
        </is>
      </c>
      <c r="C56" s="5" t="inlineStr">
        <is>
          <t>₹</t>
        </is>
      </c>
      <c r="D56" s="48">
        <f>MAX(D8,D6*Seasonality!$C$41*D7)*(1-D25)*(1-D9)</f>
        <v/>
      </c>
      <c r="E56" s="48">
        <f>MAX(E8,E6*Seasonality!$C$41*E7)*(1-E25)*(1-E9)</f>
        <v/>
      </c>
      <c r="F56" s="48">
        <f>MAX(F8,F6*Seasonality!$C$41*F7)*(1-F25)*(1-F9)</f>
        <v/>
      </c>
    </row>
    <row r="57" hidden="1" outlineLevel="1">
      <c r="B57" s="7" t="inlineStr">
        <is>
          <t>Revenue collected · month 6</t>
        </is>
      </c>
      <c r="C57" s="5" t="inlineStr">
        <is>
          <t>₹</t>
        </is>
      </c>
      <c r="D57" s="48">
        <f>MAX(D8,D6*Seasonality!$C$42*D7)*(1-D25)*(1-D9)</f>
        <v/>
      </c>
      <c r="E57" s="48">
        <f>MAX(E8,E6*Seasonality!$C$42*E7)*(1-E25)*(1-E9)</f>
        <v/>
      </c>
      <c r="F57" s="48">
        <f>MAX(F8,F6*Seasonality!$C$42*F7)*(1-F25)*(1-F9)</f>
        <v/>
      </c>
    </row>
    <row r="58" hidden="1" outlineLevel="1">
      <c r="B58" s="7" t="inlineStr">
        <is>
          <t>Revenue collected · month 7</t>
        </is>
      </c>
      <c r="C58" s="5" t="inlineStr">
        <is>
          <t>₹</t>
        </is>
      </c>
      <c r="D58" s="48">
        <f>MAX(D8,D6*Seasonality!$C$43*D7)*(1-D25)*(1-D9)</f>
        <v/>
      </c>
      <c r="E58" s="48">
        <f>MAX(E8,E6*Seasonality!$C$43*E7)*(1-E25)*(1-E9)</f>
        <v/>
      </c>
      <c r="F58" s="48">
        <f>MAX(F8,F6*Seasonality!$C$43*F7)*(1-F25)*(1-F9)</f>
        <v/>
      </c>
    </row>
    <row r="59" hidden="1" outlineLevel="1">
      <c r="B59" s="7" t="inlineStr">
        <is>
          <t>Revenue collected · month 8</t>
        </is>
      </c>
      <c r="C59" s="5" t="inlineStr">
        <is>
          <t>₹</t>
        </is>
      </c>
      <c r="D59" s="48">
        <f>MAX(D8,D6*Seasonality!$C$44*D7)*(1-D25)*(1-D9)</f>
        <v/>
      </c>
      <c r="E59" s="48">
        <f>MAX(E8,E6*Seasonality!$C$44*E7)*(1-E25)*(1-E9)</f>
        <v/>
      </c>
      <c r="F59" s="48">
        <f>MAX(F8,F6*Seasonality!$C$44*F7)*(1-F25)*(1-F9)</f>
        <v/>
      </c>
    </row>
    <row r="60" hidden="1" outlineLevel="1">
      <c r="B60" s="7" t="inlineStr">
        <is>
          <t>Revenue collected · month 9</t>
        </is>
      </c>
      <c r="C60" s="5" t="inlineStr">
        <is>
          <t>₹</t>
        </is>
      </c>
      <c r="D60" s="48">
        <f>MAX(D8,D6*Seasonality!$C$45*D7)*(1-D25)*(1-D9)</f>
        <v/>
      </c>
      <c r="E60" s="48">
        <f>MAX(E8,E6*Seasonality!$C$45*E7)*(1-E25)*(1-E9)</f>
        <v/>
      </c>
      <c r="F60" s="48">
        <f>MAX(F8,F6*Seasonality!$C$45*F7)*(1-F25)*(1-F9)</f>
        <v/>
      </c>
    </row>
    <row r="61" hidden="1" outlineLevel="1">
      <c r="B61" s="7" t="inlineStr">
        <is>
          <t>Revenue collected · month 10</t>
        </is>
      </c>
      <c r="C61" s="5" t="inlineStr">
        <is>
          <t>₹</t>
        </is>
      </c>
      <c r="D61" s="48">
        <f>MAX(D8,D6*Seasonality!$C$46*D7)*(1-D25)*(1-D9)</f>
        <v/>
      </c>
      <c r="E61" s="48">
        <f>MAX(E8,E6*Seasonality!$C$46*E7)*(1-E25)*(1-E9)</f>
        <v/>
      </c>
      <c r="F61" s="48">
        <f>MAX(F8,F6*Seasonality!$C$46*F7)*(1-F25)*(1-F9)</f>
        <v/>
      </c>
    </row>
    <row r="62" hidden="1" outlineLevel="1">
      <c r="B62" s="7" t="inlineStr">
        <is>
          <t>Revenue collected · month 11</t>
        </is>
      </c>
      <c r="C62" s="5" t="inlineStr">
        <is>
          <t>₹</t>
        </is>
      </c>
      <c r="D62" s="48">
        <f>MAX(D8,D6*Seasonality!$C$47*D7)*(1-D25)*(1-D9)</f>
        <v/>
      </c>
      <c r="E62" s="48">
        <f>MAX(E8,E6*Seasonality!$C$47*E7)*(1-E25)*(1-E9)</f>
        <v/>
      </c>
      <c r="F62" s="48">
        <f>MAX(F8,F6*Seasonality!$C$47*F7)*(1-F25)*(1-F9)</f>
        <v/>
      </c>
    </row>
    <row r="63" hidden="1" outlineLevel="1">
      <c r="B63" s="7" t="inlineStr">
        <is>
          <t>Revenue collected · month 12</t>
        </is>
      </c>
      <c r="C63" s="5" t="inlineStr">
        <is>
          <t>₹</t>
        </is>
      </c>
      <c r="D63" s="48">
        <f>MAX(D8,D6*Seasonality!$C$48*D7)*(1-D25)*(1-D9)</f>
        <v/>
      </c>
      <c r="E63" s="48">
        <f>MAX(E8,E6*Seasonality!$C$48*E7)*(1-E25)*(1-E9)</f>
        <v/>
      </c>
      <c r="F63" s="48">
        <f>MAX(F8,F6*Seasonality!$C$48*F7)*(1-F25)*(1-F9)</f>
        <v/>
      </c>
    </row>
    <row r="64" hidden="1" outlineLevel="1">
      <c r="B64" s="7" t="inlineStr">
        <is>
          <t>Revenue collected · month 13</t>
        </is>
      </c>
      <c r="C64" s="5" t="inlineStr">
        <is>
          <t>₹</t>
        </is>
      </c>
      <c r="D64" s="48">
        <f>MAX(D8,D6*Seasonality!$C$49*D7)*(1-D25)*(1-D9)</f>
        <v/>
      </c>
      <c r="E64" s="48">
        <f>MAX(E8,E6*Seasonality!$C$49*E7)*(1-E25)*(1-E9)</f>
        <v/>
      </c>
      <c r="F64" s="48">
        <f>MAX(F8,F6*Seasonality!$C$49*F7)*(1-F25)*(1-F9)</f>
        <v/>
      </c>
    </row>
    <row r="65" hidden="1" outlineLevel="1">
      <c r="B65" s="7" t="inlineStr">
        <is>
          <t>Revenue collected · month 14</t>
        </is>
      </c>
      <c r="C65" s="5" t="inlineStr">
        <is>
          <t>₹</t>
        </is>
      </c>
      <c r="D65" s="48">
        <f>MAX(D8,D6*Seasonality!$C$50*D7)*(1-D25)*(1-D9)</f>
        <v/>
      </c>
      <c r="E65" s="48">
        <f>MAX(E8,E6*Seasonality!$C$50*E7)*(1-E25)*(1-E9)</f>
        <v/>
      </c>
      <c r="F65" s="48">
        <f>MAX(F8,F6*Seasonality!$C$50*F7)*(1-F25)*(1-F9)</f>
        <v/>
      </c>
    </row>
    <row r="66" hidden="1" outlineLevel="1">
      <c r="B66" s="7" t="inlineStr">
        <is>
          <t>Revenue collected · month 15</t>
        </is>
      </c>
      <c r="C66" s="5" t="inlineStr">
        <is>
          <t>₹</t>
        </is>
      </c>
      <c r="D66" s="48">
        <f>MAX(D8,D6*Seasonality!$C$51*D7)*(1-D25)*(1-D9)</f>
        <v/>
      </c>
      <c r="E66" s="48">
        <f>MAX(E8,E6*Seasonality!$C$51*E7)*(1-E25)*(1-E9)</f>
        <v/>
      </c>
      <c r="F66" s="48">
        <f>MAX(F8,F6*Seasonality!$C$51*F7)*(1-F25)*(1-F9)</f>
        <v/>
      </c>
    </row>
    <row r="67" hidden="1" outlineLevel="1">
      <c r="B67" s="7" t="inlineStr">
        <is>
          <t>Revenue collected · month 16</t>
        </is>
      </c>
      <c r="C67" s="5" t="inlineStr">
        <is>
          <t>₹</t>
        </is>
      </c>
      <c r="D67" s="48">
        <f>MAX(D8,D6*Seasonality!$C$52*D7)*(1-D25)*(1-D9)</f>
        <v/>
      </c>
      <c r="E67" s="48">
        <f>MAX(E8,E6*Seasonality!$C$52*E7)*(1-E25)*(1-E9)</f>
        <v/>
      </c>
      <c r="F67" s="48">
        <f>MAX(F8,F6*Seasonality!$C$52*F7)*(1-F25)*(1-F9)</f>
        <v/>
      </c>
    </row>
    <row r="68" hidden="1" outlineLevel="1">
      <c r="B68" s="7" t="inlineStr">
        <is>
          <t>Revenue collected · month 17</t>
        </is>
      </c>
      <c r="C68" s="5" t="inlineStr">
        <is>
          <t>₹</t>
        </is>
      </c>
      <c r="D68" s="48">
        <f>MAX(D8,D6*Seasonality!$C$53*D7)*(1-D25)*(1-D9)</f>
        <v/>
      </c>
      <c r="E68" s="48">
        <f>MAX(E8,E6*Seasonality!$C$53*E7)*(1-E25)*(1-E9)</f>
        <v/>
      </c>
      <c r="F68" s="48">
        <f>MAX(F8,F6*Seasonality!$C$53*F7)*(1-F25)*(1-F9)</f>
        <v/>
      </c>
    </row>
    <row r="69" hidden="1" outlineLevel="1">
      <c r="B69" s="7" t="inlineStr">
        <is>
          <t>Revenue collected · month 18</t>
        </is>
      </c>
      <c r="C69" s="5" t="inlineStr">
        <is>
          <t>₹</t>
        </is>
      </c>
      <c r="D69" s="48">
        <f>MAX(D8,D6*Seasonality!$C$54*D7)*(1-D25)*(1-D9)</f>
        <v/>
      </c>
      <c r="E69" s="48">
        <f>MAX(E8,E6*Seasonality!$C$54*E7)*(1-E25)*(1-E9)</f>
        <v/>
      </c>
      <c r="F69" s="48">
        <f>MAX(F8,F6*Seasonality!$C$54*F7)*(1-F25)*(1-F9)</f>
        <v/>
      </c>
    </row>
    <row r="70" hidden="1" outlineLevel="1">
      <c r="B70" s="7" t="inlineStr">
        <is>
          <t>Revenue collected · month 19</t>
        </is>
      </c>
      <c r="C70" s="5" t="inlineStr">
        <is>
          <t>₹</t>
        </is>
      </c>
      <c r="D70" s="48">
        <f>MAX(D8,D6*Seasonality!$C$55*D7)*(1-D25)*(1-D9)</f>
        <v/>
      </c>
      <c r="E70" s="48">
        <f>MAX(E8,E6*Seasonality!$C$55*E7)*(1-E25)*(1-E9)</f>
        <v/>
      </c>
      <c r="F70" s="48">
        <f>MAX(F8,F6*Seasonality!$C$55*F7)*(1-F25)*(1-F9)</f>
        <v/>
      </c>
    </row>
    <row r="71" hidden="1" outlineLevel="1">
      <c r="B71" s="7" t="inlineStr">
        <is>
          <t>Revenue collected · month 20</t>
        </is>
      </c>
      <c r="C71" s="5" t="inlineStr">
        <is>
          <t>₹</t>
        </is>
      </c>
      <c r="D71" s="48">
        <f>MAX(D8,D6*Seasonality!$C$56*D7)*(1-D25)*(1-D9)</f>
        <v/>
      </c>
      <c r="E71" s="48">
        <f>MAX(E8,E6*Seasonality!$C$56*E7)*(1-E25)*(1-E9)</f>
        <v/>
      </c>
      <c r="F71" s="48">
        <f>MAX(F8,F6*Seasonality!$C$56*F7)*(1-F25)*(1-F9)</f>
        <v/>
      </c>
    </row>
    <row r="72" hidden="1" outlineLevel="1">
      <c r="B72" s="7" t="inlineStr">
        <is>
          <t>Revenue collected · month 21</t>
        </is>
      </c>
      <c r="C72" s="5" t="inlineStr">
        <is>
          <t>₹</t>
        </is>
      </c>
      <c r="D72" s="48">
        <f>MAX(D8,D6*Seasonality!$C$57*D7)*(1-D25)*(1-D9)</f>
        <v/>
      </c>
      <c r="E72" s="48">
        <f>MAX(E8,E6*Seasonality!$C$57*E7)*(1-E25)*(1-E9)</f>
        <v/>
      </c>
      <c r="F72" s="48">
        <f>MAX(F8,F6*Seasonality!$C$57*F7)*(1-F25)*(1-F9)</f>
        <v/>
      </c>
    </row>
    <row r="73" hidden="1" outlineLevel="1">
      <c r="B73" s="7" t="inlineStr">
        <is>
          <t>Revenue collected · month 22</t>
        </is>
      </c>
      <c r="C73" s="5" t="inlineStr">
        <is>
          <t>₹</t>
        </is>
      </c>
      <c r="D73" s="48">
        <f>MAX(D8,D6*Seasonality!$C$58*D7)*(1-D25)*(1-D9)</f>
        <v/>
      </c>
      <c r="E73" s="48">
        <f>MAX(E8,E6*Seasonality!$C$58*E7)*(1-E25)*(1-E9)</f>
        <v/>
      </c>
      <c r="F73" s="48">
        <f>MAX(F8,F6*Seasonality!$C$58*F7)*(1-F25)*(1-F9)</f>
        <v/>
      </c>
    </row>
    <row r="74" hidden="1" outlineLevel="1">
      <c r="B74" s="7" t="inlineStr">
        <is>
          <t>Revenue collected · month 23</t>
        </is>
      </c>
      <c r="C74" s="5" t="inlineStr">
        <is>
          <t>₹</t>
        </is>
      </c>
      <c r="D74" s="48">
        <f>MAX(D8,D6*Seasonality!$C$59*D7)*(1-D25)*(1-D9)</f>
        <v/>
      </c>
      <c r="E74" s="48">
        <f>MAX(E8,E6*Seasonality!$C$59*E7)*(1-E25)*(1-E9)</f>
        <v/>
      </c>
      <c r="F74" s="48">
        <f>MAX(F8,F6*Seasonality!$C$59*F7)*(1-F25)*(1-F9)</f>
        <v/>
      </c>
    </row>
    <row r="75" hidden="1" outlineLevel="1">
      <c r="B75" s="7" t="inlineStr">
        <is>
          <t>Revenue collected · month 24</t>
        </is>
      </c>
      <c r="C75" s="5" t="inlineStr">
        <is>
          <t>₹</t>
        </is>
      </c>
      <c r="D75" s="48">
        <f>MAX(D8,D6*Seasonality!$C$60*D7)*(1-D25)*(1-D9)</f>
        <v/>
      </c>
      <c r="E75" s="48">
        <f>MAX(E8,E6*Seasonality!$C$60*E7)*(1-E25)*(1-E9)</f>
        <v/>
      </c>
      <c r="F75" s="48">
        <f>MAX(F8,F6*Seasonality!$C$60*F7)*(1-F25)*(1-F9)</f>
        <v/>
      </c>
    </row>
    <row r="76" hidden="1" outlineLevel="1">
      <c r="B76" s="7" t="inlineStr">
        <is>
          <t>Revenue collected · month 25</t>
        </is>
      </c>
      <c r="C76" s="5" t="inlineStr">
        <is>
          <t>₹</t>
        </is>
      </c>
      <c r="D76" s="48">
        <f>MAX(D8,D6*Seasonality!$C$61*D7)*(1-D25)*(1-D9)</f>
        <v/>
      </c>
      <c r="E76" s="48">
        <f>MAX(E8,E6*Seasonality!$C$61*E7)*(1-E25)*(1-E9)</f>
        <v/>
      </c>
      <c r="F76" s="48">
        <f>MAX(F8,F6*Seasonality!$C$61*F7)*(1-F25)*(1-F9)</f>
        <v/>
      </c>
    </row>
    <row r="77" hidden="1" outlineLevel="1">
      <c r="B77" s="7" t="inlineStr">
        <is>
          <t>Revenue collected · month 26</t>
        </is>
      </c>
      <c r="C77" s="5" t="inlineStr">
        <is>
          <t>₹</t>
        </is>
      </c>
      <c r="D77" s="48">
        <f>MAX(D8,D6*Seasonality!$C$62*D7)*(1-D25)*(1-D9)</f>
        <v/>
      </c>
      <c r="E77" s="48">
        <f>MAX(E8,E6*Seasonality!$C$62*E7)*(1-E25)*(1-E9)</f>
        <v/>
      </c>
      <c r="F77" s="48">
        <f>MAX(F8,F6*Seasonality!$C$62*F7)*(1-F25)*(1-F9)</f>
        <v/>
      </c>
    </row>
    <row r="78" hidden="1" outlineLevel="1">
      <c r="B78" s="7" t="inlineStr">
        <is>
          <t>Revenue collected · month 27</t>
        </is>
      </c>
      <c r="C78" s="5" t="inlineStr">
        <is>
          <t>₹</t>
        </is>
      </c>
      <c r="D78" s="48">
        <f>MAX(D8,D6*Seasonality!$C$63*D7)*(1-D25)*(1-D9)</f>
        <v/>
      </c>
      <c r="E78" s="48">
        <f>MAX(E8,E6*Seasonality!$C$63*E7)*(1-E25)*(1-E9)</f>
        <v/>
      </c>
      <c r="F78" s="48">
        <f>MAX(F8,F6*Seasonality!$C$63*F7)*(1-F25)*(1-F9)</f>
        <v/>
      </c>
    </row>
    <row r="79" hidden="1" outlineLevel="1">
      <c r="B79" s="7" t="inlineStr">
        <is>
          <t>Revenue collected · month 28</t>
        </is>
      </c>
      <c r="C79" s="5" t="inlineStr">
        <is>
          <t>₹</t>
        </is>
      </c>
      <c r="D79" s="48">
        <f>MAX(D8,D6*Seasonality!$C$64*D7)*(1-D25)*(1-D9)</f>
        <v/>
      </c>
      <c r="E79" s="48">
        <f>MAX(E8,E6*Seasonality!$C$64*E7)*(1-E25)*(1-E9)</f>
        <v/>
      </c>
      <c r="F79" s="48">
        <f>MAX(F8,F6*Seasonality!$C$64*F7)*(1-F25)*(1-F9)</f>
        <v/>
      </c>
    </row>
    <row r="80" hidden="1" outlineLevel="1">
      <c r="B80" s="7" t="inlineStr">
        <is>
          <t>Revenue collected · month 29</t>
        </is>
      </c>
      <c r="C80" s="5" t="inlineStr">
        <is>
          <t>₹</t>
        </is>
      </c>
      <c r="D80" s="48">
        <f>MAX(D8,D6*Seasonality!$C$65*D7)*(1-D25)*(1-D9)</f>
        <v/>
      </c>
      <c r="E80" s="48">
        <f>MAX(E8,E6*Seasonality!$C$65*E7)*(1-E25)*(1-E9)</f>
        <v/>
      </c>
      <c r="F80" s="48">
        <f>MAX(F8,F6*Seasonality!$C$65*F7)*(1-F25)*(1-F9)</f>
        <v/>
      </c>
    </row>
    <row r="81" hidden="1" outlineLevel="1">
      <c r="B81" s="7" t="inlineStr">
        <is>
          <t>Revenue collected · month 30</t>
        </is>
      </c>
      <c r="C81" s="5" t="inlineStr">
        <is>
          <t>₹</t>
        </is>
      </c>
      <c r="D81" s="48">
        <f>MAX(D8,D6*Seasonality!$C$66*D7)*(1-D25)*(1-D9)</f>
        <v/>
      </c>
      <c r="E81" s="48">
        <f>MAX(E8,E6*Seasonality!$C$66*E7)*(1-E25)*(1-E9)</f>
        <v/>
      </c>
      <c r="F81" s="48">
        <f>MAX(F8,F6*Seasonality!$C$66*F7)*(1-F25)*(1-F9)</f>
        <v/>
      </c>
    </row>
    <row r="82" hidden="1" outlineLevel="1">
      <c r="B82" s="7" t="inlineStr">
        <is>
          <t>Revenue collected · month 31</t>
        </is>
      </c>
      <c r="C82" s="5" t="inlineStr">
        <is>
          <t>₹</t>
        </is>
      </c>
      <c r="D82" s="48">
        <f>MAX(D8,D6*Seasonality!$C$67*D7)*(1-D25)*(1-D9)</f>
        <v/>
      </c>
      <c r="E82" s="48">
        <f>MAX(E8,E6*Seasonality!$C$67*E7)*(1-E25)*(1-E9)</f>
        <v/>
      </c>
      <c r="F82" s="48">
        <f>MAX(F8,F6*Seasonality!$C$67*F7)*(1-F25)*(1-F9)</f>
        <v/>
      </c>
    </row>
    <row r="83" hidden="1" outlineLevel="1">
      <c r="B83" s="7" t="inlineStr">
        <is>
          <t>Revenue collected · month 32</t>
        </is>
      </c>
      <c r="C83" s="5" t="inlineStr">
        <is>
          <t>₹</t>
        </is>
      </c>
      <c r="D83" s="48">
        <f>MAX(D8,D6*Seasonality!$C$68*D7)*(1-D25)*(1-D9)</f>
        <v/>
      </c>
      <c r="E83" s="48">
        <f>MAX(E8,E6*Seasonality!$C$68*E7)*(1-E25)*(1-E9)</f>
        <v/>
      </c>
      <c r="F83" s="48">
        <f>MAX(F8,F6*Seasonality!$C$68*F7)*(1-F25)*(1-F9)</f>
        <v/>
      </c>
    </row>
    <row r="84" hidden="1" outlineLevel="1">
      <c r="B84" s="7" t="inlineStr">
        <is>
          <t>Revenue collected · month 33</t>
        </is>
      </c>
      <c r="C84" s="5" t="inlineStr">
        <is>
          <t>₹</t>
        </is>
      </c>
      <c r="D84" s="48">
        <f>MAX(D8,D6*Seasonality!$C$69*D7)*(1-D25)*(1-D9)</f>
        <v/>
      </c>
      <c r="E84" s="48">
        <f>MAX(E8,E6*Seasonality!$C$69*E7)*(1-E25)*(1-E9)</f>
        <v/>
      </c>
      <c r="F84" s="48">
        <f>MAX(F8,F6*Seasonality!$C$69*F7)*(1-F25)*(1-F9)</f>
        <v/>
      </c>
    </row>
    <row r="85" hidden="1" outlineLevel="1">
      <c r="B85" s="7" t="inlineStr">
        <is>
          <t>Revenue collected · month 34</t>
        </is>
      </c>
      <c r="C85" s="5" t="inlineStr">
        <is>
          <t>₹</t>
        </is>
      </c>
      <c r="D85" s="48">
        <f>MAX(D8,D6*Seasonality!$C$70*D7)*(1-D25)*(1-D9)</f>
        <v/>
      </c>
      <c r="E85" s="48">
        <f>MAX(E8,E6*Seasonality!$C$70*E7)*(1-E25)*(1-E9)</f>
        <v/>
      </c>
      <c r="F85" s="48">
        <f>MAX(F8,F6*Seasonality!$C$70*F7)*(1-F25)*(1-F9)</f>
        <v/>
      </c>
    </row>
    <row r="86" hidden="1" outlineLevel="1">
      <c r="B86" s="7" t="inlineStr">
        <is>
          <t>Revenue collected · month 35</t>
        </is>
      </c>
      <c r="C86" s="5" t="inlineStr">
        <is>
          <t>₹</t>
        </is>
      </c>
      <c r="D86" s="48">
        <f>MAX(D8,D6*Seasonality!$C$71*D7)*(1-D25)*(1-D9)</f>
        <v/>
      </c>
      <c r="E86" s="48">
        <f>MAX(E8,E6*Seasonality!$C$71*E7)*(1-E25)*(1-E9)</f>
        <v/>
      </c>
      <c r="F86" s="48">
        <f>MAX(F8,F6*Seasonality!$C$71*F7)*(1-F25)*(1-F9)</f>
        <v/>
      </c>
    </row>
    <row r="87" hidden="1" outlineLevel="1">
      <c r="B87" s="7" t="inlineStr">
        <is>
          <t>Revenue collected · month 36</t>
        </is>
      </c>
      <c r="C87" s="5" t="inlineStr">
        <is>
          <t>₹</t>
        </is>
      </c>
      <c r="D87" s="48">
        <f>MAX(D8,D6*Seasonality!$C$72*D7)*(1-D25)*(1-D9)</f>
        <v/>
      </c>
      <c r="E87" s="48">
        <f>MAX(E8,E6*Seasonality!$C$72*E7)*(1-E25)*(1-E9)</f>
        <v/>
      </c>
      <c r="F87" s="48">
        <f>MAX(F8,F6*Seasonality!$C$72*F7)*(1-F25)*(1-F9)</f>
        <v/>
      </c>
    </row>
    <row r="88" hidden="1" outlineLevel="1">
      <c r="B88" s="7" t="inlineStr">
        <is>
          <t>Revenue collected · month 37</t>
        </is>
      </c>
      <c r="C88" s="5" t="inlineStr">
        <is>
          <t>₹</t>
        </is>
      </c>
      <c r="D88" s="48">
        <f>MAX(D8,D6*Seasonality!$C$73*D7)*(1-D25)*(1-D9)</f>
        <v/>
      </c>
      <c r="E88" s="48">
        <f>MAX(E8,E6*Seasonality!$C$73*E7)*(1-E25)*(1-E9)</f>
        <v/>
      </c>
      <c r="F88" s="48">
        <f>MAX(F8,F6*Seasonality!$C$73*F7)*(1-F25)*(1-F9)</f>
        <v/>
      </c>
    </row>
    <row r="89" hidden="1" outlineLevel="1">
      <c r="B89" s="7" t="inlineStr">
        <is>
          <t>Revenue collected · month 38</t>
        </is>
      </c>
      <c r="C89" s="5" t="inlineStr">
        <is>
          <t>₹</t>
        </is>
      </c>
      <c r="D89" s="48">
        <f>MAX(D8,D6*Seasonality!$C$74*D7)*(1-D25)*(1-D9)</f>
        <v/>
      </c>
      <c r="E89" s="48">
        <f>MAX(E8,E6*Seasonality!$C$74*E7)*(1-E25)*(1-E9)</f>
        <v/>
      </c>
      <c r="F89" s="48">
        <f>MAX(F8,F6*Seasonality!$C$74*F7)*(1-F25)*(1-F9)</f>
        <v/>
      </c>
    </row>
    <row r="90" hidden="1" outlineLevel="1">
      <c r="B90" s="7" t="inlineStr">
        <is>
          <t>Revenue collected · month 39</t>
        </is>
      </c>
      <c r="C90" s="5" t="inlineStr">
        <is>
          <t>₹</t>
        </is>
      </c>
      <c r="D90" s="48">
        <f>MAX(D8,D6*Seasonality!$C$75*D7)*(1-D25)*(1-D9)</f>
        <v/>
      </c>
      <c r="E90" s="48">
        <f>MAX(E8,E6*Seasonality!$C$75*E7)*(1-E25)*(1-E9)</f>
        <v/>
      </c>
      <c r="F90" s="48">
        <f>MAX(F8,F6*Seasonality!$C$75*F7)*(1-F25)*(1-F9)</f>
        <v/>
      </c>
    </row>
    <row r="91" hidden="1" outlineLevel="1">
      <c r="B91" s="7" t="inlineStr">
        <is>
          <t>Revenue collected · month 40</t>
        </is>
      </c>
      <c r="C91" s="5" t="inlineStr">
        <is>
          <t>₹</t>
        </is>
      </c>
      <c r="D91" s="48">
        <f>MAX(D8,D6*Seasonality!$C$76*D7)*(1-D25)*(1-D9)</f>
        <v/>
      </c>
      <c r="E91" s="48">
        <f>MAX(E8,E6*Seasonality!$C$76*E7)*(1-E25)*(1-E9)</f>
        <v/>
      </c>
      <c r="F91" s="48">
        <f>MAX(F8,F6*Seasonality!$C$76*F7)*(1-F25)*(1-F9)</f>
        <v/>
      </c>
    </row>
    <row r="92" hidden="1" outlineLevel="1">
      <c r="B92" s="7" t="inlineStr">
        <is>
          <t>Revenue collected · month 41</t>
        </is>
      </c>
      <c r="C92" s="5" t="inlineStr">
        <is>
          <t>₹</t>
        </is>
      </c>
      <c r="D92" s="48">
        <f>MAX(D8,D6*Seasonality!$C$77*D7)*(1-D25)*(1-D9)</f>
        <v/>
      </c>
      <c r="E92" s="48">
        <f>MAX(E8,E6*Seasonality!$C$77*E7)*(1-E25)*(1-E9)</f>
        <v/>
      </c>
      <c r="F92" s="48">
        <f>MAX(F8,F6*Seasonality!$C$77*F7)*(1-F25)*(1-F9)</f>
        <v/>
      </c>
    </row>
    <row r="93" hidden="1" outlineLevel="1">
      <c r="B93" s="7" t="inlineStr">
        <is>
          <t>Revenue collected · month 42</t>
        </is>
      </c>
      <c r="C93" s="5" t="inlineStr">
        <is>
          <t>₹</t>
        </is>
      </c>
      <c r="D93" s="48">
        <f>MAX(D8,D6*Seasonality!$C$78*D7)*(1-D25)*(1-D9)</f>
        <v/>
      </c>
      <c r="E93" s="48">
        <f>MAX(E8,E6*Seasonality!$C$78*E7)*(1-E25)*(1-E9)</f>
        <v/>
      </c>
      <c r="F93" s="48">
        <f>MAX(F8,F6*Seasonality!$C$78*F7)*(1-F25)*(1-F9)</f>
        <v/>
      </c>
    </row>
    <row r="94" hidden="1" outlineLevel="1">
      <c r="B94" s="7" t="inlineStr">
        <is>
          <t>Revenue collected · month 43</t>
        </is>
      </c>
      <c r="C94" s="5" t="inlineStr">
        <is>
          <t>₹</t>
        </is>
      </c>
      <c r="D94" s="48">
        <f>MAX(D8,D6*Seasonality!$C$79*D7)*(1-D25)*(1-D9)</f>
        <v/>
      </c>
      <c r="E94" s="48">
        <f>MAX(E8,E6*Seasonality!$C$79*E7)*(1-E25)*(1-E9)</f>
        <v/>
      </c>
      <c r="F94" s="48">
        <f>MAX(F8,F6*Seasonality!$C$79*F7)*(1-F25)*(1-F9)</f>
        <v/>
      </c>
    </row>
    <row r="95" hidden="1" outlineLevel="1">
      <c r="B95" s="7" t="inlineStr">
        <is>
          <t>Revenue collected · month 44</t>
        </is>
      </c>
      <c r="C95" s="5" t="inlineStr">
        <is>
          <t>₹</t>
        </is>
      </c>
      <c r="D95" s="48">
        <f>MAX(D8,D6*Seasonality!$C$80*D7)*(1-D25)*(1-D9)</f>
        <v/>
      </c>
      <c r="E95" s="48">
        <f>MAX(E8,E6*Seasonality!$C$80*E7)*(1-E25)*(1-E9)</f>
        <v/>
      </c>
      <c r="F95" s="48">
        <f>MAX(F8,F6*Seasonality!$C$80*F7)*(1-F25)*(1-F9)</f>
        <v/>
      </c>
    </row>
    <row r="96" hidden="1" outlineLevel="1">
      <c r="B96" s="7" t="inlineStr">
        <is>
          <t>Revenue collected · month 45</t>
        </is>
      </c>
      <c r="C96" s="5" t="inlineStr">
        <is>
          <t>₹</t>
        </is>
      </c>
      <c r="D96" s="48">
        <f>MAX(D8,D6*Seasonality!$C$81*D7)*(1-D25)*(1-D9)</f>
        <v/>
      </c>
      <c r="E96" s="48">
        <f>MAX(E8,E6*Seasonality!$C$81*E7)*(1-E25)*(1-E9)</f>
        <v/>
      </c>
      <c r="F96" s="48">
        <f>MAX(F8,F6*Seasonality!$C$81*F7)*(1-F25)*(1-F9)</f>
        <v/>
      </c>
    </row>
    <row r="97" hidden="1" outlineLevel="1">
      <c r="B97" s="7" t="inlineStr">
        <is>
          <t>Revenue collected · month 46</t>
        </is>
      </c>
      <c r="C97" s="5" t="inlineStr">
        <is>
          <t>₹</t>
        </is>
      </c>
      <c r="D97" s="48">
        <f>MAX(D8,D6*Seasonality!$C$82*D7)*(1-D25)*(1-D9)</f>
        <v/>
      </c>
      <c r="E97" s="48">
        <f>MAX(E8,E6*Seasonality!$C$82*E7)*(1-E25)*(1-E9)</f>
        <v/>
      </c>
      <c r="F97" s="48">
        <f>MAX(F8,F6*Seasonality!$C$82*F7)*(1-F25)*(1-F9)</f>
        <v/>
      </c>
    </row>
    <row r="98" hidden="1" outlineLevel="1">
      <c r="B98" s="7" t="inlineStr">
        <is>
          <t>Revenue collected · month 47</t>
        </is>
      </c>
      <c r="C98" s="5" t="inlineStr">
        <is>
          <t>₹</t>
        </is>
      </c>
      <c r="D98" s="48">
        <f>MAX(D8,D6*Seasonality!$C$83*D7)*(1-D25)*(1-D9)</f>
        <v/>
      </c>
      <c r="E98" s="48">
        <f>MAX(E8,E6*Seasonality!$C$83*E7)*(1-E25)*(1-E9)</f>
        <v/>
      </c>
      <c r="F98" s="48">
        <f>MAX(F8,F6*Seasonality!$C$83*F7)*(1-F25)*(1-F9)</f>
        <v/>
      </c>
    </row>
    <row r="99" hidden="1" outlineLevel="1">
      <c r="B99" s="7" t="inlineStr">
        <is>
          <t>Revenue collected · month 48</t>
        </is>
      </c>
      <c r="C99" s="5" t="inlineStr">
        <is>
          <t>₹</t>
        </is>
      </c>
      <c r="D99" s="48">
        <f>MAX(D8,D6*Seasonality!$C$84*D7)*(1-D25)*(1-D9)</f>
        <v/>
      </c>
      <c r="E99" s="48">
        <f>MAX(E8,E6*Seasonality!$C$84*E7)*(1-E25)*(1-E9)</f>
        <v/>
      </c>
      <c r="F99" s="48">
        <f>MAX(F8,F6*Seasonality!$C$84*F7)*(1-F25)*(1-F9)</f>
        <v/>
      </c>
    </row>
    <row r="100" hidden="1" outlineLevel="1">
      <c r="B100" s="7" t="inlineStr">
        <is>
          <t>Revenue collected · month 49</t>
        </is>
      </c>
      <c r="C100" s="5" t="inlineStr">
        <is>
          <t>₹</t>
        </is>
      </c>
      <c r="D100" s="48">
        <f>MAX(D8,D6*Seasonality!$C$85*D7)*(1-D25)*(1-D9)</f>
        <v/>
      </c>
      <c r="E100" s="48">
        <f>MAX(E8,E6*Seasonality!$C$85*E7)*(1-E25)*(1-E9)</f>
        <v/>
      </c>
      <c r="F100" s="48">
        <f>MAX(F8,F6*Seasonality!$C$85*F7)*(1-F25)*(1-F9)</f>
        <v/>
      </c>
    </row>
    <row r="101" hidden="1" outlineLevel="1">
      <c r="B101" s="7" t="inlineStr">
        <is>
          <t>Revenue collected · month 50</t>
        </is>
      </c>
      <c r="C101" s="5" t="inlineStr">
        <is>
          <t>₹</t>
        </is>
      </c>
      <c r="D101" s="48">
        <f>MAX(D8,D6*Seasonality!$C$86*D7)*(1-D25)*(1-D9)</f>
        <v/>
      </c>
      <c r="E101" s="48">
        <f>MAX(E8,E6*Seasonality!$C$86*E7)*(1-E25)*(1-E9)</f>
        <v/>
      </c>
      <c r="F101" s="48">
        <f>MAX(F8,F6*Seasonality!$C$86*F7)*(1-F25)*(1-F9)</f>
        <v/>
      </c>
    </row>
    <row r="102" hidden="1" outlineLevel="1">
      <c r="B102" s="7" t="inlineStr">
        <is>
          <t>Revenue collected · month 51</t>
        </is>
      </c>
      <c r="C102" s="5" t="inlineStr">
        <is>
          <t>₹</t>
        </is>
      </c>
      <c r="D102" s="48">
        <f>MAX(D8,D6*Seasonality!$C$87*D7)*(1-D25)*(1-D9)</f>
        <v/>
      </c>
      <c r="E102" s="48">
        <f>MAX(E8,E6*Seasonality!$C$87*E7)*(1-E25)*(1-E9)</f>
        <v/>
      </c>
      <c r="F102" s="48">
        <f>MAX(F8,F6*Seasonality!$C$87*F7)*(1-F25)*(1-F9)</f>
        <v/>
      </c>
    </row>
    <row r="103" hidden="1" outlineLevel="1">
      <c r="B103" s="7" t="inlineStr">
        <is>
          <t>Revenue collected · month 52</t>
        </is>
      </c>
      <c r="C103" s="5" t="inlineStr">
        <is>
          <t>₹</t>
        </is>
      </c>
      <c r="D103" s="48">
        <f>MAX(D8,D6*Seasonality!$C$88*D7)*(1-D25)*(1-D9)</f>
        <v/>
      </c>
      <c r="E103" s="48">
        <f>MAX(E8,E6*Seasonality!$C$88*E7)*(1-E25)*(1-E9)</f>
        <v/>
      </c>
      <c r="F103" s="48">
        <f>MAX(F8,F6*Seasonality!$C$88*F7)*(1-F25)*(1-F9)</f>
        <v/>
      </c>
    </row>
    <row r="104" hidden="1" outlineLevel="1">
      <c r="B104" s="7" t="inlineStr">
        <is>
          <t>Revenue collected · month 53</t>
        </is>
      </c>
      <c r="C104" s="5" t="inlineStr">
        <is>
          <t>₹</t>
        </is>
      </c>
      <c r="D104" s="48">
        <f>MAX(D8,D6*Seasonality!$C$89*D7)*(1-D25)*(1-D9)</f>
        <v/>
      </c>
      <c r="E104" s="48">
        <f>MAX(E8,E6*Seasonality!$C$89*E7)*(1-E25)*(1-E9)</f>
        <v/>
      </c>
      <c r="F104" s="48">
        <f>MAX(F8,F6*Seasonality!$C$89*F7)*(1-F25)*(1-F9)</f>
        <v/>
      </c>
    </row>
    <row r="105" hidden="1" outlineLevel="1">
      <c r="B105" s="7" t="inlineStr">
        <is>
          <t>Revenue collected · month 54</t>
        </is>
      </c>
      <c r="C105" s="5" t="inlineStr">
        <is>
          <t>₹</t>
        </is>
      </c>
      <c r="D105" s="48">
        <f>MAX(D8,D6*Seasonality!$C$90*D7)*(1-D25)*(1-D9)</f>
        <v/>
      </c>
      <c r="E105" s="48">
        <f>MAX(E8,E6*Seasonality!$C$90*E7)*(1-E25)*(1-E9)</f>
        <v/>
      </c>
      <c r="F105" s="48">
        <f>MAX(F8,F6*Seasonality!$C$90*F7)*(1-F25)*(1-F9)</f>
        <v/>
      </c>
    </row>
    <row r="106" hidden="1" outlineLevel="1">
      <c r="B106" s="7" t="inlineStr">
        <is>
          <t>Revenue collected · month 55</t>
        </is>
      </c>
      <c r="C106" s="5" t="inlineStr">
        <is>
          <t>₹</t>
        </is>
      </c>
      <c r="D106" s="48">
        <f>MAX(D8,D6*Seasonality!$C$91*D7)*(1-D25)*(1-D9)</f>
        <v/>
      </c>
      <c r="E106" s="48">
        <f>MAX(E8,E6*Seasonality!$C$91*E7)*(1-E25)*(1-E9)</f>
        <v/>
      </c>
      <c r="F106" s="48">
        <f>MAX(F8,F6*Seasonality!$C$91*F7)*(1-F25)*(1-F9)</f>
        <v/>
      </c>
    </row>
    <row r="107" hidden="1" outlineLevel="1">
      <c r="B107" s="7" t="inlineStr">
        <is>
          <t>Revenue collected · month 56</t>
        </is>
      </c>
      <c r="C107" s="5" t="inlineStr">
        <is>
          <t>₹</t>
        </is>
      </c>
      <c r="D107" s="48">
        <f>MAX(D8,D6*Seasonality!$C$92*D7)*(1-D25)*(1-D9)</f>
        <v/>
      </c>
      <c r="E107" s="48">
        <f>MAX(E8,E6*Seasonality!$C$92*E7)*(1-E25)*(1-E9)</f>
        <v/>
      </c>
      <c r="F107" s="48">
        <f>MAX(F8,F6*Seasonality!$C$92*F7)*(1-F25)*(1-F9)</f>
        <v/>
      </c>
    </row>
    <row r="108" hidden="1" outlineLevel="1">
      <c r="B108" s="7" t="inlineStr">
        <is>
          <t>Revenue collected · month 57</t>
        </is>
      </c>
      <c r="C108" s="5" t="inlineStr">
        <is>
          <t>₹</t>
        </is>
      </c>
      <c r="D108" s="48">
        <f>MAX(D8,D6*Seasonality!$C$93*D7)*(1-D25)*(1-D9)</f>
        <v/>
      </c>
      <c r="E108" s="48">
        <f>MAX(E8,E6*Seasonality!$C$93*E7)*(1-E25)*(1-E9)</f>
        <v/>
      </c>
      <c r="F108" s="48">
        <f>MAX(F8,F6*Seasonality!$C$93*F7)*(1-F25)*(1-F9)</f>
        <v/>
      </c>
    </row>
    <row r="109" hidden="1" outlineLevel="1">
      <c r="B109" s="7" t="inlineStr">
        <is>
          <t>Revenue collected · month 58</t>
        </is>
      </c>
      <c r="C109" s="5" t="inlineStr">
        <is>
          <t>₹</t>
        </is>
      </c>
      <c r="D109" s="48">
        <f>MAX(D8,D6*Seasonality!$C$94*D7)*(1-D25)*(1-D9)</f>
        <v/>
      </c>
      <c r="E109" s="48">
        <f>MAX(E8,E6*Seasonality!$C$94*E7)*(1-E25)*(1-E9)</f>
        <v/>
      </c>
      <c r="F109" s="48">
        <f>MAX(F8,F6*Seasonality!$C$94*F7)*(1-F25)*(1-F9)</f>
        <v/>
      </c>
    </row>
    <row r="110" hidden="1" outlineLevel="1">
      <c r="B110" s="7" t="inlineStr">
        <is>
          <t>Revenue collected · month 59</t>
        </is>
      </c>
      <c r="C110" s="5" t="inlineStr">
        <is>
          <t>₹</t>
        </is>
      </c>
      <c r="D110" s="48">
        <f>MAX(D8,D6*Seasonality!$C$95*D7)*(1-D25)*(1-D9)</f>
        <v/>
      </c>
      <c r="E110" s="48">
        <f>MAX(E8,E6*Seasonality!$C$95*E7)*(1-E25)*(1-E9)</f>
        <v/>
      </c>
      <c r="F110" s="48">
        <f>MAX(F8,F6*Seasonality!$C$95*F7)*(1-F25)*(1-F9)</f>
        <v/>
      </c>
    </row>
    <row r="111" hidden="1" outlineLevel="1">
      <c r="B111" s="7" t="inlineStr">
        <is>
          <t>Revenue collected · month 60</t>
        </is>
      </c>
      <c r="C111" s="5" t="inlineStr">
        <is>
          <t>₹</t>
        </is>
      </c>
      <c r="D111" s="48">
        <f>MAX(D8,D6*Seasonality!$C$96*D7)*(1-D25)*(1-D9)</f>
        <v/>
      </c>
      <c r="E111" s="48">
        <f>MAX(E8,E6*Seasonality!$C$96*E7)*(1-E25)*(1-E9)</f>
        <v/>
      </c>
      <c r="F111" s="48">
        <f>MAX(F8,F6*Seasonality!$C$96*F7)*(1-F25)*(1-F9)</f>
        <v/>
      </c>
    </row>
    <row r="112" hidden="1" outlineLevel="1">
      <c r="B112" s="7" t="inlineStr">
        <is>
          <t>Contribution · month 1</t>
        </is>
      </c>
      <c r="C112" s="5" t="inlineStr">
        <is>
          <t>₹</t>
        </is>
      </c>
      <c r="D112" s="48">
        <f>D52-(D6*Seasonality!$C$37*D26+D27+D10*D52)-D33</f>
        <v/>
      </c>
      <c r="E112" s="48">
        <f>E52-(E6*Seasonality!$C$37*E26+E27+E10*E52)-E33</f>
        <v/>
      </c>
      <c r="F112" s="48">
        <f>F52-(F6*Seasonality!$C$37*F26+F27+F10*F52)-F33</f>
        <v/>
      </c>
    </row>
    <row r="113" hidden="1" outlineLevel="1">
      <c r="B113" s="7" t="inlineStr">
        <is>
          <t>Contribution · month 2</t>
        </is>
      </c>
      <c r="C113" s="5" t="inlineStr">
        <is>
          <t>₹</t>
        </is>
      </c>
      <c r="D113" s="48">
        <f>D53-(D6*Seasonality!$C$38*D26+D27+D10*D53)-D33</f>
        <v/>
      </c>
      <c r="E113" s="48">
        <f>E53-(E6*Seasonality!$C$38*E26+E27+E10*E53)-E33</f>
        <v/>
      </c>
      <c r="F113" s="48">
        <f>F53-(F6*Seasonality!$C$38*F26+F27+F10*F53)-F33</f>
        <v/>
      </c>
    </row>
    <row r="114" hidden="1" outlineLevel="1">
      <c r="B114" s="7" t="inlineStr">
        <is>
          <t>Contribution · month 3</t>
        </is>
      </c>
      <c r="C114" s="5" t="inlineStr">
        <is>
          <t>₹</t>
        </is>
      </c>
      <c r="D114" s="48">
        <f>D54-(D6*Seasonality!$C$39*D26+D27+D10*D54)-D33</f>
        <v/>
      </c>
      <c r="E114" s="48">
        <f>E54-(E6*Seasonality!$C$39*E26+E27+E10*E54)-E33</f>
        <v/>
      </c>
      <c r="F114" s="48">
        <f>F54-(F6*Seasonality!$C$39*F26+F27+F10*F54)-F33</f>
        <v/>
      </c>
    </row>
    <row r="115" hidden="1" outlineLevel="1">
      <c r="B115" s="7" t="inlineStr">
        <is>
          <t>Contribution · month 4</t>
        </is>
      </c>
      <c r="C115" s="5" t="inlineStr">
        <is>
          <t>₹</t>
        </is>
      </c>
      <c r="D115" s="48">
        <f>D55-(D6*Seasonality!$C$40*D26+D27+D10*D55)-D33</f>
        <v/>
      </c>
      <c r="E115" s="48">
        <f>E55-(E6*Seasonality!$C$40*E26+E27+E10*E55)-E33</f>
        <v/>
      </c>
      <c r="F115" s="48">
        <f>F55-(F6*Seasonality!$C$40*F26+F27+F10*F55)-F33</f>
        <v/>
      </c>
    </row>
    <row r="116" hidden="1" outlineLevel="1">
      <c r="B116" s="7" t="inlineStr">
        <is>
          <t>Contribution · month 5</t>
        </is>
      </c>
      <c r="C116" s="5" t="inlineStr">
        <is>
          <t>₹</t>
        </is>
      </c>
      <c r="D116" s="48">
        <f>D56-(D6*Seasonality!$C$41*D26+D27+D10*D56)-D33</f>
        <v/>
      </c>
      <c r="E116" s="48">
        <f>E56-(E6*Seasonality!$C$41*E26+E27+E10*E56)-E33</f>
        <v/>
      </c>
      <c r="F116" s="48">
        <f>F56-(F6*Seasonality!$C$41*F26+F27+F10*F56)-F33</f>
        <v/>
      </c>
    </row>
    <row r="117" hidden="1" outlineLevel="1">
      <c r="B117" s="7" t="inlineStr">
        <is>
          <t>Contribution · month 6</t>
        </is>
      </c>
      <c r="C117" s="5" t="inlineStr">
        <is>
          <t>₹</t>
        </is>
      </c>
      <c r="D117" s="48">
        <f>D57-(D6*Seasonality!$C$42*D26+D27+D10*D57)-D33</f>
        <v/>
      </c>
      <c r="E117" s="48">
        <f>E57-(E6*Seasonality!$C$42*E26+E27+E10*E57)-E33</f>
        <v/>
      </c>
      <c r="F117" s="48">
        <f>F57-(F6*Seasonality!$C$42*F26+F27+F10*F57)-F33</f>
        <v/>
      </c>
    </row>
    <row r="118" hidden="1" outlineLevel="1">
      <c r="B118" s="7" t="inlineStr">
        <is>
          <t>Contribution · month 7</t>
        </is>
      </c>
      <c r="C118" s="5" t="inlineStr">
        <is>
          <t>₹</t>
        </is>
      </c>
      <c r="D118" s="48">
        <f>D58-(D6*Seasonality!$C$43*D26+D27+D10*D58)-D33</f>
        <v/>
      </c>
      <c r="E118" s="48">
        <f>E58-(E6*Seasonality!$C$43*E26+E27+E10*E58)-E33</f>
        <v/>
      </c>
      <c r="F118" s="48">
        <f>F58-(F6*Seasonality!$C$43*F26+F27+F10*F58)-F33</f>
        <v/>
      </c>
    </row>
    <row r="119" hidden="1" outlineLevel="1">
      <c r="B119" s="7" t="inlineStr">
        <is>
          <t>Contribution · month 8</t>
        </is>
      </c>
      <c r="C119" s="5" t="inlineStr">
        <is>
          <t>₹</t>
        </is>
      </c>
      <c r="D119" s="48">
        <f>D59-(D6*Seasonality!$C$44*D26+D27+D10*D59)-D33</f>
        <v/>
      </c>
      <c r="E119" s="48">
        <f>E59-(E6*Seasonality!$C$44*E26+E27+E10*E59)-E33</f>
        <v/>
      </c>
      <c r="F119" s="48">
        <f>F59-(F6*Seasonality!$C$44*F26+F27+F10*F59)-F33</f>
        <v/>
      </c>
    </row>
    <row r="120" hidden="1" outlineLevel="1">
      <c r="B120" s="7" t="inlineStr">
        <is>
          <t>Contribution · month 9</t>
        </is>
      </c>
      <c r="C120" s="5" t="inlineStr">
        <is>
          <t>₹</t>
        </is>
      </c>
      <c r="D120" s="48">
        <f>D60-(D6*Seasonality!$C$45*D26+D27+D10*D60)-D33</f>
        <v/>
      </c>
      <c r="E120" s="48">
        <f>E60-(E6*Seasonality!$C$45*E26+E27+E10*E60)-E33</f>
        <v/>
      </c>
      <c r="F120" s="48">
        <f>F60-(F6*Seasonality!$C$45*F26+F27+F10*F60)-F33</f>
        <v/>
      </c>
    </row>
    <row r="121" hidden="1" outlineLevel="1">
      <c r="B121" s="7" t="inlineStr">
        <is>
          <t>Contribution · month 10</t>
        </is>
      </c>
      <c r="C121" s="5" t="inlineStr">
        <is>
          <t>₹</t>
        </is>
      </c>
      <c r="D121" s="48">
        <f>D61-(D6*Seasonality!$C$46*D26+D27+D10*D61)-D33</f>
        <v/>
      </c>
      <c r="E121" s="48">
        <f>E61-(E6*Seasonality!$C$46*E26+E27+E10*E61)-E33</f>
        <v/>
      </c>
      <c r="F121" s="48">
        <f>F61-(F6*Seasonality!$C$46*F26+F27+F10*F61)-F33</f>
        <v/>
      </c>
    </row>
    <row r="122" hidden="1" outlineLevel="1">
      <c r="B122" s="7" t="inlineStr">
        <is>
          <t>Contribution · month 11</t>
        </is>
      </c>
      <c r="C122" s="5" t="inlineStr">
        <is>
          <t>₹</t>
        </is>
      </c>
      <c r="D122" s="48">
        <f>D62-(D6*Seasonality!$C$47*D26+D27+D10*D62)-D33</f>
        <v/>
      </c>
      <c r="E122" s="48">
        <f>E62-(E6*Seasonality!$C$47*E26+E27+E10*E62)-E33</f>
        <v/>
      </c>
      <c r="F122" s="48">
        <f>F62-(F6*Seasonality!$C$47*F26+F27+F10*F62)-F33</f>
        <v/>
      </c>
    </row>
    <row r="123" hidden="1" outlineLevel="1">
      <c r="B123" s="7" t="inlineStr">
        <is>
          <t>Contribution · month 12</t>
        </is>
      </c>
      <c r="C123" s="5" t="inlineStr">
        <is>
          <t>₹</t>
        </is>
      </c>
      <c r="D123" s="48">
        <f>D63-(D6*Seasonality!$C$48*D26+D27+D10*D63)-D33</f>
        <v/>
      </c>
      <c r="E123" s="48">
        <f>E63-(E6*Seasonality!$C$48*E26+E27+E10*E63)-E33</f>
        <v/>
      </c>
      <c r="F123" s="48">
        <f>F63-(F6*Seasonality!$C$48*F26+F27+F10*F63)-F33</f>
        <v/>
      </c>
    </row>
    <row r="124" hidden="1" outlineLevel="1">
      <c r="B124" s="7" t="inlineStr">
        <is>
          <t>Contribution · month 13</t>
        </is>
      </c>
      <c r="C124" s="5" t="inlineStr">
        <is>
          <t>₹</t>
        </is>
      </c>
      <c r="D124" s="48">
        <f>D64-(D6*Seasonality!$C$49*D26+D27+D10*D64)-D33</f>
        <v/>
      </c>
      <c r="E124" s="48">
        <f>E64-(E6*Seasonality!$C$49*E26+E27+E10*E64)-E33</f>
        <v/>
      </c>
      <c r="F124" s="48">
        <f>F64-(F6*Seasonality!$C$49*F26+F27+F10*F64)-F33</f>
        <v/>
      </c>
    </row>
    <row r="125" hidden="1" outlineLevel="1">
      <c r="B125" s="7" t="inlineStr">
        <is>
          <t>Contribution · month 14</t>
        </is>
      </c>
      <c r="C125" s="5" t="inlineStr">
        <is>
          <t>₹</t>
        </is>
      </c>
      <c r="D125" s="48">
        <f>D65-(D6*Seasonality!$C$50*D26+D27+D10*D65)-D33</f>
        <v/>
      </c>
      <c r="E125" s="48">
        <f>E65-(E6*Seasonality!$C$50*E26+E27+E10*E65)-E33</f>
        <v/>
      </c>
      <c r="F125" s="48">
        <f>F65-(F6*Seasonality!$C$50*F26+F27+F10*F65)-F33</f>
        <v/>
      </c>
    </row>
    <row r="126" hidden="1" outlineLevel="1">
      <c r="B126" s="7" t="inlineStr">
        <is>
          <t>Contribution · month 15</t>
        </is>
      </c>
      <c r="C126" s="5" t="inlineStr">
        <is>
          <t>₹</t>
        </is>
      </c>
      <c r="D126" s="48">
        <f>D66-(D6*Seasonality!$C$51*D26+D27+D10*D66)-D33</f>
        <v/>
      </c>
      <c r="E126" s="48">
        <f>E66-(E6*Seasonality!$C$51*E26+E27+E10*E66)-E33</f>
        <v/>
      </c>
      <c r="F126" s="48">
        <f>F66-(F6*Seasonality!$C$51*F26+F27+F10*F66)-F33</f>
        <v/>
      </c>
    </row>
    <row r="127" hidden="1" outlineLevel="1">
      <c r="B127" s="7" t="inlineStr">
        <is>
          <t>Contribution · month 16</t>
        </is>
      </c>
      <c r="C127" s="5" t="inlineStr">
        <is>
          <t>₹</t>
        </is>
      </c>
      <c r="D127" s="48">
        <f>D67-(D6*Seasonality!$C$52*D26+D27+D10*D67)-D33</f>
        <v/>
      </c>
      <c r="E127" s="48">
        <f>E67-(E6*Seasonality!$C$52*E26+E27+E10*E67)-E33</f>
        <v/>
      </c>
      <c r="F127" s="48">
        <f>F67-(F6*Seasonality!$C$52*F26+F27+F10*F67)-F33</f>
        <v/>
      </c>
    </row>
    <row r="128" hidden="1" outlineLevel="1">
      <c r="B128" s="7" t="inlineStr">
        <is>
          <t>Contribution · month 17</t>
        </is>
      </c>
      <c r="C128" s="5" t="inlineStr">
        <is>
          <t>₹</t>
        </is>
      </c>
      <c r="D128" s="48">
        <f>D68-(D6*Seasonality!$C$53*D26+D27+D10*D68)-D33</f>
        <v/>
      </c>
      <c r="E128" s="48">
        <f>E68-(E6*Seasonality!$C$53*E26+E27+E10*E68)-E33</f>
        <v/>
      </c>
      <c r="F128" s="48">
        <f>F68-(F6*Seasonality!$C$53*F26+F27+F10*F68)-F33</f>
        <v/>
      </c>
    </row>
    <row r="129" hidden="1" outlineLevel="1">
      <c r="B129" s="7" t="inlineStr">
        <is>
          <t>Contribution · month 18</t>
        </is>
      </c>
      <c r="C129" s="5" t="inlineStr">
        <is>
          <t>₹</t>
        </is>
      </c>
      <c r="D129" s="48">
        <f>D69-(D6*Seasonality!$C$54*D26+D27+D10*D69)-D33</f>
        <v/>
      </c>
      <c r="E129" s="48">
        <f>E69-(E6*Seasonality!$C$54*E26+E27+E10*E69)-E33</f>
        <v/>
      </c>
      <c r="F129" s="48">
        <f>F69-(F6*Seasonality!$C$54*F26+F27+F10*F69)-F33</f>
        <v/>
      </c>
    </row>
    <row r="130" hidden="1" outlineLevel="1">
      <c r="B130" s="7" t="inlineStr">
        <is>
          <t>Contribution · month 19</t>
        </is>
      </c>
      <c r="C130" s="5" t="inlineStr">
        <is>
          <t>₹</t>
        </is>
      </c>
      <c r="D130" s="48">
        <f>D70-(D6*Seasonality!$C$55*D26+D27+D10*D70)-D33</f>
        <v/>
      </c>
      <c r="E130" s="48">
        <f>E70-(E6*Seasonality!$C$55*E26+E27+E10*E70)-E33</f>
        <v/>
      </c>
      <c r="F130" s="48">
        <f>F70-(F6*Seasonality!$C$55*F26+F27+F10*F70)-F33</f>
        <v/>
      </c>
    </row>
    <row r="131" hidden="1" outlineLevel="1">
      <c r="B131" s="7" t="inlineStr">
        <is>
          <t>Contribution · month 20</t>
        </is>
      </c>
      <c r="C131" s="5" t="inlineStr">
        <is>
          <t>₹</t>
        </is>
      </c>
      <c r="D131" s="48">
        <f>D71-(D6*Seasonality!$C$56*D26+D27+D10*D71)-D33</f>
        <v/>
      </c>
      <c r="E131" s="48">
        <f>E71-(E6*Seasonality!$C$56*E26+E27+E10*E71)-E33</f>
        <v/>
      </c>
      <c r="F131" s="48">
        <f>F71-(F6*Seasonality!$C$56*F26+F27+F10*F71)-F33</f>
        <v/>
      </c>
    </row>
    <row r="132" hidden="1" outlineLevel="1">
      <c r="B132" s="7" t="inlineStr">
        <is>
          <t>Contribution · month 21</t>
        </is>
      </c>
      <c r="C132" s="5" t="inlineStr">
        <is>
          <t>₹</t>
        </is>
      </c>
      <c r="D132" s="48">
        <f>D72-(D6*Seasonality!$C$57*D26+D27+D10*D72)-D33</f>
        <v/>
      </c>
      <c r="E132" s="48">
        <f>E72-(E6*Seasonality!$C$57*E26+E27+E10*E72)-E33</f>
        <v/>
      </c>
      <c r="F132" s="48">
        <f>F72-(F6*Seasonality!$C$57*F26+F27+F10*F72)-F33</f>
        <v/>
      </c>
    </row>
    <row r="133" hidden="1" outlineLevel="1">
      <c r="B133" s="7" t="inlineStr">
        <is>
          <t>Contribution · month 22</t>
        </is>
      </c>
      <c r="C133" s="5" t="inlineStr">
        <is>
          <t>₹</t>
        </is>
      </c>
      <c r="D133" s="48">
        <f>D73-(D6*Seasonality!$C$58*D26+D27+D10*D73)-D33</f>
        <v/>
      </c>
      <c r="E133" s="48">
        <f>E73-(E6*Seasonality!$C$58*E26+E27+E10*E73)-E33</f>
        <v/>
      </c>
      <c r="F133" s="48">
        <f>F73-(F6*Seasonality!$C$58*F26+F27+F10*F73)-F33</f>
        <v/>
      </c>
    </row>
    <row r="134" hidden="1" outlineLevel="1">
      <c r="B134" s="7" t="inlineStr">
        <is>
          <t>Contribution · month 23</t>
        </is>
      </c>
      <c r="C134" s="5" t="inlineStr">
        <is>
          <t>₹</t>
        </is>
      </c>
      <c r="D134" s="48">
        <f>D74-(D6*Seasonality!$C$59*D26+D27+D10*D74)-D33</f>
        <v/>
      </c>
      <c r="E134" s="48">
        <f>E74-(E6*Seasonality!$C$59*E26+E27+E10*E74)-E33</f>
        <v/>
      </c>
      <c r="F134" s="48">
        <f>F74-(F6*Seasonality!$C$59*F26+F27+F10*F74)-F33</f>
        <v/>
      </c>
    </row>
    <row r="135" hidden="1" outlineLevel="1">
      <c r="B135" s="7" t="inlineStr">
        <is>
          <t>Contribution · month 24</t>
        </is>
      </c>
      <c r="C135" s="5" t="inlineStr">
        <is>
          <t>₹</t>
        </is>
      </c>
      <c r="D135" s="48">
        <f>D75-(D6*Seasonality!$C$60*D26+D27+D10*D75)-D33</f>
        <v/>
      </c>
      <c r="E135" s="48">
        <f>E75-(E6*Seasonality!$C$60*E26+E27+E10*E75)-E33</f>
        <v/>
      </c>
      <c r="F135" s="48">
        <f>F75-(F6*Seasonality!$C$60*F26+F27+F10*F75)-F33</f>
        <v/>
      </c>
    </row>
    <row r="136" hidden="1" outlineLevel="1">
      <c r="B136" s="7" t="inlineStr">
        <is>
          <t>Contribution · month 25</t>
        </is>
      </c>
      <c r="C136" s="5" t="inlineStr">
        <is>
          <t>₹</t>
        </is>
      </c>
      <c r="D136" s="48">
        <f>D76-(D6*Seasonality!$C$61*D26+D27+D10*D76)-D33</f>
        <v/>
      </c>
      <c r="E136" s="48">
        <f>E76-(E6*Seasonality!$C$61*E26+E27+E10*E76)-E33</f>
        <v/>
      </c>
      <c r="F136" s="48">
        <f>F76-(F6*Seasonality!$C$61*F26+F27+F10*F76)-F33</f>
        <v/>
      </c>
    </row>
    <row r="137" hidden="1" outlineLevel="1">
      <c r="B137" s="7" t="inlineStr">
        <is>
          <t>Contribution · month 26</t>
        </is>
      </c>
      <c r="C137" s="5" t="inlineStr">
        <is>
          <t>₹</t>
        </is>
      </c>
      <c r="D137" s="48">
        <f>D77-(D6*Seasonality!$C$62*D26+D27+D10*D77)-D33</f>
        <v/>
      </c>
      <c r="E137" s="48">
        <f>E77-(E6*Seasonality!$C$62*E26+E27+E10*E77)-E33</f>
        <v/>
      </c>
      <c r="F137" s="48">
        <f>F77-(F6*Seasonality!$C$62*F26+F27+F10*F77)-F33</f>
        <v/>
      </c>
    </row>
    <row r="138" hidden="1" outlineLevel="1">
      <c r="B138" s="7" t="inlineStr">
        <is>
          <t>Contribution · month 27</t>
        </is>
      </c>
      <c r="C138" s="5" t="inlineStr">
        <is>
          <t>₹</t>
        </is>
      </c>
      <c r="D138" s="48">
        <f>D78-(D6*Seasonality!$C$63*D26+D27+D10*D78)-D33</f>
        <v/>
      </c>
      <c r="E138" s="48">
        <f>E78-(E6*Seasonality!$C$63*E26+E27+E10*E78)-E33</f>
        <v/>
      </c>
      <c r="F138" s="48">
        <f>F78-(F6*Seasonality!$C$63*F26+F27+F10*F78)-F33</f>
        <v/>
      </c>
    </row>
    <row r="139" hidden="1" outlineLevel="1">
      <c r="B139" s="7" t="inlineStr">
        <is>
          <t>Contribution · month 28</t>
        </is>
      </c>
      <c r="C139" s="5" t="inlineStr">
        <is>
          <t>₹</t>
        </is>
      </c>
      <c r="D139" s="48">
        <f>D79-(D6*Seasonality!$C$64*D26+D27+D10*D79)-D33</f>
        <v/>
      </c>
      <c r="E139" s="48">
        <f>E79-(E6*Seasonality!$C$64*E26+E27+E10*E79)-E33</f>
        <v/>
      </c>
      <c r="F139" s="48">
        <f>F79-(F6*Seasonality!$C$64*F26+F27+F10*F79)-F33</f>
        <v/>
      </c>
    </row>
    <row r="140" hidden="1" outlineLevel="1">
      <c r="B140" s="7" t="inlineStr">
        <is>
          <t>Contribution · month 29</t>
        </is>
      </c>
      <c r="C140" s="5" t="inlineStr">
        <is>
          <t>₹</t>
        </is>
      </c>
      <c r="D140" s="48">
        <f>D80-(D6*Seasonality!$C$65*D26+D27+D10*D80)-D33</f>
        <v/>
      </c>
      <c r="E140" s="48">
        <f>E80-(E6*Seasonality!$C$65*E26+E27+E10*E80)-E33</f>
        <v/>
      </c>
      <c r="F140" s="48">
        <f>F80-(F6*Seasonality!$C$65*F26+F27+F10*F80)-F33</f>
        <v/>
      </c>
    </row>
    <row r="141" hidden="1" outlineLevel="1">
      <c r="B141" s="7" t="inlineStr">
        <is>
          <t>Contribution · month 30</t>
        </is>
      </c>
      <c r="C141" s="5" t="inlineStr">
        <is>
          <t>₹</t>
        </is>
      </c>
      <c r="D141" s="48">
        <f>D81-(D6*Seasonality!$C$66*D26+D27+D10*D81)-D33</f>
        <v/>
      </c>
      <c r="E141" s="48">
        <f>E81-(E6*Seasonality!$C$66*E26+E27+E10*E81)-E33</f>
        <v/>
      </c>
      <c r="F141" s="48">
        <f>F81-(F6*Seasonality!$C$66*F26+F27+F10*F81)-F33</f>
        <v/>
      </c>
    </row>
    <row r="142" hidden="1" outlineLevel="1">
      <c r="B142" s="7" t="inlineStr">
        <is>
          <t>Contribution · month 31</t>
        </is>
      </c>
      <c r="C142" s="5" t="inlineStr">
        <is>
          <t>₹</t>
        </is>
      </c>
      <c r="D142" s="48">
        <f>D82-(D6*Seasonality!$C$67*D26+D27+D10*D82)-D33</f>
        <v/>
      </c>
      <c r="E142" s="48">
        <f>E82-(E6*Seasonality!$C$67*E26+E27+E10*E82)-E33</f>
        <v/>
      </c>
      <c r="F142" s="48">
        <f>F82-(F6*Seasonality!$C$67*F26+F27+F10*F82)-F33</f>
        <v/>
      </c>
    </row>
    <row r="143" hidden="1" outlineLevel="1">
      <c r="B143" s="7" t="inlineStr">
        <is>
          <t>Contribution · month 32</t>
        </is>
      </c>
      <c r="C143" s="5" t="inlineStr">
        <is>
          <t>₹</t>
        </is>
      </c>
      <c r="D143" s="48">
        <f>D83-(D6*Seasonality!$C$68*D26+D27+D10*D83)-D33</f>
        <v/>
      </c>
      <c r="E143" s="48">
        <f>E83-(E6*Seasonality!$C$68*E26+E27+E10*E83)-E33</f>
        <v/>
      </c>
      <c r="F143" s="48">
        <f>F83-(F6*Seasonality!$C$68*F26+F27+F10*F83)-F33</f>
        <v/>
      </c>
    </row>
    <row r="144" hidden="1" outlineLevel="1">
      <c r="B144" s="7" t="inlineStr">
        <is>
          <t>Contribution · month 33</t>
        </is>
      </c>
      <c r="C144" s="5" t="inlineStr">
        <is>
          <t>₹</t>
        </is>
      </c>
      <c r="D144" s="48">
        <f>D84-(D6*Seasonality!$C$69*D26+D27+D10*D84)-D33</f>
        <v/>
      </c>
      <c r="E144" s="48">
        <f>E84-(E6*Seasonality!$C$69*E26+E27+E10*E84)-E33</f>
        <v/>
      </c>
      <c r="F144" s="48">
        <f>F84-(F6*Seasonality!$C$69*F26+F27+F10*F84)-F33</f>
        <v/>
      </c>
    </row>
    <row r="145" hidden="1" outlineLevel="1">
      <c r="B145" s="7" t="inlineStr">
        <is>
          <t>Contribution · month 34</t>
        </is>
      </c>
      <c r="C145" s="5" t="inlineStr">
        <is>
          <t>₹</t>
        </is>
      </c>
      <c r="D145" s="48">
        <f>D85-(D6*Seasonality!$C$70*D26+D27+D10*D85)-D33</f>
        <v/>
      </c>
      <c r="E145" s="48">
        <f>E85-(E6*Seasonality!$C$70*E26+E27+E10*E85)-E33</f>
        <v/>
      </c>
      <c r="F145" s="48">
        <f>F85-(F6*Seasonality!$C$70*F26+F27+F10*F85)-F33</f>
        <v/>
      </c>
    </row>
    <row r="146" hidden="1" outlineLevel="1">
      <c r="B146" s="7" t="inlineStr">
        <is>
          <t>Contribution · month 35</t>
        </is>
      </c>
      <c r="C146" s="5" t="inlineStr">
        <is>
          <t>₹</t>
        </is>
      </c>
      <c r="D146" s="48">
        <f>D86-(D6*Seasonality!$C$71*D26+D27+D10*D86)-D33</f>
        <v/>
      </c>
      <c r="E146" s="48">
        <f>E86-(E6*Seasonality!$C$71*E26+E27+E10*E86)-E33</f>
        <v/>
      </c>
      <c r="F146" s="48">
        <f>F86-(F6*Seasonality!$C$71*F26+F27+F10*F86)-F33</f>
        <v/>
      </c>
    </row>
    <row r="147" hidden="1" outlineLevel="1">
      <c r="B147" s="7" t="inlineStr">
        <is>
          <t>Contribution · month 36</t>
        </is>
      </c>
      <c r="C147" s="5" t="inlineStr">
        <is>
          <t>₹</t>
        </is>
      </c>
      <c r="D147" s="48">
        <f>D87-(D6*Seasonality!$C$72*D26+D27+D10*D87)-D33</f>
        <v/>
      </c>
      <c r="E147" s="48">
        <f>E87-(E6*Seasonality!$C$72*E26+E27+E10*E87)-E33</f>
        <v/>
      </c>
      <c r="F147" s="48">
        <f>F87-(F6*Seasonality!$C$72*F26+F27+F10*F87)-F33</f>
        <v/>
      </c>
    </row>
    <row r="148" hidden="1" outlineLevel="1">
      <c r="B148" s="7" t="inlineStr">
        <is>
          <t>Contribution · month 37</t>
        </is>
      </c>
      <c r="C148" s="5" t="inlineStr">
        <is>
          <t>₹</t>
        </is>
      </c>
      <c r="D148" s="48">
        <f>D88-(D6*Seasonality!$C$73*D26+D27+D10*D88)-D33</f>
        <v/>
      </c>
      <c r="E148" s="48">
        <f>E88-(E6*Seasonality!$C$73*E26+E27+E10*E88)-E33</f>
        <v/>
      </c>
      <c r="F148" s="48">
        <f>F88-(F6*Seasonality!$C$73*F26+F27+F10*F88)-F33</f>
        <v/>
      </c>
    </row>
    <row r="149" hidden="1" outlineLevel="1">
      <c r="B149" s="7" t="inlineStr">
        <is>
          <t>Contribution · month 38</t>
        </is>
      </c>
      <c r="C149" s="5" t="inlineStr">
        <is>
          <t>₹</t>
        </is>
      </c>
      <c r="D149" s="48">
        <f>D89-(D6*Seasonality!$C$74*D26+D27+D10*D89)-D33</f>
        <v/>
      </c>
      <c r="E149" s="48">
        <f>E89-(E6*Seasonality!$C$74*E26+E27+E10*E89)-E33</f>
        <v/>
      </c>
      <c r="F149" s="48">
        <f>F89-(F6*Seasonality!$C$74*F26+F27+F10*F89)-F33</f>
        <v/>
      </c>
    </row>
    <row r="150" hidden="1" outlineLevel="1">
      <c r="B150" s="7" t="inlineStr">
        <is>
          <t>Contribution · month 39</t>
        </is>
      </c>
      <c r="C150" s="5" t="inlineStr">
        <is>
          <t>₹</t>
        </is>
      </c>
      <c r="D150" s="48">
        <f>D90-(D6*Seasonality!$C$75*D26+D27+D10*D90)-D33</f>
        <v/>
      </c>
      <c r="E150" s="48">
        <f>E90-(E6*Seasonality!$C$75*E26+E27+E10*E90)-E33</f>
        <v/>
      </c>
      <c r="F150" s="48">
        <f>F90-(F6*Seasonality!$C$75*F26+F27+F10*F90)-F33</f>
        <v/>
      </c>
    </row>
    <row r="151" hidden="1" outlineLevel="1">
      <c r="B151" s="7" t="inlineStr">
        <is>
          <t>Contribution · month 40</t>
        </is>
      </c>
      <c r="C151" s="5" t="inlineStr">
        <is>
          <t>₹</t>
        </is>
      </c>
      <c r="D151" s="48">
        <f>D91-(D6*Seasonality!$C$76*D26+D27+D10*D91)-D33</f>
        <v/>
      </c>
      <c r="E151" s="48">
        <f>E91-(E6*Seasonality!$C$76*E26+E27+E10*E91)-E33</f>
        <v/>
      </c>
      <c r="F151" s="48">
        <f>F91-(F6*Seasonality!$C$76*F26+F27+F10*F91)-F33</f>
        <v/>
      </c>
    </row>
    <row r="152" hidden="1" outlineLevel="1">
      <c r="B152" s="7" t="inlineStr">
        <is>
          <t>Contribution · month 41</t>
        </is>
      </c>
      <c r="C152" s="5" t="inlineStr">
        <is>
          <t>₹</t>
        </is>
      </c>
      <c r="D152" s="48">
        <f>D92-(D6*Seasonality!$C$77*D26+D27+D10*D92)-D33</f>
        <v/>
      </c>
      <c r="E152" s="48">
        <f>E92-(E6*Seasonality!$C$77*E26+E27+E10*E92)-E33</f>
        <v/>
      </c>
      <c r="F152" s="48">
        <f>F92-(F6*Seasonality!$C$77*F26+F27+F10*F92)-F33</f>
        <v/>
      </c>
    </row>
    <row r="153" hidden="1" outlineLevel="1">
      <c r="B153" s="7" t="inlineStr">
        <is>
          <t>Contribution · month 42</t>
        </is>
      </c>
      <c r="C153" s="5" t="inlineStr">
        <is>
          <t>₹</t>
        </is>
      </c>
      <c r="D153" s="48">
        <f>D93-(D6*Seasonality!$C$78*D26+D27+D10*D93)-D33</f>
        <v/>
      </c>
      <c r="E153" s="48">
        <f>E93-(E6*Seasonality!$C$78*E26+E27+E10*E93)-E33</f>
        <v/>
      </c>
      <c r="F153" s="48">
        <f>F93-(F6*Seasonality!$C$78*F26+F27+F10*F93)-F33</f>
        <v/>
      </c>
    </row>
    <row r="154" hidden="1" outlineLevel="1">
      <c r="B154" s="7" t="inlineStr">
        <is>
          <t>Contribution · month 43</t>
        </is>
      </c>
      <c r="C154" s="5" t="inlineStr">
        <is>
          <t>₹</t>
        </is>
      </c>
      <c r="D154" s="48">
        <f>D94-(D6*Seasonality!$C$79*D26+D27+D10*D94)-D33</f>
        <v/>
      </c>
      <c r="E154" s="48">
        <f>E94-(E6*Seasonality!$C$79*E26+E27+E10*E94)-E33</f>
        <v/>
      </c>
      <c r="F154" s="48">
        <f>F94-(F6*Seasonality!$C$79*F26+F27+F10*F94)-F33</f>
        <v/>
      </c>
    </row>
    <row r="155" hidden="1" outlineLevel="1">
      <c r="B155" s="7" t="inlineStr">
        <is>
          <t>Contribution · month 44</t>
        </is>
      </c>
      <c r="C155" s="5" t="inlineStr">
        <is>
          <t>₹</t>
        </is>
      </c>
      <c r="D155" s="48">
        <f>D95-(D6*Seasonality!$C$80*D26+D27+D10*D95)-D33</f>
        <v/>
      </c>
      <c r="E155" s="48">
        <f>E95-(E6*Seasonality!$C$80*E26+E27+E10*E95)-E33</f>
        <v/>
      </c>
      <c r="F155" s="48">
        <f>F95-(F6*Seasonality!$C$80*F26+F27+F10*F95)-F33</f>
        <v/>
      </c>
    </row>
    <row r="156" hidden="1" outlineLevel="1">
      <c r="B156" s="7" t="inlineStr">
        <is>
          <t>Contribution · month 45</t>
        </is>
      </c>
      <c r="C156" s="5" t="inlineStr">
        <is>
          <t>₹</t>
        </is>
      </c>
      <c r="D156" s="48">
        <f>D96-(D6*Seasonality!$C$81*D26+D27+D10*D96)-D33</f>
        <v/>
      </c>
      <c r="E156" s="48">
        <f>E96-(E6*Seasonality!$C$81*E26+E27+E10*E96)-E33</f>
        <v/>
      </c>
      <c r="F156" s="48">
        <f>F96-(F6*Seasonality!$C$81*F26+F27+F10*F96)-F33</f>
        <v/>
      </c>
    </row>
    <row r="157" hidden="1" outlineLevel="1">
      <c r="B157" s="7" t="inlineStr">
        <is>
          <t>Contribution · month 46</t>
        </is>
      </c>
      <c r="C157" s="5" t="inlineStr">
        <is>
          <t>₹</t>
        </is>
      </c>
      <c r="D157" s="48">
        <f>D97-(D6*Seasonality!$C$82*D26+D27+D10*D97)-D33</f>
        <v/>
      </c>
      <c r="E157" s="48">
        <f>E97-(E6*Seasonality!$C$82*E26+E27+E10*E97)-E33</f>
        <v/>
      </c>
      <c r="F157" s="48">
        <f>F97-(F6*Seasonality!$C$82*F26+F27+F10*F97)-F33</f>
        <v/>
      </c>
    </row>
    <row r="158" hidden="1" outlineLevel="1">
      <c r="B158" s="7" t="inlineStr">
        <is>
          <t>Contribution · month 47</t>
        </is>
      </c>
      <c r="C158" s="5" t="inlineStr">
        <is>
          <t>₹</t>
        </is>
      </c>
      <c r="D158" s="48">
        <f>D98-(D6*Seasonality!$C$83*D26+D27+D10*D98)-D33</f>
        <v/>
      </c>
      <c r="E158" s="48">
        <f>E98-(E6*Seasonality!$C$83*E26+E27+E10*E98)-E33</f>
        <v/>
      </c>
      <c r="F158" s="48">
        <f>F98-(F6*Seasonality!$C$83*F26+F27+F10*F98)-F33</f>
        <v/>
      </c>
    </row>
    <row r="159" hidden="1" outlineLevel="1">
      <c r="B159" s="7" t="inlineStr">
        <is>
          <t>Contribution · month 48</t>
        </is>
      </c>
      <c r="C159" s="5" t="inlineStr">
        <is>
          <t>₹</t>
        </is>
      </c>
      <c r="D159" s="48">
        <f>D99-(D6*Seasonality!$C$84*D26+D27+D10*D99)-D33</f>
        <v/>
      </c>
      <c r="E159" s="48">
        <f>E99-(E6*Seasonality!$C$84*E26+E27+E10*E99)-E33</f>
        <v/>
      </c>
      <c r="F159" s="48">
        <f>F99-(F6*Seasonality!$C$84*F26+F27+F10*F99)-F33</f>
        <v/>
      </c>
    </row>
    <row r="160" hidden="1" outlineLevel="1">
      <c r="B160" s="7" t="inlineStr">
        <is>
          <t>Contribution · month 49</t>
        </is>
      </c>
      <c r="C160" s="5" t="inlineStr">
        <is>
          <t>₹</t>
        </is>
      </c>
      <c r="D160" s="48">
        <f>D100-(D6*Seasonality!$C$85*D26+D27+D10*D100)-D33</f>
        <v/>
      </c>
      <c r="E160" s="48">
        <f>E100-(E6*Seasonality!$C$85*E26+E27+E10*E100)-E33</f>
        <v/>
      </c>
      <c r="F160" s="48">
        <f>F100-(F6*Seasonality!$C$85*F26+F27+F10*F100)-F33</f>
        <v/>
      </c>
    </row>
    <row r="161" hidden="1" outlineLevel="1">
      <c r="B161" s="7" t="inlineStr">
        <is>
          <t>Contribution · month 50</t>
        </is>
      </c>
      <c r="C161" s="5" t="inlineStr">
        <is>
          <t>₹</t>
        </is>
      </c>
      <c r="D161" s="48">
        <f>D101-(D6*Seasonality!$C$86*D26+D27+D10*D101)-D33</f>
        <v/>
      </c>
      <c r="E161" s="48">
        <f>E101-(E6*Seasonality!$C$86*E26+E27+E10*E101)-E33</f>
        <v/>
      </c>
      <c r="F161" s="48">
        <f>F101-(F6*Seasonality!$C$86*F26+F27+F10*F101)-F33</f>
        <v/>
      </c>
    </row>
    <row r="162" hidden="1" outlineLevel="1">
      <c r="B162" s="7" t="inlineStr">
        <is>
          <t>Contribution · month 51</t>
        </is>
      </c>
      <c r="C162" s="5" t="inlineStr">
        <is>
          <t>₹</t>
        </is>
      </c>
      <c r="D162" s="48">
        <f>D102-(D6*Seasonality!$C$87*D26+D27+D10*D102)-D33</f>
        <v/>
      </c>
      <c r="E162" s="48">
        <f>E102-(E6*Seasonality!$C$87*E26+E27+E10*E102)-E33</f>
        <v/>
      </c>
      <c r="F162" s="48">
        <f>F102-(F6*Seasonality!$C$87*F26+F27+F10*F102)-F33</f>
        <v/>
      </c>
    </row>
    <row r="163" hidden="1" outlineLevel="1">
      <c r="B163" s="7" t="inlineStr">
        <is>
          <t>Contribution · month 52</t>
        </is>
      </c>
      <c r="C163" s="5" t="inlineStr">
        <is>
          <t>₹</t>
        </is>
      </c>
      <c r="D163" s="48">
        <f>D103-(D6*Seasonality!$C$88*D26+D27+D10*D103)-D33</f>
        <v/>
      </c>
      <c r="E163" s="48">
        <f>E103-(E6*Seasonality!$C$88*E26+E27+E10*E103)-E33</f>
        <v/>
      </c>
      <c r="F163" s="48">
        <f>F103-(F6*Seasonality!$C$88*F26+F27+F10*F103)-F33</f>
        <v/>
      </c>
    </row>
    <row r="164" hidden="1" outlineLevel="1">
      <c r="B164" s="7" t="inlineStr">
        <is>
          <t>Contribution · month 53</t>
        </is>
      </c>
      <c r="C164" s="5" t="inlineStr">
        <is>
          <t>₹</t>
        </is>
      </c>
      <c r="D164" s="48">
        <f>D104-(D6*Seasonality!$C$89*D26+D27+D10*D104)-D33</f>
        <v/>
      </c>
      <c r="E164" s="48">
        <f>E104-(E6*Seasonality!$C$89*E26+E27+E10*E104)-E33</f>
        <v/>
      </c>
      <c r="F164" s="48">
        <f>F104-(F6*Seasonality!$C$89*F26+F27+F10*F104)-F33</f>
        <v/>
      </c>
    </row>
    <row r="165" hidden="1" outlineLevel="1">
      <c r="B165" s="7" t="inlineStr">
        <is>
          <t>Contribution · month 54</t>
        </is>
      </c>
      <c r="C165" s="5" t="inlineStr">
        <is>
          <t>₹</t>
        </is>
      </c>
      <c r="D165" s="48">
        <f>D105-(D6*Seasonality!$C$90*D26+D27+D10*D105)-D33</f>
        <v/>
      </c>
      <c r="E165" s="48">
        <f>E105-(E6*Seasonality!$C$90*E26+E27+E10*E105)-E33</f>
        <v/>
      </c>
      <c r="F165" s="48">
        <f>F105-(F6*Seasonality!$C$90*F26+F27+F10*F105)-F33</f>
        <v/>
      </c>
    </row>
    <row r="166" hidden="1" outlineLevel="1">
      <c r="B166" s="7" t="inlineStr">
        <is>
          <t>Contribution · month 55</t>
        </is>
      </c>
      <c r="C166" s="5" t="inlineStr">
        <is>
          <t>₹</t>
        </is>
      </c>
      <c r="D166" s="48">
        <f>D106-(D6*Seasonality!$C$91*D26+D27+D10*D106)-D33</f>
        <v/>
      </c>
      <c r="E166" s="48">
        <f>E106-(E6*Seasonality!$C$91*E26+E27+E10*E106)-E33</f>
        <v/>
      </c>
      <c r="F166" s="48">
        <f>F106-(F6*Seasonality!$C$91*F26+F27+F10*F106)-F33</f>
        <v/>
      </c>
    </row>
    <row r="167" hidden="1" outlineLevel="1">
      <c r="B167" s="7" t="inlineStr">
        <is>
          <t>Contribution · month 56</t>
        </is>
      </c>
      <c r="C167" s="5" t="inlineStr">
        <is>
          <t>₹</t>
        </is>
      </c>
      <c r="D167" s="48">
        <f>D107-(D6*Seasonality!$C$92*D26+D27+D10*D107)-D33</f>
        <v/>
      </c>
      <c r="E167" s="48">
        <f>E107-(E6*Seasonality!$C$92*E26+E27+E10*E107)-E33</f>
        <v/>
      </c>
      <c r="F167" s="48">
        <f>F107-(F6*Seasonality!$C$92*F26+F27+F10*F107)-F33</f>
        <v/>
      </c>
    </row>
    <row r="168" hidden="1" outlineLevel="1">
      <c r="B168" s="7" t="inlineStr">
        <is>
          <t>Contribution · month 57</t>
        </is>
      </c>
      <c r="C168" s="5" t="inlineStr">
        <is>
          <t>₹</t>
        </is>
      </c>
      <c r="D168" s="48">
        <f>D108-(D6*Seasonality!$C$93*D26+D27+D10*D108)-D33</f>
        <v/>
      </c>
      <c r="E168" s="48">
        <f>E108-(E6*Seasonality!$C$93*E26+E27+E10*E108)-E33</f>
        <v/>
      </c>
      <c r="F168" s="48">
        <f>F108-(F6*Seasonality!$C$93*F26+F27+F10*F108)-F33</f>
        <v/>
      </c>
    </row>
    <row r="169" hidden="1" outlineLevel="1">
      <c r="B169" s="7" t="inlineStr">
        <is>
          <t>Contribution · month 58</t>
        </is>
      </c>
      <c r="C169" s="5" t="inlineStr">
        <is>
          <t>₹</t>
        </is>
      </c>
      <c r="D169" s="48">
        <f>D109-(D6*Seasonality!$C$94*D26+D27+D10*D109)-D33</f>
        <v/>
      </c>
      <c r="E169" s="48">
        <f>E109-(E6*Seasonality!$C$94*E26+E27+E10*E109)-E33</f>
        <v/>
      </c>
      <c r="F169" s="48">
        <f>F109-(F6*Seasonality!$C$94*F26+F27+F10*F109)-F33</f>
        <v/>
      </c>
    </row>
    <row r="170" hidden="1" outlineLevel="1">
      <c r="B170" s="7" t="inlineStr">
        <is>
          <t>Contribution · month 59</t>
        </is>
      </c>
      <c r="C170" s="5" t="inlineStr">
        <is>
          <t>₹</t>
        </is>
      </c>
      <c r="D170" s="48">
        <f>D110-(D6*Seasonality!$C$95*D26+D27+D10*D110)-D33</f>
        <v/>
      </c>
      <c r="E170" s="48">
        <f>E110-(E6*Seasonality!$C$95*E26+E27+E10*E110)-E33</f>
        <v/>
      </c>
      <c r="F170" s="48">
        <f>F110-(F6*Seasonality!$C$95*F26+F27+F10*F110)-F33</f>
        <v/>
      </c>
    </row>
    <row r="171" hidden="1" outlineLevel="1">
      <c r="B171" s="7" t="inlineStr">
        <is>
          <t>Contribution · month 60</t>
        </is>
      </c>
      <c r="C171" s="5" t="inlineStr">
        <is>
          <t>₹</t>
        </is>
      </c>
      <c r="D171" s="48">
        <f>D111-(D6*Seasonality!$C$96*D26+D27+D10*D111)-D33</f>
        <v/>
      </c>
      <c r="E171" s="48">
        <f>E111-(E6*Seasonality!$C$96*E26+E27+E10*E111)-E33</f>
        <v/>
      </c>
      <c r="F171" s="48">
        <f>F111-(F6*Seasonality!$C$96*F26+F27+F10*F111)-F33</f>
        <v/>
      </c>
    </row>
    <row r="172" hidden="1" outlineLevel="1">
      <c r="B172" s="7" t="inlineStr">
        <is>
          <t>Share of institutes still paying · month 1</t>
        </is>
      </c>
      <c r="C172" s="5" t="inlineStr">
        <is>
          <t>%</t>
        </is>
      </c>
      <c r="D172" s="37">
        <f>1</f>
        <v/>
      </c>
      <c r="E172" s="37">
        <f>1</f>
        <v/>
      </c>
      <c r="F172" s="37">
        <f>1</f>
        <v/>
      </c>
    </row>
    <row r="173" hidden="1" outlineLevel="1">
      <c r="B173" s="7" t="inlineStr">
        <is>
          <t>Share of institutes still paying · month 2</t>
        </is>
      </c>
      <c r="C173" s="5" t="inlineStr">
        <is>
          <t>%</t>
        </is>
      </c>
      <c r="D173" s="37">
        <f>D172*(1-D43)*(1-Seasonality!$D$37*D44)</f>
        <v/>
      </c>
      <c r="E173" s="37">
        <f>E172*(1-E43)*(1-Seasonality!$D$37*E44)</f>
        <v/>
      </c>
      <c r="F173" s="37">
        <f>F172*(1-F43)*(1-Seasonality!$D$37*F44)</f>
        <v/>
      </c>
    </row>
    <row r="174" hidden="1" outlineLevel="1">
      <c r="B174" s="7" t="inlineStr">
        <is>
          <t>Share of institutes still paying · month 3</t>
        </is>
      </c>
      <c r="C174" s="5" t="inlineStr">
        <is>
          <t>%</t>
        </is>
      </c>
      <c r="D174" s="37">
        <f>D173*(1-D43)*(1-Seasonality!$D$38*D44)</f>
        <v/>
      </c>
      <c r="E174" s="37">
        <f>E173*(1-E43)*(1-Seasonality!$D$38*E44)</f>
        <v/>
      </c>
      <c r="F174" s="37">
        <f>F173*(1-F43)*(1-Seasonality!$D$38*F44)</f>
        <v/>
      </c>
    </row>
    <row r="175" hidden="1" outlineLevel="1">
      <c r="B175" s="7" t="inlineStr">
        <is>
          <t>Share of institutes still paying · month 4</t>
        </is>
      </c>
      <c r="C175" s="5" t="inlineStr">
        <is>
          <t>%</t>
        </is>
      </c>
      <c r="D175" s="37">
        <f>D174*(1-D43)*(1-Seasonality!$D$39*D44)</f>
        <v/>
      </c>
      <c r="E175" s="37">
        <f>E174*(1-E43)*(1-Seasonality!$D$39*E44)</f>
        <v/>
      </c>
      <c r="F175" s="37">
        <f>F174*(1-F43)*(1-Seasonality!$D$39*F44)</f>
        <v/>
      </c>
    </row>
    <row r="176" hidden="1" outlineLevel="1">
      <c r="B176" s="7" t="inlineStr">
        <is>
          <t>Share of institutes still paying · month 5</t>
        </is>
      </c>
      <c r="C176" s="5" t="inlineStr">
        <is>
          <t>%</t>
        </is>
      </c>
      <c r="D176" s="37">
        <f>D175*(1-D43)*(1-Seasonality!$D$40*D44)</f>
        <v/>
      </c>
      <c r="E176" s="37">
        <f>E175*(1-E43)*(1-Seasonality!$D$40*E44)</f>
        <v/>
      </c>
      <c r="F176" s="37">
        <f>F175*(1-F43)*(1-Seasonality!$D$40*F44)</f>
        <v/>
      </c>
    </row>
    <row r="177" hidden="1" outlineLevel="1">
      <c r="B177" s="7" t="inlineStr">
        <is>
          <t>Share of institutes still paying · month 6</t>
        </is>
      </c>
      <c r="C177" s="5" t="inlineStr">
        <is>
          <t>%</t>
        </is>
      </c>
      <c r="D177" s="37">
        <f>D176*(1-D43)*(1-Seasonality!$D$41*D44)</f>
        <v/>
      </c>
      <c r="E177" s="37">
        <f>E176*(1-E43)*(1-Seasonality!$D$41*E44)</f>
        <v/>
      </c>
      <c r="F177" s="37">
        <f>F176*(1-F43)*(1-Seasonality!$D$41*F44)</f>
        <v/>
      </c>
    </row>
    <row r="178" hidden="1" outlineLevel="1">
      <c r="B178" s="7" t="inlineStr">
        <is>
          <t>Share of institutes still paying · month 7</t>
        </is>
      </c>
      <c r="C178" s="5" t="inlineStr">
        <is>
          <t>%</t>
        </is>
      </c>
      <c r="D178" s="37">
        <f>D177*(1-D43)*(1-Seasonality!$D$42*D44)</f>
        <v/>
      </c>
      <c r="E178" s="37">
        <f>E177*(1-E43)*(1-Seasonality!$D$42*E44)</f>
        <v/>
      </c>
      <c r="F178" s="37">
        <f>F177*(1-F43)*(1-Seasonality!$D$42*F44)</f>
        <v/>
      </c>
    </row>
    <row r="179" hidden="1" outlineLevel="1">
      <c r="B179" s="7" t="inlineStr">
        <is>
          <t>Share of institutes still paying · month 8</t>
        </is>
      </c>
      <c r="C179" s="5" t="inlineStr">
        <is>
          <t>%</t>
        </is>
      </c>
      <c r="D179" s="37">
        <f>D178*(1-D43)*(1-Seasonality!$D$43*D44)</f>
        <v/>
      </c>
      <c r="E179" s="37">
        <f>E178*(1-E43)*(1-Seasonality!$D$43*E44)</f>
        <v/>
      </c>
      <c r="F179" s="37">
        <f>F178*(1-F43)*(1-Seasonality!$D$43*F44)</f>
        <v/>
      </c>
    </row>
    <row r="180" hidden="1" outlineLevel="1">
      <c r="B180" s="7" t="inlineStr">
        <is>
          <t>Share of institutes still paying · month 9</t>
        </is>
      </c>
      <c r="C180" s="5" t="inlineStr">
        <is>
          <t>%</t>
        </is>
      </c>
      <c r="D180" s="37">
        <f>D179*(1-D43)*(1-Seasonality!$D$44*D44)</f>
        <v/>
      </c>
      <c r="E180" s="37">
        <f>E179*(1-E43)*(1-Seasonality!$D$44*E44)</f>
        <v/>
      </c>
      <c r="F180" s="37">
        <f>F179*(1-F43)*(1-Seasonality!$D$44*F44)</f>
        <v/>
      </c>
    </row>
    <row r="181" hidden="1" outlineLevel="1">
      <c r="B181" s="7" t="inlineStr">
        <is>
          <t>Share of institutes still paying · month 10</t>
        </is>
      </c>
      <c r="C181" s="5" t="inlineStr">
        <is>
          <t>%</t>
        </is>
      </c>
      <c r="D181" s="37">
        <f>D180*(1-D43)*(1-Seasonality!$D$45*D44)</f>
        <v/>
      </c>
      <c r="E181" s="37">
        <f>E180*(1-E43)*(1-Seasonality!$D$45*E44)</f>
        <v/>
      </c>
      <c r="F181" s="37">
        <f>F180*(1-F43)*(1-Seasonality!$D$45*F44)</f>
        <v/>
      </c>
    </row>
    <row r="182" hidden="1" outlineLevel="1">
      <c r="B182" s="7" t="inlineStr">
        <is>
          <t>Share of institutes still paying · month 11</t>
        </is>
      </c>
      <c r="C182" s="5" t="inlineStr">
        <is>
          <t>%</t>
        </is>
      </c>
      <c r="D182" s="37">
        <f>D181*(1-D43)*(1-Seasonality!$D$46*D44)</f>
        <v/>
      </c>
      <c r="E182" s="37">
        <f>E181*(1-E43)*(1-Seasonality!$D$46*E44)</f>
        <v/>
      </c>
      <c r="F182" s="37">
        <f>F181*(1-F43)*(1-Seasonality!$D$46*F44)</f>
        <v/>
      </c>
    </row>
    <row r="183" hidden="1" outlineLevel="1">
      <c r="B183" s="7" t="inlineStr">
        <is>
          <t>Share of institutes still paying · month 12</t>
        </is>
      </c>
      <c r="C183" s="5" t="inlineStr">
        <is>
          <t>%</t>
        </is>
      </c>
      <c r="D183" s="37">
        <f>D182*(1-D43)*(1-Seasonality!$D$47*D44)</f>
        <v/>
      </c>
      <c r="E183" s="37">
        <f>E182*(1-E43)*(1-Seasonality!$D$47*E44)</f>
        <v/>
      </c>
      <c r="F183" s="37">
        <f>F182*(1-F43)*(1-Seasonality!$D$47*F44)</f>
        <v/>
      </c>
    </row>
    <row r="184" hidden="1" outlineLevel="1">
      <c r="B184" s="7" t="inlineStr">
        <is>
          <t>Share of institutes still paying · month 13</t>
        </is>
      </c>
      <c r="C184" s="5" t="inlineStr">
        <is>
          <t>%</t>
        </is>
      </c>
      <c r="D184" s="37">
        <f>D183*(1-D43)*(1-Seasonality!$D$48*D44)</f>
        <v/>
      </c>
      <c r="E184" s="37">
        <f>E183*(1-E43)*(1-Seasonality!$D$48*E44)</f>
        <v/>
      </c>
      <c r="F184" s="37">
        <f>F183*(1-F43)*(1-Seasonality!$D$48*F44)</f>
        <v/>
      </c>
    </row>
    <row r="185" hidden="1" outlineLevel="1">
      <c r="B185" s="7" t="inlineStr">
        <is>
          <t>Share of institutes still paying · month 14</t>
        </is>
      </c>
      <c r="C185" s="5" t="inlineStr">
        <is>
          <t>%</t>
        </is>
      </c>
      <c r="D185" s="37">
        <f>D184*(1-D43)*(1-Seasonality!$D$49*D44)</f>
        <v/>
      </c>
      <c r="E185" s="37">
        <f>E184*(1-E43)*(1-Seasonality!$D$49*E44)</f>
        <v/>
      </c>
      <c r="F185" s="37">
        <f>F184*(1-F43)*(1-Seasonality!$D$49*F44)</f>
        <v/>
      </c>
    </row>
    <row r="186" hidden="1" outlineLevel="1">
      <c r="B186" s="7" t="inlineStr">
        <is>
          <t>Share of institutes still paying · month 15</t>
        </is>
      </c>
      <c r="C186" s="5" t="inlineStr">
        <is>
          <t>%</t>
        </is>
      </c>
      <c r="D186" s="37">
        <f>D185*(1-D43)*(1-Seasonality!$D$50*D44)</f>
        <v/>
      </c>
      <c r="E186" s="37">
        <f>E185*(1-E43)*(1-Seasonality!$D$50*E44)</f>
        <v/>
      </c>
      <c r="F186" s="37">
        <f>F185*(1-F43)*(1-Seasonality!$D$50*F44)</f>
        <v/>
      </c>
    </row>
    <row r="187" hidden="1" outlineLevel="1">
      <c r="B187" s="7" t="inlineStr">
        <is>
          <t>Share of institutes still paying · month 16</t>
        </is>
      </c>
      <c r="C187" s="5" t="inlineStr">
        <is>
          <t>%</t>
        </is>
      </c>
      <c r="D187" s="37">
        <f>D186*(1-D43)*(1-Seasonality!$D$51*D44)</f>
        <v/>
      </c>
      <c r="E187" s="37">
        <f>E186*(1-E43)*(1-Seasonality!$D$51*E44)</f>
        <v/>
      </c>
      <c r="F187" s="37">
        <f>F186*(1-F43)*(1-Seasonality!$D$51*F44)</f>
        <v/>
      </c>
    </row>
    <row r="188" hidden="1" outlineLevel="1">
      <c r="B188" s="7" t="inlineStr">
        <is>
          <t>Share of institutes still paying · month 17</t>
        </is>
      </c>
      <c r="C188" s="5" t="inlineStr">
        <is>
          <t>%</t>
        </is>
      </c>
      <c r="D188" s="37">
        <f>D187*(1-D43)*(1-Seasonality!$D$52*D44)</f>
        <v/>
      </c>
      <c r="E188" s="37">
        <f>E187*(1-E43)*(1-Seasonality!$D$52*E44)</f>
        <v/>
      </c>
      <c r="F188" s="37">
        <f>F187*(1-F43)*(1-Seasonality!$D$52*F44)</f>
        <v/>
      </c>
    </row>
    <row r="189" hidden="1" outlineLevel="1">
      <c r="B189" s="7" t="inlineStr">
        <is>
          <t>Share of institutes still paying · month 18</t>
        </is>
      </c>
      <c r="C189" s="5" t="inlineStr">
        <is>
          <t>%</t>
        </is>
      </c>
      <c r="D189" s="37">
        <f>D188*(1-D43)*(1-Seasonality!$D$53*D44)</f>
        <v/>
      </c>
      <c r="E189" s="37">
        <f>E188*(1-E43)*(1-Seasonality!$D$53*E44)</f>
        <v/>
      </c>
      <c r="F189" s="37">
        <f>F188*(1-F43)*(1-Seasonality!$D$53*F44)</f>
        <v/>
      </c>
    </row>
    <row r="190" hidden="1" outlineLevel="1">
      <c r="B190" s="7" t="inlineStr">
        <is>
          <t>Share of institutes still paying · month 19</t>
        </is>
      </c>
      <c r="C190" s="5" t="inlineStr">
        <is>
          <t>%</t>
        </is>
      </c>
      <c r="D190" s="37">
        <f>D189*(1-D43)*(1-Seasonality!$D$54*D44)</f>
        <v/>
      </c>
      <c r="E190" s="37">
        <f>E189*(1-E43)*(1-Seasonality!$D$54*E44)</f>
        <v/>
      </c>
      <c r="F190" s="37">
        <f>F189*(1-F43)*(1-Seasonality!$D$54*F44)</f>
        <v/>
      </c>
    </row>
    <row r="191" hidden="1" outlineLevel="1">
      <c r="B191" s="7" t="inlineStr">
        <is>
          <t>Share of institutes still paying · month 20</t>
        </is>
      </c>
      <c r="C191" s="5" t="inlineStr">
        <is>
          <t>%</t>
        </is>
      </c>
      <c r="D191" s="37">
        <f>D190*(1-D43)*(1-Seasonality!$D$55*D44)</f>
        <v/>
      </c>
      <c r="E191" s="37">
        <f>E190*(1-E43)*(1-Seasonality!$D$55*E44)</f>
        <v/>
      </c>
      <c r="F191" s="37">
        <f>F190*(1-F43)*(1-Seasonality!$D$55*F44)</f>
        <v/>
      </c>
    </row>
    <row r="192" hidden="1" outlineLevel="1">
      <c r="B192" s="7" t="inlineStr">
        <is>
          <t>Share of institutes still paying · month 21</t>
        </is>
      </c>
      <c r="C192" s="5" t="inlineStr">
        <is>
          <t>%</t>
        </is>
      </c>
      <c r="D192" s="37">
        <f>D191*(1-D43)*(1-Seasonality!$D$56*D44)</f>
        <v/>
      </c>
      <c r="E192" s="37">
        <f>E191*(1-E43)*(1-Seasonality!$D$56*E44)</f>
        <v/>
      </c>
      <c r="F192" s="37">
        <f>F191*(1-F43)*(1-Seasonality!$D$56*F44)</f>
        <v/>
      </c>
    </row>
    <row r="193" hidden="1" outlineLevel="1">
      <c r="B193" s="7" t="inlineStr">
        <is>
          <t>Share of institutes still paying · month 22</t>
        </is>
      </c>
      <c r="C193" s="5" t="inlineStr">
        <is>
          <t>%</t>
        </is>
      </c>
      <c r="D193" s="37">
        <f>D192*(1-D43)*(1-Seasonality!$D$57*D44)</f>
        <v/>
      </c>
      <c r="E193" s="37">
        <f>E192*(1-E43)*(1-Seasonality!$D$57*E44)</f>
        <v/>
      </c>
      <c r="F193" s="37">
        <f>F192*(1-F43)*(1-Seasonality!$D$57*F44)</f>
        <v/>
      </c>
    </row>
    <row r="194" hidden="1" outlineLevel="1">
      <c r="B194" s="7" t="inlineStr">
        <is>
          <t>Share of institutes still paying · month 23</t>
        </is>
      </c>
      <c r="C194" s="5" t="inlineStr">
        <is>
          <t>%</t>
        </is>
      </c>
      <c r="D194" s="37">
        <f>D193*(1-D43)*(1-Seasonality!$D$58*D44)</f>
        <v/>
      </c>
      <c r="E194" s="37">
        <f>E193*(1-E43)*(1-Seasonality!$D$58*E44)</f>
        <v/>
      </c>
      <c r="F194" s="37">
        <f>F193*(1-F43)*(1-Seasonality!$D$58*F44)</f>
        <v/>
      </c>
    </row>
    <row r="195" hidden="1" outlineLevel="1">
      <c r="B195" s="7" t="inlineStr">
        <is>
          <t>Share of institutes still paying · month 24</t>
        </is>
      </c>
      <c r="C195" s="5" t="inlineStr">
        <is>
          <t>%</t>
        </is>
      </c>
      <c r="D195" s="37">
        <f>D194*(1-D43)*(1-Seasonality!$D$59*D44)</f>
        <v/>
      </c>
      <c r="E195" s="37">
        <f>E194*(1-E43)*(1-Seasonality!$D$59*E44)</f>
        <v/>
      </c>
      <c r="F195" s="37">
        <f>F194*(1-F43)*(1-Seasonality!$D$59*F44)</f>
        <v/>
      </c>
    </row>
    <row r="196" hidden="1" outlineLevel="1">
      <c r="B196" s="7" t="inlineStr">
        <is>
          <t>Share of institutes still paying · month 25</t>
        </is>
      </c>
      <c r="C196" s="5" t="inlineStr">
        <is>
          <t>%</t>
        </is>
      </c>
      <c r="D196" s="37">
        <f>D195*(1-D43)*(1-Seasonality!$D$60*D44)</f>
        <v/>
      </c>
      <c r="E196" s="37">
        <f>E195*(1-E43)*(1-Seasonality!$D$60*E44)</f>
        <v/>
      </c>
      <c r="F196" s="37">
        <f>F195*(1-F43)*(1-Seasonality!$D$60*F44)</f>
        <v/>
      </c>
    </row>
    <row r="197" hidden="1" outlineLevel="1">
      <c r="B197" s="7" t="inlineStr">
        <is>
          <t>Share of institutes still paying · month 26</t>
        </is>
      </c>
      <c r="C197" s="5" t="inlineStr">
        <is>
          <t>%</t>
        </is>
      </c>
      <c r="D197" s="37">
        <f>D196*(1-D43)*(1-Seasonality!$D$61*D44)</f>
        <v/>
      </c>
      <c r="E197" s="37">
        <f>E196*(1-E43)*(1-Seasonality!$D$61*E44)</f>
        <v/>
      </c>
      <c r="F197" s="37">
        <f>F196*(1-F43)*(1-Seasonality!$D$61*F44)</f>
        <v/>
      </c>
    </row>
    <row r="198" hidden="1" outlineLevel="1">
      <c r="B198" s="7" t="inlineStr">
        <is>
          <t>Share of institutes still paying · month 27</t>
        </is>
      </c>
      <c r="C198" s="5" t="inlineStr">
        <is>
          <t>%</t>
        </is>
      </c>
      <c r="D198" s="37">
        <f>D197*(1-D43)*(1-Seasonality!$D$62*D44)</f>
        <v/>
      </c>
      <c r="E198" s="37">
        <f>E197*(1-E43)*(1-Seasonality!$D$62*E44)</f>
        <v/>
      </c>
      <c r="F198" s="37">
        <f>F197*(1-F43)*(1-Seasonality!$D$62*F44)</f>
        <v/>
      </c>
    </row>
    <row r="199" hidden="1" outlineLevel="1">
      <c r="B199" s="7" t="inlineStr">
        <is>
          <t>Share of institutes still paying · month 28</t>
        </is>
      </c>
      <c r="C199" s="5" t="inlineStr">
        <is>
          <t>%</t>
        </is>
      </c>
      <c r="D199" s="37">
        <f>D198*(1-D43)*(1-Seasonality!$D$63*D44)</f>
        <v/>
      </c>
      <c r="E199" s="37">
        <f>E198*(1-E43)*(1-Seasonality!$D$63*E44)</f>
        <v/>
      </c>
      <c r="F199" s="37">
        <f>F198*(1-F43)*(1-Seasonality!$D$63*F44)</f>
        <v/>
      </c>
    </row>
    <row r="200" hidden="1" outlineLevel="1">
      <c r="B200" s="7" t="inlineStr">
        <is>
          <t>Share of institutes still paying · month 29</t>
        </is>
      </c>
      <c r="C200" s="5" t="inlineStr">
        <is>
          <t>%</t>
        </is>
      </c>
      <c r="D200" s="37">
        <f>D199*(1-D43)*(1-Seasonality!$D$64*D44)</f>
        <v/>
      </c>
      <c r="E200" s="37">
        <f>E199*(1-E43)*(1-Seasonality!$D$64*E44)</f>
        <v/>
      </c>
      <c r="F200" s="37">
        <f>F199*(1-F43)*(1-Seasonality!$D$64*F44)</f>
        <v/>
      </c>
    </row>
    <row r="201" hidden="1" outlineLevel="1">
      <c r="B201" s="7" t="inlineStr">
        <is>
          <t>Share of institutes still paying · month 30</t>
        </is>
      </c>
      <c r="C201" s="5" t="inlineStr">
        <is>
          <t>%</t>
        </is>
      </c>
      <c r="D201" s="37">
        <f>D200*(1-D43)*(1-Seasonality!$D$65*D44)</f>
        <v/>
      </c>
      <c r="E201" s="37">
        <f>E200*(1-E43)*(1-Seasonality!$D$65*E44)</f>
        <v/>
      </c>
      <c r="F201" s="37">
        <f>F200*(1-F43)*(1-Seasonality!$D$65*F44)</f>
        <v/>
      </c>
    </row>
    <row r="202" hidden="1" outlineLevel="1">
      <c r="B202" s="7" t="inlineStr">
        <is>
          <t>Share of institutes still paying · month 31</t>
        </is>
      </c>
      <c r="C202" s="5" t="inlineStr">
        <is>
          <t>%</t>
        </is>
      </c>
      <c r="D202" s="37">
        <f>D201*(1-D43)*(1-Seasonality!$D$66*D44)</f>
        <v/>
      </c>
      <c r="E202" s="37">
        <f>E201*(1-E43)*(1-Seasonality!$D$66*E44)</f>
        <v/>
      </c>
      <c r="F202" s="37">
        <f>F201*(1-F43)*(1-Seasonality!$D$66*F44)</f>
        <v/>
      </c>
    </row>
    <row r="203" hidden="1" outlineLevel="1">
      <c r="B203" s="7" t="inlineStr">
        <is>
          <t>Share of institutes still paying · month 32</t>
        </is>
      </c>
      <c r="C203" s="5" t="inlineStr">
        <is>
          <t>%</t>
        </is>
      </c>
      <c r="D203" s="37">
        <f>D202*(1-D43)*(1-Seasonality!$D$67*D44)</f>
        <v/>
      </c>
      <c r="E203" s="37">
        <f>E202*(1-E43)*(1-Seasonality!$D$67*E44)</f>
        <v/>
      </c>
      <c r="F203" s="37">
        <f>F202*(1-F43)*(1-Seasonality!$D$67*F44)</f>
        <v/>
      </c>
    </row>
    <row r="204" hidden="1" outlineLevel="1">
      <c r="B204" s="7" t="inlineStr">
        <is>
          <t>Share of institutes still paying · month 33</t>
        </is>
      </c>
      <c r="C204" s="5" t="inlineStr">
        <is>
          <t>%</t>
        </is>
      </c>
      <c r="D204" s="37">
        <f>D203*(1-D43)*(1-Seasonality!$D$68*D44)</f>
        <v/>
      </c>
      <c r="E204" s="37">
        <f>E203*(1-E43)*(1-Seasonality!$D$68*E44)</f>
        <v/>
      </c>
      <c r="F204" s="37">
        <f>F203*(1-F43)*(1-Seasonality!$D$68*F44)</f>
        <v/>
      </c>
    </row>
    <row r="205" hidden="1" outlineLevel="1">
      <c r="B205" s="7" t="inlineStr">
        <is>
          <t>Share of institutes still paying · month 34</t>
        </is>
      </c>
      <c r="C205" s="5" t="inlineStr">
        <is>
          <t>%</t>
        </is>
      </c>
      <c r="D205" s="37">
        <f>D204*(1-D43)*(1-Seasonality!$D$69*D44)</f>
        <v/>
      </c>
      <c r="E205" s="37">
        <f>E204*(1-E43)*(1-Seasonality!$D$69*E44)</f>
        <v/>
      </c>
      <c r="F205" s="37">
        <f>F204*(1-F43)*(1-Seasonality!$D$69*F44)</f>
        <v/>
      </c>
    </row>
    <row r="206" hidden="1" outlineLevel="1">
      <c r="B206" s="7" t="inlineStr">
        <is>
          <t>Share of institutes still paying · month 35</t>
        </is>
      </c>
      <c r="C206" s="5" t="inlineStr">
        <is>
          <t>%</t>
        </is>
      </c>
      <c r="D206" s="37">
        <f>D205*(1-D43)*(1-Seasonality!$D$70*D44)</f>
        <v/>
      </c>
      <c r="E206" s="37">
        <f>E205*(1-E43)*(1-Seasonality!$D$70*E44)</f>
        <v/>
      </c>
      <c r="F206" s="37">
        <f>F205*(1-F43)*(1-Seasonality!$D$70*F44)</f>
        <v/>
      </c>
    </row>
    <row r="207" hidden="1" outlineLevel="1">
      <c r="B207" s="7" t="inlineStr">
        <is>
          <t>Share of institutes still paying · month 36</t>
        </is>
      </c>
      <c r="C207" s="5" t="inlineStr">
        <is>
          <t>%</t>
        </is>
      </c>
      <c r="D207" s="37">
        <f>D206*(1-D43)*(1-Seasonality!$D$71*D44)</f>
        <v/>
      </c>
      <c r="E207" s="37">
        <f>E206*(1-E43)*(1-Seasonality!$D$71*E44)</f>
        <v/>
      </c>
      <c r="F207" s="37">
        <f>F206*(1-F43)*(1-Seasonality!$D$71*F44)</f>
        <v/>
      </c>
    </row>
    <row r="208" hidden="1" outlineLevel="1">
      <c r="B208" s="7" t="inlineStr">
        <is>
          <t>Share of institutes still paying · month 37</t>
        </is>
      </c>
      <c r="C208" s="5" t="inlineStr">
        <is>
          <t>%</t>
        </is>
      </c>
      <c r="D208" s="37">
        <f>D207*(1-D43)*(1-Seasonality!$D$72*D44)</f>
        <v/>
      </c>
      <c r="E208" s="37">
        <f>E207*(1-E43)*(1-Seasonality!$D$72*E44)</f>
        <v/>
      </c>
      <c r="F208" s="37">
        <f>F207*(1-F43)*(1-Seasonality!$D$72*F44)</f>
        <v/>
      </c>
    </row>
    <row r="209" hidden="1" outlineLevel="1">
      <c r="B209" s="7" t="inlineStr">
        <is>
          <t>Share of institutes still paying · month 38</t>
        </is>
      </c>
      <c r="C209" s="5" t="inlineStr">
        <is>
          <t>%</t>
        </is>
      </c>
      <c r="D209" s="37">
        <f>D208*(1-D43)*(1-Seasonality!$D$73*D44)</f>
        <v/>
      </c>
      <c r="E209" s="37">
        <f>E208*(1-E43)*(1-Seasonality!$D$73*E44)</f>
        <v/>
      </c>
      <c r="F209" s="37">
        <f>F208*(1-F43)*(1-Seasonality!$D$73*F44)</f>
        <v/>
      </c>
    </row>
    <row r="210" hidden="1" outlineLevel="1">
      <c r="B210" s="7" t="inlineStr">
        <is>
          <t>Share of institutes still paying · month 39</t>
        </is>
      </c>
      <c r="C210" s="5" t="inlineStr">
        <is>
          <t>%</t>
        </is>
      </c>
      <c r="D210" s="37">
        <f>D209*(1-D43)*(1-Seasonality!$D$74*D44)</f>
        <v/>
      </c>
      <c r="E210" s="37">
        <f>E209*(1-E43)*(1-Seasonality!$D$74*E44)</f>
        <v/>
      </c>
      <c r="F210" s="37">
        <f>F209*(1-F43)*(1-Seasonality!$D$74*F44)</f>
        <v/>
      </c>
    </row>
    <row r="211" hidden="1" outlineLevel="1">
      <c r="B211" s="7" t="inlineStr">
        <is>
          <t>Share of institutes still paying · month 40</t>
        </is>
      </c>
      <c r="C211" s="5" t="inlineStr">
        <is>
          <t>%</t>
        </is>
      </c>
      <c r="D211" s="37">
        <f>D210*(1-D43)*(1-Seasonality!$D$75*D44)</f>
        <v/>
      </c>
      <c r="E211" s="37">
        <f>E210*(1-E43)*(1-Seasonality!$D$75*E44)</f>
        <v/>
      </c>
      <c r="F211" s="37">
        <f>F210*(1-F43)*(1-Seasonality!$D$75*F44)</f>
        <v/>
      </c>
    </row>
    <row r="212" hidden="1" outlineLevel="1">
      <c r="B212" s="7" t="inlineStr">
        <is>
          <t>Share of institutes still paying · month 41</t>
        </is>
      </c>
      <c r="C212" s="5" t="inlineStr">
        <is>
          <t>%</t>
        </is>
      </c>
      <c r="D212" s="37">
        <f>D211*(1-D43)*(1-Seasonality!$D$76*D44)</f>
        <v/>
      </c>
      <c r="E212" s="37">
        <f>E211*(1-E43)*(1-Seasonality!$D$76*E44)</f>
        <v/>
      </c>
      <c r="F212" s="37">
        <f>F211*(1-F43)*(1-Seasonality!$D$76*F44)</f>
        <v/>
      </c>
    </row>
    <row r="213" hidden="1" outlineLevel="1">
      <c r="B213" s="7" t="inlineStr">
        <is>
          <t>Share of institutes still paying · month 42</t>
        </is>
      </c>
      <c r="C213" s="5" t="inlineStr">
        <is>
          <t>%</t>
        </is>
      </c>
      <c r="D213" s="37">
        <f>D212*(1-D43)*(1-Seasonality!$D$77*D44)</f>
        <v/>
      </c>
      <c r="E213" s="37">
        <f>E212*(1-E43)*(1-Seasonality!$D$77*E44)</f>
        <v/>
      </c>
      <c r="F213" s="37">
        <f>F212*(1-F43)*(1-Seasonality!$D$77*F44)</f>
        <v/>
      </c>
    </row>
    <row r="214" hidden="1" outlineLevel="1">
      <c r="B214" s="7" t="inlineStr">
        <is>
          <t>Share of institutes still paying · month 43</t>
        </is>
      </c>
      <c r="C214" s="5" t="inlineStr">
        <is>
          <t>%</t>
        </is>
      </c>
      <c r="D214" s="37">
        <f>D213*(1-D43)*(1-Seasonality!$D$78*D44)</f>
        <v/>
      </c>
      <c r="E214" s="37">
        <f>E213*(1-E43)*(1-Seasonality!$D$78*E44)</f>
        <v/>
      </c>
      <c r="F214" s="37">
        <f>F213*(1-F43)*(1-Seasonality!$D$78*F44)</f>
        <v/>
      </c>
    </row>
    <row r="215" hidden="1" outlineLevel="1">
      <c r="B215" s="7" t="inlineStr">
        <is>
          <t>Share of institutes still paying · month 44</t>
        </is>
      </c>
      <c r="C215" s="5" t="inlineStr">
        <is>
          <t>%</t>
        </is>
      </c>
      <c r="D215" s="37">
        <f>D214*(1-D43)*(1-Seasonality!$D$79*D44)</f>
        <v/>
      </c>
      <c r="E215" s="37">
        <f>E214*(1-E43)*(1-Seasonality!$D$79*E44)</f>
        <v/>
      </c>
      <c r="F215" s="37">
        <f>F214*(1-F43)*(1-Seasonality!$D$79*F44)</f>
        <v/>
      </c>
    </row>
    <row r="216" hidden="1" outlineLevel="1">
      <c r="B216" s="7" t="inlineStr">
        <is>
          <t>Share of institutes still paying · month 45</t>
        </is>
      </c>
      <c r="C216" s="5" t="inlineStr">
        <is>
          <t>%</t>
        </is>
      </c>
      <c r="D216" s="37">
        <f>D215*(1-D43)*(1-Seasonality!$D$80*D44)</f>
        <v/>
      </c>
      <c r="E216" s="37">
        <f>E215*(1-E43)*(1-Seasonality!$D$80*E44)</f>
        <v/>
      </c>
      <c r="F216" s="37">
        <f>F215*(1-F43)*(1-Seasonality!$D$80*F44)</f>
        <v/>
      </c>
    </row>
    <row r="217" hidden="1" outlineLevel="1">
      <c r="B217" s="7" t="inlineStr">
        <is>
          <t>Share of institutes still paying · month 46</t>
        </is>
      </c>
      <c r="C217" s="5" t="inlineStr">
        <is>
          <t>%</t>
        </is>
      </c>
      <c r="D217" s="37">
        <f>D216*(1-D43)*(1-Seasonality!$D$81*D44)</f>
        <v/>
      </c>
      <c r="E217" s="37">
        <f>E216*(1-E43)*(1-Seasonality!$D$81*E44)</f>
        <v/>
      </c>
      <c r="F217" s="37">
        <f>F216*(1-F43)*(1-Seasonality!$D$81*F44)</f>
        <v/>
      </c>
    </row>
    <row r="218" hidden="1" outlineLevel="1">
      <c r="B218" s="7" t="inlineStr">
        <is>
          <t>Share of institutes still paying · month 47</t>
        </is>
      </c>
      <c r="C218" s="5" t="inlineStr">
        <is>
          <t>%</t>
        </is>
      </c>
      <c r="D218" s="37">
        <f>D217*(1-D43)*(1-Seasonality!$D$82*D44)</f>
        <v/>
      </c>
      <c r="E218" s="37">
        <f>E217*(1-E43)*(1-Seasonality!$D$82*E44)</f>
        <v/>
      </c>
      <c r="F218" s="37">
        <f>F217*(1-F43)*(1-Seasonality!$D$82*F44)</f>
        <v/>
      </c>
    </row>
    <row r="219" hidden="1" outlineLevel="1">
      <c r="B219" s="7" t="inlineStr">
        <is>
          <t>Share of institutes still paying · month 48</t>
        </is>
      </c>
      <c r="C219" s="5" t="inlineStr">
        <is>
          <t>%</t>
        </is>
      </c>
      <c r="D219" s="37">
        <f>D218*(1-D43)*(1-Seasonality!$D$83*D44)</f>
        <v/>
      </c>
      <c r="E219" s="37">
        <f>E218*(1-E43)*(1-Seasonality!$D$83*E44)</f>
        <v/>
      </c>
      <c r="F219" s="37">
        <f>F218*(1-F43)*(1-Seasonality!$D$83*F44)</f>
        <v/>
      </c>
    </row>
    <row r="220" hidden="1" outlineLevel="1">
      <c r="B220" s="7" t="inlineStr">
        <is>
          <t>Share of institutes still paying · month 49</t>
        </is>
      </c>
      <c r="C220" s="5" t="inlineStr">
        <is>
          <t>%</t>
        </is>
      </c>
      <c r="D220" s="37">
        <f>D219*(1-D43)*(1-Seasonality!$D$84*D44)</f>
        <v/>
      </c>
      <c r="E220" s="37">
        <f>E219*(1-E43)*(1-Seasonality!$D$84*E44)</f>
        <v/>
      </c>
      <c r="F220" s="37">
        <f>F219*(1-F43)*(1-Seasonality!$D$84*F44)</f>
        <v/>
      </c>
    </row>
    <row r="221" hidden="1" outlineLevel="1">
      <c r="B221" s="7" t="inlineStr">
        <is>
          <t>Share of institutes still paying · month 50</t>
        </is>
      </c>
      <c r="C221" s="5" t="inlineStr">
        <is>
          <t>%</t>
        </is>
      </c>
      <c r="D221" s="37">
        <f>D220*(1-D43)*(1-Seasonality!$D$85*D44)</f>
        <v/>
      </c>
      <c r="E221" s="37">
        <f>E220*(1-E43)*(1-Seasonality!$D$85*E44)</f>
        <v/>
      </c>
      <c r="F221" s="37">
        <f>F220*(1-F43)*(1-Seasonality!$D$85*F44)</f>
        <v/>
      </c>
    </row>
    <row r="222" hidden="1" outlineLevel="1">
      <c r="B222" s="7" t="inlineStr">
        <is>
          <t>Share of institutes still paying · month 51</t>
        </is>
      </c>
      <c r="C222" s="5" t="inlineStr">
        <is>
          <t>%</t>
        </is>
      </c>
      <c r="D222" s="37">
        <f>D221*(1-D43)*(1-Seasonality!$D$86*D44)</f>
        <v/>
      </c>
      <c r="E222" s="37">
        <f>E221*(1-E43)*(1-Seasonality!$D$86*E44)</f>
        <v/>
      </c>
      <c r="F222" s="37">
        <f>F221*(1-F43)*(1-Seasonality!$D$86*F44)</f>
        <v/>
      </c>
    </row>
    <row r="223" hidden="1" outlineLevel="1">
      <c r="B223" s="7" t="inlineStr">
        <is>
          <t>Share of institutes still paying · month 52</t>
        </is>
      </c>
      <c r="C223" s="5" t="inlineStr">
        <is>
          <t>%</t>
        </is>
      </c>
      <c r="D223" s="37">
        <f>D222*(1-D43)*(1-Seasonality!$D$87*D44)</f>
        <v/>
      </c>
      <c r="E223" s="37">
        <f>E222*(1-E43)*(1-Seasonality!$D$87*E44)</f>
        <v/>
      </c>
      <c r="F223" s="37">
        <f>F222*(1-F43)*(1-Seasonality!$D$87*F44)</f>
        <v/>
      </c>
    </row>
    <row r="224" hidden="1" outlineLevel="1">
      <c r="B224" s="7" t="inlineStr">
        <is>
          <t>Share of institutes still paying · month 53</t>
        </is>
      </c>
      <c r="C224" s="5" t="inlineStr">
        <is>
          <t>%</t>
        </is>
      </c>
      <c r="D224" s="37">
        <f>D223*(1-D43)*(1-Seasonality!$D$88*D44)</f>
        <v/>
      </c>
      <c r="E224" s="37">
        <f>E223*(1-E43)*(1-Seasonality!$D$88*E44)</f>
        <v/>
      </c>
      <c r="F224" s="37">
        <f>F223*(1-F43)*(1-Seasonality!$D$88*F44)</f>
        <v/>
      </c>
    </row>
    <row r="225" hidden="1" outlineLevel="1">
      <c r="B225" s="7" t="inlineStr">
        <is>
          <t>Share of institutes still paying · month 54</t>
        </is>
      </c>
      <c r="C225" s="5" t="inlineStr">
        <is>
          <t>%</t>
        </is>
      </c>
      <c r="D225" s="37">
        <f>D224*(1-D43)*(1-Seasonality!$D$89*D44)</f>
        <v/>
      </c>
      <c r="E225" s="37">
        <f>E224*(1-E43)*(1-Seasonality!$D$89*E44)</f>
        <v/>
      </c>
      <c r="F225" s="37">
        <f>F224*(1-F43)*(1-Seasonality!$D$89*F44)</f>
        <v/>
      </c>
    </row>
    <row r="226" hidden="1" outlineLevel="1">
      <c r="B226" s="7" t="inlineStr">
        <is>
          <t>Share of institutes still paying · month 55</t>
        </is>
      </c>
      <c r="C226" s="5" t="inlineStr">
        <is>
          <t>%</t>
        </is>
      </c>
      <c r="D226" s="37">
        <f>D225*(1-D43)*(1-Seasonality!$D$90*D44)</f>
        <v/>
      </c>
      <c r="E226" s="37">
        <f>E225*(1-E43)*(1-Seasonality!$D$90*E44)</f>
        <v/>
      </c>
      <c r="F226" s="37">
        <f>F225*(1-F43)*(1-Seasonality!$D$90*F44)</f>
        <v/>
      </c>
    </row>
    <row r="227" hidden="1" outlineLevel="1">
      <c r="B227" s="7" t="inlineStr">
        <is>
          <t>Share of institutes still paying · month 56</t>
        </is>
      </c>
      <c r="C227" s="5" t="inlineStr">
        <is>
          <t>%</t>
        </is>
      </c>
      <c r="D227" s="37">
        <f>D226*(1-D43)*(1-Seasonality!$D$91*D44)</f>
        <v/>
      </c>
      <c r="E227" s="37">
        <f>E226*(1-E43)*(1-Seasonality!$D$91*E44)</f>
        <v/>
      </c>
      <c r="F227" s="37">
        <f>F226*(1-F43)*(1-Seasonality!$D$91*F44)</f>
        <v/>
      </c>
    </row>
    <row r="228" hidden="1" outlineLevel="1">
      <c r="B228" s="7" t="inlineStr">
        <is>
          <t>Share of institutes still paying · month 57</t>
        </is>
      </c>
      <c r="C228" s="5" t="inlineStr">
        <is>
          <t>%</t>
        </is>
      </c>
      <c r="D228" s="37">
        <f>D227*(1-D43)*(1-Seasonality!$D$92*D44)</f>
        <v/>
      </c>
      <c r="E228" s="37">
        <f>E227*(1-E43)*(1-Seasonality!$D$92*E44)</f>
        <v/>
      </c>
      <c r="F228" s="37">
        <f>F227*(1-F43)*(1-Seasonality!$D$92*F44)</f>
        <v/>
      </c>
    </row>
    <row r="229" hidden="1" outlineLevel="1">
      <c r="B229" s="7" t="inlineStr">
        <is>
          <t>Share of institutes still paying · month 58</t>
        </is>
      </c>
      <c r="C229" s="5" t="inlineStr">
        <is>
          <t>%</t>
        </is>
      </c>
      <c r="D229" s="37">
        <f>D228*(1-D43)*(1-Seasonality!$D$93*D44)</f>
        <v/>
      </c>
      <c r="E229" s="37">
        <f>E228*(1-E43)*(1-Seasonality!$D$93*E44)</f>
        <v/>
      </c>
      <c r="F229" s="37">
        <f>F228*(1-F43)*(1-Seasonality!$D$93*F44)</f>
        <v/>
      </c>
    </row>
    <row r="230" hidden="1" outlineLevel="1">
      <c r="B230" s="7" t="inlineStr">
        <is>
          <t>Share of institutes still paying · month 59</t>
        </is>
      </c>
      <c r="C230" s="5" t="inlineStr">
        <is>
          <t>%</t>
        </is>
      </c>
      <c r="D230" s="37">
        <f>D229*(1-D43)*(1-Seasonality!$D$94*D44)</f>
        <v/>
      </c>
      <c r="E230" s="37">
        <f>E229*(1-E43)*(1-Seasonality!$D$94*E44)</f>
        <v/>
      </c>
      <c r="F230" s="37">
        <f>F229*(1-F43)*(1-Seasonality!$D$94*F44)</f>
        <v/>
      </c>
    </row>
    <row r="231" hidden="1" outlineLevel="1">
      <c r="B231" s="7" t="inlineStr">
        <is>
          <t>Share of institutes still paying · month 60</t>
        </is>
      </c>
      <c r="C231" s="5" t="inlineStr">
        <is>
          <t>%</t>
        </is>
      </c>
      <c r="D231" s="37">
        <f>D230*(1-D43)*(1-Seasonality!$D$95*D44)</f>
        <v/>
      </c>
      <c r="E231" s="37">
        <f>E230*(1-E43)*(1-Seasonality!$D$95*E44)</f>
        <v/>
      </c>
      <c r="F231" s="37">
        <f>F230*(1-F43)*(1-Seasonality!$D$95*F44)</f>
        <v/>
      </c>
    </row>
    <row r="232" hidden="1" outlineLevel="1">
      <c r="B232" s="7" t="inlineStr">
        <is>
          <t>Cumulative discounted contribution · month 1</t>
        </is>
      </c>
      <c r="C232" s="5" t="inlineStr">
        <is>
          <t>₹</t>
        </is>
      </c>
      <c r="D232" s="48">
        <f>D172*D112*Seasonality!$E$37</f>
        <v/>
      </c>
      <c r="E232" s="48">
        <f>E172*E112*Seasonality!$E$37</f>
        <v/>
      </c>
      <c r="F232" s="48">
        <f>F172*F112*Seasonality!$E$37</f>
        <v/>
      </c>
    </row>
    <row r="233" hidden="1" outlineLevel="1">
      <c r="B233" s="7" t="inlineStr">
        <is>
          <t>Cumulative discounted contribution · month 2</t>
        </is>
      </c>
      <c r="C233" s="5" t="inlineStr">
        <is>
          <t>₹</t>
        </is>
      </c>
      <c r="D233" s="48">
        <f>D232+D173*D113*Seasonality!$E$38</f>
        <v/>
      </c>
      <c r="E233" s="48">
        <f>E232+E173*E113*Seasonality!$E$38</f>
        <v/>
      </c>
      <c r="F233" s="48">
        <f>F232+F173*F113*Seasonality!$E$38</f>
        <v/>
      </c>
    </row>
    <row r="234" hidden="1" outlineLevel="1">
      <c r="B234" s="7" t="inlineStr">
        <is>
          <t>Cumulative discounted contribution · month 3</t>
        </is>
      </c>
      <c r="C234" s="5" t="inlineStr">
        <is>
          <t>₹</t>
        </is>
      </c>
      <c r="D234" s="48">
        <f>D233+D174*D114*Seasonality!$E$39</f>
        <v/>
      </c>
      <c r="E234" s="48">
        <f>E233+E174*E114*Seasonality!$E$39</f>
        <v/>
      </c>
      <c r="F234" s="48">
        <f>F233+F174*F114*Seasonality!$E$39</f>
        <v/>
      </c>
    </row>
    <row r="235" hidden="1" outlineLevel="1">
      <c r="B235" s="7" t="inlineStr">
        <is>
          <t>Cumulative discounted contribution · month 4</t>
        </is>
      </c>
      <c r="C235" s="5" t="inlineStr">
        <is>
          <t>₹</t>
        </is>
      </c>
      <c r="D235" s="48">
        <f>D234+D175*D115*Seasonality!$E$40</f>
        <v/>
      </c>
      <c r="E235" s="48">
        <f>E234+E175*E115*Seasonality!$E$40</f>
        <v/>
      </c>
      <c r="F235" s="48">
        <f>F234+F175*F115*Seasonality!$E$40</f>
        <v/>
      </c>
    </row>
    <row r="236" hidden="1" outlineLevel="1">
      <c r="B236" s="7" t="inlineStr">
        <is>
          <t>Cumulative discounted contribution · month 5</t>
        </is>
      </c>
      <c r="C236" s="5" t="inlineStr">
        <is>
          <t>₹</t>
        </is>
      </c>
      <c r="D236" s="48">
        <f>D235+D176*D116*Seasonality!$E$41</f>
        <v/>
      </c>
      <c r="E236" s="48">
        <f>E235+E176*E116*Seasonality!$E$41</f>
        <v/>
      </c>
      <c r="F236" s="48">
        <f>F235+F176*F116*Seasonality!$E$41</f>
        <v/>
      </c>
    </row>
    <row r="237" hidden="1" outlineLevel="1">
      <c r="B237" s="7" t="inlineStr">
        <is>
          <t>Cumulative discounted contribution · month 6</t>
        </is>
      </c>
      <c r="C237" s="5" t="inlineStr">
        <is>
          <t>₹</t>
        </is>
      </c>
      <c r="D237" s="48">
        <f>D236+D177*D117*Seasonality!$E$42</f>
        <v/>
      </c>
      <c r="E237" s="48">
        <f>E236+E177*E117*Seasonality!$E$42</f>
        <v/>
      </c>
      <c r="F237" s="48">
        <f>F236+F177*F117*Seasonality!$E$42</f>
        <v/>
      </c>
    </row>
    <row r="238" hidden="1" outlineLevel="1">
      <c r="B238" s="7" t="inlineStr">
        <is>
          <t>Cumulative discounted contribution · month 7</t>
        </is>
      </c>
      <c r="C238" s="5" t="inlineStr">
        <is>
          <t>₹</t>
        </is>
      </c>
      <c r="D238" s="48">
        <f>D237+D178*D118*Seasonality!$E$43</f>
        <v/>
      </c>
      <c r="E238" s="48">
        <f>E237+E178*E118*Seasonality!$E$43</f>
        <v/>
      </c>
      <c r="F238" s="48">
        <f>F237+F178*F118*Seasonality!$E$43</f>
        <v/>
      </c>
    </row>
    <row r="239" hidden="1" outlineLevel="1">
      <c r="B239" s="7" t="inlineStr">
        <is>
          <t>Cumulative discounted contribution · month 8</t>
        </is>
      </c>
      <c r="C239" s="5" t="inlineStr">
        <is>
          <t>₹</t>
        </is>
      </c>
      <c r="D239" s="48">
        <f>D238+D179*D119*Seasonality!$E$44</f>
        <v/>
      </c>
      <c r="E239" s="48">
        <f>E238+E179*E119*Seasonality!$E$44</f>
        <v/>
      </c>
      <c r="F239" s="48">
        <f>F238+F179*F119*Seasonality!$E$44</f>
        <v/>
      </c>
    </row>
    <row r="240" hidden="1" outlineLevel="1">
      <c r="B240" s="7" t="inlineStr">
        <is>
          <t>Cumulative discounted contribution · month 9</t>
        </is>
      </c>
      <c r="C240" s="5" t="inlineStr">
        <is>
          <t>₹</t>
        </is>
      </c>
      <c r="D240" s="48">
        <f>D239+D180*D120*Seasonality!$E$45</f>
        <v/>
      </c>
      <c r="E240" s="48">
        <f>E239+E180*E120*Seasonality!$E$45</f>
        <v/>
      </c>
      <c r="F240" s="48">
        <f>F239+F180*F120*Seasonality!$E$45</f>
        <v/>
      </c>
    </row>
    <row r="241" hidden="1" outlineLevel="1">
      <c r="B241" s="7" t="inlineStr">
        <is>
          <t>Cumulative discounted contribution · month 10</t>
        </is>
      </c>
      <c r="C241" s="5" t="inlineStr">
        <is>
          <t>₹</t>
        </is>
      </c>
      <c r="D241" s="48">
        <f>D240+D181*D121*Seasonality!$E$46</f>
        <v/>
      </c>
      <c r="E241" s="48">
        <f>E240+E181*E121*Seasonality!$E$46</f>
        <v/>
      </c>
      <c r="F241" s="48">
        <f>F240+F181*F121*Seasonality!$E$46</f>
        <v/>
      </c>
    </row>
    <row r="242" hidden="1" outlineLevel="1">
      <c r="B242" s="7" t="inlineStr">
        <is>
          <t>Cumulative discounted contribution · month 11</t>
        </is>
      </c>
      <c r="C242" s="5" t="inlineStr">
        <is>
          <t>₹</t>
        </is>
      </c>
      <c r="D242" s="48">
        <f>D241+D182*D122*Seasonality!$E$47</f>
        <v/>
      </c>
      <c r="E242" s="48">
        <f>E241+E182*E122*Seasonality!$E$47</f>
        <v/>
      </c>
      <c r="F242" s="48">
        <f>F241+F182*F122*Seasonality!$E$47</f>
        <v/>
      </c>
    </row>
    <row r="243" hidden="1" outlineLevel="1">
      <c r="B243" s="7" t="inlineStr">
        <is>
          <t>Cumulative discounted contribution · month 12</t>
        </is>
      </c>
      <c r="C243" s="5" t="inlineStr">
        <is>
          <t>₹</t>
        </is>
      </c>
      <c r="D243" s="48">
        <f>D242+D183*D123*Seasonality!$E$48</f>
        <v/>
      </c>
      <c r="E243" s="48">
        <f>E242+E183*E123*Seasonality!$E$48</f>
        <v/>
      </c>
      <c r="F243" s="48">
        <f>F242+F183*F123*Seasonality!$E$48</f>
        <v/>
      </c>
    </row>
    <row r="244" hidden="1" outlineLevel="1">
      <c r="B244" s="7" t="inlineStr">
        <is>
          <t>Cumulative discounted contribution · month 13</t>
        </is>
      </c>
      <c r="C244" s="5" t="inlineStr">
        <is>
          <t>₹</t>
        </is>
      </c>
      <c r="D244" s="48">
        <f>D243+D184*D124*Seasonality!$E$49</f>
        <v/>
      </c>
      <c r="E244" s="48">
        <f>E243+E184*E124*Seasonality!$E$49</f>
        <v/>
      </c>
      <c r="F244" s="48">
        <f>F243+F184*F124*Seasonality!$E$49</f>
        <v/>
      </c>
    </row>
    <row r="245" hidden="1" outlineLevel="1">
      <c r="B245" s="7" t="inlineStr">
        <is>
          <t>Cumulative discounted contribution · month 14</t>
        </is>
      </c>
      <c r="C245" s="5" t="inlineStr">
        <is>
          <t>₹</t>
        </is>
      </c>
      <c r="D245" s="48">
        <f>D244+D185*D125*Seasonality!$E$50</f>
        <v/>
      </c>
      <c r="E245" s="48">
        <f>E244+E185*E125*Seasonality!$E$50</f>
        <v/>
      </c>
      <c r="F245" s="48">
        <f>F244+F185*F125*Seasonality!$E$50</f>
        <v/>
      </c>
    </row>
    <row r="246" hidden="1" outlineLevel="1">
      <c r="B246" s="7" t="inlineStr">
        <is>
          <t>Cumulative discounted contribution · month 15</t>
        </is>
      </c>
      <c r="C246" s="5" t="inlineStr">
        <is>
          <t>₹</t>
        </is>
      </c>
      <c r="D246" s="48">
        <f>D245+D186*D126*Seasonality!$E$51</f>
        <v/>
      </c>
      <c r="E246" s="48">
        <f>E245+E186*E126*Seasonality!$E$51</f>
        <v/>
      </c>
      <c r="F246" s="48">
        <f>F245+F186*F126*Seasonality!$E$51</f>
        <v/>
      </c>
    </row>
    <row r="247" hidden="1" outlineLevel="1">
      <c r="B247" s="7" t="inlineStr">
        <is>
          <t>Cumulative discounted contribution · month 16</t>
        </is>
      </c>
      <c r="C247" s="5" t="inlineStr">
        <is>
          <t>₹</t>
        </is>
      </c>
      <c r="D247" s="48">
        <f>D246+D187*D127*Seasonality!$E$52</f>
        <v/>
      </c>
      <c r="E247" s="48">
        <f>E246+E187*E127*Seasonality!$E$52</f>
        <v/>
      </c>
      <c r="F247" s="48">
        <f>F246+F187*F127*Seasonality!$E$52</f>
        <v/>
      </c>
    </row>
    <row r="248" hidden="1" outlineLevel="1">
      <c r="B248" s="7" t="inlineStr">
        <is>
          <t>Cumulative discounted contribution · month 17</t>
        </is>
      </c>
      <c r="C248" s="5" t="inlineStr">
        <is>
          <t>₹</t>
        </is>
      </c>
      <c r="D248" s="48">
        <f>D247+D188*D128*Seasonality!$E$53</f>
        <v/>
      </c>
      <c r="E248" s="48">
        <f>E247+E188*E128*Seasonality!$E$53</f>
        <v/>
      </c>
      <c r="F248" s="48">
        <f>F247+F188*F128*Seasonality!$E$53</f>
        <v/>
      </c>
    </row>
    <row r="249" hidden="1" outlineLevel="1">
      <c r="B249" s="7" t="inlineStr">
        <is>
          <t>Cumulative discounted contribution · month 18</t>
        </is>
      </c>
      <c r="C249" s="5" t="inlineStr">
        <is>
          <t>₹</t>
        </is>
      </c>
      <c r="D249" s="48">
        <f>D248+D189*D129*Seasonality!$E$54</f>
        <v/>
      </c>
      <c r="E249" s="48">
        <f>E248+E189*E129*Seasonality!$E$54</f>
        <v/>
      </c>
      <c r="F249" s="48">
        <f>F248+F189*F129*Seasonality!$E$54</f>
        <v/>
      </c>
    </row>
    <row r="250" hidden="1" outlineLevel="1">
      <c r="B250" s="7" t="inlineStr">
        <is>
          <t>Cumulative discounted contribution · month 19</t>
        </is>
      </c>
      <c r="C250" s="5" t="inlineStr">
        <is>
          <t>₹</t>
        </is>
      </c>
      <c r="D250" s="48">
        <f>D249+D190*D130*Seasonality!$E$55</f>
        <v/>
      </c>
      <c r="E250" s="48">
        <f>E249+E190*E130*Seasonality!$E$55</f>
        <v/>
      </c>
      <c r="F250" s="48">
        <f>F249+F190*F130*Seasonality!$E$55</f>
        <v/>
      </c>
    </row>
    <row r="251" hidden="1" outlineLevel="1">
      <c r="B251" s="7" t="inlineStr">
        <is>
          <t>Cumulative discounted contribution · month 20</t>
        </is>
      </c>
      <c r="C251" s="5" t="inlineStr">
        <is>
          <t>₹</t>
        </is>
      </c>
      <c r="D251" s="48">
        <f>D250+D191*D131*Seasonality!$E$56</f>
        <v/>
      </c>
      <c r="E251" s="48">
        <f>E250+E191*E131*Seasonality!$E$56</f>
        <v/>
      </c>
      <c r="F251" s="48">
        <f>F250+F191*F131*Seasonality!$E$56</f>
        <v/>
      </c>
    </row>
    <row r="252" hidden="1" outlineLevel="1">
      <c r="B252" s="7" t="inlineStr">
        <is>
          <t>Cumulative discounted contribution · month 21</t>
        </is>
      </c>
      <c r="C252" s="5" t="inlineStr">
        <is>
          <t>₹</t>
        </is>
      </c>
      <c r="D252" s="48">
        <f>D251+D192*D132*Seasonality!$E$57</f>
        <v/>
      </c>
      <c r="E252" s="48">
        <f>E251+E192*E132*Seasonality!$E$57</f>
        <v/>
      </c>
      <c r="F252" s="48">
        <f>F251+F192*F132*Seasonality!$E$57</f>
        <v/>
      </c>
    </row>
    <row r="253" hidden="1" outlineLevel="1">
      <c r="B253" s="7" t="inlineStr">
        <is>
          <t>Cumulative discounted contribution · month 22</t>
        </is>
      </c>
      <c r="C253" s="5" t="inlineStr">
        <is>
          <t>₹</t>
        </is>
      </c>
      <c r="D253" s="48">
        <f>D252+D193*D133*Seasonality!$E$58</f>
        <v/>
      </c>
      <c r="E253" s="48">
        <f>E252+E193*E133*Seasonality!$E$58</f>
        <v/>
      </c>
      <c r="F253" s="48">
        <f>F252+F193*F133*Seasonality!$E$58</f>
        <v/>
      </c>
    </row>
    <row r="254" hidden="1" outlineLevel="1">
      <c r="B254" s="7" t="inlineStr">
        <is>
          <t>Cumulative discounted contribution · month 23</t>
        </is>
      </c>
      <c r="C254" s="5" t="inlineStr">
        <is>
          <t>₹</t>
        </is>
      </c>
      <c r="D254" s="48">
        <f>D253+D194*D134*Seasonality!$E$59</f>
        <v/>
      </c>
      <c r="E254" s="48">
        <f>E253+E194*E134*Seasonality!$E$59</f>
        <v/>
      </c>
      <c r="F254" s="48">
        <f>F253+F194*F134*Seasonality!$E$59</f>
        <v/>
      </c>
    </row>
    <row r="255" hidden="1" outlineLevel="1">
      <c r="B255" s="7" t="inlineStr">
        <is>
          <t>Cumulative discounted contribution · month 24</t>
        </is>
      </c>
      <c r="C255" s="5" t="inlineStr">
        <is>
          <t>₹</t>
        </is>
      </c>
      <c r="D255" s="48">
        <f>D254+D195*D135*Seasonality!$E$60</f>
        <v/>
      </c>
      <c r="E255" s="48">
        <f>E254+E195*E135*Seasonality!$E$60</f>
        <v/>
      </c>
      <c r="F255" s="48">
        <f>F254+F195*F135*Seasonality!$E$60</f>
        <v/>
      </c>
    </row>
    <row r="256" hidden="1" outlineLevel="1">
      <c r="B256" s="7" t="inlineStr">
        <is>
          <t>Cumulative discounted contribution · month 25</t>
        </is>
      </c>
      <c r="C256" s="5" t="inlineStr">
        <is>
          <t>₹</t>
        </is>
      </c>
      <c r="D256" s="48">
        <f>D255+D196*D136*Seasonality!$E$61</f>
        <v/>
      </c>
      <c r="E256" s="48">
        <f>E255+E196*E136*Seasonality!$E$61</f>
        <v/>
      </c>
      <c r="F256" s="48">
        <f>F255+F196*F136*Seasonality!$E$61</f>
        <v/>
      </c>
    </row>
    <row r="257" hidden="1" outlineLevel="1">
      <c r="B257" s="7" t="inlineStr">
        <is>
          <t>Cumulative discounted contribution · month 26</t>
        </is>
      </c>
      <c r="C257" s="5" t="inlineStr">
        <is>
          <t>₹</t>
        </is>
      </c>
      <c r="D257" s="48">
        <f>D256+D197*D137*Seasonality!$E$62</f>
        <v/>
      </c>
      <c r="E257" s="48">
        <f>E256+E197*E137*Seasonality!$E$62</f>
        <v/>
      </c>
      <c r="F257" s="48">
        <f>F256+F197*F137*Seasonality!$E$62</f>
        <v/>
      </c>
    </row>
    <row r="258" hidden="1" outlineLevel="1">
      <c r="B258" s="7" t="inlineStr">
        <is>
          <t>Cumulative discounted contribution · month 27</t>
        </is>
      </c>
      <c r="C258" s="5" t="inlineStr">
        <is>
          <t>₹</t>
        </is>
      </c>
      <c r="D258" s="48">
        <f>D257+D198*D138*Seasonality!$E$63</f>
        <v/>
      </c>
      <c r="E258" s="48">
        <f>E257+E198*E138*Seasonality!$E$63</f>
        <v/>
      </c>
      <c r="F258" s="48">
        <f>F257+F198*F138*Seasonality!$E$63</f>
        <v/>
      </c>
    </row>
    <row r="259" hidden="1" outlineLevel="1">
      <c r="B259" s="7" t="inlineStr">
        <is>
          <t>Cumulative discounted contribution · month 28</t>
        </is>
      </c>
      <c r="C259" s="5" t="inlineStr">
        <is>
          <t>₹</t>
        </is>
      </c>
      <c r="D259" s="48">
        <f>D258+D199*D139*Seasonality!$E$64</f>
        <v/>
      </c>
      <c r="E259" s="48">
        <f>E258+E199*E139*Seasonality!$E$64</f>
        <v/>
      </c>
      <c r="F259" s="48">
        <f>F258+F199*F139*Seasonality!$E$64</f>
        <v/>
      </c>
    </row>
    <row r="260" hidden="1" outlineLevel="1">
      <c r="B260" s="7" t="inlineStr">
        <is>
          <t>Cumulative discounted contribution · month 29</t>
        </is>
      </c>
      <c r="C260" s="5" t="inlineStr">
        <is>
          <t>₹</t>
        </is>
      </c>
      <c r="D260" s="48">
        <f>D259+D200*D140*Seasonality!$E$65</f>
        <v/>
      </c>
      <c r="E260" s="48">
        <f>E259+E200*E140*Seasonality!$E$65</f>
        <v/>
      </c>
      <c r="F260" s="48">
        <f>F259+F200*F140*Seasonality!$E$65</f>
        <v/>
      </c>
    </row>
    <row r="261" hidden="1" outlineLevel="1">
      <c r="B261" s="7" t="inlineStr">
        <is>
          <t>Cumulative discounted contribution · month 30</t>
        </is>
      </c>
      <c r="C261" s="5" t="inlineStr">
        <is>
          <t>₹</t>
        </is>
      </c>
      <c r="D261" s="48">
        <f>D260+D201*D141*Seasonality!$E$66</f>
        <v/>
      </c>
      <c r="E261" s="48">
        <f>E260+E201*E141*Seasonality!$E$66</f>
        <v/>
      </c>
      <c r="F261" s="48">
        <f>F260+F201*F141*Seasonality!$E$66</f>
        <v/>
      </c>
    </row>
    <row r="262" hidden="1" outlineLevel="1">
      <c r="B262" s="7" t="inlineStr">
        <is>
          <t>Cumulative discounted contribution · month 31</t>
        </is>
      </c>
      <c r="C262" s="5" t="inlineStr">
        <is>
          <t>₹</t>
        </is>
      </c>
      <c r="D262" s="48">
        <f>D261+D202*D142*Seasonality!$E$67</f>
        <v/>
      </c>
      <c r="E262" s="48">
        <f>E261+E202*E142*Seasonality!$E$67</f>
        <v/>
      </c>
      <c r="F262" s="48">
        <f>F261+F202*F142*Seasonality!$E$67</f>
        <v/>
      </c>
    </row>
    <row r="263" hidden="1" outlineLevel="1">
      <c r="B263" s="7" t="inlineStr">
        <is>
          <t>Cumulative discounted contribution · month 32</t>
        </is>
      </c>
      <c r="C263" s="5" t="inlineStr">
        <is>
          <t>₹</t>
        </is>
      </c>
      <c r="D263" s="48">
        <f>D262+D203*D143*Seasonality!$E$68</f>
        <v/>
      </c>
      <c r="E263" s="48">
        <f>E262+E203*E143*Seasonality!$E$68</f>
        <v/>
      </c>
      <c r="F263" s="48">
        <f>F262+F203*F143*Seasonality!$E$68</f>
        <v/>
      </c>
    </row>
    <row r="264" hidden="1" outlineLevel="1">
      <c r="B264" s="7" t="inlineStr">
        <is>
          <t>Cumulative discounted contribution · month 33</t>
        </is>
      </c>
      <c r="C264" s="5" t="inlineStr">
        <is>
          <t>₹</t>
        </is>
      </c>
      <c r="D264" s="48">
        <f>D263+D204*D144*Seasonality!$E$69</f>
        <v/>
      </c>
      <c r="E264" s="48">
        <f>E263+E204*E144*Seasonality!$E$69</f>
        <v/>
      </c>
      <c r="F264" s="48">
        <f>F263+F204*F144*Seasonality!$E$69</f>
        <v/>
      </c>
    </row>
    <row r="265" hidden="1" outlineLevel="1">
      <c r="B265" s="7" t="inlineStr">
        <is>
          <t>Cumulative discounted contribution · month 34</t>
        </is>
      </c>
      <c r="C265" s="5" t="inlineStr">
        <is>
          <t>₹</t>
        </is>
      </c>
      <c r="D265" s="48">
        <f>D264+D205*D145*Seasonality!$E$70</f>
        <v/>
      </c>
      <c r="E265" s="48">
        <f>E264+E205*E145*Seasonality!$E$70</f>
        <v/>
      </c>
      <c r="F265" s="48">
        <f>F264+F205*F145*Seasonality!$E$70</f>
        <v/>
      </c>
    </row>
    <row r="266" hidden="1" outlineLevel="1">
      <c r="B266" s="7" t="inlineStr">
        <is>
          <t>Cumulative discounted contribution · month 35</t>
        </is>
      </c>
      <c r="C266" s="5" t="inlineStr">
        <is>
          <t>₹</t>
        </is>
      </c>
      <c r="D266" s="48">
        <f>D265+D206*D146*Seasonality!$E$71</f>
        <v/>
      </c>
      <c r="E266" s="48">
        <f>E265+E206*E146*Seasonality!$E$71</f>
        <v/>
      </c>
      <c r="F266" s="48">
        <f>F265+F206*F146*Seasonality!$E$71</f>
        <v/>
      </c>
    </row>
    <row r="267" hidden="1" outlineLevel="1">
      <c r="B267" s="7" t="inlineStr">
        <is>
          <t>Cumulative discounted contribution · month 36</t>
        </is>
      </c>
      <c r="C267" s="5" t="inlineStr">
        <is>
          <t>₹</t>
        </is>
      </c>
      <c r="D267" s="48">
        <f>D266+D207*D147*Seasonality!$E$72</f>
        <v/>
      </c>
      <c r="E267" s="48">
        <f>E266+E207*E147*Seasonality!$E$72</f>
        <v/>
      </c>
      <c r="F267" s="48">
        <f>F266+F207*F147*Seasonality!$E$72</f>
        <v/>
      </c>
    </row>
    <row r="268" hidden="1" outlineLevel="1">
      <c r="B268" s="7" t="inlineStr">
        <is>
          <t>Cumulative discounted contribution · month 37</t>
        </is>
      </c>
      <c r="C268" s="5" t="inlineStr">
        <is>
          <t>₹</t>
        </is>
      </c>
      <c r="D268" s="48">
        <f>D267+D208*D148*Seasonality!$E$73</f>
        <v/>
      </c>
      <c r="E268" s="48">
        <f>E267+E208*E148*Seasonality!$E$73</f>
        <v/>
      </c>
      <c r="F268" s="48">
        <f>F267+F208*F148*Seasonality!$E$73</f>
        <v/>
      </c>
    </row>
    <row r="269" hidden="1" outlineLevel="1">
      <c r="B269" s="7" t="inlineStr">
        <is>
          <t>Cumulative discounted contribution · month 38</t>
        </is>
      </c>
      <c r="C269" s="5" t="inlineStr">
        <is>
          <t>₹</t>
        </is>
      </c>
      <c r="D269" s="48">
        <f>D268+D209*D149*Seasonality!$E$74</f>
        <v/>
      </c>
      <c r="E269" s="48">
        <f>E268+E209*E149*Seasonality!$E$74</f>
        <v/>
      </c>
      <c r="F269" s="48">
        <f>F268+F209*F149*Seasonality!$E$74</f>
        <v/>
      </c>
    </row>
    <row r="270" hidden="1" outlineLevel="1">
      <c r="B270" s="7" t="inlineStr">
        <is>
          <t>Cumulative discounted contribution · month 39</t>
        </is>
      </c>
      <c r="C270" s="5" t="inlineStr">
        <is>
          <t>₹</t>
        </is>
      </c>
      <c r="D270" s="48">
        <f>D269+D210*D150*Seasonality!$E$75</f>
        <v/>
      </c>
      <c r="E270" s="48">
        <f>E269+E210*E150*Seasonality!$E$75</f>
        <v/>
      </c>
      <c r="F270" s="48">
        <f>F269+F210*F150*Seasonality!$E$75</f>
        <v/>
      </c>
    </row>
    <row r="271" hidden="1" outlineLevel="1">
      <c r="B271" s="7" t="inlineStr">
        <is>
          <t>Cumulative discounted contribution · month 40</t>
        </is>
      </c>
      <c r="C271" s="5" t="inlineStr">
        <is>
          <t>₹</t>
        </is>
      </c>
      <c r="D271" s="48">
        <f>D270+D211*D151*Seasonality!$E$76</f>
        <v/>
      </c>
      <c r="E271" s="48">
        <f>E270+E211*E151*Seasonality!$E$76</f>
        <v/>
      </c>
      <c r="F271" s="48">
        <f>F270+F211*F151*Seasonality!$E$76</f>
        <v/>
      </c>
    </row>
    <row r="272" hidden="1" outlineLevel="1">
      <c r="B272" s="7" t="inlineStr">
        <is>
          <t>Cumulative discounted contribution · month 41</t>
        </is>
      </c>
      <c r="C272" s="5" t="inlineStr">
        <is>
          <t>₹</t>
        </is>
      </c>
      <c r="D272" s="48">
        <f>D271+D212*D152*Seasonality!$E$77</f>
        <v/>
      </c>
      <c r="E272" s="48">
        <f>E271+E212*E152*Seasonality!$E$77</f>
        <v/>
      </c>
      <c r="F272" s="48">
        <f>F271+F212*F152*Seasonality!$E$77</f>
        <v/>
      </c>
    </row>
    <row r="273" hidden="1" outlineLevel="1">
      <c r="B273" s="7" t="inlineStr">
        <is>
          <t>Cumulative discounted contribution · month 42</t>
        </is>
      </c>
      <c r="C273" s="5" t="inlineStr">
        <is>
          <t>₹</t>
        </is>
      </c>
      <c r="D273" s="48">
        <f>D272+D213*D153*Seasonality!$E$78</f>
        <v/>
      </c>
      <c r="E273" s="48">
        <f>E272+E213*E153*Seasonality!$E$78</f>
        <v/>
      </c>
      <c r="F273" s="48">
        <f>F272+F213*F153*Seasonality!$E$78</f>
        <v/>
      </c>
    </row>
    <row r="274" hidden="1" outlineLevel="1">
      <c r="B274" s="7" t="inlineStr">
        <is>
          <t>Cumulative discounted contribution · month 43</t>
        </is>
      </c>
      <c r="C274" s="5" t="inlineStr">
        <is>
          <t>₹</t>
        </is>
      </c>
      <c r="D274" s="48">
        <f>D273+D214*D154*Seasonality!$E$79</f>
        <v/>
      </c>
      <c r="E274" s="48">
        <f>E273+E214*E154*Seasonality!$E$79</f>
        <v/>
      </c>
      <c r="F274" s="48">
        <f>F273+F214*F154*Seasonality!$E$79</f>
        <v/>
      </c>
    </row>
    <row r="275" hidden="1" outlineLevel="1">
      <c r="B275" s="7" t="inlineStr">
        <is>
          <t>Cumulative discounted contribution · month 44</t>
        </is>
      </c>
      <c r="C275" s="5" t="inlineStr">
        <is>
          <t>₹</t>
        </is>
      </c>
      <c r="D275" s="48">
        <f>D274+D215*D155*Seasonality!$E$80</f>
        <v/>
      </c>
      <c r="E275" s="48">
        <f>E274+E215*E155*Seasonality!$E$80</f>
        <v/>
      </c>
      <c r="F275" s="48">
        <f>F274+F215*F155*Seasonality!$E$80</f>
        <v/>
      </c>
    </row>
    <row r="276" hidden="1" outlineLevel="1">
      <c r="B276" s="7" t="inlineStr">
        <is>
          <t>Cumulative discounted contribution · month 45</t>
        </is>
      </c>
      <c r="C276" s="5" t="inlineStr">
        <is>
          <t>₹</t>
        </is>
      </c>
      <c r="D276" s="48">
        <f>D275+D216*D156*Seasonality!$E$81</f>
        <v/>
      </c>
      <c r="E276" s="48">
        <f>E275+E216*E156*Seasonality!$E$81</f>
        <v/>
      </c>
      <c r="F276" s="48">
        <f>F275+F216*F156*Seasonality!$E$81</f>
        <v/>
      </c>
    </row>
    <row r="277" hidden="1" outlineLevel="1">
      <c r="B277" s="7" t="inlineStr">
        <is>
          <t>Cumulative discounted contribution · month 46</t>
        </is>
      </c>
      <c r="C277" s="5" t="inlineStr">
        <is>
          <t>₹</t>
        </is>
      </c>
      <c r="D277" s="48">
        <f>D276+D217*D157*Seasonality!$E$82</f>
        <v/>
      </c>
      <c r="E277" s="48">
        <f>E276+E217*E157*Seasonality!$E$82</f>
        <v/>
      </c>
      <c r="F277" s="48">
        <f>F276+F217*F157*Seasonality!$E$82</f>
        <v/>
      </c>
    </row>
    <row r="278" hidden="1" outlineLevel="1">
      <c r="B278" s="7" t="inlineStr">
        <is>
          <t>Cumulative discounted contribution · month 47</t>
        </is>
      </c>
      <c r="C278" s="5" t="inlineStr">
        <is>
          <t>₹</t>
        </is>
      </c>
      <c r="D278" s="48">
        <f>D277+D218*D158*Seasonality!$E$83</f>
        <v/>
      </c>
      <c r="E278" s="48">
        <f>E277+E218*E158*Seasonality!$E$83</f>
        <v/>
      </c>
      <c r="F278" s="48">
        <f>F277+F218*F158*Seasonality!$E$83</f>
        <v/>
      </c>
    </row>
    <row r="279" hidden="1" outlineLevel="1">
      <c r="B279" s="7" t="inlineStr">
        <is>
          <t>Cumulative discounted contribution · month 48</t>
        </is>
      </c>
      <c r="C279" s="5" t="inlineStr">
        <is>
          <t>₹</t>
        </is>
      </c>
      <c r="D279" s="48">
        <f>D278+D219*D159*Seasonality!$E$84</f>
        <v/>
      </c>
      <c r="E279" s="48">
        <f>E278+E219*E159*Seasonality!$E$84</f>
        <v/>
      </c>
      <c r="F279" s="48">
        <f>F278+F219*F159*Seasonality!$E$84</f>
        <v/>
      </c>
    </row>
    <row r="280" hidden="1" outlineLevel="1">
      <c r="B280" s="7" t="inlineStr">
        <is>
          <t>Cumulative discounted contribution · month 49</t>
        </is>
      </c>
      <c r="C280" s="5" t="inlineStr">
        <is>
          <t>₹</t>
        </is>
      </c>
      <c r="D280" s="48">
        <f>D279+D220*D160*Seasonality!$E$85</f>
        <v/>
      </c>
      <c r="E280" s="48">
        <f>E279+E220*E160*Seasonality!$E$85</f>
        <v/>
      </c>
      <c r="F280" s="48">
        <f>F279+F220*F160*Seasonality!$E$85</f>
        <v/>
      </c>
    </row>
    <row r="281" hidden="1" outlineLevel="1">
      <c r="B281" s="7" t="inlineStr">
        <is>
          <t>Cumulative discounted contribution · month 50</t>
        </is>
      </c>
      <c r="C281" s="5" t="inlineStr">
        <is>
          <t>₹</t>
        </is>
      </c>
      <c r="D281" s="48">
        <f>D280+D221*D161*Seasonality!$E$86</f>
        <v/>
      </c>
      <c r="E281" s="48">
        <f>E280+E221*E161*Seasonality!$E$86</f>
        <v/>
      </c>
      <c r="F281" s="48">
        <f>F280+F221*F161*Seasonality!$E$86</f>
        <v/>
      </c>
    </row>
    <row r="282" hidden="1" outlineLevel="1">
      <c r="B282" s="7" t="inlineStr">
        <is>
          <t>Cumulative discounted contribution · month 51</t>
        </is>
      </c>
      <c r="C282" s="5" t="inlineStr">
        <is>
          <t>₹</t>
        </is>
      </c>
      <c r="D282" s="48">
        <f>D281+D222*D162*Seasonality!$E$87</f>
        <v/>
      </c>
      <c r="E282" s="48">
        <f>E281+E222*E162*Seasonality!$E$87</f>
        <v/>
      </c>
      <c r="F282" s="48">
        <f>F281+F222*F162*Seasonality!$E$87</f>
        <v/>
      </c>
    </row>
    <row r="283" hidden="1" outlineLevel="1">
      <c r="B283" s="7" t="inlineStr">
        <is>
          <t>Cumulative discounted contribution · month 52</t>
        </is>
      </c>
      <c r="C283" s="5" t="inlineStr">
        <is>
          <t>₹</t>
        </is>
      </c>
      <c r="D283" s="48">
        <f>D282+D223*D163*Seasonality!$E$88</f>
        <v/>
      </c>
      <c r="E283" s="48">
        <f>E282+E223*E163*Seasonality!$E$88</f>
        <v/>
      </c>
      <c r="F283" s="48">
        <f>F282+F223*F163*Seasonality!$E$88</f>
        <v/>
      </c>
    </row>
    <row r="284" hidden="1" outlineLevel="1">
      <c r="B284" s="7" t="inlineStr">
        <is>
          <t>Cumulative discounted contribution · month 53</t>
        </is>
      </c>
      <c r="C284" s="5" t="inlineStr">
        <is>
          <t>₹</t>
        </is>
      </c>
      <c r="D284" s="48">
        <f>D283+D224*D164*Seasonality!$E$89</f>
        <v/>
      </c>
      <c r="E284" s="48">
        <f>E283+E224*E164*Seasonality!$E$89</f>
        <v/>
      </c>
      <c r="F284" s="48">
        <f>F283+F224*F164*Seasonality!$E$89</f>
        <v/>
      </c>
    </row>
    <row r="285" hidden="1" outlineLevel="1">
      <c r="B285" s="7" t="inlineStr">
        <is>
          <t>Cumulative discounted contribution · month 54</t>
        </is>
      </c>
      <c r="C285" s="5" t="inlineStr">
        <is>
          <t>₹</t>
        </is>
      </c>
      <c r="D285" s="48">
        <f>D284+D225*D165*Seasonality!$E$90</f>
        <v/>
      </c>
      <c r="E285" s="48">
        <f>E284+E225*E165*Seasonality!$E$90</f>
        <v/>
      </c>
      <c r="F285" s="48">
        <f>F284+F225*F165*Seasonality!$E$90</f>
        <v/>
      </c>
    </row>
    <row r="286" hidden="1" outlineLevel="1">
      <c r="B286" s="7" t="inlineStr">
        <is>
          <t>Cumulative discounted contribution · month 55</t>
        </is>
      </c>
      <c r="C286" s="5" t="inlineStr">
        <is>
          <t>₹</t>
        </is>
      </c>
      <c r="D286" s="48">
        <f>D285+D226*D166*Seasonality!$E$91</f>
        <v/>
      </c>
      <c r="E286" s="48">
        <f>E285+E226*E166*Seasonality!$E$91</f>
        <v/>
      </c>
      <c r="F286" s="48">
        <f>F285+F226*F166*Seasonality!$E$91</f>
        <v/>
      </c>
    </row>
    <row r="287" hidden="1" outlineLevel="1">
      <c r="B287" s="7" t="inlineStr">
        <is>
          <t>Cumulative discounted contribution · month 56</t>
        </is>
      </c>
      <c r="C287" s="5" t="inlineStr">
        <is>
          <t>₹</t>
        </is>
      </c>
      <c r="D287" s="48">
        <f>D286+D227*D167*Seasonality!$E$92</f>
        <v/>
      </c>
      <c r="E287" s="48">
        <f>E286+E227*E167*Seasonality!$E$92</f>
        <v/>
      </c>
      <c r="F287" s="48">
        <f>F286+F227*F167*Seasonality!$E$92</f>
        <v/>
      </c>
    </row>
    <row r="288" hidden="1" outlineLevel="1">
      <c r="B288" s="7" t="inlineStr">
        <is>
          <t>Cumulative discounted contribution · month 57</t>
        </is>
      </c>
      <c r="C288" s="5" t="inlineStr">
        <is>
          <t>₹</t>
        </is>
      </c>
      <c r="D288" s="48">
        <f>D287+D228*D168*Seasonality!$E$93</f>
        <v/>
      </c>
      <c r="E288" s="48">
        <f>E287+E228*E168*Seasonality!$E$93</f>
        <v/>
      </c>
      <c r="F288" s="48">
        <f>F287+F228*F168*Seasonality!$E$93</f>
        <v/>
      </c>
    </row>
    <row r="289" hidden="1" outlineLevel="1">
      <c r="B289" s="7" t="inlineStr">
        <is>
          <t>Cumulative discounted contribution · month 58</t>
        </is>
      </c>
      <c r="C289" s="5" t="inlineStr">
        <is>
          <t>₹</t>
        </is>
      </c>
      <c r="D289" s="48">
        <f>D288+D229*D169*Seasonality!$E$94</f>
        <v/>
      </c>
      <c r="E289" s="48">
        <f>E288+E229*E169*Seasonality!$E$94</f>
        <v/>
      </c>
      <c r="F289" s="48">
        <f>F288+F229*F169*Seasonality!$E$94</f>
        <v/>
      </c>
    </row>
    <row r="290" hidden="1" outlineLevel="1">
      <c r="B290" s="7" t="inlineStr">
        <is>
          <t>Cumulative discounted contribution · month 59</t>
        </is>
      </c>
      <c r="C290" s="5" t="inlineStr">
        <is>
          <t>₹</t>
        </is>
      </c>
      <c r="D290" s="48">
        <f>D289+D230*D170*Seasonality!$E$95</f>
        <v/>
      </c>
      <c r="E290" s="48">
        <f>E289+E230*E170*Seasonality!$E$95</f>
        <v/>
      </c>
      <c r="F290" s="48">
        <f>F289+F230*F170*Seasonality!$E$95</f>
        <v/>
      </c>
    </row>
    <row r="291" hidden="1" outlineLevel="1">
      <c r="B291" s="7" t="inlineStr">
        <is>
          <t>Cumulative discounted contribution · month 60</t>
        </is>
      </c>
      <c r="C291" s="5" t="inlineStr">
        <is>
          <t>₹</t>
        </is>
      </c>
      <c r="D291" s="48">
        <f>D290+D231*D171*Seasonality!$E$96</f>
        <v/>
      </c>
      <c r="E291" s="48">
        <f>E290+E231*E171*Seasonality!$E$96</f>
        <v/>
      </c>
      <c r="F291" s="48">
        <f>F290+F231*F171*Seasonality!$E$96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Scenarios — honest model vs the guide's naive model</t>
        </is>
      </c>
    </row>
    <row r="2">
      <c r="A2" s="2" t="inlineStr">
        <is>
          <t>Bear / Base / Bull are always shown side by side, whatever the Cover selector says. Mid institute = 400 students (the guide's example).</t>
        </is>
      </c>
    </row>
    <row r="4">
      <c r="A4" s="6" t="inlineStr">
        <is>
          <t>Metric (Mid institute)</t>
        </is>
      </c>
      <c r="B4" s="6" t="inlineStr">
        <is>
          <t>Unit</t>
        </is>
      </c>
      <c r="C4" s="6" t="inlineStr">
        <is>
          <t>Guide (naive)</t>
        </is>
      </c>
      <c r="D4" s="6" t="inlineStr">
        <is>
          <t>Bear</t>
        </is>
      </c>
      <c r="E4" s="6" t="inlineStr">
        <is>
          <t>Base</t>
        </is>
      </c>
      <c r="F4" s="6" t="inlineStr">
        <is>
          <t>Bull</t>
        </is>
      </c>
    </row>
    <row r="5">
      <c r="A5" s="7" t="inlineStr">
        <is>
          <t>Effective dropout reduction</t>
        </is>
      </c>
      <c r="B5" s="5" t="inlineStr">
        <is>
          <t>%</t>
        </is>
      </c>
      <c r="C5" s="43">
        <f>Assumptions!$E$86</f>
        <v/>
      </c>
      <c r="D5" s="43">
        <f>Engine!$H$81</f>
        <v/>
      </c>
      <c r="E5" s="43">
        <f>Engine!$K$81</f>
        <v/>
      </c>
      <c r="F5" s="43">
        <f>Engine!$N$81</f>
        <v/>
      </c>
    </row>
    <row r="6">
      <c r="A6" s="7" t="inlineStr">
        <is>
          <t>Dropouts prevented per year</t>
        </is>
      </c>
      <c r="B6" s="5" t="inlineStr">
        <is>
          <t>students</t>
        </is>
      </c>
      <c r="C6" s="56">
        <f>Institute_ROI!$E$65</f>
        <v/>
      </c>
      <c r="D6" s="56">
        <f>Engine!$H$82</f>
        <v/>
      </c>
      <c r="E6" s="56">
        <f>Engine!$K$82</f>
        <v/>
      </c>
      <c r="F6" s="56">
        <f>Engine!$N$82</f>
        <v/>
      </c>
    </row>
    <row r="7">
      <c r="A7" s="7" t="inlineStr">
        <is>
          <t>Fee lost per dropout</t>
        </is>
      </c>
      <c r="B7" s="5" t="inlineStr">
        <is>
          <t>₹</t>
        </is>
      </c>
      <c r="C7" s="42">
        <f>G_RemainingFee</f>
        <v/>
      </c>
      <c r="D7" s="42">
        <f>Engine!$H$77</f>
        <v/>
      </c>
      <c r="E7" s="42">
        <f>Engine!$K$77</f>
        <v/>
      </c>
      <c r="F7" s="42">
        <f>Engine!$N$77</f>
        <v/>
      </c>
    </row>
    <row r="8">
      <c r="A8" s="7" t="inlineStr">
        <is>
          <t>Fees retained per year</t>
        </is>
      </c>
      <c r="B8" s="5" t="inlineStr">
        <is>
          <t>₹/yr</t>
        </is>
      </c>
      <c r="C8" s="42">
        <f>Institute_ROI!$E$66</f>
        <v/>
      </c>
      <c r="D8" s="42">
        <f>Engine!$H$84</f>
        <v/>
      </c>
      <c r="E8" s="42">
        <f>Engine!$K$84</f>
        <v/>
      </c>
      <c r="F8" s="42">
        <f>Engine!$N$84</f>
        <v/>
      </c>
    </row>
    <row r="9">
      <c r="A9" s="7" t="inlineStr">
        <is>
          <t>Total value to institute</t>
        </is>
      </c>
      <c r="B9" s="5" t="inlineStr">
        <is>
          <t>₹/yr</t>
        </is>
      </c>
      <c r="C9" s="42">
        <f>Institute_ROI!$E$66</f>
        <v/>
      </c>
      <c r="D9" s="42">
        <f>Engine!$H$87</f>
        <v/>
      </c>
      <c r="E9" s="42">
        <f>Engine!$K$87</f>
        <v/>
      </c>
      <c r="F9" s="42">
        <f>Engine!$N$87</f>
        <v/>
      </c>
    </row>
    <row r="10">
      <c r="A10" s="7" t="inlineStr">
        <is>
          <t>Total cost to institute (fee + GST + mentor time)</t>
        </is>
      </c>
      <c r="B10" s="5" t="inlineStr">
        <is>
          <t>₹/yr</t>
        </is>
      </c>
      <c r="C10" s="42">
        <f>Institute_ROI!$E$67</f>
        <v/>
      </c>
      <c r="D10" s="42">
        <f>Engine!$H$92</f>
        <v/>
      </c>
      <c r="E10" s="42">
        <f>Engine!$K$92</f>
        <v/>
      </c>
      <c r="F10" s="42">
        <f>Engine!$N$92</f>
        <v/>
      </c>
    </row>
    <row r="11">
      <c r="A11" s="7" t="inlineStr">
        <is>
          <t>Institute ROI</t>
        </is>
      </c>
      <c r="B11" s="5" t="inlineStr">
        <is>
          <t>x</t>
        </is>
      </c>
      <c r="C11" s="59">
        <f>Institute_ROI!$E$68</f>
        <v/>
      </c>
      <c r="D11" s="60">
        <f>Engine!$H$94</f>
        <v/>
      </c>
      <c r="E11" s="60">
        <f>Engine!$K$94</f>
        <v/>
      </c>
      <c r="F11" s="60">
        <f>Engine!$N$94</f>
        <v/>
      </c>
    </row>
    <row r="12">
      <c r="A12" s="7" t="inlineStr">
        <is>
          <t>Fees-only ROI</t>
        </is>
      </c>
      <c r="B12" s="5" t="inlineStr">
        <is>
          <t>x</t>
        </is>
      </c>
      <c r="C12" s="59">
        <f>Institute_ROI!$E$68</f>
        <v/>
      </c>
      <c r="D12" s="59">
        <f>Engine!$H$95</f>
        <v/>
      </c>
      <c r="E12" s="59">
        <f>Engine!$K$95</f>
        <v/>
      </c>
      <c r="F12" s="59">
        <f>Engine!$N$95</f>
        <v/>
      </c>
    </row>
    <row r="13">
      <c r="A13" s="7" t="inlineStr">
        <is>
          <t>Break-even students saved per year</t>
        </is>
      </c>
      <c r="B13" s="5" t="inlineStr">
        <is>
          <t>students</t>
        </is>
      </c>
      <c r="C13" s="56">
        <f>Institute_ROI!$E$69</f>
        <v/>
      </c>
      <c r="D13" s="61">
        <f>Engine!$H$96</f>
        <v/>
      </c>
      <c r="E13" s="61">
        <f>Engine!$K$96</f>
        <v/>
      </c>
      <c r="F13" s="61">
        <f>Engine!$N$96</f>
        <v/>
      </c>
    </row>
    <row r="14">
      <c r="A14" s="7" t="inlineStr">
        <is>
          <t>Avg monthly revenue per institute</t>
        </is>
      </c>
      <c r="B14" s="5" t="inlineStr">
        <is>
          <t>₹/month</t>
        </is>
      </c>
      <c r="C14" s="42">
        <f>Unit_Econ!$I$5</f>
        <v/>
      </c>
      <c r="D14" s="42">
        <f>Engine!$H$103</f>
        <v/>
      </c>
      <c r="E14" s="42">
        <f>Engine!$K$103</f>
        <v/>
      </c>
      <c r="F14" s="42">
        <f>Engine!$N$103</f>
        <v/>
      </c>
    </row>
    <row r="15">
      <c r="A15" s="7" t="inlineStr">
        <is>
          <t>Avg monthly contribution</t>
        </is>
      </c>
      <c r="B15" s="5" t="inlineStr">
        <is>
          <t>₹/month</t>
        </is>
      </c>
      <c r="C15" s="42">
        <f>Unit_Econ!$I$6</f>
        <v/>
      </c>
      <c r="D15" s="42">
        <f>Engine!$H$107</f>
        <v/>
      </c>
      <c r="E15" s="42">
        <f>Engine!$K$107</f>
        <v/>
      </c>
      <c r="F15" s="42">
        <f>Engine!$N$107</f>
        <v/>
      </c>
    </row>
    <row r="16">
      <c r="A16" s="7" t="inlineStr">
        <is>
          <t>Fully loaded acquisition cost</t>
        </is>
      </c>
      <c r="B16" s="5" t="inlineStr">
        <is>
          <t>₹</t>
        </is>
      </c>
      <c r="C16" s="42">
        <f>Unit_Econ!$I$7</f>
        <v/>
      </c>
      <c r="D16" s="42">
        <f>Engine!$H$113</f>
        <v/>
      </c>
      <c r="E16" s="42">
        <f>Engine!$K$113</f>
        <v/>
      </c>
      <c r="F16" s="42">
        <f>Engine!$N$113</f>
        <v/>
      </c>
    </row>
    <row r="17">
      <c r="A17" s="7" t="inlineStr">
        <is>
          <t>Annual logo retention</t>
        </is>
      </c>
      <c r="B17" s="5" t="inlineStr">
        <is>
          <t>%</t>
        </is>
      </c>
      <c r="C17" s="43">
        <f>(1-G_Churn)^12</f>
        <v/>
      </c>
      <c r="D17" s="43">
        <f>Engine!$H$116</f>
        <v/>
      </c>
      <c r="E17" s="43">
        <f>Engine!$K$116</f>
        <v/>
      </c>
      <c r="F17" s="43">
        <f>Engine!$N$116</f>
        <v/>
      </c>
    </row>
    <row r="18">
      <c r="A18" s="7" t="inlineStr">
        <is>
          <t>LTV</t>
        </is>
      </c>
      <c r="B18" s="5" t="inlineStr">
        <is>
          <t>₹</t>
        </is>
      </c>
      <c r="C18" s="42">
        <f>Unit_Econ!$I$9</f>
        <v/>
      </c>
      <c r="D18" s="42">
        <f>Engine!$H$118</f>
        <v/>
      </c>
      <c r="E18" s="42">
        <f>Engine!$K$118</f>
        <v/>
      </c>
      <c r="F18" s="42">
        <f>Engine!$N$118</f>
        <v/>
      </c>
    </row>
    <row r="19">
      <c r="A19" s="7" t="inlineStr">
        <is>
          <t>LTV ÷ acquisition cost</t>
        </is>
      </c>
      <c r="B19" s="5" t="inlineStr">
        <is>
          <t>x</t>
        </is>
      </c>
      <c r="C19" s="59">
        <f>Unit_Econ!$I$10</f>
        <v/>
      </c>
      <c r="D19" s="60">
        <f>Engine!$H$119</f>
        <v/>
      </c>
      <c r="E19" s="60">
        <f>Engine!$K$119</f>
        <v/>
      </c>
      <c r="F19" s="60">
        <f>Engine!$N$119</f>
        <v/>
      </c>
    </row>
    <row r="20">
      <c r="A20" s="7" t="inlineStr">
        <is>
          <t>Payback</t>
        </is>
      </c>
      <c r="B20" s="5" t="inlineStr">
        <is>
          <t>months</t>
        </is>
      </c>
      <c r="C20" s="56">
        <f>Unit_Econ!$I$8</f>
        <v/>
      </c>
      <c r="D20" s="56">
        <f>Engine!$H$120</f>
        <v/>
      </c>
      <c r="E20" s="56">
        <f>Engine!$K$120</f>
        <v/>
      </c>
      <c r="F20" s="56">
        <f>Engine!$N$120</f>
        <v/>
      </c>
    </row>
    <row r="23">
      <c r="A23" s="34" t="inlineStr">
        <is>
          <t>By segment</t>
        </is>
      </c>
    </row>
    <row r="24">
      <c r="A24" s="6" t="inlineStr">
        <is>
          <t>Institute ROI</t>
        </is>
      </c>
      <c r="B24" s="6" t="inlineStr"/>
      <c r="C24" s="6" t="inlineStr"/>
      <c r="D24" s="6" t="inlineStr">
        <is>
          <t>Bear</t>
        </is>
      </c>
      <c r="E24" s="6" t="inlineStr">
        <is>
          <t>Base</t>
        </is>
      </c>
      <c r="F24" s="6" t="inlineStr">
        <is>
          <t>Bull</t>
        </is>
      </c>
    </row>
    <row r="25">
      <c r="A25" s="7" t="inlineStr">
        <is>
          <t>Small (&lt;250)</t>
        </is>
      </c>
      <c r="D25" s="59">
        <f>Engine!$G$94</f>
        <v/>
      </c>
      <c r="E25" s="59">
        <f>Engine!$J$94</f>
        <v/>
      </c>
      <c r="F25" s="59">
        <f>Engine!$M$94</f>
        <v/>
      </c>
    </row>
    <row r="26">
      <c r="A26" s="7" t="inlineStr">
        <is>
          <t>Mid (250-800)</t>
        </is>
      </c>
      <c r="D26" s="59">
        <f>Engine!$H$94</f>
        <v/>
      </c>
      <c r="E26" s="59">
        <f>Engine!$K$94</f>
        <v/>
      </c>
      <c r="F26" s="59">
        <f>Engine!$N$94</f>
        <v/>
      </c>
    </row>
    <row r="27">
      <c r="A27" s="7" t="inlineStr">
        <is>
          <t>Large (&gt;800)</t>
        </is>
      </c>
      <c r="D27" s="59">
        <f>Engine!$I$94</f>
        <v/>
      </c>
      <c r="E27" s="59">
        <f>Engine!$L$94</f>
        <v/>
      </c>
      <c r="F27" s="59">
        <f>Engine!$O$94</f>
        <v/>
      </c>
    </row>
    <row r="30">
      <c r="A30" s="6" t="inlineStr">
        <is>
          <t>LTV ÷ acquisition cost</t>
        </is>
      </c>
      <c r="B30" s="6" t="inlineStr"/>
      <c r="C30" s="6" t="inlineStr"/>
      <c r="D30" s="6" t="inlineStr">
        <is>
          <t>Bear</t>
        </is>
      </c>
      <c r="E30" s="6" t="inlineStr">
        <is>
          <t>Base</t>
        </is>
      </c>
      <c r="F30" s="6" t="inlineStr">
        <is>
          <t>Bull</t>
        </is>
      </c>
    </row>
    <row r="31">
      <c r="A31" s="7" t="inlineStr">
        <is>
          <t>Small (&lt;250)</t>
        </is>
      </c>
      <c r="D31" s="59">
        <f>Engine!$G$119</f>
        <v/>
      </c>
      <c r="E31" s="59">
        <f>Engine!$J$119</f>
        <v/>
      </c>
      <c r="F31" s="59">
        <f>Engine!$M$119</f>
        <v/>
      </c>
    </row>
    <row r="32">
      <c r="A32" s="7" t="inlineStr">
        <is>
          <t>Mid (250-800)</t>
        </is>
      </c>
      <c r="D32" s="59">
        <f>Engine!$H$119</f>
        <v/>
      </c>
      <c r="E32" s="59">
        <f>Engine!$K$119</f>
        <v/>
      </c>
      <c r="F32" s="59">
        <f>Engine!$N$119</f>
        <v/>
      </c>
    </row>
    <row r="33">
      <c r="A33" s="7" t="inlineStr">
        <is>
          <t>Large (&gt;800)</t>
        </is>
      </c>
      <c r="D33" s="59">
        <f>Engine!$I$119</f>
        <v/>
      </c>
      <c r="E33" s="59">
        <f>Engine!$L$119</f>
        <v/>
      </c>
      <c r="F33" s="59">
        <f>Engine!$O$119</f>
        <v/>
      </c>
    </row>
    <row r="36">
      <c r="A36" s="6" t="inlineStr">
        <is>
          <t>Payback (months)</t>
        </is>
      </c>
      <c r="B36" s="6" t="inlineStr"/>
      <c r="C36" s="6" t="inlineStr"/>
      <c r="D36" s="6" t="inlineStr">
        <is>
          <t>Bear</t>
        </is>
      </c>
      <c r="E36" s="6" t="inlineStr">
        <is>
          <t>Base</t>
        </is>
      </c>
      <c r="F36" s="6" t="inlineStr">
        <is>
          <t>Bull</t>
        </is>
      </c>
    </row>
    <row r="37">
      <c r="A37" s="7" t="inlineStr">
        <is>
          <t>Small (&lt;250)</t>
        </is>
      </c>
      <c r="D37" s="56">
        <f>Engine!$G$120</f>
        <v/>
      </c>
      <c r="E37" s="56">
        <f>Engine!$J$120</f>
        <v/>
      </c>
      <c r="F37" s="56">
        <f>Engine!$M$120</f>
        <v/>
      </c>
    </row>
    <row r="38">
      <c r="A38" s="7" t="inlineStr">
        <is>
          <t>Mid (250-800)</t>
        </is>
      </c>
      <c r="D38" s="56">
        <f>Engine!$H$120</f>
        <v/>
      </c>
      <c r="E38" s="56">
        <f>Engine!$K$120</f>
        <v/>
      </c>
      <c r="F38" s="56">
        <f>Engine!$N$120</f>
        <v/>
      </c>
    </row>
    <row r="39">
      <c r="A39" s="7" t="inlineStr">
        <is>
          <t>Large (&gt;800)</t>
        </is>
      </c>
      <c r="D39" s="56">
        <f>Engine!$I$120</f>
        <v/>
      </c>
      <c r="E39" s="56">
        <f>Engine!$L$120</f>
        <v/>
      </c>
      <c r="F39" s="56">
        <f>Engine!$O$120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Sensitivity — what actually moves the answer</t>
        </is>
      </c>
    </row>
    <row r="2">
      <c r="A2" s="2" t="inlineStr">
        <is>
          <t>Tornado: one input at a time moved to its Bear / Bull value, all else Base (Mid institute). Grids follow the live scenario.</t>
        </is>
      </c>
    </row>
    <row r="4">
      <c r="A4" s="6" t="inlineStr">
        <is>
          <t>Input</t>
        </is>
      </c>
      <c r="B4" s="6" t="inlineStr">
        <is>
          <t>Bear value</t>
        </is>
      </c>
      <c r="C4" s="6" t="inlineStr">
        <is>
          <t>Bull value</t>
        </is>
      </c>
      <c r="D4" s="6" t="inlineStr">
        <is>
          <t>ROI @ Bear</t>
        </is>
      </c>
      <c r="E4" s="6" t="inlineStr">
        <is>
          <t>ROI @ Bull</t>
        </is>
      </c>
      <c r="F4" s="6" t="inlineStr">
        <is>
          <t>ROI swing</t>
        </is>
      </c>
      <c r="G4" s="6" t="inlineStr">
        <is>
          <t>LTV/CAC @ Bear</t>
        </is>
      </c>
      <c r="H4" s="6" t="inlineStr">
        <is>
          <t>LTV/CAC @ Bull</t>
        </is>
      </c>
      <c r="I4" s="6" t="inlineStr">
        <is>
          <t>LTV/CAC swing</t>
        </is>
      </c>
    </row>
    <row r="5">
      <c r="A5" s="3" t="inlineStr">
        <is>
          <t>BASE (all inputs Base)</t>
        </is>
      </c>
      <c r="D5" s="59">
        <f>Engine!$K$94</f>
        <v/>
      </c>
      <c r="E5" s="59">
        <f>Engine!$K$94</f>
        <v/>
      </c>
      <c r="G5" s="59">
        <f>Engine!$K$119</f>
        <v/>
      </c>
      <c r="H5" s="59">
        <f>Engine!$K$119</f>
        <v/>
      </c>
    </row>
    <row r="6">
      <c r="A6" s="7" t="inlineStr">
        <is>
          <t>List price per active student per month</t>
        </is>
      </c>
      <c r="B6" s="42">
        <f>Assumptions!$D$38</f>
        <v/>
      </c>
      <c r="C6" s="42">
        <f>Assumptions!$F$38</f>
        <v/>
      </c>
      <c r="D6" s="59">
        <f>Engine!$P$94</f>
        <v/>
      </c>
      <c r="E6" s="59">
        <f>Engine!$Q$94</f>
        <v/>
      </c>
      <c r="F6" s="47">
        <f>ABS(E6-D6)</f>
        <v/>
      </c>
      <c r="G6" s="59">
        <f>Engine!$P$119</f>
        <v/>
      </c>
      <c r="H6" s="59">
        <f>Engine!$Q$119</f>
        <v/>
      </c>
      <c r="I6" s="47">
        <f>ABS(H6-G6)</f>
        <v/>
      </c>
    </row>
    <row r="7">
      <c r="A7" s="7" t="inlineStr">
        <is>
          <t>Annual fee per student - Mid</t>
        </is>
      </c>
      <c r="B7" s="42">
        <f>Assumptions!$D$10</f>
        <v/>
      </c>
      <c r="C7" s="42">
        <f>Assumptions!$F$10</f>
        <v/>
      </c>
      <c r="D7" s="59">
        <f>Engine!$R$94</f>
        <v/>
      </c>
      <c r="E7" s="59">
        <f>Engine!$S$94</f>
        <v/>
      </c>
      <c r="F7" s="47">
        <f>ABS(E7-D7)</f>
        <v/>
      </c>
      <c r="G7" s="59">
        <f>Engine!$R$119</f>
        <v/>
      </c>
      <c r="H7" s="59">
        <f>Engine!$S$119</f>
        <v/>
      </c>
      <c r="I7" s="47">
        <f>ABS(H7-G7)</f>
        <v/>
      </c>
    </row>
    <row r="8">
      <c r="A8" s="7" t="inlineStr">
        <is>
          <t>Mid-session dropout/default rate</t>
        </is>
      </c>
      <c r="B8" s="43">
        <f>Assumptions!$D$16</f>
        <v/>
      </c>
      <c r="C8" s="43">
        <f>Assumptions!$F$16</f>
        <v/>
      </c>
      <c r="D8" s="59">
        <f>Engine!$T$94</f>
        <v/>
      </c>
      <c r="E8" s="59">
        <f>Engine!$U$94</f>
        <v/>
      </c>
      <c r="F8" s="47">
        <f>ABS(E8-D8)</f>
        <v/>
      </c>
      <c r="G8" s="59">
        <f>Engine!$T$119</f>
        <v/>
      </c>
      <c r="H8" s="59">
        <f>Engine!$U$119</f>
        <v/>
      </c>
      <c r="I8" s="47">
        <f>ABS(H8-G8)</f>
        <v/>
      </c>
    </row>
    <row r="9">
      <c r="A9" s="7" t="inlineStr">
        <is>
          <t>Share of students paying full fee upfront</t>
        </is>
      </c>
      <c r="B9" s="43">
        <f>Assumptions!$D$17</f>
        <v/>
      </c>
      <c r="C9" s="43">
        <f>Assumptions!$F$17</f>
        <v/>
      </c>
      <c r="D9" s="59">
        <f>Engine!$V$94</f>
        <v/>
      </c>
      <c r="E9" s="59">
        <f>Engine!$W$94</f>
        <v/>
      </c>
      <c r="F9" s="47">
        <f>ABS(E9-D9)</f>
        <v/>
      </c>
      <c r="G9" s="59">
        <f>Engine!$V$119</f>
        <v/>
      </c>
      <c r="H9" s="59">
        <f>Engine!$W$119</f>
        <v/>
      </c>
      <c r="I9" s="47">
        <f>ABS(H9-G9)</f>
        <v/>
      </c>
    </row>
    <row r="10">
      <c r="A10" s="7" t="inlineStr">
        <is>
          <t>Instalments per year for non-upfront payers</t>
        </is>
      </c>
      <c r="B10" s="49">
        <f>Assumptions!$D$18</f>
        <v/>
      </c>
      <c r="C10" s="49">
        <f>Assumptions!$F$18</f>
        <v/>
      </c>
      <c r="D10" s="59">
        <f>Engine!$X$94</f>
        <v/>
      </c>
      <c r="E10" s="59">
        <f>Engine!$Y$94</f>
        <v/>
      </c>
      <c r="F10" s="47">
        <f>ABS(E10-D10)</f>
        <v/>
      </c>
      <c r="G10" s="59">
        <f>Engine!$X$119</f>
        <v/>
      </c>
      <c r="H10" s="59">
        <f>Engine!$Y$119</f>
        <v/>
      </c>
      <c r="I10" s="47">
        <f>ABS(H10-G10)</f>
        <v/>
      </c>
    </row>
    <row r="11">
      <c r="A11" s="7" t="inlineStr">
        <is>
          <t>Dropout reduction among flagged students given outreach (RCT)</t>
        </is>
      </c>
      <c r="B11" s="43">
        <f>Assumptions!$D$28</f>
        <v/>
      </c>
      <c r="C11" s="43">
        <f>Assumptions!$F$28</f>
        <v/>
      </c>
      <c r="D11" s="59">
        <f>Engine!$Z$94</f>
        <v/>
      </c>
      <c r="E11" s="59">
        <f>Engine!$AA$94</f>
        <v/>
      </c>
      <c r="F11" s="47">
        <f>ABS(E11-D11)</f>
        <v/>
      </c>
      <c r="G11" s="59">
        <f>Engine!$Z$119</f>
        <v/>
      </c>
      <c r="H11" s="59">
        <f>Engine!$AA$119</f>
        <v/>
      </c>
      <c r="I11" s="47">
        <f>ABS(H11-G11)</f>
        <v/>
      </c>
    </row>
    <row r="12">
      <c r="A12" s="7" t="inlineStr">
        <is>
          <t>Model recall on minors (academic-support + rules)</t>
        </is>
      </c>
      <c r="B12" s="43">
        <f>Assumptions!$D$24</f>
        <v/>
      </c>
      <c r="C12" s="43">
        <f>Assumptions!$F$24</f>
        <v/>
      </c>
      <c r="D12" s="59">
        <f>Engine!$AB$94</f>
        <v/>
      </c>
      <c r="E12" s="59">
        <f>Engine!$AC$94</f>
        <v/>
      </c>
      <c r="F12" s="47">
        <f>ABS(E12-D12)</f>
        <v/>
      </c>
      <c r="G12" s="59">
        <f>Engine!$AB$119</f>
        <v/>
      </c>
      <c r="H12" s="59">
        <f>Engine!$AC$119</f>
        <v/>
      </c>
      <c r="I12" s="47">
        <f>ABS(H12-G12)</f>
        <v/>
      </c>
    </row>
    <row r="13">
      <c r="A13" s="7" t="inlineStr">
        <is>
          <t>Months before the model can flag (no test data yet)</t>
        </is>
      </c>
      <c r="B13" s="49">
        <f>Assumptions!$D$21</f>
        <v/>
      </c>
      <c r="C13" s="49">
        <f>Assumptions!$F$21</f>
        <v/>
      </c>
      <c r="D13" s="59">
        <f>Engine!$AD$94</f>
        <v/>
      </c>
      <c r="E13" s="59">
        <f>Engine!$AE$94</f>
        <v/>
      </c>
      <c r="F13" s="47">
        <f>ABS(E13-D13)</f>
        <v/>
      </c>
      <c r="G13" s="59">
        <f>Engine!$AD$119</f>
        <v/>
      </c>
      <c r="H13" s="59">
        <f>Engine!$AE$119</f>
        <v/>
      </c>
      <c r="I13" s="47">
        <f>ABS(H13-G13)</f>
        <v/>
      </c>
    </row>
    <row r="14">
      <c r="A14" s="7" t="inlineStr">
        <is>
          <t>Admissions uplift next session from results/parent trust</t>
        </is>
      </c>
      <c r="B14" s="43">
        <f>Assumptions!$D$29</f>
        <v/>
      </c>
      <c r="C14" s="43">
        <f>Assumptions!$F$29</f>
        <v/>
      </c>
      <c r="D14" s="59">
        <f>Engine!$AF$94</f>
        <v/>
      </c>
      <c r="E14" s="59">
        <f>Engine!$AG$94</f>
        <v/>
      </c>
      <c r="F14" s="47">
        <f>ABS(E14-D14)</f>
        <v/>
      </c>
      <c r="G14" s="59">
        <f>Engine!$AF$119</f>
        <v/>
      </c>
      <c r="H14" s="59">
        <f>Engine!$AG$119</f>
        <v/>
      </c>
      <c r="I14" s="47">
        <f>ABS(H14-G14)</f>
        <v/>
      </c>
    </row>
    <row r="15">
      <c r="A15" s="7" t="inlineStr">
        <is>
          <t>Share of institutes that reclaim our GST as input credit</t>
        </is>
      </c>
      <c r="B15" s="43">
        <f>Assumptions!$D$36</f>
        <v/>
      </c>
      <c r="C15" s="43">
        <f>Assumptions!$F$36</f>
        <v/>
      </c>
      <c r="D15" s="59">
        <f>Engine!$AH$94</f>
        <v/>
      </c>
      <c r="E15" s="59">
        <f>Engine!$AI$94</f>
        <v/>
      </c>
      <c r="F15" s="47">
        <f>ABS(E15-D15)</f>
        <v/>
      </c>
      <c r="G15" s="59">
        <f>Engine!$AH$119</f>
        <v/>
      </c>
      <c r="H15" s="59">
        <f>Engine!$AI$119</f>
        <v/>
      </c>
      <c r="I15" s="47">
        <f>ABS(H15-G15)</f>
        <v/>
      </c>
    </row>
    <row r="16">
      <c r="A16" s="7" t="inlineStr">
        <is>
          <t>Monthly logo churn for monthly payers</t>
        </is>
      </c>
      <c r="B16" s="43">
        <f>Assumptions!$D$72</f>
        <v/>
      </c>
      <c r="C16" s="43">
        <f>Assumptions!$F$72</f>
        <v/>
      </c>
      <c r="D16" s="59">
        <f>Engine!$AJ$94</f>
        <v/>
      </c>
      <c r="E16" s="59">
        <f>Engine!$AK$94</f>
        <v/>
      </c>
      <c r="F16" s="47">
        <f>ABS(E16-D16)</f>
        <v/>
      </c>
      <c r="G16" s="59">
        <f>Engine!$AJ$119</f>
        <v/>
      </c>
      <c r="H16" s="59">
        <f>Engine!$AK$119</f>
        <v/>
      </c>
      <c r="I16" s="47">
        <f>ABS(H16-G16)</f>
        <v/>
      </c>
    </row>
    <row r="17">
      <c r="A17" s="7" t="inlineStr">
        <is>
          <t>Non-renewal at session end (annual)</t>
        </is>
      </c>
      <c r="B17" s="43">
        <f>Assumptions!$D$73</f>
        <v/>
      </c>
      <c r="C17" s="43">
        <f>Assumptions!$F$73</f>
        <v/>
      </c>
      <c r="D17" s="59">
        <f>Engine!$AL$94</f>
        <v/>
      </c>
      <c r="E17" s="59">
        <f>Engine!$AM$94</f>
        <v/>
      </c>
      <c r="F17" s="47">
        <f>ABS(E17-D17)</f>
        <v/>
      </c>
      <c r="G17" s="59">
        <f>Engine!$AL$119</f>
        <v/>
      </c>
      <c r="H17" s="59">
        <f>Engine!$AM$119</f>
        <v/>
      </c>
      <c r="I17" s="47">
        <f>ABS(H17-G17)</f>
        <v/>
      </c>
    </row>
    <row r="18">
      <c r="A18" s="7" t="inlineStr">
        <is>
          <t>Pilot-to-paid conversion</t>
        </is>
      </c>
      <c r="B18" s="43">
        <f>Assumptions!$D$67</f>
        <v/>
      </c>
      <c r="C18" s="43">
        <f>Assumptions!$F$67</f>
        <v/>
      </c>
      <c r="D18" s="59">
        <f>Engine!$AN$94</f>
        <v/>
      </c>
      <c r="E18" s="59">
        <f>Engine!$AO$94</f>
        <v/>
      </c>
      <c r="F18" s="47">
        <f>ABS(E18-D18)</f>
        <v/>
      </c>
      <c r="G18" s="59">
        <f>Engine!$AN$119</f>
        <v/>
      </c>
      <c r="H18" s="59">
        <f>Engine!$AO$119</f>
        <v/>
      </c>
      <c r="I18" s="47">
        <f>ABS(H18-G18)</f>
        <v/>
      </c>
    </row>
    <row r="19">
      <c r="A19" s="7" t="inlineStr">
        <is>
          <t>Pilots started per rep per month (yearly avg)</t>
        </is>
      </c>
      <c r="B19" s="56">
        <f>Assumptions!$D$66</f>
        <v/>
      </c>
      <c r="C19" s="56">
        <f>Assumptions!$F$66</f>
        <v/>
      </c>
      <c r="D19" s="59">
        <f>Engine!$AP$94</f>
        <v/>
      </c>
      <c r="E19" s="59">
        <f>Engine!$AQ$94</f>
        <v/>
      </c>
      <c r="F19" s="47">
        <f>ABS(E19-D19)</f>
        <v/>
      </c>
      <c r="G19" s="59">
        <f>Engine!$AP$119</f>
        <v/>
      </c>
      <c r="H19" s="59">
        <f>Engine!$AQ$119</f>
        <v/>
      </c>
      <c r="I19" s="47">
        <f>ABS(H19-G19)</f>
        <v/>
      </c>
    </row>
    <row r="22">
      <c r="A22" s="34" t="inlineStr">
        <is>
          <t>Grid 1 — Institute ROI (Mid, live scenario): list price × effective dropout reduction</t>
        </is>
      </c>
    </row>
    <row r="23">
      <c r="A23" s="5" t="inlineStr">
        <is>
          <t>Rows: effective reduction · Columns: list price ₹/student/month (blue = grid points)</t>
        </is>
      </c>
    </row>
    <row r="24">
      <c r="B24" s="62" t="n">
        <v>20</v>
      </c>
      <c r="C24" s="62" t="n">
        <v>30</v>
      </c>
      <c r="D24" s="62" t="n">
        <v>40</v>
      </c>
      <c r="E24" s="62" t="n">
        <v>50</v>
      </c>
      <c r="F24" s="62" t="n">
        <v>60</v>
      </c>
      <c r="G24" s="62" t="n">
        <v>80</v>
      </c>
    </row>
    <row r="25">
      <c r="A25" s="63" t="n">
        <v>0.05</v>
      </c>
      <c r="B25" s="47">
        <f>(Institute_ROI!$E$31*Institute_ROI!$E$39*$A25+Institute_ROI!$E$42+Institute_ROI!$E$43)/(SUMPRODUCT((Institute_ROI!$E$6*Season_Idx*B$24&gt;Institute_ROI!$E$26)*(Institute_ROI!$E$6*Season_Idx*B$24)+(Institute_ROI!$E$6*Season_Idx*B$24&lt;=Institute_ROI!$E$26)*Institute_ROI!$E$26)*(1-Institute_ROI!$E$29)*(1+GST*(1-ITCShare))+Institute_ROI!$E$49)</f>
        <v/>
      </c>
      <c r="C25" s="47">
        <f>(Institute_ROI!$E$31*Institute_ROI!$E$39*$A25+Institute_ROI!$E$42+Institute_ROI!$E$43)/(SUMPRODUCT((Institute_ROI!$E$6*Season_Idx*C$24&gt;Institute_ROI!$E$26)*(Institute_ROI!$E$6*Season_Idx*C$24)+(Institute_ROI!$E$6*Season_Idx*C$24&lt;=Institute_ROI!$E$26)*Institute_ROI!$E$26)*(1-Institute_ROI!$E$29)*(1+GST*(1-ITCShare))+Institute_ROI!$E$49)</f>
        <v/>
      </c>
      <c r="D25" s="47">
        <f>(Institute_ROI!$E$31*Institute_ROI!$E$39*$A25+Institute_ROI!$E$42+Institute_ROI!$E$43)/(SUMPRODUCT((Institute_ROI!$E$6*Season_Idx*D$24&gt;Institute_ROI!$E$26)*(Institute_ROI!$E$6*Season_Idx*D$24)+(Institute_ROI!$E$6*Season_Idx*D$24&lt;=Institute_ROI!$E$26)*Institute_ROI!$E$26)*(1-Institute_ROI!$E$29)*(1+GST*(1-ITCShare))+Institute_ROI!$E$49)</f>
        <v/>
      </c>
      <c r="E25" s="47">
        <f>(Institute_ROI!$E$31*Institute_ROI!$E$39*$A25+Institute_ROI!$E$42+Institute_ROI!$E$43)/(SUMPRODUCT((Institute_ROI!$E$6*Season_Idx*E$24&gt;Institute_ROI!$E$26)*(Institute_ROI!$E$6*Season_Idx*E$24)+(Institute_ROI!$E$6*Season_Idx*E$24&lt;=Institute_ROI!$E$26)*Institute_ROI!$E$26)*(1-Institute_ROI!$E$29)*(1+GST*(1-ITCShare))+Institute_ROI!$E$49)</f>
        <v/>
      </c>
      <c r="F25" s="47">
        <f>(Institute_ROI!$E$31*Institute_ROI!$E$39*$A25+Institute_ROI!$E$42+Institute_ROI!$E$43)/(SUMPRODUCT((Institute_ROI!$E$6*Season_Idx*F$24&gt;Institute_ROI!$E$26)*(Institute_ROI!$E$6*Season_Idx*F$24)+(Institute_ROI!$E$6*Season_Idx*F$24&lt;=Institute_ROI!$E$26)*Institute_ROI!$E$26)*(1-Institute_ROI!$E$29)*(1+GST*(1-ITCShare))+Institute_ROI!$E$49)</f>
        <v/>
      </c>
      <c r="G25" s="47">
        <f>(Institute_ROI!$E$31*Institute_ROI!$E$39*$A25+Institute_ROI!$E$42+Institute_ROI!$E$43)/(SUMPRODUCT((Institute_ROI!$E$6*Season_Idx*G$24&gt;Institute_ROI!$E$26)*(Institute_ROI!$E$6*Season_Idx*G$24)+(Institute_ROI!$E$6*Season_Idx*G$24&lt;=Institute_ROI!$E$26)*Institute_ROI!$E$26)*(1-Institute_ROI!$E$29)*(1+GST*(1-ITCShare))+Institute_ROI!$E$49)</f>
        <v/>
      </c>
    </row>
    <row r="26">
      <c r="A26" s="63" t="n">
        <v>0.08</v>
      </c>
      <c r="B26" s="47">
        <f>(Institute_ROI!$E$31*Institute_ROI!$E$39*$A26+Institute_ROI!$E$42+Institute_ROI!$E$43)/(SUMPRODUCT((Institute_ROI!$E$6*Season_Idx*B$24&gt;Institute_ROI!$E$26)*(Institute_ROI!$E$6*Season_Idx*B$24)+(Institute_ROI!$E$6*Season_Idx*B$24&lt;=Institute_ROI!$E$26)*Institute_ROI!$E$26)*(1-Institute_ROI!$E$29)*(1+GST*(1-ITCShare))+Institute_ROI!$E$49)</f>
        <v/>
      </c>
      <c r="C26" s="47">
        <f>(Institute_ROI!$E$31*Institute_ROI!$E$39*$A26+Institute_ROI!$E$42+Institute_ROI!$E$43)/(SUMPRODUCT((Institute_ROI!$E$6*Season_Idx*C$24&gt;Institute_ROI!$E$26)*(Institute_ROI!$E$6*Season_Idx*C$24)+(Institute_ROI!$E$6*Season_Idx*C$24&lt;=Institute_ROI!$E$26)*Institute_ROI!$E$26)*(1-Institute_ROI!$E$29)*(1+GST*(1-ITCShare))+Institute_ROI!$E$49)</f>
        <v/>
      </c>
      <c r="D26" s="47">
        <f>(Institute_ROI!$E$31*Institute_ROI!$E$39*$A26+Institute_ROI!$E$42+Institute_ROI!$E$43)/(SUMPRODUCT((Institute_ROI!$E$6*Season_Idx*D$24&gt;Institute_ROI!$E$26)*(Institute_ROI!$E$6*Season_Idx*D$24)+(Institute_ROI!$E$6*Season_Idx*D$24&lt;=Institute_ROI!$E$26)*Institute_ROI!$E$26)*(1-Institute_ROI!$E$29)*(1+GST*(1-ITCShare))+Institute_ROI!$E$49)</f>
        <v/>
      </c>
      <c r="E26" s="47">
        <f>(Institute_ROI!$E$31*Institute_ROI!$E$39*$A26+Institute_ROI!$E$42+Institute_ROI!$E$43)/(SUMPRODUCT((Institute_ROI!$E$6*Season_Idx*E$24&gt;Institute_ROI!$E$26)*(Institute_ROI!$E$6*Season_Idx*E$24)+(Institute_ROI!$E$6*Season_Idx*E$24&lt;=Institute_ROI!$E$26)*Institute_ROI!$E$26)*(1-Institute_ROI!$E$29)*(1+GST*(1-ITCShare))+Institute_ROI!$E$49)</f>
        <v/>
      </c>
      <c r="F26" s="47">
        <f>(Institute_ROI!$E$31*Institute_ROI!$E$39*$A26+Institute_ROI!$E$42+Institute_ROI!$E$43)/(SUMPRODUCT((Institute_ROI!$E$6*Season_Idx*F$24&gt;Institute_ROI!$E$26)*(Institute_ROI!$E$6*Season_Idx*F$24)+(Institute_ROI!$E$6*Season_Idx*F$24&lt;=Institute_ROI!$E$26)*Institute_ROI!$E$26)*(1-Institute_ROI!$E$29)*(1+GST*(1-ITCShare))+Institute_ROI!$E$49)</f>
        <v/>
      </c>
      <c r="G26" s="47">
        <f>(Institute_ROI!$E$31*Institute_ROI!$E$39*$A26+Institute_ROI!$E$42+Institute_ROI!$E$43)/(SUMPRODUCT((Institute_ROI!$E$6*Season_Idx*G$24&gt;Institute_ROI!$E$26)*(Institute_ROI!$E$6*Season_Idx*G$24)+(Institute_ROI!$E$6*Season_Idx*G$24&lt;=Institute_ROI!$E$26)*Institute_ROI!$E$26)*(1-Institute_ROI!$E$29)*(1+GST*(1-ITCShare))+Institute_ROI!$E$49)</f>
        <v/>
      </c>
    </row>
    <row r="27">
      <c r="A27" s="63" t="n">
        <v>0.11</v>
      </c>
      <c r="B27" s="47">
        <f>(Institute_ROI!$E$31*Institute_ROI!$E$39*$A27+Institute_ROI!$E$42+Institute_ROI!$E$43)/(SUMPRODUCT((Institute_ROI!$E$6*Season_Idx*B$24&gt;Institute_ROI!$E$26)*(Institute_ROI!$E$6*Season_Idx*B$24)+(Institute_ROI!$E$6*Season_Idx*B$24&lt;=Institute_ROI!$E$26)*Institute_ROI!$E$26)*(1-Institute_ROI!$E$29)*(1+GST*(1-ITCShare))+Institute_ROI!$E$49)</f>
        <v/>
      </c>
      <c r="C27" s="47">
        <f>(Institute_ROI!$E$31*Institute_ROI!$E$39*$A27+Institute_ROI!$E$42+Institute_ROI!$E$43)/(SUMPRODUCT((Institute_ROI!$E$6*Season_Idx*C$24&gt;Institute_ROI!$E$26)*(Institute_ROI!$E$6*Season_Idx*C$24)+(Institute_ROI!$E$6*Season_Idx*C$24&lt;=Institute_ROI!$E$26)*Institute_ROI!$E$26)*(1-Institute_ROI!$E$29)*(1+GST*(1-ITCShare))+Institute_ROI!$E$49)</f>
        <v/>
      </c>
      <c r="D27" s="47">
        <f>(Institute_ROI!$E$31*Institute_ROI!$E$39*$A27+Institute_ROI!$E$42+Institute_ROI!$E$43)/(SUMPRODUCT((Institute_ROI!$E$6*Season_Idx*D$24&gt;Institute_ROI!$E$26)*(Institute_ROI!$E$6*Season_Idx*D$24)+(Institute_ROI!$E$6*Season_Idx*D$24&lt;=Institute_ROI!$E$26)*Institute_ROI!$E$26)*(1-Institute_ROI!$E$29)*(1+GST*(1-ITCShare))+Institute_ROI!$E$49)</f>
        <v/>
      </c>
      <c r="E27" s="47">
        <f>(Institute_ROI!$E$31*Institute_ROI!$E$39*$A27+Institute_ROI!$E$42+Institute_ROI!$E$43)/(SUMPRODUCT((Institute_ROI!$E$6*Season_Idx*E$24&gt;Institute_ROI!$E$26)*(Institute_ROI!$E$6*Season_Idx*E$24)+(Institute_ROI!$E$6*Season_Idx*E$24&lt;=Institute_ROI!$E$26)*Institute_ROI!$E$26)*(1-Institute_ROI!$E$29)*(1+GST*(1-ITCShare))+Institute_ROI!$E$49)</f>
        <v/>
      </c>
      <c r="F27" s="47">
        <f>(Institute_ROI!$E$31*Institute_ROI!$E$39*$A27+Institute_ROI!$E$42+Institute_ROI!$E$43)/(SUMPRODUCT((Institute_ROI!$E$6*Season_Idx*F$24&gt;Institute_ROI!$E$26)*(Institute_ROI!$E$6*Season_Idx*F$24)+(Institute_ROI!$E$6*Season_Idx*F$24&lt;=Institute_ROI!$E$26)*Institute_ROI!$E$26)*(1-Institute_ROI!$E$29)*(1+GST*(1-ITCShare))+Institute_ROI!$E$49)</f>
        <v/>
      </c>
      <c r="G27" s="47">
        <f>(Institute_ROI!$E$31*Institute_ROI!$E$39*$A27+Institute_ROI!$E$42+Institute_ROI!$E$43)/(SUMPRODUCT((Institute_ROI!$E$6*Season_Idx*G$24&gt;Institute_ROI!$E$26)*(Institute_ROI!$E$6*Season_Idx*G$24)+(Institute_ROI!$E$6*Season_Idx*G$24&lt;=Institute_ROI!$E$26)*Institute_ROI!$E$26)*(1-Institute_ROI!$E$29)*(1+GST*(1-ITCShare))+Institute_ROI!$E$49)</f>
        <v/>
      </c>
    </row>
    <row r="28">
      <c r="A28" s="63" t="n">
        <v>0.15</v>
      </c>
      <c r="B28" s="47">
        <f>(Institute_ROI!$E$31*Institute_ROI!$E$39*$A28+Institute_ROI!$E$42+Institute_ROI!$E$43)/(SUMPRODUCT((Institute_ROI!$E$6*Season_Idx*B$24&gt;Institute_ROI!$E$26)*(Institute_ROI!$E$6*Season_Idx*B$24)+(Institute_ROI!$E$6*Season_Idx*B$24&lt;=Institute_ROI!$E$26)*Institute_ROI!$E$26)*(1-Institute_ROI!$E$29)*(1+GST*(1-ITCShare))+Institute_ROI!$E$49)</f>
        <v/>
      </c>
      <c r="C28" s="47">
        <f>(Institute_ROI!$E$31*Institute_ROI!$E$39*$A28+Institute_ROI!$E$42+Institute_ROI!$E$43)/(SUMPRODUCT((Institute_ROI!$E$6*Season_Idx*C$24&gt;Institute_ROI!$E$26)*(Institute_ROI!$E$6*Season_Idx*C$24)+(Institute_ROI!$E$6*Season_Idx*C$24&lt;=Institute_ROI!$E$26)*Institute_ROI!$E$26)*(1-Institute_ROI!$E$29)*(1+GST*(1-ITCShare))+Institute_ROI!$E$49)</f>
        <v/>
      </c>
      <c r="D28" s="47">
        <f>(Institute_ROI!$E$31*Institute_ROI!$E$39*$A28+Institute_ROI!$E$42+Institute_ROI!$E$43)/(SUMPRODUCT((Institute_ROI!$E$6*Season_Idx*D$24&gt;Institute_ROI!$E$26)*(Institute_ROI!$E$6*Season_Idx*D$24)+(Institute_ROI!$E$6*Season_Idx*D$24&lt;=Institute_ROI!$E$26)*Institute_ROI!$E$26)*(1-Institute_ROI!$E$29)*(1+GST*(1-ITCShare))+Institute_ROI!$E$49)</f>
        <v/>
      </c>
      <c r="E28" s="47">
        <f>(Institute_ROI!$E$31*Institute_ROI!$E$39*$A28+Institute_ROI!$E$42+Institute_ROI!$E$43)/(SUMPRODUCT((Institute_ROI!$E$6*Season_Idx*E$24&gt;Institute_ROI!$E$26)*(Institute_ROI!$E$6*Season_Idx*E$24)+(Institute_ROI!$E$6*Season_Idx*E$24&lt;=Institute_ROI!$E$26)*Institute_ROI!$E$26)*(1-Institute_ROI!$E$29)*(1+GST*(1-ITCShare))+Institute_ROI!$E$49)</f>
        <v/>
      </c>
      <c r="F28" s="47">
        <f>(Institute_ROI!$E$31*Institute_ROI!$E$39*$A28+Institute_ROI!$E$42+Institute_ROI!$E$43)/(SUMPRODUCT((Institute_ROI!$E$6*Season_Idx*F$24&gt;Institute_ROI!$E$26)*(Institute_ROI!$E$6*Season_Idx*F$24)+(Institute_ROI!$E$6*Season_Idx*F$24&lt;=Institute_ROI!$E$26)*Institute_ROI!$E$26)*(1-Institute_ROI!$E$29)*(1+GST*(1-ITCShare))+Institute_ROI!$E$49)</f>
        <v/>
      </c>
      <c r="G28" s="47">
        <f>(Institute_ROI!$E$31*Institute_ROI!$E$39*$A28+Institute_ROI!$E$42+Institute_ROI!$E$43)/(SUMPRODUCT((Institute_ROI!$E$6*Season_Idx*G$24&gt;Institute_ROI!$E$26)*(Institute_ROI!$E$6*Season_Idx*G$24)+(Institute_ROI!$E$6*Season_Idx*G$24&lt;=Institute_ROI!$E$26)*Institute_ROI!$E$26)*(1-Institute_ROI!$E$29)*(1+GST*(1-ITCShare))+Institute_ROI!$E$49)</f>
        <v/>
      </c>
    </row>
    <row r="29">
      <c r="A29" s="63" t="n">
        <v>0.2</v>
      </c>
      <c r="B29" s="47">
        <f>(Institute_ROI!$E$31*Institute_ROI!$E$39*$A29+Institute_ROI!$E$42+Institute_ROI!$E$43)/(SUMPRODUCT((Institute_ROI!$E$6*Season_Idx*B$24&gt;Institute_ROI!$E$26)*(Institute_ROI!$E$6*Season_Idx*B$24)+(Institute_ROI!$E$6*Season_Idx*B$24&lt;=Institute_ROI!$E$26)*Institute_ROI!$E$26)*(1-Institute_ROI!$E$29)*(1+GST*(1-ITCShare))+Institute_ROI!$E$49)</f>
        <v/>
      </c>
      <c r="C29" s="47">
        <f>(Institute_ROI!$E$31*Institute_ROI!$E$39*$A29+Institute_ROI!$E$42+Institute_ROI!$E$43)/(SUMPRODUCT((Institute_ROI!$E$6*Season_Idx*C$24&gt;Institute_ROI!$E$26)*(Institute_ROI!$E$6*Season_Idx*C$24)+(Institute_ROI!$E$6*Season_Idx*C$24&lt;=Institute_ROI!$E$26)*Institute_ROI!$E$26)*(1-Institute_ROI!$E$29)*(1+GST*(1-ITCShare))+Institute_ROI!$E$49)</f>
        <v/>
      </c>
      <c r="D29" s="47">
        <f>(Institute_ROI!$E$31*Institute_ROI!$E$39*$A29+Institute_ROI!$E$42+Institute_ROI!$E$43)/(SUMPRODUCT((Institute_ROI!$E$6*Season_Idx*D$24&gt;Institute_ROI!$E$26)*(Institute_ROI!$E$6*Season_Idx*D$24)+(Institute_ROI!$E$6*Season_Idx*D$24&lt;=Institute_ROI!$E$26)*Institute_ROI!$E$26)*(1-Institute_ROI!$E$29)*(1+GST*(1-ITCShare))+Institute_ROI!$E$49)</f>
        <v/>
      </c>
      <c r="E29" s="47">
        <f>(Institute_ROI!$E$31*Institute_ROI!$E$39*$A29+Institute_ROI!$E$42+Institute_ROI!$E$43)/(SUMPRODUCT((Institute_ROI!$E$6*Season_Idx*E$24&gt;Institute_ROI!$E$26)*(Institute_ROI!$E$6*Season_Idx*E$24)+(Institute_ROI!$E$6*Season_Idx*E$24&lt;=Institute_ROI!$E$26)*Institute_ROI!$E$26)*(1-Institute_ROI!$E$29)*(1+GST*(1-ITCShare))+Institute_ROI!$E$49)</f>
        <v/>
      </c>
      <c r="F29" s="47">
        <f>(Institute_ROI!$E$31*Institute_ROI!$E$39*$A29+Institute_ROI!$E$42+Institute_ROI!$E$43)/(SUMPRODUCT((Institute_ROI!$E$6*Season_Idx*F$24&gt;Institute_ROI!$E$26)*(Institute_ROI!$E$6*Season_Idx*F$24)+(Institute_ROI!$E$6*Season_Idx*F$24&lt;=Institute_ROI!$E$26)*Institute_ROI!$E$26)*(1-Institute_ROI!$E$29)*(1+GST*(1-ITCShare))+Institute_ROI!$E$49)</f>
        <v/>
      </c>
      <c r="G29" s="47">
        <f>(Institute_ROI!$E$31*Institute_ROI!$E$39*$A29+Institute_ROI!$E$42+Institute_ROI!$E$43)/(SUMPRODUCT((Institute_ROI!$E$6*Season_Idx*G$24&gt;Institute_ROI!$E$26)*(Institute_ROI!$E$6*Season_Idx*G$24)+(Institute_ROI!$E$6*Season_Idx*G$24&lt;=Institute_ROI!$E$26)*Institute_ROI!$E$26)*(1-Institute_ROI!$E$29)*(1+GST*(1-ITCShare))+Institute_ROI!$E$49)</f>
        <v/>
      </c>
    </row>
    <row r="30">
      <c r="A30" s="63" t="n">
        <v>0.25</v>
      </c>
      <c r="B30" s="47">
        <f>(Institute_ROI!$E$31*Institute_ROI!$E$39*$A30+Institute_ROI!$E$42+Institute_ROI!$E$43)/(SUMPRODUCT((Institute_ROI!$E$6*Season_Idx*B$24&gt;Institute_ROI!$E$26)*(Institute_ROI!$E$6*Season_Idx*B$24)+(Institute_ROI!$E$6*Season_Idx*B$24&lt;=Institute_ROI!$E$26)*Institute_ROI!$E$26)*(1-Institute_ROI!$E$29)*(1+GST*(1-ITCShare))+Institute_ROI!$E$49)</f>
        <v/>
      </c>
      <c r="C30" s="47">
        <f>(Institute_ROI!$E$31*Institute_ROI!$E$39*$A30+Institute_ROI!$E$42+Institute_ROI!$E$43)/(SUMPRODUCT((Institute_ROI!$E$6*Season_Idx*C$24&gt;Institute_ROI!$E$26)*(Institute_ROI!$E$6*Season_Idx*C$24)+(Institute_ROI!$E$6*Season_Idx*C$24&lt;=Institute_ROI!$E$26)*Institute_ROI!$E$26)*(1-Institute_ROI!$E$29)*(1+GST*(1-ITCShare))+Institute_ROI!$E$49)</f>
        <v/>
      </c>
      <c r="D30" s="47">
        <f>(Institute_ROI!$E$31*Institute_ROI!$E$39*$A30+Institute_ROI!$E$42+Institute_ROI!$E$43)/(SUMPRODUCT((Institute_ROI!$E$6*Season_Idx*D$24&gt;Institute_ROI!$E$26)*(Institute_ROI!$E$6*Season_Idx*D$24)+(Institute_ROI!$E$6*Season_Idx*D$24&lt;=Institute_ROI!$E$26)*Institute_ROI!$E$26)*(1-Institute_ROI!$E$29)*(1+GST*(1-ITCShare))+Institute_ROI!$E$49)</f>
        <v/>
      </c>
      <c r="E30" s="47">
        <f>(Institute_ROI!$E$31*Institute_ROI!$E$39*$A30+Institute_ROI!$E$42+Institute_ROI!$E$43)/(SUMPRODUCT((Institute_ROI!$E$6*Season_Idx*E$24&gt;Institute_ROI!$E$26)*(Institute_ROI!$E$6*Season_Idx*E$24)+(Institute_ROI!$E$6*Season_Idx*E$24&lt;=Institute_ROI!$E$26)*Institute_ROI!$E$26)*(1-Institute_ROI!$E$29)*(1+GST*(1-ITCShare))+Institute_ROI!$E$49)</f>
        <v/>
      </c>
      <c r="F30" s="47">
        <f>(Institute_ROI!$E$31*Institute_ROI!$E$39*$A30+Institute_ROI!$E$42+Institute_ROI!$E$43)/(SUMPRODUCT((Institute_ROI!$E$6*Season_Idx*F$24&gt;Institute_ROI!$E$26)*(Institute_ROI!$E$6*Season_Idx*F$24)+(Institute_ROI!$E$6*Season_Idx*F$24&lt;=Institute_ROI!$E$26)*Institute_ROI!$E$26)*(1-Institute_ROI!$E$29)*(1+GST*(1-ITCShare))+Institute_ROI!$E$49)</f>
        <v/>
      </c>
      <c r="G30" s="47">
        <f>(Institute_ROI!$E$31*Institute_ROI!$E$39*$A30+Institute_ROI!$E$42+Institute_ROI!$E$43)/(SUMPRODUCT((Institute_ROI!$E$6*Season_Idx*G$24&gt;Institute_ROI!$E$26)*(Institute_ROI!$E$6*Season_Idx*G$24)+(Institute_ROI!$E$6*Season_Idx*G$24&lt;=Institute_ROI!$E$26)*Institute_ROI!$E$26)*(1-Institute_ROI!$E$29)*(1+GST*(1-ITCShare))+Institute_ROI!$E$49)</f>
        <v/>
      </c>
    </row>
    <row r="33">
      <c r="A33" s="34" t="inlineStr">
        <is>
          <t>Grid 2 — LTV ÷ acquisition cost (Mid, live scenario): monthly churn × acquisition cost</t>
        </is>
      </c>
    </row>
    <row r="34">
      <c r="A34" s="5" t="inlineStr">
        <is>
          <t>Monthly in-season churn (blue) → LTV from Engine</t>
        </is>
      </c>
      <c r="B34" s="63" t="n">
        <v>0.01</v>
      </c>
      <c r="C34" s="63" t="n">
        <v>0.02</v>
      </c>
      <c r="D34" s="63" t="n">
        <v>0.03</v>
      </c>
      <c r="E34" s="63" t="n">
        <v>0.04</v>
      </c>
      <c r="F34" s="63" t="n">
        <v>0.05</v>
      </c>
    </row>
    <row r="35">
      <c r="A35" s="5" t="inlineStr">
        <is>
          <t>LTV at that churn (₹)</t>
        </is>
      </c>
      <c r="B35" s="42">
        <f>Engine!$AR$118</f>
        <v/>
      </c>
      <c r="C35" s="42">
        <f>Engine!$AS$118</f>
        <v/>
      </c>
      <c r="D35" s="42">
        <f>Engine!$AT$118</f>
        <v/>
      </c>
      <c r="E35" s="42">
        <f>Engine!$AU$118</f>
        <v/>
      </c>
      <c r="F35" s="42">
        <f>Engine!$AV$118</f>
        <v/>
      </c>
    </row>
    <row r="36">
      <c r="A36" s="5" t="inlineStr">
        <is>
          <t>Acquisition cost ₹ ↓</t>
        </is>
      </c>
    </row>
    <row r="37">
      <c r="A37" s="62" t="n">
        <v>15000</v>
      </c>
      <c r="B37" s="47">
        <f>B$35/$A37</f>
        <v/>
      </c>
      <c r="C37" s="47">
        <f>C$35/$A37</f>
        <v/>
      </c>
      <c r="D37" s="47">
        <f>D$35/$A37</f>
        <v/>
      </c>
      <c r="E37" s="47">
        <f>E$35/$A37</f>
        <v/>
      </c>
      <c r="F37" s="47">
        <f>F$35/$A37</f>
        <v/>
      </c>
    </row>
    <row r="38">
      <c r="A38" s="62" t="n">
        <v>25000</v>
      </c>
      <c r="B38" s="47">
        <f>B$35/$A38</f>
        <v/>
      </c>
      <c r="C38" s="47">
        <f>C$35/$A38</f>
        <v/>
      </c>
      <c r="D38" s="47">
        <f>D$35/$A38</f>
        <v/>
      </c>
      <c r="E38" s="47">
        <f>E$35/$A38</f>
        <v/>
      </c>
      <c r="F38" s="47">
        <f>F$35/$A38</f>
        <v/>
      </c>
    </row>
    <row r="39">
      <c r="A39" s="62" t="n">
        <v>35000</v>
      </c>
      <c r="B39" s="47">
        <f>B$35/$A39</f>
        <v/>
      </c>
      <c r="C39" s="47">
        <f>C$35/$A39</f>
        <v/>
      </c>
      <c r="D39" s="47">
        <f>D$35/$A39</f>
        <v/>
      </c>
      <c r="E39" s="47">
        <f>E$35/$A39</f>
        <v/>
      </c>
      <c r="F39" s="47">
        <f>F$35/$A39</f>
        <v/>
      </c>
    </row>
    <row r="40">
      <c r="A40" s="62" t="n">
        <v>50000</v>
      </c>
      <c r="B40" s="47">
        <f>B$35/$A40</f>
        <v/>
      </c>
      <c r="C40" s="47">
        <f>C$35/$A40</f>
        <v/>
      </c>
      <c r="D40" s="47">
        <f>D$35/$A40</f>
        <v/>
      </c>
      <c r="E40" s="47">
        <f>E$35/$A40</f>
        <v/>
      </c>
      <c r="F40" s="47">
        <f>F$35/$A40</f>
        <v/>
      </c>
    </row>
    <row r="41">
      <c r="A41" s="62" t="n">
        <v>75000</v>
      </c>
      <c r="B41" s="47">
        <f>B$35/$A41</f>
        <v/>
      </c>
      <c r="C41" s="47">
        <f>C$35/$A41</f>
        <v/>
      </c>
      <c r="D41" s="47">
        <f>D$35/$A41</f>
        <v/>
      </c>
      <c r="E41" s="47">
        <f>E$35/$A41</f>
        <v/>
      </c>
      <c r="F41" s="47">
        <f>F$35/$A41</f>
        <v/>
      </c>
    </row>
    <row r="43">
      <c r="A43" s="5" t="inlineStr">
        <is>
          <t>Reading: ROI &lt; 1.0x red, 1–2x amber, ≥ 2x green. LTV/CAC &lt; 3x red.</t>
        </is>
      </c>
    </row>
  </sheetData>
  <conditionalFormatting sqref="B25:G30">
    <cfRule type="cellIs" priority="1" operator="lessThan" dxfId="1">
      <formula>1</formula>
    </cfRule>
    <cfRule type="cellIs" priority="2" operator="between" dxfId="2">
      <formula>1</formula>
      <formula>1.9999</formula>
    </cfRule>
    <cfRule type="cellIs" priority="3" operator="greaterThanOrEqual" dxfId="0">
      <formula>2</formula>
    </cfRule>
  </conditionalFormatting>
  <conditionalFormatting sqref="D5:E19">
    <cfRule type="cellIs" priority="4" operator="lessThan" dxfId="1">
      <formula>1</formula>
    </cfRule>
    <cfRule type="cellIs" priority="5" operator="between" dxfId="2">
      <formula>1</formula>
      <formula>1.9999</formula>
    </cfRule>
    <cfRule type="cellIs" priority="6" operator="greaterThanOrEqual" dxfId="0">
      <formula>2</formula>
    </cfRule>
  </conditionalFormatting>
  <conditionalFormatting sqref="B37:F41">
    <cfRule type="cellIs" priority="7" operator="lessThan" dxfId="1">
      <formula>3</formula>
    </cfRule>
    <cfRule type="cellIs" priority="8" operator="greaterThanOrEqual" dxfId="0">
      <formula>3</formula>
    </cfRule>
  </conditionalFormatting>
  <conditionalFormatting sqref="G5:H19">
    <cfRule type="cellIs" priority="9" operator="lessThan" dxfId="1">
      <formula>3</formula>
    </cfRule>
    <cfRule type="cellIs" priority="10" operator="greaterThanOrEqual" dxfId="0">
      <formula>3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4" customWidth="1" min="1" max="1"/>
    <col width="10" customWidth="1" min="2" max="2"/>
    <col width="14" customWidth="1" min="3" max="3"/>
    <col width="14" customWidth="1" min="4" max="4"/>
  </cols>
  <sheetData>
    <row r="1">
      <c r="A1" s="1" t="inlineStr">
        <is>
          <t>Checks — any red flag means the model is not safe to quote</t>
        </is>
      </c>
    </row>
    <row r="3">
      <c r="A3" s="6" t="inlineStr">
        <is>
          <t>Check</t>
        </is>
      </c>
      <c r="B3" s="6" t="inlineStr">
        <is>
          <t>Type</t>
        </is>
      </c>
      <c r="C3" s="6" t="inlineStr">
        <is>
          <t>Value</t>
        </is>
      </c>
      <c r="D3" s="6" t="inlineStr">
        <is>
          <t>Flag (1 = fail)</t>
        </is>
      </c>
    </row>
    <row r="4">
      <c r="A4" s="7" t="inlineStr">
        <is>
          <t>Scenario selector is 1, 2 or 3</t>
        </is>
      </c>
      <c r="B4" s="5" t="inlineStr">
        <is>
          <t>Error</t>
        </is>
      </c>
      <c r="C4" s="41">
        <f>Scenario</f>
        <v/>
      </c>
      <c r="D4" s="64">
        <f>IF(OR(Scenario=1,Scenario=2,Scenario=3),0,1)</f>
        <v/>
      </c>
    </row>
    <row r="5">
      <c r="A5" s="7" t="inlineStr">
        <is>
          <t>Dropout timing curve sums to 100%</t>
        </is>
      </c>
      <c r="B5" s="5" t="inlineStr">
        <is>
          <t>Error</t>
        </is>
      </c>
      <c r="C5" s="41">
        <f>SUM(DropTiming)</f>
        <v/>
      </c>
      <c r="D5" s="64">
        <f>IF(ABS(C5-1)&lt;0.0001,0,1)</f>
        <v/>
      </c>
    </row>
    <row r="6">
      <c r="A6" s="7" t="inlineStr">
        <is>
          <t>Percent inputs within 0–100%</t>
        </is>
      </c>
      <c r="B6" s="5" t="inlineStr">
        <is>
          <t>Error</t>
        </is>
      </c>
      <c r="C6" s="41">
        <f>SUM(Assumptions!L5:L93)</f>
        <v/>
      </c>
      <c r="D6" s="64">
        <f>IF(C6=0,0,1)</f>
        <v/>
      </c>
    </row>
    <row r="7">
      <c r="A7" s="7" t="inlineStr">
        <is>
          <t>Live values within Bear–Bull range</t>
        </is>
      </c>
      <c r="B7" s="5" t="inlineStr">
        <is>
          <t>Error</t>
        </is>
      </c>
      <c r="C7" s="41">
        <f>SUM(Assumptions!M5:M93)</f>
        <v/>
      </c>
      <c r="D7" s="64">
        <f>IF(C7=0,0,1)</f>
        <v/>
      </c>
    </row>
    <row r="8">
      <c r="A8" s="7" t="inlineStr">
        <is>
          <t>At least one renewal month (avoids ÷0)</t>
        </is>
      </c>
      <c r="B8" s="5" t="inlineStr">
        <is>
          <t>Error</t>
        </is>
      </c>
      <c r="C8" s="41">
        <f>NRenew</f>
        <v/>
      </c>
      <c r="D8" s="64">
        <f>IF(C8&gt;=1,0,1)</f>
        <v/>
      </c>
    </row>
    <row r="9">
      <c r="A9" s="7" t="inlineStr">
        <is>
          <t>Active-student index between 0 and 1.2</t>
        </is>
      </c>
      <c r="B9" s="5" t="inlineStr">
        <is>
          <t>Error</t>
        </is>
      </c>
      <c r="C9" s="41">
        <f>SUMPRODUCT((Season_Idx&lt;0)+(Season_Idx&gt;1.2))</f>
        <v/>
      </c>
      <c r="D9" s="64">
        <f>IF(C9=0,0,1)</f>
        <v/>
      </c>
    </row>
    <row r="10">
      <c r="A10" s="7" t="inlineStr">
        <is>
          <t>Effective reduction ≤ RCT effect (Mid)</t>
        </is>
      </c>
      <c r="B10" s="5" t="inlineStr">
        <is>
          <t>Error</t>
        </is>
      </c>
      <c r="C10" s="41">
        <f>Institute_ROI!E37-InterventionSuccess</f>
        <v/>
      </c>
      <c r="D10" s="64">
        <f>IF(C10&lt;=0.000001,0,1)</f>
        <v/>
      </c>
    </row>
    <row r="11">
      <c r="A11" s="7" t="inlineStr">
        <is>
          <t>Instalments ≥ 1 and ≤ course months</t>
        </is>
      </c>
      <c r="B11" s="5" t="inlineStr">
        <is>
          <t>Error</t>
        </is>
      </c>
      <c r="C11" s="41">
        <f>NInstalments</f>
        <v/>
      </c>
      <c r="D11" s="64">
        <f>IF(AND(C11&gt;=1,C11&lt;=CourseMonths,C11=INT(C11)),0,1)</f>
        <v/>
      </c>
    </row>
    <row r="12">
      <c r="A12" s="7" t="inlineStr">
        <is>
          <t>Engine reproduces Institute_ROI ROI (S)</t>
        </is>
      </c>
      <c r="B12" s="5" t="inlineStr">
        <is>
          <t>Error</t>
        </is>
      </c>
      <c r="C12" s="41">
        <f>ABS(Institute_ROI!D53-Engine!$D$94)</f>
        <v/>
      </c>
      <c r="D12" s="64">
        <f>IF(C12&lt;0.000001,0,1)</f>
        <v/>
      </c>
    </row>
    <row r="13">
      <c r="A13" s="7" t="inlineStr">
        <is>
          <t>Engine reproduces Unit_Econ LTV (S)</t>
        </is>
      </c>
      <c r="B13" s="5" t="inlineStr">
        <is>
          <t>Error</t>
        </is>
      </c>
      <c r="C13" s="41">
        <f>ABS(Unit_Econ!D48-Engine!$D$118)</f>
        <v/>
      </c>
      <c r="D13" s="64">
        <f>IF(C13&lt;0.000001,0,1)</f>
        <v/>
      </c>
    </row>
    <row r="14">
      <c r="A14" s="7" t="inlineStr">
        <is>
          <t>Engine reproduces Institute_ROI ROI (M)</t>
        </is>
      </c>
      <c r="B14" s="5" t="inlineStr">
        <is>
          <t>Error</t>
        </is>
      </c>
      <c r="C14" s="41">
        <f>ABS(Institute_ROI!E53-Engine!$E$94)</f>
        <v/>
      </c>
      <c r="D14" s="64">
        <f>IF(C14&lt;0.000001,0,1)</f>
        <v/>
      </c>
    </row>
    <row r="15">
      <c r="A15" s="7" t="inlineStr">
        <is>
          <t>Engine reproduces Unit_Econ LTV (M)</t>
        </is>
      </c>
      <c r="B15" s="5" t="inlineStr">
        <is>
          <t>Error</t>
        </is>
      </c>
      <c r="C15" s="41">
        <f>ABS(Unit_Econ!E48-Engine!$E$118)</f>
        <v/>
      </c>
      <c r="D15" s="64">
        <f>IF(C15&lt;0.000001,0,1)</f>
        <v/>
      </c>
    </row>
    <row r="16">
      <c r="A16" s="7" t="inlineStr">
        <is>
          <t>Engine reproduces Institute_ROI ROI (L)</t>
        </is>
      </c>
      <c r="B16" s="5" t="inlineStr">
        <is>
          <t>Error</t>
        </is>
      </c>
      <c r="C16" s="41">
        <f>ABS(Institute_ROI!F53-Engine!$F$94)</f>
        <v/>
      </c>
      <c r="D16" s="64">
        <f>IF(C16&lt;0.000001,0,1)</f>
        <v/>
      </c>
    </row>
    <row r="17">
      <c r="A17" s="7" t="inlineStr">
        <is>
          <t>Engine reproduces Unit_Econ LTV (L)</t>
        </is>
      </c>
      <c r="B17" s="5" t="inlineStr">
        <is>
          <t>Error</t>
        </is>
      </c>
      <c r="C17" s="41">
        <f>ABS(Unit_Econ!F48-Engine!$F$118)</f>
        <v/>
      </c>
      <c r="D17" s="64">
        <f>IF(C17&lt;0.000001,0,1)</f>
        <v/>
      </c>
    </row>
    <row r="18">
      <c r="A18" s="7" t="inlineStr">
        <is>
          <t>Survival curve stays within 0–1 (Mid)</t>
        </is>
      </c>
      <c r="B18" s="5" t="inlineStr">
        <is>
          <t>Error</t>
        </is>
      </c>
      <c r="C18" s="41">
        <f>IF(AND(MIN(Unit_Econ!E172:E231)&gt;=0,MAX(Unit_Econ!E172:E231)&lt;=1),0,1)</f>
        <v/>
      </c>
      <c r="D18" s="64">
        <f>C18</f>
        <v/>
      </c>
    </row>
    <row r="19">
      <c r="A19" s="7" t="inlineStr">
        <is>
          <t>Guide ROI reproduces the brief's 2.25x</t>
        </is>
      </c>
      <c r="B19" s="5" t="inlineStr">
        <is>
          <t>Error</t>
        </is>
      </c>
      <c r="C19" s="41">
        <f>Institute_ROI!$E$68</f>
        <v/>
      </c>
      <c r="D19" s="64">
        <f>IF(ABS(C19-2.25)&lt;0.01,0,1)</f>
        <v/>
      </c>
    </row>
    <row r="20">
      <c r="A20" s="7" t="inlineStr">
        <is>
          <t>WARNING: RCT effect exceeds share of dropouts that are preventable</t>
        </is>
      </c>
      <c r="B20" s="5" t="inlineStr">
        <is>
          <t>Warning</t>
        </is>
      </c>
      <c r="C20" s="41">
        <f>InterventionSuccess-Preventable</f>
        <v/>
      </c>
      <c r="D20" s="64">
        <f>IF(C20&lt;=0,0,1)</f>
        <v/>
      </c>
    </row>
    <row r="21">
      <c r="A21" s="7" t="inlineStr">
        <is>
          <t>WARNING: list price above the highest ERP/LMS anchor found (₹21/student/month)</t>
        </is>
      </c>
      <c r="B21" s="5" t="inlineStr">
        <is>
          <t>Warning</t>
        </is>
      </c>
      <c r="C21" s="41">
        <f>ListPrice</f>
        <v/>
      </c>
      <c r="D21" s="64">
        <f>IF(C21&lt;=CompetitorAnchorHigh,0,1)</f>
        <v/>
      </c>
    </row>
    <row r="22">
      <c r="A22" s="7" t="inlineStr">
        <is>
          <t>WARNING: months with negative contribution (Mid)</t>
        </is>
      </c>
      <c r="B22" s="5" t="inlineStr">
        <is>
          <t>Warning</t>
        </is>
      </c>
      <c r="C22" s="41">
        <f>COUNTIF(Unit_Econ!E112:E171,"&lt;0")</f>
        <v/>
      </c>
      <c r="D22" s="64">
        <f>IF(C22=0,0,1)</f>
        <v/>
      </c>
    </row>
    <row r="23">
      <c r="A23" s="7" t="inlineStr">
        <is>
          <t>WARNING: all-in COGS outside tech band ₹3–10 per student-month</t>
        </is>
      </c>
      <c r="B23" s="5" t="inlineStr">
        <is>
          <t>Warning</t>
        </is>
      </c>
      <c r="C23" s="41">
        <f>COGS_AllIn</f>
        <v/>
      </c>
      <c r="D23" s="64">
        <f>IF(AND(C23&gt;=3,C23&lt;=10),0,1)</f>
        <v/>
      </c>
    </row>
    <row r="24">
      <c r="A24" s="7" t="inlineStr">
        <is>
          <t>WARNING: Mid institute ROI below 1.0x</t>
        </is>
      </c>
      <c r="B24" s="5" t="inlineStr">
        <is>
          <t>Warning</t>
        </is>
      </c>
      <c r="C24" s="41">
        <f>Institute_ROI!E53</f>
        <v/>
      </c>
      <c r="D24" s="64">
        <f>IF(C24&gt;=1,0,1)</f>
        <v/>
      </c>
    </row>
    <row r="25">
      <c r="A25" s="7" t="inlineStr">
        <is>
          <t>WARNING: Mid LTV/CAC below 3x</t>
        </is>
      </c>
      <c r="B25" s="5" t="inlineStr">
        <is>
          <t>Warning</t>
        </is>
      </c>
      <c r="C25" s="41">
        <f>Unit_Econ!E49</f>
        <v/>
      </c>
      <c r="D25" s="64">
        <f>IF(C25&gt;=3,0,1)</f>
        <v/>
      </c>
    </row>
    <row r="26">
      <c r="A26" s="7" t="inlineStr">
        <is>
          <t>WARNING: Mid payback above 24 months</t>
        </is>
      </c>
      <c r="B26" s="5" t="inlineStr">
        <is>
          <t>Warning</t>
        </is>
      </c>
      <c r="C26" s="41">
        <f>Unit_Econ!E50</f>
        <v/>
      </c>
      <c r="D26" s="64">
        <f>IF(C26&lt;=24,0,1)</f>
        <v/>
      </c>
    </row>
    <row r="28">
      <c r="A28" s="3" t="inlineStr">
        <is>
          <t>ERRORS</t>
        </is>
      </c>
      <c r="D28" s="65">
        <f>SUMIF(B4:B26,"Error",D4:D26)</f>
        <v/>
      </c>
    </row>
    <row r="29">
      <c r="A29" s="3" t="inlineStr">
        <is>
          <t>WARNINGS (honest red flags to discuss, not bugs)</t>
        </is>
      </c>
      <c r="D29" s="64">
        <f>SUMIF(B4:B26,"Warning",D4:D26)</f>
        <v/>
      </c>
    </row>
  </sheetData>
  <conditionalFormatting sqref="D4:D29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2" customWidth="1" min="3" max="3"/>
    <col width="11" customWidth="1" min="4" max="4"/>
    <col width="80" customWidth="1" min="5" max="5"/>
    <col width="40" customWidth="1" min="6" max="6"/>
  </cols>
  <sheetData>
    <row r="1">
      <c r="A1" s="1" t="inlineStr">
        <is>
          <t>Sources &amp; evidence register</t>
        </is>
      </c>
    </row>
    <row r="2">
      <c r="A2" s="2" t="inlineStr">
        <is>
          <t>Raw research is in Financial_Model/research/*.md. Anything typed 'Assumption' is unverified — say so on the slide.</t>
        </is>
      </c>
    </row>
    <row r="4">
      <c r="A4" s="6" t="inlineStr">
        <is>
          <t>Name</t>
        </is>
      </c>
      <c r="B4" s="6" t="inlineStr">
        <is>
          <t>Input</t>
        </is>
      </c>
      <c r="C4" s="6" t="inlineStr">
        <is>
          <t>Type</t>
        </is>
      </c>
      <c r="D4" s="6" t="inlineStr">
        <is>
          <t>Confidence</t>
        </is>
      </c>
      <c r="E4" s="6" t="inlineStr">
        <is>
          <t>Source</t>
        </is>
      </c>
      <c r="F4" s="6" t="inlineStr">
        <is>
          <t>Note</t>
        </is>
      </c>
    </row>
    <row r="5">
      <c r="A5" s="5" t="inlineStr">
        <is>
          <t>Students_S</t>
        </is>
      </c>
      <c r="B5" s="7" t="inlineStr">
        <is>
          <t>Students per institute - Small</t>
        </is>
      </c>
      <c r="C5" s="7" t="inlineStr">
        <is>
          <t>Assumption</t>
        </is>
      </c>
      <c r="D5" s="7" t="inlineStr">
        <is>
          <t>M</t>
        </is>
      </c>
      <c r="E5" s="7" t="inlineStr">
        <is>
          <t>Case brief range 150-2000; our cut &lt;250</t>
        </is>
      </c>
      <c r="F5" s="5" t="inlineStr">
        <is>
          <t>Segment midpoint</t>
        </is>
      </c>
    </row>
    <row r="6">
      <c r="A6" s="5" t="inlineStr">
        <is>
          <t>Students_M</t>
        </is>
      </c>
      <c r="B6" s="7" t="inlineStr">
        <is>
          <t>Students per institute - Mid</t>
        </is>
      </c>
      <c r="C6" s="7" t="inlineStr">
        <is>
          <t>Guide</t>
        </is>
      </c>
      <c r="D6" s="7" t="inlineStr">
        <is>
          <t>M</t>
        </is>
      </c>
      <c r="E6" s="7" t="inlineStr">
        <is>
          <t>Case brief baseline 400</t>
        </is>
      </c>
      <c r="F6" s="5" t="inlineStr"/>
    </row>
    <row r="7">
      <c r="A7" s="5" t="inlineStr">
        <is>
          <t>Students_L</t>
        </is>
      </c>
      <c r="B7" s="7" t="inlineStr">
        <is>
          <t>Students per institute - Large</t>
        </is>
      </c>
      <c r="C7" s="7" t="inlineStr">
        <is>
          <t>Assumption</t>
        </is>
      </c>
      <c r="D7" s="7" t="inlineStr">
        <is>
          <t>M</t>
        </is>
      </c>
      <c r="E7" s="7" t="inlineStr">
        <is>
          <t>Case brief range 150-2000; our cut &gt;800</t>
        </is>
      </c>
      <c r="F7" s="5" t="inlineStr"/>
    </row>
    <row r="8">
      <c r="A8" s="5" t="inlineStr">
        <is>
          <t>Fee_S</t>
        </is>
      </c>
      <c r="B8" s="7" t="inlineStr">
        <is>
          <t>Annual fee per student - Small</t>
        </is>
      </c>
      <c r="C8" s="7" t="inlineStr">
        <is>
          <t>Researched</t>
        </is>
      </c>
      <c r="D8" s="7" t="inlineStr">
        <is>
          <t>L</t>
        </is>
      </c>
      <c r="E8" s="7" t="inlineStr">
        <is>
          <t>R2: Vedantu Gaya 1-yr Rs50-56k; Rupantri Muzaffarpur Rs55-60k; GOAL Patna Rs51-99k (research/R2_R3)</t>
        </is>
      </c>
      <c r="F8" s="5" t="inlineStr">
        <is>
          <t>Size-to-fee mapping is our assumption</t>
        </is>
      </c>
    </row>
    <row r="9">
      <c r="A9" s="5" t="inlineStr">
        <is>
          <t>Fee_M</t>
        </is>
      </c>
      <c r="B9" s="7" t="inlineStr">
        <is>
          <t>Annual fee per student - Mid</t>
        </is>
      </c>
      <c r="C9" s="7" t="inlineStr">
        <is>
          <t>Researched</t>
        </is>
      </c>
      <c r="D9" s="7" t="inlineStr">
        <is>
          <t>L</t>
        </is>
      </c>
      <c r="E9" s="7" t="inlineStr">
        <is>
          <t>R2: GOAL Patna 1-yr Rs1.2L; Vedantu Patna Rs95k; Pathshala Lucknow ~Rs82.5k; Vedantu Indore Rs67k</t>
        </is>
      </c>
      <c r="F9" s="5" t="inlineStr">
        <is>
          <t>Case brief used Rs60k</t>
        </is>
      </c>
    </row>
    <row r="10">
      <c r="A10" s="5" t="inlineStr">
        <is>
          <t>Fee_L</t>
        </is>
      </c>
      <c r="B10" s="7" t="inlineStr">
        <is>
          <t>Annual fee per student - Large</t>
        </is>
      </c>
      <c r="C10" s="7" t="inlineStr">
        <is>
          <t>Researched</t>
        </is>
      </c>
      <c r="D10" s="7" t="inlineStr">
        <is>
          <t>M</t>
        </is>
      </c>
      <c r="E10" s="7" t="inlineStr">
        <is>
          <t>R2: Udaan Patna Rs1.15-1.25L/yr (own site 2025-27); chains Rs1.1-1.4L (Motion/Allen/Vedantu)</t>
        </is>
      </c>
      <c r="F10" s="5" t="inlineStr"/>
    </row>
    <row r="11">
      <c r="A11" s="5" t="inlineStr">
        <is>
          <t>OnboardMult_S</t>
        </is>
      </c>
      <c r="B11" s="7" t="inlineStr">
        <is>
          <t>Onboarding cost multiplier - Small</t>
        </is>
      </c>
      <c r="C11" s="7" t="inlineStr">
        <is>
          <t>Assumption</t>
        </is>
      </c>
      <c r="D11" s="7" t="inlineStr">
        <is>
          <t>L</t>
        </is>
      </c>
      <c r="E11" s="7" t="inlineStr">
        <is>
          <t>Fewer batches to migrate</t>
        </is>
      </c>
      <c r="F11" s="5" t="inlineStr"/>
    </row>
    <row r="12">
      <c r="A12" s="5" t="inlineStr">
        <is>
          <t>OnboardMult_M</t>
        </is>
      </c>
      <c r="B12" s="7" t="inlineStr">
        <is>
          <t>Onboarding cost multiplier - Mid</t>
        </is>
      </c>
      <c r="C12" s="7" t="inlineStr">
        <is>
          <t>Structural</t>
        </is>
      </c>
      <c r="D12" s="7" t="inlineStr">
        <is>
          <t>H</t>
        </is>
      </c>
      <c r="E12" s="7" t="inlineStr">
        <is>
          <t>Reference segment</t>
        </is>
      </c>
      <c r="F12" s="5" t="inlineStr"/>
    </row>
    <row r="13">
      <c r="A13" s="5" t="inlineStr">
        <is>
          <t>OnboardMult_L</t>
        </is>
      </c>
      <c r="B13" s="7" t="inlineStr">
        <is>
          <t>Onboarding cost multiplier - Large</t>
        </is>
      </c>
      <c r="C13" s="7" t="inlineStr">
        <is>
          <t>Assumption</t>
        </is>
      </c>
      <c r="D13" s="7" t="inlineStr">
        <is>
          <t>L</t>
        </is>
      </c>
      <c r="E13" s="7" t="inlineStr">
        <is>
          <t>More batches and staff to train</t>
        </is>
      </c>
      <c r="F13" s="5" t="inlineStr"/>
    </row>
    <row r="14">
      <c r="A14" s="5" t="inlineStr">
        <is>
          <t>DropoutRate</t>
        </is>
      </c>
      <c r="B14" s="7" t="inlineStr">
        <is>
          <t>Mid-session dropout/default rate</t>
        </is>
      </c>
      <c r="C14" s="7" t="inlineStr">
        <is>
          <t>Researched</t>
        </is>
      </c>
      <c r="D14" s="7" t="inlineStr">
        <is>
          <t>L</t>
        </is>
      </c>
      <c r="E14" s="7" t="inlineStr">
        <is>
          <t>R3: Coaching Federation of India 'at least 10 per cent of students in every batch' (ThePrint 31-Jul-2025); YourStory May-2026 ~20% offline (unattributed); analogue UDISE+ Cl.9-10 11.5%</t>
        </is>
      </c>
      <c r="F14" s="5" t="inlineStr">
        <is>
          <t>Higher = more value to protect (Bull); case brief 8-15%</t>
        </is>
      </c>
    </row>
    <row r="15">
      <c r="A15" s="5" t="inlineStr">
        <is>
          <t>UpfrontShare</t>
        </is>
      </c>
      <c r="B15" s="7" t="inlineStr">
        <is>
          <t>Share of students paying full fee upfront</t>
        </is>
      </c>
      <c r="C15" s="7" t="inlineStr">
        <is>
          <t>Assumption</t>
        </is>
      </c>
      <c r="D15" s="7" t="inlineStr">
        <is>
          <t>L</t>
        </is>
      </c>
      <c r="E15" s="7" t="inlineStr">
        <is>
          <t>R2: not found. Instalments are the norm (Allen 2; PW 3; Aakash several; Rajasthan Act s.6(2)(d) &gt;=4 option)</t>
        </is>
      </c>
      <c r="F15" s="5" t="inlineStr">
        <is>
          <t>TECH_PLAN's 35% had no source</t>
        </is>
      </c>
    </row>
    <row r="16">
      <c r="A16" s="5" t="inlineStr">
        <is>
          <t>NInstalments</t>
        </is>
      </c>
      <c r="B16" s="7" t="inlineStr">
        <is>
          <t>Instalments per year for non-upfront payers</t>
        </is>
      </c>
      <c r="C16" s="7" t="inlineStr">
        <is>
          <t>Researched</t>
        </is>
      </c>
      <c r="D16" s="7" t="inlineStr">
        <is>
          <t>M</t>
        </is>
      </c>
      <c r="E16" s="7" t="inlineStr">
        <is>
          <t>R2: Allen 2 (2nd within 45 days); PW 3; Rajasthan Act 16/2025 s.6(2)(d) min. 4 equal</t>
        </is>
      </c>
      <c r="F16" s="5" t="inlineStr">
        <is>
          <t>Fewer instalments = cash collected early = less at risk</t>
        </is>
      </c>
    </row>
    <row r="17">
      <c r="A17" s="5" t="inlineStr">
        <is>
          <t>RefundEnforced</t>
        </is>
      </c>
      <c r="B17" s="7" t="inlineStr">
        <is>
          <t>Share of upfront leavers actually refunded pro-rata</t>
        </is>
      </c>
      <c r="C17" s="7" t="inlineStr">
        <is>
          <t>Assumption</t>
        </is>
      </c>
      <c r="D17" s="7" t="inlineStr">
        <is>
          <t>L</t>
        </is>
      </c>
      <c r="E17" s="7" t="inlineStr">
        <is>
          <t>R2: MoE Guidelines 2024 cl.8(iv) and Rajasthan s.13(4) require pro-rata refund within 10 days; MoE is advisory and Allen/Aakash/PW practice is cut-off or no refund</t>
        </is>
      </c>
      <c r="F17" s="5" t="inlineStr">
        <is>
          <t>Refunded upfront leavers = fee at risk</t>
        </is>
      </c>
    </row>
    <row r="18">
      <c r="A18" s="5" t="inlineStr">
        <is>
          <t>CourseMonths</t>
        </is>
      </c>
      <c r="B18" s="7" t="inlineStr">
        <is>
          <t>Course length</t>
        </is>
      </c>
      <c r="C18" s="7" t="inlineStr">
        <is>
          <t>Guide</t>
        </is>
      </c>
      <c r="D18" s="7" t="inlineStr">
        <is>
          <t>H</t>
        </is>
      </c>
      <c r="E18" s="7" t="inlineStr">
        <is>
          <t>Case brief ~10 months</t>
        </is>
      </c>
      <c r="F18" s="5" t="inlineStr"/>
    </row>
    <row r="19">
      <c r="A19" s="5" t="inlineStr">
        <is>
          <t>BlindMonths</t>
        </is>
      </c>
      <c r="B19" s="7" t="inlineStr">
        <is>
          <t>Months before the model can flag (no test data yet)</t>
        </is>
      </c>
      <c r="C19" s="7" t="inlineStr">
        <is>
          <t>Assumption</t>
        </is>
      </c>
      <c r="D19" s="7" t="inlineStr">
        <is>
          <t>M</t>
        </is>
      </c>
      <c r="E19" s="7" t="inlineStr">
        <is>
          <t>Model needs &gt;=1-2 tests; R2: refund windows weeks 1-4 mean early exits are fast</t>
        </is>
      </c>
      <c r="F19" s="5" t="inlineStr">
        <is>
          <t>Dropouts in these months cannot be caught</t>
        </is>
      </c>
    </row>
    <row r="20">
      <c r="A20" s="5" t="inlineStr">
        <is>
          <t>Preventable</t>
        </is>
      </c>
      <c r="B20" s="7" t="inlineStr">
        <is>
          <t>Share of dropouts that are preventable (check only)</t>
        </is>
      </c>
      <c r="C20" s="7" t="inlineStr">
        <is>
          <t>Assumption</t>
        </is>
      </c>
      <c r="D20" s="7" t="inlineStr">
        <is>
          <t>L</t>
        </is>
      </c>
      <c r="E20" s="7" t="inlineStr">
        <is>
          <t>R3: reasons listed without shares (interest; family; health; dissatisfaction - ThePrint/CFI)</t>
        </is>
      </c>
      <c r="F20" s="5" t="inlineStr">
        <is>
          <t>Upper bound for the RCT effect</t>
        </is>
      </c>
    </row>
    <row r="21">
      <c r="A21" s="5" t="inlineStr">
        <is>
          <t>MinorShare</t>
        </is>
      </c>
      <c r="B21" s="7" t="inlineStr">
        <is>
          <t>Share of students under 18</t>
        </is>
      </c>
      <c r="C21" s="7" t="inlineStr">
        <is>
          <t>Assumption</t>
        </is>
      </c>
      <c r="D21" s="7" t="inlineStr">
        <is>
          <t>M</t>
        </is>
      </c>
      <c r="E21" s="7" t="inlineStr">
        <is>
          <t>JEE/NEET Class 11-12 are 16-17; droppers 18+</t>
        </is>
      </c>
      <c r="F21" s="5" t="inlineStr">
        <is>
          <t>DPDP s.9(3): minors get academic-support model + rules only</t>
        </is>
      </c>
    </row>
    <row r="22">
      <c r="A22" s="5" t="inlineStr">
        <is>
          <t>Recall_Minor</t>
        </is>
      </c>
      <c r="B22" s="7" t="inlineStr">
        <is>
          <t>Model recall on minors (academic-support + rules)</t>
        </is>
      </c>
      <c r="C22" s="7" t="inlineStr">
        <is>
          <t>Assumption</t>
        </is>
      </c>
      <c r="D22" s="7" t="inlineStr">
        <is>
          <t>L</t>
        </is>
      </c>
      <c r="E22" s="7" t="inlineStr">
        <is>
          <t>TECH_PLAN NB04 rules-only vs ML; replace with metrics.json</t>
        </is>
      </c>
      <c r="F22" s="5" t="inlineStr">
        <is>
          <t>At mentor-capacity threshold</t>
        </is>
      </c>
    </row>
    <row r="23">
      <c r="A23" s="5" t="inlineStr">
        <is>
          <t>Recall_Adult</t>
        </is>
      </c>
      <c r="B23" s="7" t="inlineStr">
        <is>
          <t>Model recall on 18+ (full ML)</t>
        </is>
      </c>
      <c r="C23" s="7" t="inlineStr">
        <is>
          <t>Public</t>
        </is>
      </c>
      <c r="D23" s="7" t="inlineStr">
        <is>
          <t>M</t>
        </is>
      </c>
      <c r="E23" s="7" t="inlineStr">
        <is>
          <t>OULAD withdrawal AUC 0.727-0.794 (TECH_PLAN s.24); replace with metrics.json</t>
        </is>
      </c>
      <c r="F23" s="5" t="inlineStr">
        <is>
          <t>At mentor-capacity threshold</t>
        </is>
      </c>
    </row>
    <row r="24">
      <c r="A24" s="5" t="inlineStr">
        <is>
          <t>Precision</t>
        </is>
      </c>
      <c r="B24" s="7" t="inlineStr">
        <is>
          <t>Precision of at-risk flag</t>
        </is>
      </c>
      <c r="C24" s="7" t="inlineStr">
        <is>
          <t>Assumption</t>
        </is>
      </c>
      <c r="D24" s="7" t="inlineStr">
        <is>
          <t>L</t>
        </is>
      </c>
      <c r="E24" s="7" t="inlineStr">
        <is>
          <t>Replace with metrics.json</t>
        </is>
      </c>
      <c r="F24" s="5" t="inlineStr">
        <is>
          <t>Drives wasted mentor time</t>
        </is>
      </c>
    </row>
    <row r="25">
      <c r="A25" s="5" t="inlineStr">
        <is>
          <t>ActionRate</t>
        </is>
      </c>
      <c r="B25" s="7" t="inlineStr">
        <is>
          <t>Share of flags the institute assigns to outreach</t>
        </is>
      </c>
      <c r="C25" s="7" t="inlineStr">
        <is>
          <t>Assumption</t>
        </is>
      </c>
      <c r="D25" s="7" t="inlineStr">
        <is>
          <t>L</t>
        </is>
      </c>
      <c r="E25" s="7" t="inlineStr">
        <is>
          <t>Mentor capacity; the RCT effect below is already intention-to-treat</t>
        </is>
      </c>
      <c r="F25" s="5" t="inlineStr">
        <is>
          <t>Primary research needed</t>
        </is>
      </c>
    </row>
    <row r="26">
      <c r="A26" s="5" t="inlineStr">
        <is>
          <t>InterventionSuccess</t>
        </is>
      </c>
      <c r="B26" s="7" t="inlineStr">
        <is>
          <t>Dropout reduction among flagged students given outreach (RCT)</t>
        </is>
      </c>
      <c r="C26" s="7" t="inlineStr">
        <is>
          <t>Researched</t>
        </is>
      </c>
      <c r="D26" s="7" t="inlineStr">
        <is>
          <t>M</t>
        </is>
      </c>
      <c r="E26" s="7" t="inlineStr">
        <is>
          <t>R4: mean 15.8% / median 12.5% over 8 RCTs - OU outreach RCT 2020 -19%/-35%; Room to Read India -30%; Bergman parent texts; MAAPS/Samata/Oreopoulos nulls (research/R4_R5)</t>
        </is>
      </c>
      <c r="F26" s="5" t="inlineStr">
        <is>
          <t>Borrowed from other settings - not our measured effect</t>
        </is>
      </c>
    </row>
    <row r="27">
      <c r="A27" s="5" t="inlineStr">
        <is>
          <t>AdmissionUplift</t>
        </is>
      </c>
      <c r="B27" s="7" t="inlineStr">
        <is>
          <t>Admissions uplift next session from results/parent trust</t>
        </is>
      </c>
      <c r="C27" s="7" t="inlineStr">
        <is>
          <t>Assumption</t>
        </is>
      </c>
      <c r="D27" s="7" t="inlineStr">
        <is>
          <t>L</t>
        </is>
      </c>
      <c r="E27" s="7" t="inlineStr">
        <is>
          <t>No evidence - Bear = 0</t>
        </is>
      </c>
      <c r="F27" s="5" t="inlineStr"/>
    </row>
    <row r="28">
      <c r="A28" s="5" t="inlineStr">
        <is>
          <t>MarginExtraAdmission</t>
        </is>
      </c>
      <c r="B28" s="7" t="inlineStr">
        <is>
          <t>Institute margin on one extra admission</t>
        </is>
      </c>
      <c r="C28" s="7" t="inlineStr">
        <is>
          <t>Assumption</t>
        </is>
      </c>
      <c r="D28" s="7" t="inlineStr">
        <is>
          <t>L</t>
        </is>
      </c>
      <c r="E28" s="7" t="inlineStr">
        <is>
          <t>Marginal seat in an existing batch</t>
        </is>
      </c>
      <c r="F28" s="5" t="inlineStr"/>
    </row>
    <row r="29">
      <c r="A29" s="5" t="inlineStr">
        <is>
          <t>StaffHoursSaved</t>
        </is>
      </c>
      <c r="B29" s="7" t="inlineStr">
        <is>
          <t>Staff hours saved per month</t>
        </is>
      </c>
      <c r="C29" s="7" t="inlineStr">
        <is>
          <t>Guide</t>
        </is>
      </c>
      <c r="D29" s="7" t="inlineStr">
        <is>
          <t>L</t>
        </is>
      </c>
      <c r="E29" s="7" t="inlineStr">
        <is>
          <t>Case brief value lever; primary research needed</t>
        </is>
      </c>
      <c r="F29" s="5" t="inlineStr"/>
    </row>
    <row r="30">
      <c r="A30" s="5" t="inlineStr">
        <is>
          <t>StaffHourCost</t>
        </is>
      </c>
      <c r="B30" s="7" t="inlineStr">
        <is>
          <t>Cost of one admin staff hour</t>
        </is>
      </c>
      <c r="C30" s="7" t="inlineStr">
        <is>
          <t>Researched</t>
        </is>
      </c>
      <c r="D30" s="7" t="inlineStr">
        <is>
          <t>M</t>
        </is>
      </c>
      <c r="E30" s="7" t="inlineStr">
        <is>
          <t>R5: Tier-2 executive pay Rs18-25k/month (Payscale/Indeed Patna) / ~200 h</t>
        </is>
      </c>
      <c r="F30" s="5" t="inlineStr"/>
    </row>
    <row r="31">
      <c r="A31" s="5" t="inlineStr">
        <is>
          <t>InterventionMinutes</t>
        </is>
      </c>
      <c r="B31" s="7" t="inlineStr">
        <is>
          <t>Mentor minutes per intervention</t>
        </is>
      </c>
      <c r="C31" s="7" t="inlineStr">
        <is>
          <t>Assumption</t>
        </is>
      </c>
      <c r="D31" s="7" t="inlineStr">
        <is>
          <t>L</t>
        </is>
      </c>
      <c r="E31" s="7" t="inlineStr">
        <is>
          <t>Call + meeting with parent</t>
        </is>
      </c>
      <c r="F31" s="5" t="inlineStr"/>
    </row>
    <row r="32">
      <c r="A32" s="5" t="inlineStr">
        <is>
          <t>MentorHourCost</t>
        </is>
      </c>
      <c r="B32" s="7" t="inlineStr">
        <is>
          <t>Cost of one mentor hour</t>
        </is>
      </c>
      <c r="C32" s="7" t="inlineStr">
        <is>
          <t>Assumption</t>
        </is>
      </c>
      <c r="D32" s="7" t="inlineStr">
        <is>
          <t>M</t>
        </is>
      </c>
      <c r="E32" s="7" t="inlineStr">
        <is>
          <t>Teacher pay ~Rs30-50k/month / ~200 h</t>
        </is>
      </c>
      <c r="F32" s="5" t="inlineStr"/>
    </row>
    <row r="33">
      <c r="A33" s="5" t="inlineStr">
        <is>
          <t>GST</t>
        </is>
      </c>
      <c r="B33" s="7" t="inlineStr">
        <is>
          <t>GST on SaaS</t>
        </is>
      </c>
      <c r="C33" s="7" t="inlineStr">
        <is>
          <t>Researched</t>
        </is>
      </c>
      <c r="D33" s="7" t="inlineStr">
        <is>
          <t>M</t>
        </is>
      </c>
      <c r="E33" s="7" t="inlineStr">
        <is>
          <t>R6: 18% (heading 9983 residual entry; Notif. 11/2017-CTR as amended by 15/2025-CTR)</t>
        </is>
      </c>
      <c r="F33" s="5" t="inlineStr">
        <is>
          <t>SAC code 9983 vs 9984 unconfirmed - ask a CA</t>
        </is>
      </c>
    </row>
    <row r="34">
      <c r="A34" s="5" t="inlineStr">
        <is>
          <t>ITCShare</t>
        </is>
      </c>
      <c r="B34" s="7" t="inlineStr">
        <is>
          <t>Share of institutes that reclaim our GST as input credit</t>
        </is>
      </c>
      <c r="C34" s="7" t="inlineStr">
        <is>
          <t>Assumption</t>
        </is>
      </c>
      <c r="D34" s="7" t="inlineStr">
        <is>
          <t>L</t>
        </is>
      </c>
      <c r="E34" s="7" t="inlineStr">
        <is>
          <t>R6: coaching is taxable at 18%; registration mandatory above Rs20L turnover; CGST s.16(1) gives ITC to registered persons. A 180-student institute turns over ~Rs1 Cr, so legally registered - but cash/informal practice in Tier-3</t>
        </is>
      </c>
      <c r="F34" s="5" t="inlineStr">
        <is>
          <t>Was 'all unregistered' in the naive view</t>
        </is>
      </c>
    </row>
    <row r="35">
      <c r="A35" s="5" t="inlineStr">
        <is>
          <t>ListPrice</t>
        </is>
      </c>
      <c r="B35" s="7" t="inlineStr">
        <is>
          <t>List price per active student per month</t>
        </is>
      </c>
      <c r="C35" s="7" t="inlineStr">
        <is>
          <t>Assumption</t>
        </is>
      </c>
      <c r="D35" s="7" t="inlineStr">
        <is>
          <t>L</t>
        </is>
      </c>
      <c r="E35" s="7" t="inlineStr">
        <is>
          <t>R1: ERP/LMS anchors Rs4-21/student/month at 400 students (Classplus/Fedena/Graphy); no competitor bundles OMR + topic analytics + Hindi WhatsApp</t>
        </is>
      </c>
      <c r="F35" s="5" t="inlineStr">
        <is>
          <t>Decision lever - test in interviews (Van Westendorp)</t>
        </is>
      </c>
    </row>
    <row r="36">
      <c r="A36" s="5" t="inlineStr">
        <is>
          <t>CompetitorAnchor</t>
        </is>
      </c>
      <c r="B36" s="7" t="inlineStr">
        <is>
          <t>What institutes already pay for an ERP/LMS</t>
        </is>
      </c>
      <c r="C36" s="7" t="inlineStr">
        <is>
          <t>Researched</t>
        </is>
      </c>
      <c r="D36" s="7" t="inlineStr">
        <is>
          <t>M</t>
        </is>
      </c>
      <c r="E36" s="7" t="inlineStr">
        <is>
          <t>R1: Classplus Starter Rs19999/yr (Capterra); Fedena Standard / Graphy Grow Rs50k/yr; Fedena Ultimate Rs1L/yr - all at 400 students</t>
        </is>
      </c>
      <c r="F36" s="5" t="inlineStr">
        <is>
          <t>Reference only - not used in revenue</t>
        </is>
      </c>
    </row>
    <row r="37">
      <c r="A37" s="5" t="inlineStr">
        <is>
          <t>CompetitorAnchorHigh</t>
        </is>
      </c>
      <c r="B37" s="7" t="inlineStr">
        <is>
          <t>Highest priced ERP/LMS anchor found</t>
        </is>
      </c>
      <c r="C37" s="7" t="inlineStr">
        <is>
          <t>Researched</t>
        </is>
      </c>
      <c r="D37" s="7" t="inlineStr">
        <is>
          <t>M</t>
        </is>
      </c>
      <c r="E37" s="7" t="inlineStr">
        <is>
          <t>R1: Fedena Ultimate / Graphy Rise Rs1L/yr at 400 students</t>
        </is>
      </c>
      <c r="F37" s="5" t="inlineStr">
        <is>
          <t>Used in a warning check</t>
        </is>
      </c>
    </row>
    <row r="38">
      <c r="A38" s="5" t="inlineStr">
        <is>
          <t>MinFee</t>
        </is>
      </c>
      <c r="B38" s="7" t="inlineStr">
        <is>
          <t>Minimum monthly fee per institute</t>
        </is>
      </c>
      <c r="C38" s="7" t="inlineStr">
        <is>
          <t>Assumption</t>
        </is>
      </c>
      <c r="D38" s="7" t="inlineStr">
        <is>
          <t>L</t>
        </is>
      </c>
      <c r="E38" s="7" t="inlineStr">
        <is>
          <t>FINANCE_PLAN s.3.2</t>
        </is>
      </c>
      <c r="F38" s="5" t="inlineStr"/>
    </row>
    <row r="39">
      <c r="A39" s="5" t="inlineStr">
        <is>
          <t>NegotiationDisc</t>
        </is>
      </c>
      <c r="B39" s="7" t="inlineStr">
        <is>
          <t>Average negotiated discount off list</t>
        </is>
      </c>
      <c r="C39" s="7" t="inlineStr">
        <is>
          <t>Assumption</t>
        </is>
      </c>
      <c r="D39" s="7" t="inlineStr">
        <is>
          <t>L</t>
        </is>
      </c>
      <c r="E39" s="7" t="inlineStr">
        <is>
          <t>Primary research needed</t>
        </is>
      </c>
      <c r="F39" s="5" t="inlineStr"/>
    </row>
    <row r="40">
      <c r="A40" s="5" t="inlineStr">
        <is>
          <t>PrepayUptake</t>
        </is>
      </c>
      <c r="B40" s="7" t="inlineStr">
        <is>
          <t>Share of institutes choosing annual prepay</t>
        </is>
      </c>
      <c r="C40" s="7" t="inlineStr">
        <is>
          <t>Assumption</t>
        </is>
      </c>
      <c r="D40" s="7" t="inlineStr">
        <is>
          <t>L</t>
        </is>
      </c>
      <c r="E40" s="7" t="inlineStr">
        <is>
          <t>Coaching institutes are cash-rich in Apr-Jun (admission season)</t>
        </is>
      </c>
      <c r="F40" s="5" t="inlineStr">
        <is>
          <t>Prepaid institutes cannot churn mid-session</t>
        </is>
      </c>
    </row>
    <row r="41">
      <c r="A41" s="5" t="inlineStr">
        <is>
          <t>PrepayDisc</t>
        </is>
      </c>
      <c r="B41" s="7" t="inlineStr">
        <is>
          <t>Annual prepay discount</t>
        </is>
      </c>
      <c r="C41" s="7" t="inlineStr">
        <is>
          <t>Assumption</t>
        </is>
      </c>
      <c r="D41" s="7" t="inlineStr">
        <is>
          <t>M</t>
        </is>
      </c>
      <c r="E41" s="7" t="inlineStr">
        <is>
          <t>FINANCE_PLAN s.3.2; R2 shows institutes give 4-6% for upfront fees</t>
        </is>
      </c>
      <c r="F41" s="5" t="inlineStr"/>
    </row>
    <row r="42">
      <c r="A42" s="5" t="inlineStr">
        <is>
          <t>BadDebt</t>
        </is>
      </c>
      <c r="B42" s="7" t="inlineStr">
        <is>
          <t>Bad debt / uncollected billing</t>
        </is>
      </c>
      <c r="C42" s="7" t="inlineStr">
        <is>
          <t>Assumption</t>
        </is>
      </c>
      <c r="D42" s="7" t="inlineStr">
        <is>
          <t>M</t>
        </is>
      </c>
      <c r="E42" s="7" t="inlineStr">
        <is>
          <t>FINANCE_PLAN s.3.2</t>
        </is>
      </c>
      <c r="F42" s="5" t="inlineStr"/>
    </row>
    <row r="43">
      <c r="A43" s="5" t="inlineStr">
        <is>
          <t>GatewayFee</t>
        </is>
      </c>
      <c r="B43" s="7" t="inlineStr">
        <is>
          <t>Payment collection cost (blended)</t>
        </is>
      </c>
      <c r="C43" s="7" t="inlineStr">
        <is>
          <t>Researched</t>
        </is>
      </c>
      <c r="D43" s="7" t="inlineStr">
        <is>
          <t>M</t>
        </is>
      </c>
      <c r="E43" s="7" t="inlineStr">
        <is>
          <t>R6: Razorpay 2% + 18% GST = 2.36%; UPI MDR 0.4% on P2M &gt;Rs2000 from 15-Oct-2026; NEFT ~0</t>
        </is>
      </c>
      <c r="F43" s="5" t="inlineStr">
        <is>
          <t>Base assumes half paid by bank transfer</t>
        </is>
      </c>
    </row>
    <row r="44">
      <c r="A44" s="5" t="inlineStr">
        <is>
          <t>ReportsPerStudentMonth</t>
        </is>
      </c>
      <c r="B44" s="7" t="inlineStr">
        <is>
          <t>AI parent reports per student per month</t>
        </is>
      </c>
      <c r="C44" s="7" t="inlineStr">
        <is>
          <t>Assumption</t>
        </is>
      </c>
      <c r="D44" s="7" t="inlineStr">
        <is>
          <t>M</t>
        </is>
      </c>
      <c r="E44" s="7" t="inlineStr">
        <is>
          <t>TECH_PLAN s.11 weekly report; Bear adds alerts</t>
        </is>
      </c>
      <c r="F44" s="5" t="inlineStr"/>
    </row>
    <row r="45">
      <c r="A45" s="5" t="inlineStr">
        <is>
          <t>TokensInPerReport</t>
        </is>
      </c>
      <c r="B45" s="7" t="inlineStr">
        <is>
          <t>LLM input tokens per report</t>
        </is>
      </c>
      <c r="C45" s="7" t="inlineStr">
        <is>
          <t>Assumption</t>
        </is>
      </c>
      <c r="D45" s="7" t="inlineStr">
        <is>
          <t>M</t>
        </is>
      </c>
      <c r="E45" s="7" t="inlineStr">
        <is>
          <t>TECH_PLAN GenAI design (numbers_json + template)</t>
        </is>
      </c>
      <c r="F45" s="5" t="inlineStr"/>
    </row>
    <row r="46">
      <c r="A46" s="5" t="inlineStr">
        <is>
          <t>TokensOutPerReport</t>
        </is>
      </c>
      <c r="B46" s="7" t="inlineStr">
        <is>
          <t>LLM output tokens per report</t>
        </is>
      </c>
      <c r="C46" s="7" t="inlineStr">
        <is>
          <t>Assumption</t>
        </is>
      </c>
      <c r="D46" s="7" t="inlineStr">
        <is>
          <t>M</t>
        </is>
      </c>
      <c r="E46" s="7" t="inlineStr">
        <is>
          <t>Bilingual report ~400-600 words</t>
        </is>
      </c>
      <c r="F46" s="5" t="inlineStr"/>
    </row>
    <row r="47">
      <c r="A47" s="5" t="inlineStr">
        <is>
          <t>LLMPriceIn</t>
        </is>
      </c>
      <c r="B47" s="7" t="inlineStr">
        <is>
          <t>LLM input price (hosted)</t>
        </is>
      </c>
      <c r="C47" s="7" t="inlineStr">
        <is>
          <t>Researched</t>
        </is>
      </c>
      <c r="D47" s="7" t="inlineStr">
        <is>
          <t>H</t>
        </is>
      </c>
      <c r="E47" s="7" t="inlineStr">
        <is>
          <t>R6: Gemini 3.8 Flash from 1-Jan-2027 / Gemini 3.1 Flash-Lite / Claude Haiku 5.5 at Rs95.05/USD (official pricing pages 20-Oct-2026)</t>
        </is>
      </c>
      <c r="F47" s="5" t="inlineStr">
        <is>
          <t>Local Ollama = ~0 (prototype)</t>
        </is>
      </c>
    </row>
    <row r="48">
      <c r="A48" s="5" t="inlineStr">
        <is>
          <t>LLMPriceOut</t>
        </is>
      </c>
      <c r="B48" s="7" t="inlineStr">
        <is>
          <t>LLM output price (hosted)</t>
        </is>
      </c>
      <c r="C48" s="7" t="inlineStr">
        <is>
          <t>Researched</t>
        </is>
      </c>
      <c r="D48" s="7" t="inlineStr">
        <is>
          <t>H</t>
        </is>
      </c>
      <c r="E48" s="7" t="inlineStr">
        <is>
          <t>R6: same models as input price</t>
        </is>
      </c>
      <c r="F48" s="5" t="inlineStr"/>
    </row>
    <row r="49">
      <c r="A49" s="5" t="inlineStr">
        <is>
          <t>WAMsgsPerStudentMonth</t>
        </is>
      </c>
      <c r="B49" s="7" t="inlineStr">
        <is>
          <t>WhatsApp utility messages per student per month</t>
        </is>
      </c>
      <c r="C49" s="7" t="inlineStr">
        <is>
          <t>Assumption</t>
        </is>
      </c>
      <c r="D49" s="7" t="inlineStr">
        <is>
          <t>M</t>
        </is>
      </c>
      <c r="E49" s="7" t="inlineStr">
        <is>
          <t>Weekly report + alerts + fee reminders</t>
        </is>
      </c>
      <c r="F49" s="5" t="inlineStr"/>
    </row>
    <row r="50">
      <c r="A50" s="5" t="inlineStr">
        <is>
          <t>WAPricePerMsg</t>
        </is>
      </c>
      <c r="B50" s="7" t="inlineStr">
        <is>
          <t>WhatsApp utility message price (India)</t>
        </is>
      </c>
      <c r="C50" s="7" t="inlineStr">
        <is>
          <t>Researched</t>
        </is>
      </c>
      <c r="D50" s="7" t="inlineStr">
        <is>
          <t>H</t>
        </is>
      </c>
      <c r="E50" s="7" t="inlineStr">
        <is>
          <t>R6: Meta list Rs0.115 (eff. 1-Oct-2026); Gallabox Rs0.1323; AiSensy Rs0.145. Utility replies in window charged again from 1-Oct-2026</t>
        </is>
      </c>
      <c r="F50" s="5" t="inlineStr"/>
    </row>
    <row r="51">
      <c r="A51" s="5" t="inlineStr">
        <is>
          <t>ComputePerStudentMonth</t>
        </is>
      </c>
      <c r="B51" s="7" t="inlineStr">
        <is>
          <t>Compute + storage + backups per student</t>
        </is>
      </c>
      <c r="C51" s="7" t="inlineStr">
        <is>
          <t>Assumption</t>
        </is>
      </c>
      <c r="D51" s="7" t="inlineStr">
        <is>
          <t>L</t>
        </is>
      </c>
      <c r="E51" s="7" t="inlineStr">
        <is>
          <t>TECH_PLAN s.16 cost model (NB09 pending); OMR images auto-deleted after 7 days</t>
        </is>
      </c>
      <c r="F51" s="5" t="inlineStr"/>
    </row>
    <row r="52">
      <c r="A52" s="5" t="inlineStr">
        <is>
          <t>ConsentCostPerStudentYear</t>
        </is>
      </c>
      <c r="B52" s="7" t="inlineStr">
        <is>
          <t>Consent OTP + verification per student</t>
        </is>
      </c>
      <c r="C52" s="7" t="inlineStr">
        <is>
          <t>Assumption</t>
        </is>
      </c>
      <c r="D52" s="7" t="inlineStr">
        <is>
          <t>L</t>
        </is>
      </c>
      <c r="E52" s="7" t="inlineStr">
        <is>
          <t>TECH_PLAN consent design (OTP)</t>
        </is>
      </c>
      <c r="F52" s="5" t="inlineStr"/>
    </row>
    <row r="53">
      <c r="A53" s="5" t="inlineStr">
        <is>
          <t>ServerCostMonth</t>
        </is>
      </c>
      <c r="B53" s="7" t="inlineStr">
        <is>
          <t>App server + managed Postgres + backups per stack</t>
        </is>
      </c>
      <c r="C53" s="7" t="inlineStr">
        <is>
          <t>Researched</t>
        </is>
      </c>
      <c r="D53" s="7" t="inlineStr">
        <is>
          <t>M</t>
        </is>
      </c>
      <c r="E53" s="7" t="inlineStr">
        <is>
          <t>R6: AWS t3.medium Rs3108 + DO PG 2vCPU Rs5789 / Lightsail-DO Rs2281 + DO PG Rs1440 / t4g Rs1554 + Lightsail DB Rs1426</t>
        </is>
      </c>
      <c r="F53" s="5" t="inlineStr">
        <is>
          <t>Base adds ~Rs300 backups</t>
        </is>
      </c>
    </row>
    <row r="54">
      <c r="A54" s="5" t="inlineStr">
        <is>
          <t>BSPFeeMonth</t>
        </is>
      </c>
      <c r="B54" s="7" t="inlineStr">
        <is>
          <t>WhatsApp BSP platform fee per stack</t>
        </is>
      </c>
      <c r="C54" s="7" t="inlineStr">
        <is>
          <t>Researched</t>
        </is>
      </c>
      <c r="D54" s="7" t="inlineStr">
        <is>
          <t>M</t>
        </is>
      </c>
      <c r="E54" s="7" t="inlineStr">
        <is>
          <t>R6: AiSensy Pro Rs3200 / Basic Rs1500 / Gupshup self-serve Rs0 + per-msg</t>
        </is>
      </c>
      <c r="F54" s="5" t="inlineStr"/>
    </row>
    <row r="55">
      <c r="A55" s="5" t="inlineStr">
        <is>
          <t>InstPerStack</t>
        </is>
      </c>
      <c r="B55" s="7" t="inlineStr">
        <is>
          <t>Institutes sharing one server stack</t>
        </is>
      </c>
      <c r="C55" s="7" t="inlineStr">
        <is>
          <t>Assumption</t>
        </is>
      </c>
      <c r="D55" s="7" t="inlineStr">
        <is>
          <t>L</t>
        </is>
      </c>
      <c r="E55" s="7" t="inlineStr">
        <is>
          <t>Depends on load test (NB09)</t>
        </is>
      </c>
      <c r="F55" s="5" t="inlineStr"/>
    </row>
    <row r="56">
      <c r="A56" s="5" t="inlineStr">
        <is>
          <t>CompliancePerInstMonth</t>
        </is>
      </c>
      <c r="B56" s="7" t="inlineStr">
        <is>
          <t>DPDP compliance cost per institute</t>
        </is>
      </c>
      <c r="C56" s="7" t="inlineStr">
        <is>
          <t>Assumption</t>
        </is>
      </c>
      <c r="D56" s="7" t="inlineStr">
        <is>
          <t>L</t>
        </is>
      </c>
      <c r="E56" s="7" t="inlineStr">
        <is>
          <t>Audits / consent management / DPO time</t>
        </is>
      </c>
      <c r="F56" s="5" t="inlineStr"/>
    </row>
    <row r="57">
      <c r="A57" s="5" t="inlineStr">
        <is>
          <t>CSM_CTC</t>
        </is>
      </c>
      <c r="B57" s="7" t="inlineStr">
        <is>
          <t>Customer-success / onboarding exec monthly CTC</t>
        </is>
      </c>
      <c r="C57" s="7" t="inlineStr">
        <is>
          <t>Researched</t>
        </is>
      </c>
      <c r="D57" s="7" t="inlineStr">
        <is>
          <t>L</t>
        </is>
      </c>
      <c r="E57" s="7" t="inlineStr">
        <is>
          <t>R5: Tier-2 remote CS median Rs33-42k (Frontlines 2026); Payscale Jaipur CSM-manager Rs58k</t>
        </is>
      </c>
      <c r="F57" s="5" t="inlineStr"/>
    </row>
    <row r="58">
      <c r="A58" s="5" t="inlineStr">
        <is>
          <t>InstPerCSM</t>
        </is>
      </c>
      <c r="B58" s="7" t="inlineStr">
        <is>
          <t>Institutes per CSM</t>
        </is>
      </c>
      <c r="C58" s="7" t="inlineStr">
        <is>
          <t>Researched</t>
        </is>
      </c>
      <c r="D58" s="7" t="inlineStr">
        <is>
          <t>L</t>
        </is>
      </c>
      <c r="E58" s="7" t="inlineStr">
        <is>
          <t>R5: Gainsight SMB 100-250 accounts per CSM - cut for high-touch Tier-2 onboarding</t>
        </is>
      </c>
      <c r="F58" s="5" t="inlineStr"/>
    </row>
    <row r="59">
      <c r="A59" s="5" t="inlineStr">
        <is>
          <t>RepCTC</t>
        </is>
      </c>
      <c r="B59" s="7" t="inlineStr">
        <is>
          <t>Field sales rep monthly CTC (incl. fuel)</t>
        </is>
      </c>
      <c r="C59" s="7" t="inlineStr">
        <is>
          <t>Researched</t>
        </is>
      </c>
      <c r="D59" s="7" t="inlineStr">
        <is>
          <t>M</t>
        </is>
      </c>
      <c r="E59" s="7" t="inlineStr">
        <is>
          <t>R5: Payscale Patna field sales ~Rs20k base; PhonePe postings Rs18-25k + Rs4-4.5k fuel</t>
        </is>
      </c>
      <c r="F59" s="5" t="inlineStr"/>
    </row>
    <row r="60">
      <c r="A60" s="5" t="inlineStr">
        <is>
          <t>RepTravel</t>
        </is>
      </c>
      <c r="B60" s="7" t="inlineStr">
        <is>
          <t>Rep intercity travel + demo material per month</t>
        </is>
      </c>
      <c r="C60" s="7" t="inlineStr">
        <is>
          <t>Assumption</t>
        </is>
      </c>
      <c r="D60" s="7" t="inlineStr">
        <is>
          <t>L</t>
        </is>
      </c>
      <c r="E60" s="7" t="inlineStr">
        <is>
          <t>R5: per-km allowance not found</t>
        </is>
      </c>
      <c r="F60" s="5" t="inlineStr"/>
    </row>
    <row r="61">
      <c r="A61" s="5" t="inlineStr">
        <is>
          <t>PilotsPerRepMonth</t>
        </is>
      </c>
      <c r="B61" s="7" t="inlineStr">
        <is>
          <t>Pilots started per rep per month (yearly avg)</t>
        </is>
      </c>
      <c r="C61" s="7" t="inlineStr">
        <is>
          <t>Assumption</t>
        </is>
      </c>
      <c r="D61" s="7" t="inlineStr">
        <is>
          <t>L</t>
        </is>
      </c>
      <c r="E61" s="7" t="inlineStr">
        <is>
          <t>R5: SaaStr 20-50 deals/month is inside sales; cut for in-person Tier-2 demos; peak Mar-Jun</t>
        </is>
      </c>
      <c r="F61" s="5" t="inlineStr"/>
    </row>
    <row r="62">
      <c r="A62" s="5" t="inlineStr">
        <is>
          <t>PilotConv</t>
        </is>
      </c>
      <c r="B62" s="7" t="inlineStr">
        <is>
          <t>Pilot-to-paid conversion</t>
        </is>
      </c>
      <c r="C62" s="7" t="inlineStr">
        <is>
          <t>Researched</t>
        </is>
      </c>
      <c r="D62" s="7" t="inlineStr">
        <is>
          <t>L</t>
        </is>
      </c>
      <c r="E62" s="7" t="inlineStr">
        <is>
          <t>R5: trial-to-paid 8% median / 18.2% opt-in / 48.8% opt-out (Userpilot 2026); assisted-pilot benchmark not found</t>
        </is>
      </c>
      <c r="F62" s="5" t="inlineStr"/>
    </row>
    <row r="63">
      <c r="A63" s="5" t="inlineStr">
        <is>
          <t>PilotMonths</t>
        </is>
      </c>
      <c r="B63" s="7" t="inlineStr">
        <is>
          <t>Free pilot length</t>
        </is>
      </c>
      <c r="C63" s="7" t="inlineStr">
        <is>
          <t>Assumption</t>
        </is>
      </c>
      <c r="D63" s="7" t="inlineStr">
        <is>
          <t>M</t>
        </is>
      </c>
      <c r="E63" s="7" t="inlineStr">
        <is>
          <t>FINANCE_PLAN s.3.2</t>
        </is>
      </c>
      <c r="F63" s="5" t="inlineStr"/>
    </row>
    <row r="64">
      <c r="A64" s="5" t="inlineStr">
        <is>
          <t>PilotSetupCost</t>
        </is>
      </c>
      <c r="B64" s="7" t="inlineStr">
        <is>
          <t>Retro-pilot setup (import last year's Excel; show who left)</t>
        </is>
      </c>
      <c r="C64" s="7" t="inlineStr">
        <is>
          <t>Assumption</t>
        </is>
      </c>
      <c r="D64" s="7" t="inlineStr">
        <is>
          <t>L</t>
        </is>
      </c>
      <c r="E64" s="7" t="inlineStr">
        <is>
          <t>GTM design: light pilot; full onboarding only after conversion</t>
        </is>
      </c>
      <c r="F64" s="5" t="inlineStr">
        <is>
          <t>Primary research needed</t>
        </is>
      </c>
    </row>
    <row r="65">
      <c r="A65" s="5" t="inlineStr">
        <is>
          <t>OnboardBase</t>
        </is>
      </c>
      <c r="B65" s="7" t="inlineStr">
        <is>
          <t>Onboarding cost per institute (mid)</t>
        </is>
      </c>
      <c r="C65" s="7" t="inlineStr">
        <is>
          <t>Guide</t>
        </is>
      </c>
      <c r="D65" s="7" t="inlineStr">
        <is>
          <t>L</t>
        </is>
      </c>
      <c r="E65" s="7" t="inlineStr">
        <is>
          <t>Case brief Rs5-10k; low-tech institutes higher</t>
        </is>
      </c>
      <c r="F65" s="5" t="inlineStr"/>
    </row>
    <row r="66">
      <c r="A66" s="5" t="inlineStr">
        <is>
          <t>MarketingPerPaid</t>
        </is>
      </c>
      <c r="B66" s="7" t="inlineStr">
        <is>
          <t>Marketing spend per paid institute</t>
        </is>
      </c>
      <c r="C66" s="7" t="inlineStr">
        <is>
          <t>Assumption</t>
        </is>
      </c>
      <c r="D66" s="7" t="inlineStr">
        <is>
          <t>L</t>
        </is>
      </c>
      <c r="E66" s="7" t="inlineStr"/>
      <c r="F66" s="5" t="inlineStr"/>
    </row>
    <row r="67">
      <c r="A67" s="5" t="inlineStr">
        <is>
          <t>ChurnInSeason</t>
        </is>
      </c>
      <c r="B67" s="7" t="inlineStr">
        <is>
          <t>Monthly logo churn for monthly payers</t>
        </is>
      </c>
      <c r="C67" s="7" t="inlineStr">
        <is>
          <t>Researched</t>
        </is>
      </c>
      <c r="D67" s="7" t="inlineStr">
        <is>
          <t>L</t>
        </is>
      </c>
      <c r="E67" s="7" t="inlineStr">
        <is>
          <t>R5: ChartMogul 6.1%/month at ARPA &lt;$25 (2022); eChai India SMB 3-5%; SaaS Capital 2025 GRR 90%/yr</t>
        </is>
      </c>
      <c r="F67" s="5" t="inlineStr">
        <is>
          <t>Applied only to institutes not on annual prepay</t>
        </is>
      </c>
    </row>
    <row r="68">
      <c r="A68" s="5" t="inlineStr">
        <is>
          <t>RenewalSpike</t>
        </is>
      </c>
      <c r="B68" s="7" t="inlineStr">
        <is>
          <t>Non-renewal at session end (annual)</t>
        </is>
      </c>
      <c r="C68" s="7" t="inlineStr">
        <is>
          <t>Assumption</t>
        </is>
      </c>
      <c r="D68" s="7" t="inlineStr">
        <is>
          <t>L</t>
        </is>
      </c>
      <c r="E68" s="7" t="inlineStr">
        <is>
          <t>R5: no benchmark found - answers the judges' post-exam churn question</t>
        </is>
      </c>
      <c r="F68" s="5" t="inlineStr">
        <is>
          <t>Spread over renewal months</t>
        </is>
      </c>
    </row>
    <row r="69">
      <c r="A69" s="5" t="inlineStr">
        <is>
          <t>DiscountRate</t>
        </is>
      </c>
      <c r="B69" s="7" t="inlineStr">
        <is>
          <t>Discount rate for LTV</t>
        </is>
      </c>
      <c r="C69" s="7" t="inlineStr">
        <is>
          <t>Structural</t>
        </is>
      </c>
      <c r="D69" s="7" t="inlineStr">
        <is>
          <t>M</t>
        </is>
      </c>
      <c r="E69" s="7" t="inlineStr">
        <is>
          <t>Early-stage cost of capital convention</t>
        </is>
      </c>
      <c r="F69" s="5" t="inlineStr"/>
    </row>
    <row r="70">
      <c r="A70" s="5" t="inlineStr">
        <is>
          <t>StartMonth</t>
        </is>
      </c>
      <c r="B70" s="7" t="inlineStr">
        <is>
          <t>Paid start month (1 = April)</t>
        </is>
      </c>
      <c r="C70" s="7" t="inlineStr">
        <is>
          <t>Structural</t>
        </is>
      </c>
      <c r="D70" s="7" t="inlineStr">
        <is>
          <t>M</t>
        </is>
      </c>
      <c r="E70" s="7" t="inlineStr">
        <is>
          <t>Sales peak Mar-Jun; paid from May after a 1-month pilot</t>
        </is>
      </c>
      <c r="F70" s="5" t="inlineStr"/>
    </row>
    <row r="71">
      <c r="A71" s="5" t="inlineStr">
        <is>
          <t>Founders</t>
        </is>
      </c>
      <c r="B71" s="7" t="inlineStr">
        <is>
          <t>Founders drawing a stipend</t>
        </is>
      </c>
      <c r="C71" s="7" t="inlineStr">
        <is>
          <t>Assumption</t>
        </is>
      </c>
      <c r="D71" s="7" t="inlineStr">
        <is>
          <t>M</t>
        </is>
      </c>
      <c r="E71" s="7" t="inlineStr">
        <is>
          <t>Owner decision</t>
        </is>
      </c>
      <c r="F71" s="5" t="inlineStr"/>
    </row>
    <row r="72">
      <c r="A72" s="5" t="inlineStr">
        <is>
          <t>FounderStipend</t>
        </is>
      </c>
      <c r="B72" s="7" t="inlineStr">
        <is>
          <t>Founder stipend per month</t>
        </is>
      </c>
      <c r="C72" s="7" t="inlineStr">
        <is>
          <t>Assumption</t>
        </is>
      </c>
      <c r="D72" s="7" t="inlineStr">
        <is>
          <t>M</t>
        </is>
      </c>
      <c r="E72" s="7" t="inlineStr">
        <is>
          <t>Owner decision</t>
        </is>
      </c>
      <c r="F72" s="5" t="inlineStr"/>
    </row>
    <row r="73">
      <c r="A73" s="5" t="inlineStr">
        <is>
          <t>Engineers</t>
        </is>
      </c>
      <c r="B73" s="7" t="inlineStr">
        <is>
          <t>Engineers hired</t>
        </is>
      </c>
      <c r="C73" s="7" t="inlineStr">
        <is>
          <t>Assumption</t>
        </is>
      </c>
      <c r="D73" s="7" t="inlineStr">
        <is>
          <t>M</t>
        </is>
      </c>
      <c r="E73" s="7" t="inlineStr"/>
      <c r="F73" s="5" t="inlineStr"/>
    </row>
    <row r="74">
      <c r="A74" s="5" t="inlineStr">
        <is>
          <t>EngineerCTC</t>
        </is>
      </c>
      <c r="B74" s="7" t="inlineStr">
        <is>
          <t>Engineer monthly CTC</t>
        </is>
      </c>
      <c r="C74" s="7" t="inlineStr">
        <is>
          <t>Researched</t>
        </is>
      </c>
      <c r="D74" s="7" t="inlineStr">
        <is>
          <t>L</t>
        </is>
      </c>
      <c r="E74" s="7" t="inlineStr">
        <is>
          <t>R5: Glassdoor Jaipur Rs6L/yr; Indore Rs6-8L/yr (1-3 yrs)</t>
        </is>
      </c>
      <c r="F74" s="5" t="inlineStr"/>
    </row>
    <row r="75">
      <c r="A75" s="5" t="inlineStr">
        <is>
          <t>ToolsOpex</t>
        </is>
      </c>
      <c r="B75" s="7" t="inlineStr">
        <is>
          <t>Tools / office / legal per month</t>
        </is>
      </c>
      <c r="C75" s="7" t="inlineStr">
        <is>
          <t>Assumption</t>
        </is>
      </c>
      <c r="D75" s="7" t="inlineStr">
        <is>
          <t>L</t>
        </is>
      </c>
      <c r="E75" s="7" t="inlineStr"/>
      <c r="F75" s="5" t="inlineStr"/>
    </row>
    <row r="76">
      <c r="A76" s="5" t="inlineStr">
        <is>
          <t>G_Students</t>
        </is>
      </c>
      <c r="B76" s="7" t="inlineStr">
        <is>
          <t>Guide: students</t>
        </is>
      </c>
      <c r="C76" s="7" t="inlineStr">
        <is>
          <t>Guide</t>
        </is>
      </c>
      <c r="D76" s="7" t="inlineStr">
        <is>
          <t>H</t>
        </is>
      </c>
      <c r="E76" s="7" t="inlineStr">
        <is>
          <t>Case brief</t>
        </is>
      </c>
      <c r="F76" s="5" t="inlineStr"/>
    </row>
    <row r="77">
      <c r="A77" s="5" t="inlineStr">
        <is>
          <t>G_Dropout</t>
        </is>
      </c>
      <c r="B77" s="7" t="inlineStr">
        <is>
          <t>Guide: dropout rate</t>
        </is>
      </c>
      <c r="C77" s="7" t="inlineStr">
        <is>
          <t>Guide</t>
        </is>
      </c>
      <c r="D77" s="7" t="inlineStr">
        <is>
          <t>H</t>
        </is>
      </c>
      <c r="E77" s="7" t="inlineStr">
        <is>
          <t>Case brief</t>
        </is>
      </c>
      <c r="F77" s="5" t="inlineStr"/>
    </row>
    <row r="78">
      <c r="A78" s="5" t="inlineStr">
        <is>
          <t>G_RemainingFee</t>
        </is>
      </c>
      <c r="B78" s="7" t="inlineStr">
        <is>
          <t>Guide: remaining fee per dropout</t>
        </is>
      </c>
      <c r="C78" s="7" t="inlineStr">
        <is>
          <t>Guide</t>
        </is>
      </c>
      <c r="D78" s="7" t="inlineStr">
        <is>
          <t>H</t>
        </is>
      </c>
      <c r="E78" s="7" t="inlineStr">
        <is>
          <t>Case brief</t>
        </is>
      </c>
      <c r="F78" s="5" t="inlineStr"/>
    </row>
    <row r="79">
      <c r="A79" s="5" t="inlineStr">
        <is>
          <t>G_Prevent</t>
        </is>
      </c>
      <c r="B79" s="7" t="inlineStr">
        <is>
          <t>Guide: share of dropouts prevented</t>
        </is>
      </c>
      <c r="C79" s="7" t="inlineStr">
        <is>
          <t>Guide</t>
        </is>
      </c>
      <c r="D79" s="7" t="inlineStr">
        <is>
          <t>H</t>
        </is>
      </c>
      <c r="E79" s="7" t="inlineStr">
        <is>
          <t>Case brief</t>
        </is>
      </c>
      <c r="F79" s="5" t="inlineStr"/>
    </row>
    <row r="80">
      <c r="A80" s="5" t="inlineStr">
        <is>
          <t>G_Price</t>
        </is>
      </c>
      <c r="B80" s="7" t="inlineStr">
        <is>
          <t>Guide: price per student per month</t>
        </is>
      </c>
      <c r="C80" s="7" t="inlineStr">
        <is>
          <t>Guide</t>
        </is>
      </c>
      <c r="D80" s="7" t="inlineStr">
        <is>
          <t>H</t>
        </is>
      </c>
      <c r="E80" s="7" t="inlineStr">
        <is>
          <t>Case brief</t>
        </is>
      </c>
      <c r="F80" s="5" t="inlineStr"/>
    </row>
    <row r="81">
      <c r="A81" s="5" t="inlineStr">
        <is>
          <t>G_Months</t>
        </is>
      </c>
      <c r="B81" s="7" t="inlineStr">
        <is>
          <t>Guide: billing months per year</t>
        </is>
      </c>
      <c r="C81" s="7" t="inlineStr">
        <is>
          <t>Guide</t>
        </is>
      </c>
      <c r="D81" s="7" t="inlineStr">
        <is>
          <t>H</t>
        </is>
      </c>
      <c r="E81" s="7" t="inlineStr">
        <is>
          <t>Case brief</t>
        </is>
      </c>
      <c r="F81" s="5" t="inlineStr"/>
    </row>
    <row r="82">
      <c r="A82" s="5" t="inlineStr">
        <is>
          <t>G_Infra</t>
        </is>
      </c>
      <c r="B82" s="7" t="inlineStr">
        <is>
          <t>Guide: infra + AI per student per month</t>
        </is>
      </c>
      <c r="C82" s="7" t="inlineStr">
        <is>
          <t>Guide</t>
        </is>
      </c>
      <c r="D82" s="7" t="inlineStr">
        <is>
          <t>H</t>
        </is>
      </c>
      <c r="E82" s="7" t="inlineStr">
        <is>
          <t>Case brief</t>
        </is>
      </c>
      <c r="F82" s="5" t="inlineStr"/>
    </row>
    <row r="83">
      <c r="A83" s="5" t="inlineStr">
        <is>
          <t>G_Support</t>
        </is>
      </c>
      <c r="B83" s="7" t="inlineStr">
        <is>
          <t>Guide: support per institute per month</t>
        </is>
      </c>
      <c r="C83" s="7" t="inlineStr">
        <is>
          <t>Guide</t>
        </is>
      </c>
      <c r="D83" s="7" t="inlineStr">
        <is>
          <t>H</t>
        </is>
      </c>
      <c r="E83" s="7" t="inlineStr">
        <is>
          <t>Case brief</t>
        </is>
      </c>
      <c r="F83" s="5" t="inlineStr"/>
    </row>
    <row r="84">
      <c r="A84" s="5" t="inlineStr">
        <is>
          <t>G_CAC</t>
        </is>
      </c>
      <c r="B84" s="7" t="inlineStr">
        <is>
          <t>Guide: CAC</t>
        </is>
      </c>
      <c r="C84" s="7" t="inlineStr">
        <is>
          <t>Guide</t>
        </is>
      </c>
      <c r="D84" s="7" t="inlineStr">
        <is>
          <t>H</t>
        </is>
      </c>
      <c r="E84" s="7" t="inlineStr">
        <is>
          <t>Case brief</t>
        </is>
      </c>
      <c r="F84" s="5" t="inlineStr"/>
    </row>
    <row r="85">
      <c r="A85" s="5" t="inlineStr">
        <is>
          <t>G_Onboard</t>
        </is>
      </c>
      <c r="B85" s="7" t="inlineStr">
        <is>
          <t>Guide: onboarding</t>
        </is>
      </c>
      <c r="C85" s="7" t="inlineStr">
        <is>
          <t>Guide</t>
        </is>
      </c>
      <c r="D85" s="7" t="inlineStr">
        <is>
          <t>H</t>
        </is>
      </c>
      <c r="E85" s="7" t="inlineStr">
        <is>
          <t>Case brief</t>
        </is>
      </c>
      <c r="F85" s="5" t="inlineStr"/>
    </row>
    <row r="86">
      <c r="A86" s="5" t="inlineStr">
        <is>
          <t>G_Churn</t>
        </is>
      </c>
      <c r="B86" s="7" t="inlineStr">
        <is>
          <t>Guide: monthly churn</t>
        </is>
      </c>
      <c r="C86" s="7" t="inlineStr">
        <is>
          <t>Guide</t>
        </is>
      </c>
      <c r="D86" s="7" t="inlineStr">
        <is>
          <t>H</t>
        </is>
      </c>
      <c r="E86" s="7" t="inlineStr">
        <is>
          <t>Case brief</t>
        </is>
      </c>
      <c r="F86" s="5" t="inlineStr"/>
    </row>
    <row r="88">
      <c r="A88" s="3" t="inlineStr">
        <is>
          <t>Evidence mix</t>
        </is>
      </c>
    </row>
    <row r="89">
      <c r="B89" s="7" t="inlineStr">
        <is>
          <t>Researched</t>
        </is>
      </c>
      <c r="C89" s="40">
        <f>COUNTIF(C5:C86,"Researched")</f>
        <v/>
      </c>
    </row>
    <row r="90">
      <c r="B90" s="7" t="inlineStr">
        <is>
          <t>Public</t>
        </is>
      </c>
      <c r="C90" s="40">
        <f>COUNTIF(C5:C86,"Public")</f>
        <v/>
      </c>
    </row>
    <row r="91">
      <c r="B91" s="7" t="inlineStr">
        <is>
          <t>Guide</t>
        </is>
      </c>
      <c r="C91" s="40">
        <f>COUNTIF(C5:C86,"Guide")</f>
        <v/>
      </c>
    </row>
    <row r="92">
      <c r="B92" s="7" t="inlineStr">
        <is>
          <t>Assumption</t>
        </is>
      </c>
      <c r="C92" s="40">
        <f>COUNTIF(C5:C86,"Assumption")</f>
        <v/>
      </c>
    </row>
    <row r="93">
      <c r="B93" s="7" t="inlineStr">
        <is>
          <t>Structural</t>
        </is>
      </c>
      <c r="C93" s="40">
        <f>COUNTIF(C5:C86,"Structural")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60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Engine — re-runs the full chain for scenarios, tornado and churn grid. Do not edit.</t>
        </is>
      </c>
    </row>
    <row r="2">
      <c r="B2" s="34" t="inlineStr">
        <is>
          <t>Case</t>
        </is>
      </c>
      <c r="D2" s="34" t="inlineStr">
        <is>
          <t>Live S</t>
        </is>
      </c>
      <c r="E2" s="34" t="inlineStr">
        <is>
          <t>Live M</t>
        </is>
      </c>
      <c r="F2" s="34" t="inlineStr">
        <is>
          <t>Live L</t>
        </is>
      </c>
      <c r="G2" s="34" t="inlineStr">
        <is>
          <t>Bear S</t>
        </is>
      </c>
      <c r="H2" s="34" t="inlineStr">
        <is>
          <t>Bear M</t>
        </is>
      </c>
      <c r="I2" s="34" t="inlineStr">
        <is>
          <t>Bear L</t>
        </is>
      </c>
      <c r="J2" s="34" t="inlineStr">
        <is>
          <t>Base S</t>
        </is>
      </c>
      <c r="K2" s="34" t="inlineStr">
        <is>
          <t>Base M</t>
        </is>
      </c>
      <c r="L2" s="34" t="inlineStr">
        <is>
          <t>Base L</t>
        </is>
      </c>
      <c r="M2" s="34" t="inlineStr">
        <is>
          <t>Bull S</t>
        </is>
      </c>
      <c r="N2" s="34" t="inlineStr">
        <is>
          <t>Bull M</t>
        </is>
      </c>
      <c r="O2" s="34" t="inlineStr">
        <is>
          <t>Bull L</t>
        </is>
      </c>
      <c r="P2" s="34" t="inlineStr">
        <is>
          <t>T ListPrice bear</t>
        </is>
      </c>
      <c r="Q2" s="34" t="inlineStr">
        <is>
          <t>T ListPrice bull</t>
        </is>
      </c>
      <c r="R2" s="34" t="inlineStr">
        <is>
          <t>T Fee bear</t>
        </is>
      </c>
      <c r="S2" s="34" t="inlineStr">
        <is>
          <t>T Fee bull</t>
        </is>
      </c>
      <c r="T2" s="34" t="inlineStr">
        <is>
          <t>T DropoutRate bear</t>
        </is>
      </c>
      <c r="U2" s="34" t="inlineStr">
        <is>
          <t>T DropoutRate bull</t>
        </is>
      </c>
      <c r="V2" s="34" t="inlineStr">
        <is>
          <t>T UpfrontShare bear</t>
        </is>
      </c>
      <c r="W2" s="34" t="inlineStr">
        <is>
          <t>T UpfrontShare bull</t>
        </is>
      </c>
      <c r="X2" s="34" t="inlineStr">
        <is>
          <t>T NInstalments bear</t>
        </is>
      </c>
      <c r="Y2" s="34" t="inlineStr">
        <is>
          <t>T NInstalments bull</t>
        </is>
      </c>
      <c r="Z2" s="34" t="inlineStr">
        <is>
          <t>T InterventionSuccess bear</t>
        </is>
      </c>
      <c r="AA2" s="34" t="inlineStr">
        <is>
          <t>T InterventionSuccess bull</t>
        </is>
      </c>
      <c r="AB2" s="34" t="inlineStr">
        <is>
          <t>T Recall_Minor bear</t>
        </is>
      </c>
      <c r="AC2" s="34" t="inlineStr">
        <is>
          <t>T Recall_Minor bull</t>
        </is>
      </c>
      <c r="AD2" s="34" t="inlineStr">
        <is>
          <t>T BlindMonths bear</t>
        </is>
      </c>
      <c r="AE2" s="34" t="inlineStr">
        <is>
          <t>T BlindMonths bull</t>
        </is>
      </c>
      <c r="AF2" s="34" t="inlineStr">
        <is>
          <t>T AdmissionUplift bear</t>
        </is>
      </c>
      <c r="AG2" s="34" t="inlineStr">
        <is>
          <t>T AdmissionUplift bull</t>
        </is>
      </c>
      <c r="AH2" s="34" t="inlineStr">
        <is>
          <t>T ITCShare bear</t>
        </is>
      </c>
      <c r="AI2" s="34" t="inlineStr">
        <is>
          <t>T ITCShare bull</t>
        </is>
      </c>
      <c r="AJ2" s="34" t="inlineStr">
        <is>
          <t>T ChurnInSeason bear</t>
        </is>
      </c>
      <c r="AK2" s="34" t="inlineStr">
        <is>
          <t>T ChurnInSeason bull</t>
        </is>
      </c>
      <c r="AL2" s="34" t="inlineStr">
        <is>
          <t>T RenewalSpike bear</t>
        </is>
      </c>
      <c r="AM2" s="34" t="inlineStr">
        <is>
          <t>T RenewalSpike bull</t>
        </is>
      </c>
      <c r="AN2" s="34" t="inlineStr">
        <is>
          <t>T PilotConv bear</t>
        </is>
      </c>
      <c r="AO2" s="34" t="inlineStr">
        <is>
          <t>T PilotConv bull</t>
        </is>
      </c>
      <c r="AP2" s="34" t="inlineStr">
        <is>
          <t>T PilotsPerRepMonth bear</t>
        </is>
      </c>
      <c r="AQ2" s="34" t="inlineStr">
        <is>
          <t>T PilotsPerRepMonth bull</t>
        </is>
      </c>
      <c r="AR2" s="34" t="inlineStr">
        <is>
          <t>Churn grid 1</t>
        </is>
      </c>
      <c r="AS2" s="34" t="inlineStr">
        <is>
          <t>Churn grid 2</t>
        </is>
      </c>
      <c r="AT2" s="34" t="inlineStr">
        <is>
          <t>Churn grid 3</t>
        </is>
      </c>
      <c r="AU2" s="34" t="inlineStr">
        <is>
          <t>Churn grid 4</t>
        </is>
      </c>
      <c r="AV2" s="34" t="inlineStr">
        <is>
          <t>Churn grid 5</t>
        </is>
      </c>
    </row>
    <row r="3">
      <c r="B3" s="34" t="inlineStr">
        <is>
          <t>Segment</t>
        </is>
      </c>
      <c r="D3" s="7" t="inlineStr">
        <is>
          <t>S</t>
        </is>
      </c>
      <c r="E3" s="7" t="inlineStr">
        <is>
          <t>M</t>
        </is>
      </c>
      <c r="F3" s="7" t="inlineStr">
        <is>
          <t>L</t>
        </is>
      </c>
      <c r="G3" s="7" t="inlineStr">
        <is>
          <t>S</t>
        </is>
      </c>
      <c r="H3" s="7" t="inlineStr">
        <is>
          <t>M</t>
        </is>
      </c>
      <c r="I3" s="7" t="inlineStr">
        <is>
          <t>L</t>
        </is>
      </c>
      <c r="J3" s="7" t="inlineStr">
        <is>
          <t>S</t>
        </is>
      </c>
      <c r="K3" s="7" t="inlineStr">
        <is>
          <t>M</t>
        </is>
      </c>
      <c r="L3" s="7" t="inlineStr">
        <is>
          <t>L</t>
        </is>
      </c>
      <c r="M3" s="7" t="inlineStr">
        <is>
          <t>S</t>
        </is>
      </c>
      <c r="N3" s="7" t="inlineStr">
        <is>
          <t>M</t>
        </is>
      </c>
      <c r="O3" s="7" t="inlineStr">
        <is>
          <t>L</t>
        </is>
      </c>
      <c r="P3" s="7" t="inlineStr">
        <is>
          <t>M</t>
        </is>
      </c>
      <c r="Q3" s="7" t="inlineStr">
        <is>
          <t>M</t>
        </is>
      </c>
      <c r="R3" s="7" t="inlineStr">
        <is>
          <t>M</t>
        </is>
      </c>
      <c r="S3" s="7" t="inlineStr">
        <is>
          <t>M</t>
        </is>
      </c>
      <c r="T3" s="7" t="inlineStr">
        <is>
          <t>M</t>
        </is>
      </c>
      <c r="U3" s="7" t="inlineStr">
        <is>
          <t>M</t>
        </is>
      </c>
      <c r="V3" s="7" t="inlineStr">
        <is>
          <t>M</t>
        </is>
      </c>
      <c r="W3" s="7" t="inlineStr">
        <is>
          <t>M</t>
        </is>
      </c>
      <c r="X3" s="7" t="inlineStr">
        <is>
          <t>M</t>
        </is>
      </c>
      <c r="Y3" s="7" t="inlineStr">
        <is>
          <t>M</t>
        </is>
      </c>
      <c r="Z3" s="7" t="inlineStr">
        <is>
          <t>M</t>
        </is>
      </c>
      <c r="AA3" s="7" t="inlineStr">
        <is>
          <t>M</t>
        </is>
      </c>
      <c r="AB3" s="7" t="inlineStr">
        <is>
          <t>M</t>
        </is>
      </c>
      <c r="AC3" s="7" t="inlineStr">
        <is>
          <t>M</t>
        </is>
      </c>
      <c r="AD3" s="7" t="inlineStr">
        <is>
          <t>M</t>
        </is>
      </c>
      <c r="AE3" s="7" t="inlineStr">
        <is>
          <t>M</t>
        </is>
      </c>
      <c r="AF3" s="7" t="inlineStr">
        <is>
          <t>M</t>
        </is>
      </c>
      <c r="AG3" s="7" t="inlineStr">
        <is>
          <t>M</t>
        </is>
      </c>
      <c r="AH3" s="7" t="inlineStr">
        <is>
          <t>M</t>
        </is>
      </c>
      <c r="AI3" s="7" t="inlineStr">
        <is>
          <t>M</t>
        </is>
      </c>
      <c r="AJ3" s="7" t="inlineStr">
        <is>
          <t>M</t>
        </is>
      </c>
      <c r="AK3" s="7" t="inlineStr">
        <is>
          <t>M</t>
        </is>
      </c>
      <c r="AL3" s="7" t="inlineStr">
        <is>
          <t>M</t>
        </is>
      </c>
      <c r="AM3" s="7" t="inlineStr">
        <is>
          <t>M</t>
        </is>
      </c>
      <c r="AN3" s="7" t="inlineStr">
        <is>
          <t>M</t>
        </is>
      </c>
      <c r="AO3" s="7" t="inlineStr">
        <is>
          <t>M</t>
        </is>
      </c>
      <c r="AP3" s="7" t="inlineStr">
        <is>
          <t>M</t>
        </is>
      </c>
      <c r="AQ3" s="7" t="inlineStr">
        <is>
          <t>M</t>
        </is>
      </c>
      <c r="AR3" s="7" t="inlineStr">
        <is>
          <t>M</t>
        </is>
      </c>
      <c r="AS3" s="7" t="inlineStr">
        <is>
          <t>M</t>
        </is>
      </c>
      <c r="AT3" s="7" t="inlineStr">
        <is>
          <t>M</t>
        </is>
      </c>
      <c r="AU3" s="7" t="inlineStr">
        <is>
          <t>M</t>
        </is>
      </c>
      <c r="AV3" s="7" t="inlineStr">
        <is>
          <t>M</t>
        </is>
      </c>
    </row>
    <row r="4">
      <c r="B4" s="34" t="inlineStr">
        <is>
          <t>Scenario (1-3)</t>
        </is>
      </c>
      <c r="D4" s="7">
        <f>Scenario</f>
        <v/>
      </c>
      <c r="E4" s="7">
        <f>Scenario</f>
        <v/>
      </c>
      <c r="F4" s="7">
        <f>Scenario</f>
        <v/>
      </c>
      <c r="G4" s="7" t="n">
        <v>1</v>
      </c>
      <c r="H4" s="7" t="n">
        <v>1</v>
      </c>
      <c r="I4" s="7" t="n">
        <v>1</v>
      </c>
      <c r="J4" s="7" t="n">
        <v>2</v>
      </c>
      <c r="K4" s="7" t="n">
        <v>2</v>
      </c>
      <c r="L4" s="7" t="n">
        <v>2</v>
      </c>
      <c r="M4" s="7" t="n">
        <v>3</v>
      </c>
      <c r="N4" s="7" t="n">
        <v>3</v>
      </c>
      <c r="O4" s="7" t="n">
        <v>3</v>
      </c>
      <c r="P4" s="7" t="n">
        <v>2</v>
      </c>
      <c r="Q4" s="7" t="n">
        <v>2</v>
      </c>
      <c r="R4" s="7" t="n">
        <v>2</v>
      </c>
      <c r="S4" s="7" t="n">
        <v>2</v>
      </c>
      <c r="T4" s="7" t="n">
        <v>2</v>
      </c>
      <c r="U4" s="7" t="n">
        <v>2</v>
      </c>
      <c r="V4" s="7" t="n">
        <v>2</v>
      </c>
      <c r="W4" s="7" t="n">
        <v>2</v>
      </c>
      <c r="X4" s="7" t="n">
        <v>2</v>
      </c>
      <c r="Y4" s="7" t="n">
        <v>2</v>
      </c>
      <c r="Z4" s="7" t="n">
        <v>2</v>
      </c>
      <c r="AA4" s="7" t="n">
        <v>2</v>
      </c>
      <c r="AB4" s="7" t="n">
        <v>2</v>
      </c>
      <c r="AC4" s="7" t="n">
        <v>2</v>
      </c>
      <c r="AD4" s="7" t="n">
        <v>2</v>
      </c>
      <c r="AE4" s="7" t="n">
        <v>2</v>
      </c>
      <c r="AF4" s="7" t="n">
        <v>2</v>
      </c>
      <c r="AG4" s="7" t="n">
        <v>2</v>
      </c>
      <c r="AH4" s="7" t="n">
        <v>2</v>
      </c>
      <c r="AI4" s="7" t="n">
        <v>2</v>
      </c>
      <c r="AJ4" s="7" t="n">
        <v>2</v>
      </c>
      <c r="AK4" s="7" t="n">
        <v>2</v>
      </c>
      <c r="AL4" s="7" t="n">
        <v>2</v>
      </c>
      <c r="AM4" s="7" t="n">
        <v>2</v>
      </c>
      <c r="AN4" s="7" t="n">
        <v>2</v>
      </c>
      <c r="AO4" s="7" t="n">
        <v>2</v>
      </c>
      <c r="AP4" s="7" t="n">
        <v>2</v>
      </c>
      <c r="AQ4" s="7" t="n">
        <v>2</v>
      </c>
      <c r="AR4" s="7">
        <f>Scenario</f>
        <v/>
      </c>
      <c r="AS4" s="7">
        <f>Scenario</f>
        <v/>
      </c>
      <c r="AT4" s="7">
        <f>Scenario</f>
        <v/>
      </c>
      <c r="AU4" s="7">
        <f>Scenario</f>
        <v/>
      </c>
      <c r="AV4" s="7">
        <f>Scenario</f>
        <v/>
      </c>
    </row>
    <row r="5">
      <c r="B5" s="34" t="inlineStr">
        <is>
          <t>Override input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>
        <is>
          <t>ListPrice</t>
        </is>
      </c>
      <c r="Q5" s="7" t="inlineStr">
        <is>
          <t>ListPrice</t>
        </is>
      </c>
      <c r="R5" s="7" t="inlineStr">
        <is>
          <t>Fee</t>
        </is>
      </c>
      <c r="S5" s="7" t="inlineStr">
        <is>
          <t>Fee</t>
        </is>
      </c>
      <c r="T5" s="7" t="inlineStr">
        <is>
          <t>DropoutRate</t>
        </is>
      </c>
      <c r="U5" s="7" t="inlineStr">
        <is>
          <t>DropoutRate</t>
        </is>
      </c>
      <c r="V5" s="7" t="inlineStr">
        <is>
          <t>UpfrontShare</t>
        </is>
      </c>
      <c r="W5" s="7" t="inlineStr">
        <is>
          <t>UpfrontShare</t>
        </is>
      </c>
      <c r="X5" s="7" t="inlineStr">
        <is>
          <t>NInstalments</t>
        </is>
      </c>
      <c r="Y5" s="7" t="inlineStr">
        <is>
          <t>NInstalments</t>
        </is>
      </c>
      <c r="Z5" s="7" t="inlineStr">
        <is>
          <t>InterventionSuccess</t>
        </is>
      </c>
      <c r="AA5" s="7" t="inlineStr">
        <is>
          <t>InterventionSuccess</t>
        </is>
      </c>
      <c r="AB5" s="7" t="inlineStr">
        <is>
          <t>Recall_Minor</t>
        </is>
      </c>
      <c r="AC5" s="7" t="inlineStr">
        <is>
          <t>Recall_Minor</t>
        </is>
      </c>
      <c r="AD5" s="7" t="inlineStr">
        <is>
          <t>BlindMonths</t>
        </is>
      </c>
      <c r="AE5" s="7" t="inlineStr">
        <is>
          <t>BlindMonths</t>
        </is>
      </c>
      <c r="AF5" s="7" t="inlineStr">
        <is>
          <t>AdmissionUplift</t>
        </is>
      </c>
      <c r="AG5" s="7" t="inlineStr">
        <is>
          <t>AdmissionUplift</t>
        </is>
      </c>
      <c r="AH5" s="7" t="inlineStr">
        <is>
          <t>ITCShare</t>
        </is>
      </c>
      <c r="AI5" s="7" t="inlineStr">
        <is>
          <t>ITCShare</t>
        </is>
      </c>
      <c r="AJ5" s="7" t="inlineStr">
        <is>
          <t>ChurnInSeason</t>
        </is>
      </c>
      <c r="AK5" s="7" t="inlineStr">
        <is>
          <t>ChurnInSeason</t>
        </is>
      </c>
      <c r="AL5" s="7" t="inlineStr">
        <is>
          <t>RenewalSpike</t>
        </is>
      </c>
      <c r="AM5" s="7" t="inlineStr">
        <is>
          <t>RenewalSpike</t>
        </is>
      </c>
      <c r="AN5" s="7" t="inlineStr">
        <is>
          <t>PilotConv</t>
        </is>
      </c>
      <c r="AO5" s="7" t="inlineStr">
        <is>
          <t>PilotConv</t>
        </is>
      </c>
      <c r="AP5" s="7" t="inlineStr">
        <is>
          <t>PilotsPerRepMonth</t>
        </is>
      </c>
      <c r="AQ5" s="7" t="inlineStr">
        <is>
          <t>PilotsPerRepMonth</t>
        </is>
      </c>
      <c r="AR5" s="7" t="inlineStr">
        <is>
          <t>ChurnInSeason</t>
        </is>
      </c>
      <c r="AS5" s="7" t="inlineStr">
        <is>
          <t>ChurnInSeason</t>
        </is>
      </c>
      <c r="AT5" s="7" t="inlineStr">
        <is>
          <t>ChurnInSeason</t>
        </is>
      </c>
      <c r="AU5" s="7" t="inlineStr">
        <is>
          <t>ChurnInSeason</t>
        </is>
      </c>
      <c r="AV5" s="7" t="inlineStr">
        <is>
          <t>ChurnInSeason</t>
        </is>
      </c>
    </row>
    <row r="6">
      <c r="B6" s="34" t="inlineStr">
        <is>
          <t>Override value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>
        <f>Assumptions!$D$38</f>
        <v/>
      </c>
      <c r="Q6" s="7">
        <f>Assumptions!$F$38</f>
        <v/>
      </c>
      <c r="R6" s="7">
        <f>Assumptions!$D$10</f>
        <v/>
      </c>
      <c r="S6" s="7">
        <f>Assumptions!$F$10</f>
        <v/>
      </c>
      <c r="T6" s="7">
        <f>Assumptions!$D$16</f>
        <v/>
      </c>
      <c r="U6" s="7">
        <f>Assumptions!$F$16</f>
        <v/>
      </c>
      <c r="V6" s="7">
        <f>Assumptions!$D$17</f>
        <v/>
      </c>
      <c r="W6" s="7">
        <f>Assumptions!$F$17</f>
        <v/>
      </c>
      <c r="X6" s="7">
        <f>Assumptions!$D$18</f>
        <v/>
      </c>
      <c r="Y6" s="7">
        <f>Assumptions!$F$18</f>
        <v/>
      </c>
      <c r="Z6" s="7">
        <f>Assumptions!$D$28</f>
        <v/>
      </c>
      <c r="AA6" s="7">
        <f>Assumptions!$F$28</f>
        <v/>
      </c>
      <c r="AB6" s="7">
        <f>Assumptions!$D$24</f>
        <v/>
      </c>
      <c r="AC6" s="7">
        <f>Assumptions!$F$24</f>
        <v/>
      </c>
      <c r="AD6" s="7">
        <f>Assumptions!$D$21</f>
        <v/>
      </c>
      <c r="AE6" s="7">
        <f>Assumptions!$F$21</f>
        <v/>
      </c>
      <c r="AF6" s="7">
        <f>Assumptions!$D$29</f>
        <v/>
      </c>
      <c r="AG6" s="7">
        <f>Assumptions!$F$29</f>
        <v/>
      </c>
      <c r="AH6" s="7">
        <f>Assumptions!$D$36</f>
        <v/>
      </c>
      <c r="AI6" s="7">
        <f>Assumptions!$F$36</f>
        <v/>
      </c>
      <c r="AJ6" s="7">
        <f>Assumptions!$D$72</f>
        <v/>
      </c>
      <c r="AK6" s="7">
        <f>Assumptions!$F$72</f>
        <v/>
      </c>
      <c r="AL6" s="7">
        <f>Assumptions!$D$73</f>
        <v/>
      </c>
      <c r="AM6" s="7">
        <f>Assumptions!$F$73</f>
        <v/>
      </c>
      <c r="AN6" s="7">
        <f>Assumptions!$D$67</f>
        <v/>
      </c>
      <c r="AO6" s="7">
        <f>Assumptions!$F$67</f>
        <v/>
      </c>
      <c r="AP6" s="7">
        <f>Assumptions!$D$66</f>
        <v/>
      </c>
      <c r="AQ6" s="7">
        <f>Assumptions!$F$66</f>
        <v/>
      </c>
      <c r="AR6" s="7">
        <f>Sensitivity!B$34</f>
        <v/>
      </c>
      <c r="AS6" s="7">
        <f>Sensitivity!C$34</f>
        <v/>
      </c>
      <c r="AT6" s="7">
        <f>Sensitivity!D$34</f>
        <v/>
      </c>
      <c r="AU6" s="7">
        <f>Sensitivity!E$34</f>
        <v/>
      </c>
      <c r="AV6" s="7">
        <f>Sensitivity!F$34</f>
        <v/>
      </c>
    </row>
    <row r="8">
      <c r="B8" s="5" t="inlineStr">
        <is>
          <t>ReportsPerStudentMonth</t>
        </is>
      </c>
      <c r="D8" s="55">
        <f>IF($D$5="ReportsPerStudentMonth",$D$6,INDEX(Assumptions!$D$48:$F$48,$D$4))</f>
        <v/>
      </c>
      <c r="E8" s="55">
        <f>IF($E$5="ReportsPerStudentMonth",$E$6,INDEX(Assumptions!$D$48:$F$48,$E$4))</f>
        <v/>
      </c>
      <c r="F8" s="55">
        <f>IF($F$5="ReportsPerStudentMonth",$F$6,INDEX(Assumptions!$D$48:$F$48,$F$4))</f>
        <v/>
      </c>
      <c r="G8" s="55">
        <f>IF($G$5="ReportsPerStudentMonth",$G$6,INDEX(Assumptions!$D$48:$F$48,$G$4))</f>
        <v/>
      </c>
      <c r="H8" s="55">
        <f>IF($H$5="ReportsPerStudentMonth",$H$6,INDEX(Assumptions!$D$48:$F$48,$H$4))</f>
        <v/>
      </c>
      <c r="I8" s="55">
        <f>IF($I$5="ReportsPerStudentMonth",$I$6,INDEX(Assumptions!$D$48:$F$48,$I$4))</f>
        <v/>
      </c>
      <c r="J8" s="55">
        <f>IF($J$5="ReportsPerStudentMonth",$J$6,INDEX(Assumptions!$D$48:$F$48,$J$4))</f>
        <v/>
      </c>
      <c r="K8" s="55">
        <f>IF($K$5="ReportsPerStudentMonth",$K$6,INDEX(Assumptions!$D$48:$F$48,$K$4))</f>
        <v/>
      </c>
      <c r="L8" s="55">
        <f>IF($L$5="ReportsPerStudentMonth",$L$6,INDEX(Assumptions!$D$48:$F$48,$L$4))</f>
        <v/>
      </c>
      <c r="M8" s="55">
        <f>IF($M$5="ReportsPerStudentMonth",$M$6,INDEX(Assumptions!$D$48:$F$48,$M$4))</f>
        <v/>
      </c>
      <c r="N8" s="55">
        <f>IF($N$5="ReportsPerStudentMonth",$N$6,INDEX(Assumptions!$D$48:$F$48,$N$4))</f>
        <v/>
      </c>
      <c r="O8" s="55">
        <f>IF($O$5="ReportsPerStudentMonth",$O$6,INDEX(Assumptions!$D$48:$F$48,$O$4))</f>
        <v/>
      </c>
      <c r="P8" s="55">
        <f>IF($P$5="ReportsPerStudentMonth",$P$6,INDEX(Assumptions!$D$48:$F$48,$P$4))</f>
        <v/>
      </c>
      <c r="Q8" s="55">
        <f>IF($Q$5="ReportsPerStudentMonth",$Q$6,INDEX(Assumptions!$D$48:$F$48,$Q$4))</f>
        <v/>
      </c>
      <c r="R8" s="55">
        <f>IF($R$5="ReportsPerStudentMonth",$R$6,INDEX(Assumptions!$D$48:$F$48,$R$4))</f>
        <v/>
      </c>
      <c r="S8" s="55">
        <f>IF($S$5="ReportsPerStudentMonth",$S$6,INDEX(Assumptions!$D$48:$F$48,$S$4))</f>
        <v/>
      </c>
      <c r="T8" s="55">
        <f>IF($T$5="ReportsPerStudentMonth",$T$6,INDEX(Assumptions!$D$48:$F$48,$T$4))</f>
        <v/>
      </c>
      <c r="U8" s="55">
        <f>IF($U$5="ReportsPerStudentMonth",$U$6,INDEX(Assumptions!$D$48:$F$48,$U$4))</f>
        <v/>
      </c>
      <c r="V8" s="55">
        <f>IF($V$5="ReportsPerStudentMonth",$V$6,INDEX(Assumptions!$D$48:$F$48,$V$4))</f>
        <v/>
      </c>
      <c r="W8" s="55">
        <f>IF($W$5="ReportsPerStudentMonth",$W$6,INDEX(Assumptions!$D$48:$F$48,$W$4))</f>
        <v/>
      </c>
      <c r="X8" s="55">
        <f>IF($X$5="ReportsPerStudentMonth",$X$6,INDEX(Assumptions!$D$48:$F$48,$X$4))</f>
        <v/>
      </c>
      <c r="Y8" s="55">
        <f>IF($Y$5="ReportsPerStudentMonth",$Y$6,INDEX(Assumptions!$D$48:$F$48,$Y$4))</f>
        <v/>
      </c>
      <c r="Z8" s="55">
        <f>IF($Z$5="ReportsPerStudentMonth",$Z$6,INDEX(Assumptions!$D$48:$F$48,$Z$4))</f>
        <v/>
      </c>
      <c r="AA8" s="55">
        <f>IF($AA$5="ReportsPerStudentMonth",$AA$6,INDEX(Assumptions!$D$48:$F$48,$AA$4))</f>
        <v/>
      </c>
      <c r="AB8" s="55">
        <f>IF($AB$5="ReportsPerStudentMonth",$AB$6,INDEX(Assumptions!$D$48:$F$48,$AB$4))</f>
        <v/>
      </c>
      <c r="AC8" s="55">
        <f>IF($AC$5="ReportsPerStudentMonth",$AC$6,INDEX(Assumptions!$D$48:$F$48,$AC$4))</f>
        <v/>
      </c>
      <c r="AD8" s="55">
        <f>IF($AD$5="ReportsPerStudentMonth",$AD$6,INDEX(Assumptions!$D$48:$F$48,$AD$4))</f>
        <v/>
      </c>
      <c r="AE8" s="55">
        <f>IF($AE$5="ReportsPerStudentMonth",$AE$6,INDEX(Assumptions!$D$48:$F$48,$AE$4))</f>
        <v/>
      </c>
      <c r="AF8" s="55">
        <f>IF($AF$5="ReportsPerStudentMonth",$AF$6,INDEX(Assumptions!$D$48:$F$48,$AF$4))</f>
        <v/>
      </c>
      <c r="AG8" s="55">
        <f>IF($AG$5="ReportsPerStudentMonth",$AG$6,INDEX(Assumptions!$D$48:$F$48,$AG$4))</f>
        <v/>
      </c>
      <c r="AH8" s="55">
        <f>IF($AH$5="ReportsPerStudentMonth",$AH$6,INDEX(Assumptions!$D$48:$F$48,$AH$4))</f>
        <v/>
      </c>
      <c r="AI8" s="55">
        <f>IF($AI$5="ReportsPerStudentMonth",$AI$6,INDEX(Assumptions!$D$48:$F$48,$AI$4))</f>
        <v/>
      </c>
      <c r="AJ8" s="55">
        <f>IF($AJ$5="ReportsPerStudentMonth",$AJ$6,INDEX(Assumptions!$D$48:$F$48,$AJ$4))</f>
        <v/>
      </c>
      <c r="AK8" s="55">
        <f>IF($AK$5="ReportsPerStudentMonth",$AK$6,INDEX(Assumptions!$D$48:$F$48,$AK$4))</f>
        <v/>
      </c>
      <c r="AL8" s="55">
        <f>IF($AL$5="ReportsPerStudentMonth",$AL$6,INDEX(Assumptions!$D$48:$F$48,$AL$4))</f>
        <v/>
      </c>
      <c r="AM8" s="55">
        <f>IF($AM$5="ReportsPerStudentMonth",$AM$6,INDEX(Assumptions!$D$48:$F$48,$AM$4))</f>
        <v/>
      </c>
      <c r="AN8" s="55">
        <f>IF($AN$5="ReportsPerStudentMonth",$AN$6,INDEX(Assumptions!$D$48:$F$48,$AN$4))</f>
        <v/>
      </c>
      <c r="AO8" s="55">
        <f>IF($AO$5="ReportsPerStudentMonth",$AO$6,INDEX(Assumptions!$D$48:$F$48,$AO$4))</f>
        <v/>
      </c>
      <c r="AP8" s="55">
        <f>IF($AP$5="ReportsPerStudentMonth",$AP$6,INDEX(Assumptions!$D$48:$F$48,$AP$4))</f>
        <v/>
      </c>
      <c r="AQ8" s="55">
        <f>IF($AQ$5="ReportsPerStudentMonth",$AQ$6,INDEX(Assumptions!$D$48:$F$48,$AQ$4))</f>
        <v/>
      </c>
      <c r="AR8" s="55">
        <f>IF($AR$5="ReportsPerStudentMonth",$AR$6,INDEX(Assumptions!$D$48:$F$48,$AR$4))</f>
        <v/>
      </c>
      <c r="AS8" s="55">
        <f>IF($AS$5="ReportsPerStudentMonth",$AS$6,INDEX(Assumptions!$D$48:$F$48,$AS$4))</f>
        <v/>
      </c>
      <c r="AT8" s="55">
        <f>IF($AT$5="ReportsPerStudentMonth",$AT$6,INDEX(Assumptions!$D$48:$F$48,$AT$4))</f>
        <v/>
      </c>
      <c r="AU8" s="55">
        <f>IF($AU$5="ReportsPerStudentMonth",$AU$6,INDEX(Assumptions!$D$48:$F$48,$AU$4))</f>
        <v/>
      </c>
      <c r="AV8" s="55">
        <f>IF($AV$5="ReportsPerStudentMonth",$AV$6,INDEX(Assumptions!$D$48:$F$48,$AV$4))</f>
        <v/>
      </c>
    </row>
    <row r="9">
      <c r="B9" s="5" t="inlineStr">
        <is>
          <t>TokensInPerReport</t>
        </is>
      </c>
      <c r="D9" s="55">
        <f>IF($D$5="TokensInPerReport",$D$6,INDEX(Assumptions!$D$49:$F$49,$D$4))</f>
        <v/>
      </c>
      <c r="E9" s="55">
        <f>IF($E$5="TokensInPerReport",$E$6,INDEX(Assumptions!$D$49:$F$49,$E$4))</f>
        <v/>
      </c>
      <c r="F9" s="55">
        <f>IF($F$5="TokensInPerReport",$F$6,INDEX(Assumptions!$D$49:$F$49,$F$4))</f>
        <v/>
      </c>
      <c r="G9" s="55">
        <f>IF($G$5="TokensInPerReport",$G$6,INDEX(Assumptions!$D$49:$F$49,$G$4))</f>
        <v/>
      </c>
      <c r="H9" s="55">
        <f>IF($H$5="TokensInPerReport",$H$6,INDEX(Assumptions!$D$49:$F$49,$H$4))</f>
        <v/>
      </c>
      <c r="I9" s="55">
        <f>IF($I$5="TokensInPerReport",$I$6,INDEX(Assumptions!$D$49:$F$49,$I$4))</f>
        <v/>
      </c>
      <c r="J9" s="55">
        <f>IF($J$5="TokensInPerReport",$J$6,INDEX(Assumptions!$D$49:$F$49,$J$4))</f>
        <v/>
      </c>
      <c r="K9" s="55">
        <f>IF($K$5="TokensInPerReport",$K$6,INDEX(Assumptions!$D$49:$F$49,$K$4))</f>
        <v/>
      </c>
      <c r="L9" s="55">
        <f>IF($L$5="TokensInPerReport",$L$6,INDEX(Assumptions!$D$49:$F$49,$L$4))</f>
        <v/>
      </c>
      <c r="M9" s="55">
        <f>IF($M$5="TokensInPerReport",$M$6,INDEX(Assumptions!$D$49:$F$49,$M$4))</f>
        <v/>
      </c>
      <c r="N9" s="55">
        <f>IF($N$5="TokensInPerReport",$N$6,INDEX(Assumptions!$D$49:$F$49,$N$4))</f>
        <v/>
      </c>
      <c r="O9" s="55">
        <f>IF($O$5="TokensInPerReport",$O$6,INDEX(Assumptions!$D$49:$F$49,$O$4))</f>
        <v/>
      </c>
      <c r="P9" s="55">
        <f>IF($P$5="TokensInPerReport",$P$6,INDEX(Assumptions!$D$49:$F$49,$P$4))</f>
        <v/>
      </c>
      <c r="Q9" s="55">
        <f>IF($Q$5="TokensInPerReport",$Q$6,INDEX(Assumptions!$D$49:$F$49,$Q$4))</f>
        <v/>
      </c>
      <c r="R9" s="55">
        <f>IF($R$5="TokensInPerReport",$R$6,INDEX(Assumptions!$D$49:$F$49,$R$4))</f>
        <v/>
      </c>
      <c r="S9" s="55">
        <f>IF($S$5="TokensInPerReport",$S$6,INDEX(Assumptions!$D$49:$F$49,$S$4))</f>
        <v/>
      </c>
      <c r="T9" s="55">
        <f>IF($T$5="TokensInPerReport",$T$6,INDEX(Assumptions!$D$49:$F$49,$T$4))</f>
        <v/>
      </c>
      <c r="U9" s="55">
        <f>IF($U$5="TokensInPerReport",$U$6,INDEX(Assumptions!$D$49:$F$49,$U$4))</f>
        <v/>
      </c>
      <c r="V9" s="55">
        <f>IF($V$5="TokensInPerReport",$V$6,INDEX(Assumptions!$D$49:$F$49,$V$4))</f>
        <v/>
      </c>
      <c r="W9" s="55">
        <f>IF($W$5="TokensInPerReport",$W$6,INDEX(Assumptions!$D$49:$F$49,$W$4))</f>
        <v/>
      </c>
      <c r="X9" s="55">
        <f>IF($X$5="TokensInPerReport",$X$6,INDEX(Assumptions!$D$49:$F$49,$X$4))</f>
        <v/>
      </c>
      <c r="Y9" s="55">
        <f>IF($Y$5="TokensInPerReport",$Y$6,INDEX(Assumptions!$D$49:$F$49,$Y$4))</f>
        <v/>
      </c>
      <c r="Z9" s="55">
        <f>IF($Z$5="TokensInPerReport",$Z$6,INDEX(Assumptions!$D$49:$F$49,$Z$4))</f>
        <v/>
      </c>
      <c r="AA9" s="55">
        <f>IF($AA$5="TokensInPerReport",$AA$6,INDEX(Assumptions!$D$49:$F$49,$AA$4))</f>
        <v/>
      </c>
      <c r="AB9" s="55">
        <f>IF($AB$5="TokensInPerReport",$AB$6,INDEX(Assumptions!$D$49:$F$49,$AB$4))</f>
        <v/>
      </c>
      <c r="AC9" s="55">
        <f>IF($AC$5="TokensInPerReport",$AC$6,INDEX(Assumptions!$D$49:$F$49,$AC$4))</f>
        <v/>
      </c>
      <c r="AD9" s="55">
        <f>IF($AD$5="TokensInPerReport",$AD$6,INDEX(Assumptions!$D$49:$F$49,$AD$4))</f>
        <v/>
      </c>
      <c r="AE9" s="55">
        <f>IF($AE$5="TokensInPerReport",$AE$6,INDEX(Assumptions!$D$49:$F$49,$AE$4))</f>
        <v/>
      </c>
      <c r="AF9" s="55">
        <f>IF($AF$5="TokensInPerReport",$AF$6,INDEX(Assumptions!$D$49:$F$49,$AF$4))</f>
        <v/>
      </c>
      <c r="AG9" s="55">
        <f>IF($AG$5="TokensInPerReport",$AG$6,INDEX(Assumptions!$D$49:$F$49,$AG$4))</f>
        <v/>
      </c>
      <c r="AH9" s="55">
        <f>IF($AH$5="TokensInPerReport",$AH$6,INDEX(Assumptions!$D$49:$F$49,$AH$4))</f>
        <v/>
      </c>
      <c r="AI9" s="55">
        <f>IF($AI$5="TokensInPerReport",$AI$6,INDEX(Assumptions!$D$49:$F$49,$AI$4))</f>
        <v/>
      </c>
      <c r="AJ9" s="55">
        <f>IF($AJ$5="TokensInPerReport",$AJ$6,INDEX(Assumptions!$D$49:$F$49,$AJ$4))</f>
        <v/>
      </c>
      <c r="AK9" s="55">
        <f>IF($AK$5="TokensInPerReport",$AK$6,INDEX(Assumptions!$D$49:$F$49,$AK$4))</f>
        <v/>
      </c>
      <c r="AL9" s="55">
        <f>IF($AL$5="TokensInPerReport",$AL$6,INDEX(Assumptions!$D$49:$F$49,$AL$4))</f>
        <v/>
      </c>
      <c r="AM9" s="55">
        <f>IF($AM$5="TokensInPerReport",$AM$6,INDEX(Assumptions!$D$49:$F$49,$AM$4))</f>
        <v/>
      </c>
      <c r="AN9" s="55">
        <f>IF($AN$5="TokensInPerReport",$AN$6,INDEX(Assumptions!$D$49:$F$49,$AN$4))</f>
        <v/>
      </c>
      <c r="AO9" s="55">
        <f>IF($AO$5="TokensInPerReport",$AO$6,INDEX(Assumptions!$D$49:$F$49,$AO$4))</f>
        <v/>
      </c>
      <c r="AP9" s="55">
        <f>IF($AP$5="TokensInPerReport",$AP$6,INDEX(Assumptions!$D$49:$F$49,$AP$4))</f>
        <v/>
      </c>
      <c r="AQ9" s="55">
        <f>IF($AQ$5="TokensInPerReport",$AQ$6,INDEX(Assumptions!$D$49:$F$49,$AQ$4))</f>
        <v/>
      </c>
      <c r="AR9" s="55">
        <f>IF($AR$5="TokensInPerReport",$AR$6,INDEX(Assumptions!$D$49:$F$49,$AR$4))</f>
        <v/>
      </c>
      <c r="AS9" s="55">
        <f>IF($AS$5="TokensInPerReport",$AS$6,INDEX(Assumptions!$D$49:$F$49,$AS$4))</f>
        <v/>
      </c>
      <c r="AT9" s="55">
        <f>IF($AT$5="TokensInPerReport",$AT$6,INDEX(Assumptions!$D$49:$F$49,$AT$4))</f>
        <v/>
      </c>
      <c r="AU9" s="55">
        <f>IF($AU$5="TokensInPerReport",$AU$6,INDEX(Assumptions!$D$49:$F$49,$AU$4))</f>
        <v/>
      </c>
      <c r="AV9" s="55">
        <f>IF($AV$5="TokensInPerReport",$AV$6,INDEX(Assumptions!$D$49:$F$49,$AV$4))</f>
        <v/>
      </c>
    </row>
    <row r="10">
      <c r="B10" s="5" t="inlineStr">
        <is>
          <t>TokensOutPerReport</t>
        </is>
      </c>
      <c r="D10" s="55">
        <f>IF($D$5="TokensOutPerReport",$D$6,INDEX(Assumptions!$D$50:$F$50,$D$4))</f>
        <v/>
      </c>
      <c r="E10" s="55">
        <f>IF($E$5="TokensOutPerReport",$E$6,INDEX(Assumptions!$D$50:$F$50,$E$4))</f>
        <v/>
      </c>
      <c r="F10" s="55">
        <f>IF($F$5="TokensOutPerReport",$F$6,INDEX(Assumptions!$D$50:$F$50,$F$4))</f>
        <v/>
      </c>
      <c r="G10" s="55">
        <f>IF($G$5="TokensOutPerReport",$G$6,INDEX(Assumptions!$D$50:$F$50,$G$4))</f>
        <v/>
      </c>
      <c r="H10" s="55">
        <f>IF($H$5="TokensOutPerReport",$H$6,INDEX(Assumptions!$D$50:$F$50,$H$4))</f>
        <v/>
      </c>
      <c r="I10" s="55">
        <f>IF($I$5="TokensOutPerReport",$I$6,INDEX(Assumptions!$D$50:$F$50,$I$4))</f>
        <v/>
      </c>
      <c r="J10" s="55">
        <f>IF($J$5="TokensOutPerReport",$J$6,INDEX(Assumptions!$D$50:$F$50,$J$4))</f>
        <v/>
      </c>
      <c r="K10" s="55">
        <f>IF($K$5="TokensOutPerReport",$K$6,INDEX(Assumptions!$D$50:$F$50,$K$4))</f>
        <v/>
      </c>
      <c r="L10" s="55">
        <f>IF($L$5="TokensOutPerReport",$L$6,INDEX(Assumptions!$D$50:$F$50,$L$4))</f>
        <v/>
      </c>
      <c r="M10" s="55">
        <f>IF($M$5="TokensOutPerReport",$M$6,INDEX(Assumptions!$D$50:$F$50,$M$4))</f>
        <v/>
      </c>
      <c r="N10" s="55">
        <f>IF($N$5="TokensOutPerReport",$N$6,INDEX(Assumptions!$D$50:$F$50,$N$4))</f>
        <v/>
      </c>
      <c r="O10" s="55">
        <f>IF($O$5="TokensOutPerReport",$O$6,INDEX(Assumptions!$D$50:$F$50,$O$4))</f>
        <v/>
      </c>
      <c r="P10" s="55">
        <f>IF($P$5="TokensOutPerReport",$P$6,INDEX(Assumptions!$D$50:$F$50,$P$4))</f>
        <v/>
      </c>
      <c r="Q10" s="55">
        <f>IF($Q$5="TokensOutPerReport",$Q$6,INDEX(Assumptions!$D$50:$F$50,$Q$4))</f>
        <v/>
      </c>
      <c r="R10" s="55">
        <f>IF($R$5="TokensOutPerReport",$R$6,INDEX(Assumptions!$D$50:$F$50,$R$4))</f>
        <v/>
      </c>
      <c r="S10" s="55">
        <f>IF($S$5="TokensOutPerReport",$S$6,INDEX(Assumptions!$D$50:$F$50,$S$4))</f>
        <v/>
      </c>
      <c r="T10" s="55">
        <f>IF($T$5="TokensOutPerReport",$T$6,INDEX(Assumptions!$D$50:$F$50,$T$4))</f>
        <v/>
      </c>
      <c r="U10" s="55">
        <f>IF($U$5="TokensOutPerReport",$U$6,INDEX(Assumptions!$D$50:$F$50,$U$4))</f>
        <v/>
      </c>
      <c r="V10" s="55">
        <f>IF($V$5="TokensOutPerReport",$V$6,INDEX(Assumptions!$D$50:$F$50,$V$4))</f>
        <v/>
      </c>
      <c r="W10" s="55">
        <f>IF($W$5="TokensOutPerReport",$W$6,INDEX(Assumptions!$D$50:$F$50,$W$4))</f>
        <v/>
      </c>
      <c r="X10" s="55">
        <f>IF($X$5="TokensOutPerReport",$X$6,INDEX(Assumptions!$D$50:$F$50,$X$4))</f>
        <v/>
      </c>
      <c r="Y10" s="55">
        <f>IF($Y$5="TokensOutPerReport",$Y$6,INDEX(Assumptions!$D$50:$F$50,$Y$4))</f>
        <v/>
      </c>
      <c r="Z10" s="55">
        <f>IF($Z$5="TokensOutPerReport",$Z$6,INDEX(Assumptions!$D$50:$F$50,$Z$4))</f>
        <v/>
      </c>
      <c r="AA10" s="55">
        <f>IF($AA$5="TokensOutPerReport",$AA$6,INDEX(Assumptions!$D$50:$F$50,$AA$4))</f>
        <v/>
      </c>
      <c r="AB10" s="55">
        <f>IF($AB$5="TokensOutPerReport",$AB$6,INDEX(Assumptions!$D$50:$F$50,$AB$4))</f>
        <v/>
      </c>
      <c r="AC10" s="55">
        <f>IF($AC$5="TokensOutPerReport",$AC$6,INDEX(Assumptions!$D$50:$F$50,$AC$4))</f>
        <v/>
      </c>
      <c r="AD10" s="55">
        <f>IF($AD$5="TokensOutPerReport",$AD$6,INDEX(Assumptions!$D$50:$F$50,$AD$4))</f>
        <v/>
      </c>
      <c r="AE10" s="55">
        <f>IF($AE$5="TokensOutPerReport",$AE$6,INDEX(Assumptions!$D$50:$F$50,$AE$4))</f>
        <v/>
      </c>
      <c r="AF10" s="55">
        <f>IF($AF$5="TokensOutPerReport",$AF$6,INDEX(Assumptions!$D$50:$F$50,$AF$4))</f>
        <v/>
      </c>
      <c r="AG10" s="55">
        <f>IF($AG$5="TokensOutPerReport",$AG$6,INDEX(Assumptions!$D$50:$F$50,$AG$4))</f>
        <v/>
      </c>
      <c r="AH10" s="55">
        <f>IF($AH$5="TokensOutPerReport",$AH$6,INDEX(Assumptions!$D$50:$F$50,$AH$4))</f>
        <v/>
      </c>
      <c r="AI10" s="55">
        <f>IF($AI$5="TokensOutPerReport",$AI$6,INDEX(Assumptions!$D$50:$F$50,$AI$4))</f>
        <v/>
      </c>
      <c r="AJ10" s="55">
        <f>IF($AJ$5="TokensOutPerReport",$AJ$6,INDEX(Assumptions!$D$50:$F$50,$AJ$4))</f>
        <v/>
      </c>
      <c r="AK10" s="55">
        <f>IF($AK$5="TokensOutPerReport",$AK$6,INDEX(Assumptions!$D$50:$F$50,$AK$4))</f>
        <v/>
      </c>
      <c r="AL10" s="55">
        <f>IF($AL$5="TokensOutPerReport",$AL$6,INDEX(Assumptions!$D$50:$F$50,$AL$4))</f>
        <v/>
      </c>
      <c r="AM10" s="55">
        <f>IF($AM$5="TokensOutPerReport",$AM$6,INDEX(Assumptions!$D$50:$F$50,$AM$4))</f>
        <v/>
      </c>
      <c r="AN10" s="55">
        <f>IF($AN$5="TokensOutPerReport",$AN$6,INDEX(Assumptions!$D$50:$F$50,$AN$4))</f>
        <v/>
      </c>
      <c r="AO10" s="55">
        <f>IF($AO$5="TokensOutPerReport",$AO$6,INDEX(Assumptions!$D$50:$F$50,$AO$4))</f>
        <v/>
      </c>
      <c r="AP10" s="55">
        <f>IF($AP$5="TokensOutPerReport",$AP$6,INDEX(Assumptions!$D$50:$F$50,$AP$4))</f>
        <v/>
      </c>
      <c r="AQ10" s="55">
        <f>IF($AQ$5="TokensOutPerReport",$AQ$6,INDEX(Assumptions!$D$50:$F$50,$AQ$4))</f>
        <v/>
      </c>
      <c r="AR10" s="55">
        <f>IF($AR$5="TokensOutPerReport",$AR$6,INDEX(Assumptions!$D$50:$F$50,$AR$4))</f>
        <v/>
      </c>
      <c r="AS10" s="55">
        <f>IF($AS$5="TokensOutPerReport",$AS$6,INDEX(Assumptions!$D$50:$F$50,$AS$4))</f>
        <v/>
      </c>
      <c r="AT10" s="55">
        <f>IF($AT$5="TokensOutPerReport",$AT$6,INDEX(Assumptions!$D$50:$F$50,$AT$4))</f>
        <v/>
      </c>
      <c r="AU10" s="55">
        <f>IF($AU$5="TokensOutPerReport",$AU$6,INDEX(Assumptions!$D$50:$F$50,$AU$4))</f>
        <v/>
      </c>
      <c r="AV10" s="55">
        <f>IF($AV$5="TokensOutPerReport",$AV$6,INDEX(Assumptions!$D$50:$F$50,$AV$4))</f>
        <v/>
      </c>
    </row>
    <row r="11">
      <c r="B11" s="5" t="inlineStr">
        <is>
          <t>LLMPriceIn</t>
        </is>
      </c>
      <c r="D11" s="45">
        <f>IF($D$5="LLMPriceIn",$D$6,INDEX(Assumptions!$D$51:$F$51,$D$4))</f>
        <v/>
      </c>
      <c r="E11" s="45">
        <f>IF($E$5="LLMPriceIn",$E$6,INDEX(Assumptions!$D$51:$F$51,$E$4))</f>
        <v/>
      </c>
      <c r="F11" s="45">
        <f>IF($F$5="LLMPriceIn",$F$6,INDEX(Assumptions!$D$51:$F$51,$F$4))</f>
        <v/>
      </c>
      <c r="G11" s="45">
        <f>IF($G$5="LLMPriceIn",$G$6,INDEX(Assumptions!$D$51:$F$51,$G$4))</f>
        <v/>
      </c>
      <c r="H11" s="45">
        <f>IF($H$5="LLMPriceIn",$H$6,INDEX(Assumptions!$D$51:$F$51,$H$4))</f>
        <v/>
      </c>
      <c r="I11" s="45">
        <f>IF($I$5="LLMPriceIn",$I$6,INDEX(Assumptions!$D$51:$F$51,$I$4))</f>
        <v/>
      </c>
      <c r="J11" s="45">
        <f>IF($J$5="LLMPriceIn",$J$6,INDEX(Assumptions!$D$51:$F$51,$J$4))</f>
        <v/>
      </c>
      <c r="K11" s="45">
        <f>IF($K$5="LLMPriceIn",$K$6,INDEX(Assumptions!$D$51:$F$51,$K$4))</f>
        <v/>
      </c>
      <c r="L11" s="45">
        <f>IF($L$5="LLMPriceIn",$L$6,INDEX(Assumptions!$D$51:$F$51,$L$4))</f>
        <v/>
      </c>
      <c r="M11" s="45">
        <f>IF($M$5="LLMPriceIn",$M$6,INDEX(Assumptions!$D$51:$F$51,$M$4))</f>
        <v/>
      </c>
      <c r="N11" s="45">
        <f>IF($N$5="LLMPriceIn",$N$6,INDEX(Assumptions!$D$51:$F$51,$N$4))</f>
        <v/>
      </c>
      <c r="O11" s="45">
        <f>IF($O$5="LLMPriceIn",$O$6,INDEX(Assumptions!$D$51:$F$51,$O$4))</f>
        <v/>
      </c>
      <c r="P11" s="45">
        <f>IF($P$5="LLMPriceIn",$P$6,INDEX(Assumptions!$D$51:$F$51,$P$4))</f>
        <v/>
      </c>
      <c r="Q11" s="45">
        <f>IF($Q$5="LLMPriceIn",$Q$6,INDEX(Assumptions!$D$51:$F$51,$Q$4))</f>
        <v/>
      </c>
      <c r="R11" s="45">
        <f>IF($R$5="LLMPriceIn",$R$6,INDEX(Assumptions!$D$51:$F$51,$R$4))</f>
        <v/>
      </c>
      <c r="S11" s="45">
        <f>IF($S$5="LLMPriceIn",$S$6,INDEX(Assumptions!$D$51:$F$51,$S$4))</f>
        <v/>
      </c>
      <c r="T11" s="45">
        <f>IF($T$5="LLMPriceIn",$T$6,INDEX(Assumptions!$D$51:$F$51,$T$4))</f>
        <v/>
      </c>
      <c r="U11" s="45">
        <f>IF($U$5="LLMPriceIn",$U$6,INDEX(Assumptions!$D$51:$F$51,$U$4))</f>
        <v/>
      </c>
      <c r="V11" s="45">
        <f>IF($V$5="LLMPriceIn",$V$6,INDEX(Assumptions!$D$51:$F$51,$V$4))</f>
        <v/>
      </c>
      <c r="W11" s="45">
        <f>IF($W$5="LLMPriceIn",$W$6,INDEX(Assumptions!$D$51:$F$51,$W$4))</f>
        <v/>
      </c>
      <c r="X11" s="45">
        <f>IF($X$5="LLMPriceIn",$X$6,INDEX(Assumptions!$D$51:$F$51,$X$4))</f>
        <v/>
      </c>
      <c r="Y11" s="45">
        <f>IF($Y$5="LLMPriceIn",$Y$6,INDEX(Assumptions!$D$51:$F$51,$Y$4))</f>
        <v/>
      </c>
      <c r="Z11" s="45">
        <f>IF($Z$5="LLMPriceIn",$Z$6,INDEX(Assumptions!$D$51:$F$51,$Z$4))</f>
        <v/>
      </c>
      <c r="AA11" s="45">
        <f>IF($AA$5="LLMPriceIn",$AA$6,INDEX(Assumptions!$D$51:$F$51,$AA$4))</f>
        <v/>
      </c>
      <c r="AB11" s="45">
        <f>IF($AB$5="LLMPriceIn",$AB$6,INDEX(Assumptions!$D$51:$F$51,$AB$4))</f>
        <v/>
      </c>
      <c r="AC11" s="45">
        <f>IF($AC$5="LLMPriceIn",$AC$6,INDEX(Assumptions!$D$51:$F$51,$AC$4))</f>
        <v/>
      </c>
      <c r="AD11" s="45">
        <f>IF($AD$5="LLMPriceIn",$AD$6,INDEX(Assumptions!$D$51:$F$51,$AD$4))</f>
        <v/>
      </c>
      <c r="AE11" s="45">
        <f>IF($AE$5="LLMPriceIn",$AE$6,INDEX(Assumptions!$D$51:$F$51,$AE$4))</f>
        <v/>
      </c>
      <c r="AF11" s="45">
        <f>IF($AF$5="LLMPriceIn",$AF$6,INDEX(Assumptions!$D$51:$F$51,$AF$4))</f>
        <v/>
      </c>
      <c r="AG11" s="45">
        <f>IF($AG$5="LLMPriceIn",$AG$6,INDEX(Assumptions!$D$51:$F$51,$AG$4))</f>
        <v/>
      </c>
      <c r="AH11" s="45">
        <f>IF($AH$5="LLMPriceIn",$AH$6,INDEX(Assumptions!$D$51:$F$51,$AH$4))</f>
        <v/>
      </c>
      <c r="AI11" s="45">
        <f>IF($AI$5="LLMPriceIn",$AI$6,INDEX(Assumptions!$D$51:$F$51,$AI$4))</f>
        <v/>
      </c>
      <c r="AJ11" s="45">
        <f>IF($AJ$5="LLMPriceIn",$AJ$6,INDEX(Assumptions!$D$51:$F$51,$AJ$4))</f>
        <v/>
      </c>
      <c r="AK11" s="45">
        <f>IF($AK$5="LLMPriceIn",$AK$6,INDEX(Assumptions!$D$51:$F$51,$AK$4))</f>
        <v/>
      </c>
      <c r="AL11" s="45">
        <f>IF($AL$5="LLMPriceIn",$AL$6,INDEX(Assumptions!$D$51:$F$51,$AL$4))</f>
        <v/>
      </c>
      <c r="AM11" s="45">
        <f>IF($AM$5="LLMPriceIn",$AM$6,INDEX(Assumptions!$D$51:$F$51,$AM$4))</f>
        <v/>
      </c>
      <c r="AN11" s="45">
        <f>IF($AN$5="LLMPriceIn",$AN$6,INDEX(Assumptions!$D$51:$F$51,$AN$4))</f>
        <v/>
      </c>
      <c r="AO11" s="45">
        <f>IF($AO$5="LLMPriceIn",$AO$6,INDEX(Assumptions!$D$51:$F$51,$AO$4))</f>
        <v/>
      </c>
      <c r="AP11" s="45">
        <f>IF($AP$5="LLMPriceIn",$AP$6,INDEX(Assumptions!$D$51:$F$51,$AP$4))</f>
        <v/>
      </c>
      <c r="AQ11" s="45">
        <f>IF($AQ$5="LLMPriceIn",$AQ$6,INDEX(Assumptions!$D$51:$F$51,$AQ$4))</f>
        <v/>
      </c>
      <c r="AR11" s="45">
        <f>IF($AR$5="LLMPriceIn",$AR$6,INDEX(Assumptions!$D$51:$F$51,$AR$4))</f>
        <v/>
      </c>
      <c r="AS11" s="45">
        <f>IF($AS$5="LLMPriceIn",$AS$6,INDEX(Assumptions!$D$51:$F$51,$AS$4))</f>
        <v/>
      </c>
      <c r="AT11" s="45">
        <f>IF($AT$5="LLMPriceIn",$AT$6,INDEX(Assumptions!$D$51:$F$51,$AT$4))</f>
        <v/>
      </c>
      <c r="AU11" s="45">
        <f>IF($AU$5="LLMPriceIn",$AU$6,INDEX(Assumptions!$D$51:$F$51,$AU$4))</f>
        <v/>
      </c>
      <c r="AV11" s="45">
        <f>IF($AV$5="LLMPriceIn",$AV$6,INDEX(Assumptions!$D$51:$F$51,$AV$4))</f>
        <v/>
      </c>
    </row>
    <row r="12">
      <c r="B12" s="5" t="inlineStr">
        <is>
          <t>LLMPriceOut</t>
        </is>
      </c>
      <c r="D12" s="45">
        <f>IF($D$5="LLMPriceOut",$D$6,INDEX(Assumptions!$D$52:$F$52,$D$4))</f>
        <v/>
      </c>
      <c r="E12" s="45">
        <f>IF($E$5="LLMPriceOut",$E$6,INDEX(Assumptions!$D$52:$F$52,$E$4))</f>
        <v/>
      </c>
      <c r="F12" s="45">
        <f>IF($F$5="LLMPriceOut",$F$6,INDEX(Assumptions!$D$52:$F$52,$F$4))</f>
        <v/>
      </c>
      <c r="G12" s="45">
        <f>IF($G$5="LLMPriceOut",$G$6,INDEX(Assumptions!$D$52:$F$52,$G$4))</f>
        <v/>
      </c>
      <c r="H12" s="45">
        <f>IF($H$5="LLMPriceOut",$H$6,INDEX(Assumptions!$D$52:$F$52,$H$4))</f>
        <v/>
      </c>
      <c r="I12" s="45">
        <f>IF($I$5="LLMPriceOut",$I$6,INDEX(Assumptions!$D$52:$F$52,$I$4))</f>
        <v/>
      </c>
      <c r="J12" s="45">
        <f>IF($J$5="LLMPriceOut",$J$6,INDEX(Assumptions!$D$52:$F$52,$J$4))</f>
        <v/>
      </c>
      <c r="K12" s="45">
        <f>IF($K$5="LLMPriceOut",$K$6,INDEX(Assumptions!$D$52:$F$52,$K$4))</f>
        <v/>
      </c>
      <c r="L12" s="45">
        <f>IF($L$5="LLMPriceOut",$L$6,INDEX(Assumptions!$D$52:$F$52,$L$4))</f>
        <v/>
      </c>
      <c r="M12" s="45">
        <f>IF($M$5="LLMPriceOut",$M$6,INDEX(Assumptions!$D$52:$F$52,$M$4))</f>
        <v/>
      </c>
      <c r="N12" s="45">
        <f>IF($N$5="LLMPriceOut",$N$6,INDEX(Assumptions!$D$52:$F$52,$N$4))</f>
        <v/>
      </c>
      <c r="O12" s="45">
        <f>IF($O$5="LLMPriceOut",$O$6,INDEX(Assumptions!$D$52:$F$52,$O$4))</f>
        <v/>
      </c>
      <c r="P12" s="45">
        <f>IF($P$5="LLMPriceOut",$P$6,INDEX(Assumptions!$D$52:$F$52,$P$4))</f>
        <v/>
      </c>
      <c r="Q12" s="45">
        <f>IF($Q$5="LLMPriceOut",$Q$6,INDEX(Assumptions!$D$52:$F$52,$Q$4))</f>
        <v/>
      </c>
      <c r="R12" s="45">
        <f>IF($R$5="LLMPriceOut",$R$6,INDEX(Assumptions!$D$52:$F$52,$R$4))</f>
        <v/>
      </c>
      <c r="S12" s="45">
        <f>IF($S$5="LLMPriceOut",$S$6,INDEX(Assumptions!$D$52:$F$52,$S$4))</f>
        <v/>
      </c>
      <c r="T12" s="45">
        <f>IF($T$5="LLMPriceOut",$T$6,INDEX(Assumptions!$D$52:$F$52,$T$4))</f>
        <v/>
      </c>
      <c r="U12" s="45">
        <f>IF($U$5="LLMPriceOut",$U$6,INDEX(Assumptions!$D$52:$F$52,$U$4))</f>
        <v/>
      </c>
      <c r="V12" s="45">
        <f>IF($V$5="LLMPriceOut",$V$6,INDEX(Assumptions!$D$52:$F$52,$V$4))</f>
        <v/>
      </c>
      <c r="W12" s="45">
        <f>IF($W$5="LLMPriceOut",$W$6,INDEX(Assumptions!$D$52:$F$52,$W$4))</f>
        <v/>
      </c>
      <c r="X12" s="45">
        <f>IF($X$5="LLMPriceOut",$X$6,INDEX(Assumptions!$D$52:$F$52,$X$4))</f>
        <v/>
      </c>
      <c r="Y12" s="45">
        <f>IF($Y$5="LLMPriceOut",$Y$6,INDEX(Assumptions!$D$52:$F$52,$Y$4))</f>
        <v/>
      </c>
      <c r="Z12" s="45">
        <f>IF($Z$5="LLMPriceOut",$Z$6,INDEX(Assumptions!$D$52:$F$52,$Z$4))</f>
        <v/>
      </c>
      <c r="AA12" s="45">
        <f>IF($AA$5="LLMPriceOut",$AA$6,INDEX(Assumptions!$D$52:$F$52,$AA$4))</f>
        <v/>
      </c>
      <c r="AB12" s="45">
        <f>IF($AB$5="LLMPriceOut",$AB$6,INDEX(Assumptions!$D$52:$F$52,$AB$4))</f>
        <v/>
      </c>
      <c r="AC12" s="45">
        <f>IF($AC$5="LLMPriceOut",$AC$6,INDEX(Assumptions!$D$52:$F$52,$AC$4))</f>
        <v/>
      </c>
      <c r="AD12" s="45">
        <f>IF($AD$5="LLMPriceOut",$AD$6,INDEX(Assumptions!$D$52:$F$52,$AD$4))</f>
        <v/>
      </c>
      <c r="AE12" s="45">
        <f>IF($AE$5="LLMPriceOut",$AE$6,INDEX(Assumptions!$D$52:$F$52,$AE$4))</f>
        <v/>
      </c>
      <c r="AF12" s="45">
        <f>IF($AF$5="LLMPriceOut",$AF$6,INDEX(Assumptions!$D$52:$F$52,$AF$4))</f>
        <v/>
      </c>
      <c r="AG12" s="45">
        <f>IF($AG$5="LLMPriceOut",$AG$6,INDEX(Assumptions!$D$52:$F$52,$AG$4))</f>
        <v/>
      </c>
      <c r="AH12" s="45">
        <f>IF($AH$5="LLMPriceOut",$AH$6,INDEX(Assumptions!$D$52:$F$52,$AH$4))</f>
        <v/>
      </c>
      <c r="AI12" s="45">
        <f>IF($AI$5="LLMPriceOut",$AI$6,INDEX(Assumptions!$D$52:$F$52,$AI$4))</f>
        <v/>
      </c>
      <c r="AJ12" s="45">
        <f>IF($AJ$5="LLMPriceOut",$AJ$6,INDEX(Assumptions!$D$52:$F$52,$AJ$4))</f>
        <v/>
      </c>
      <c r="AK12" s="45">
        <f>IF($AK$5="LLMPriceOut",$AK$6,INDEX(Assumptions!$D$52:$F$52,$AK$4))</f>
        <v/>
      </c>
      <c r="AL12" s="45">
        <f>IF($AL$5="LLMPriceOut",$AL$6,INDEX(Assumptions!$D$52:$F$52,$AL$4))</f>
        <v/>
      </c>
      <c r="AM12" s="45">
        <f>IF($AM$5="LLMPriceOut",$AM$6,INDEX(Assumptions!$D$52:$F$52,$AM$4))</f>
        <v/>
      </c>
      <c r="AN12" s="45">
        <f>IF($AN$5="LLMPriceOut",$AN$6,INDEX(Assumptions!$D$52:$F$52,$AN$4))</f>
        <v/>
      </c>
      <c r="AO12" s="45">
        <f>IF($AO$5="LLMPriceOut",$AO$6,INDEX(Assumptions!$D$52:$F$52,$AO$4))</f>
        <v/>
      </c>
      <c r="AP12" s="45">
        <f>IF($AP$5="LLMPriceOut",$AP$6,INDEX(Assumptions!$D$52:$F$52,$AP$4))</f>
        <v/>
      </c>
      <c r="AQ12" s="45">
        <f>IF($AQ$5="LLMPriceOut",$AQ$6,INDEX(Assumptions!$D$52:$F$52,$AQ$4))</f>
        <v/>
      </c>
      <c r="AR12" s="45">
        <f>IF($AR$5="LLMPriceOut",$AR$6,INDEX(Assumptions!$D$52:$F$52,$AR$4))</f>
        <v/>
      </c>
      <c r="AS12" s="45">
        <f>IF($AS$5="LLMPriceOut",$AS$6,INDEX(Assumptions!$D$52:$F$52,$AS$4))</f>
        <v/>
      </c>
      <c r="AT12" s="45">
        <f>IF($AT$5="LLMPriceOut",$AT$6,INDEX(Assumptions!$D$52:$F$52,$AT$4))</f>
        <v/>
      </c>
      <c r="AU12" s="45">
        <f>IF($AU$5="LLMPriceOut",$AU$6,INDEX(Assumptions!$D$52:$F$52,$AU$4))</f>
        <v/>
      </c>
      <c r="AV12" s="45">
        <f>IF($AV$5="LLMPriceOut",$AV$6,INDEX(Assumptions!$D$52:$F$52,$AV$4))</f>
        <v/>
      </c>
    </row>
    <row r="13">
      <c r="B13" s="5" t="inlineStr">
        <is>
          <t>WAMsgsPerStudentMonth</t>
        </is>
      </c>
      <c r="D13" s="55">
        <f>IF($D$5="WAMsgsPerStudentMonth",$D$6,INDEX(Assumptions!$D$53:$F$53,$D$4))</f>
        <v/>
      </c>
      <c r="E13" s="55">
        <f>IF($E$5="WAMsgsPerStudentMonth",$E$6,INDEX(Assumptions!$D$53:$F$53,$E$4))</f>
        <v/>
      </c>
      <c r="F13" s="55">
        <f>IF($F$5="WAMsgsPerStudentMonth",$F$6,INDEX(Assumptions!$D$53:$F$53,$F$4))</f>
        <v/>
      </c>
      <c r="G13" s="55">
        <f>IF($G$5="WAMsgsPerStudentMonth",$G$6,INDEX(Assumptions!$D$53:$F$53,$G$4))</f>
        <v/>
      </c>
      <c r="H13" s="55">
        <f>IF($H$5="WAMsgsPerStudentMonth",$H$6,INDEX(Assumptions!$D$53:$F$53,$H$4))</f>
        <v/>
      </c>
      <c r="I13" s="55">
        <f>IF($I$5="WAMsgsPerStudentMonth",$I$6,INDEX(Assumptions!$D$53:$F$53,$I$4))</f>
        <v/>
      </c>
      <c r="J13" s="55">
        <f>IF($J$5="WAMsgsPerStudentMonth",$J$6,INDEX(Assumptions!$D$53:$F$53,$J$4))</f>
        <v/>
      </c>
      <c r="K13" s="55">
        <f>IF($K$5="WAMsgsPerStudentMonth",$K$6,INDEX(Assumptions!$D$53:$F$53,$K$4))</f>
        <v/>
      </c>
      <c r="L13" s="55">
        <f>IF($L$5="WAMsgsPerStudentMonth",$L$6,INDEX(Assumptions!$D$53:$F$53,$L$4))</f>
        <v/>
      </c>
      <c r="M13" s="55">
        <f>IF($M$5="WAMsgsPerStudentMonth",$M$6,INDEX(Assumptions!$D$53:$F$53,$M$4))</f>
        <v/>
      </c>
      <c r="N13" s="55">
        <f>IF($N$5="WAMsgsPerStudentMonth",$N$6,INDEX(Assumptions!$D$53:$F$53,$N$4))</f>
        <v/>
      </c>
      <c r="O13" s="55">
        <f>IF($O$5="WAMsgsPerStudentMonth",$O$6,INDEX(Assumptions!$D$53:$F$53,$O$4))</f>
        <v/>
      </c>
      <c r="P13" s="55">
        <f>IF($P$5="WAMsgsPerStudentMonth",$P$6,INDEX(Assumptions!$D$53:$F$53,$P$4))</f>
        <v/>
      </c>
      <c r="Q13" s="55">
        <f>IF($Q$5="WAMsgsPerStudentMonth",$Q$6,INDEX(Assumptions!$D$53:$F$53,$Q$4))</f>
        <v/>
      </c>
      <c r="R13" s="55">
        <f>IF($R$5="WAMsgsPerStudentMonth",$R$6,INDEX(Assumptions!$D$53:$F$53,$R$4))</f>
        <v/>
      </c>
      <c r="S13" s="55">
        <f>IF($S$5="WAMsgsPerStudentMonth",$S$6,INDEX(Assumptions!$D$53:$F$53,$S$4))</f>
        <v/>
      </c>
      <c r="T13" s="55">
        <f>IF($T$5="WAMsgsPerStudentMonth",$T$6,INDEX(Assumptions!$D$53:$F$53,$T$4))</f>
        <v/>
      </c>
      <c r="U13" s="55">
        <f>IF($U$5="WAMsgsPerStudentMonth",$U$6,INDEX(Assumptions!$D$53:$F$53,$U$4))</f>
        <v/>
      </c>
      <c r="V13" s="55">
        <f>IF($V$5="WAMsgsPerStudentMonth",$V$6,INDEX(Assumptions!$D$53:$F$53,$V$4))</f>
        <v/>
      </c>
      <c r="W13" s="55">
        <f>IF($W$5="WAMsgsPerStudentMonth",$W$6,INDEX(Assumptions!$D$53:$F$53,$W$4))</f>
        <v/>
      </c>
      <c r="X13" s="55">
        <f>IF($X$5="WAMsgsPerStudentMonth",$X$6,INDEX(Assumptions!$D$53:$F$53,$X$4))</f>
        <v/>
      </c>
      <c r="Y13" s="55">
        <f>IF($Y$5="WAMsgsPerStudentMonth",$Y$6,INDEX(Assumptions!$D$53:$F$53,$Y$4))</f>
        <v/>
      </c>
      <c r="Z13" s="55">
        <f>IF($Z$5="WAMsgsPerStudentMonth",$Z$6,INDEX(Assumptions!$D$53:$F$53,$Z$4))</f>
        <v/>
      </c>
      <c r="AA13" s="55">
        <f>IF($AA$5="WAMsgsPerStudentMonth",$AA$6,INDEX(Assumptions!$D$53:$F$53,$AA$4))</f>
        <v/>
      </c>
      <c r="AB13" s="55">
        <f>IF($AB$5="WAMsgsPerStudentMonth",$AB$6,INDEX(Assumptions!$D$53:$F$53,$AB$4))</f>
        <v/>
      </c>
      <c r="AC13" s="55">
        <f>IF($AC$5="WAMsgsPerStudentMonth",$AC$6,INDEX(Assumptions!$D$53:$F$53,$AC$4))</f>
        <v/>
      </c>
      <c r="AD13" s="55">
        <f>IF($AD$5="WAMsgsPerStudentMonth",$AD$6,INDEX(Assumptions!$D$53:$F$53,$AD$4))</f>
        <v/>
      </c>
      <c r="AE13" s="55">
        <f>IF($AE$5="WAMsgsPerStudentMonth",$AE$6,INDEX(Assumptions!$D$53:$F$53,$AE$4))</f>
        <v/>
      </c>
      <c r="AF13" s="55">
        <f>IF($AF$5="WAMsgsPerStudentMonth",$AF$6,INDEX(Assumptions!$D$53:$F$53,$AF$4))</f>
        <v/>
      </c>
      <c r="AG13" s="55">
        <f>IF($AG$5="WAMsgsPerStudentMonth",$AG$6,INDEX(Assumptions!$D$53:$F$53,$AG$4))</f>
        <v/>
      </c>
      <c r="AH13" s="55">
        <f>IF($AH$5="WAMsgsPerStudentMonth",$AH$6,INDEX(Assumptions!$D$53:$F$53,$AH$4))</f>
        <v/>
      </c>
      <c r="AI13" s="55">
        <f>IF($AI$5="WAMsgsPerStudentMonth",$AI$6,INDEX(Assumptions!$D$53:$F$53,$AI$4))</f>
        <v/>
      </c>
      <c r="AJ13" s="55">
        <f>IF($AJ$5="WAMsgsPerStudentMonth",$AJ$6,INDEX(Assumptions!$D$53:$F$53,$AJ$4))</f>
        <v/>
      </c>
      <c r="AK13" s="55">
        <f>IF($AK$5="WAMsgsPerStudentMonth",$AK$6,INDEX(Assumptions!$D$53:$F$53,$AK$4))</f>
        <v/>
      </c>
      <c r="AL13" s="55">
        <f>IF($AL$5="WAMsgsPerStudentMonth",$AL$6,INDEX(Assumptions!$D$53:$F$53,$AL$4))</f>
        <v/>
      </c>
      <c r="AM13" s="55">
        <f>IF($AM$5="WAMsgsPerStudentMonth",$AM$6,INDEX(Assumptions!$D$53:$F$53,$AM$4))</f>
        <v/>
      </c>
      <c r="AN13" s="55">
        <f>IF($AN$5="WAMsgsPerStudentMonth",$AN$6,INDEX(Assumptions!$D$53:$F$53,$AN$4))</f>
        <v/>
      </c>
      <c r="AO13" s="55">
        <f>IF($AO$5="WAMsgsPerStudentMonth",$AO$6,INDEX(Assumptions!$D$53:$F$53,$AO$4))</f>
        <v/>
      </c>
      <c r="AP13" s="55">
        <f>IF($AP$5="WAMsgsPerStudentMonth",$AP$6,INDEX(Assumptions!$D$53:$F$53,$AP$4))</f>
        <v/>
      </c>
      <c r="AQ13" s="55">
        <f>IF($AQ$5="WAMsgsPerStudentMonth",$AQ$6,INDEX(Assumptions!$D$53:$F$53,$AQ$4))</f>
        <v/>
      </c>
      <c r="AR13" s="55">
        <f>IF($AR$5="WAMsgsPerStudentMonth",$AR$6,INDEX(Assumptions!$D$53:$F$53,$AR$4))</f>
        <v/>
      </c>
      <c r="AS13" s="55">
        <f>IF($AS$5="WAMsgsPerStudentMonth",$AS$6,INDEX(Assumptions!$D$53:$F$53,$AS$4))</f>
        <v/>
      </c>
      <c r="AT13" s="55">
        <f>IF($AT$5="WAMsgsPerStudentMonth",$AT$6,INDEX(Assumptions!$D$53:$F$53,$AT$4))</f>
        <v/>
      </c>
      <c r="AU13" s="55">
        <f>IF($AU$5="WAMsgsPerStudentMonth",$AU$6,INDEX(Assumptions!$D$53:$F$53,$AU$4))</f>
        <v/>
      </c>
      <c r="AV13" s="55">
        <f>IF($AV$5="WAMsgsPerStudentMonth",$AV$6,INDEX(Assumptions!$D$53:$F$53,$AV$4))</f>
        <v/>
      </c>
    </row>
    <row r="14">
      <c r="B14" s="5" t="inlineStr">
        <is>
          <t>WAPricePerMsg</t>
        </is>
      </c>
      <c r="D14" s="45">
        <f>IF($D$5="WAPricePerMsg",$D$6,INDEX(Assumptions!$D$54:$F$54,$D$4))</f>
        <v/>
      </c>
      <c r="E14" s="45">
        <f>IF($E$5="WAPricePerMsg",$E$6,INDEX(Assumptions!$D$54:$F$54,$E$4))</f>
        <v/>
      </c>
      <c r="F14" s="45">
        <f>IF($F$5="WAPricePerMsg",$F$6,INDEX(Assumptions!$D$54:$F$54,$F$4))</f>
        <v/>
      </c>
      <c r="G14" s="45">
        <f>IF($G$5="WAPricePerMsg",$G$6,INDEX(Assumptions!$D$54:$F$54,$G$4))</f>
        <v/>
      </c>
      <c r="H14" s="45">
        <f>IF($H$5="WAPricePerMsg",$H$6,INDEX(Assumptions!$D$54:$F$54,$H$4))</f>
        <v/>
      </c>
      <c r="I14" s="45">
        <f>IF($I$5="WAPricePerMsg",$I$6,INDEX(Assumptions!$D$54:$F$54,$I$4))</f>
        <v/>
      </c>
      <c r="J14" s="45">
        <f>IF($J$5="WAPricePerMsg",$J$6,INDEX(Assumptions!$D$54:$F$54,$J$4))</f>
        <v/>
      </c>
      <c r="K14" s="45">
        <f>IF($K$5="WAPricePerMsg",$K$6,INDEX(Assumptions!$D$54:$F$54,$K$4))</f>
        <v/>
      </c>
      <c r="L14" s="45">
        <f>IF($L$5="WAPricePerMsg",$L$6,INDEX(Assumptions!$D$54:$F$54,$L$4))</f>
        <v/>
      </c>
      <c r="M14" s="45">
        <f>IF($M$5="WAPricePerMsg",$M$6,INDEX(Assumptions!$D$54:$F$54,$M$4))</f>
        <v/>
      </c>
      <c r="N14" s="45">
        <f>IF($N$5="WAPricePerMsg",$N$6,INDEX(Assumptions!$D$54:$F$54,$N$4))</f>
        <v/>
      </c>
      <c r="O14" s="45">
        <f>IF($O$5="WAPricePerMsg",$O$6,INDEX(Assumptions!$D$54:$F$54,$O$4))</f>
        <v/>
      </c>
      <c r="P14" s="45">
        <f>IF($P$5="WAPricePerMsg",$P$6,INDEX(Assumptions!$D$54:$F$54,$P$4))</f>
        <v/>
      </c>
      <c r="Q14" s="45">
        <f>IF($Q$5="WAPricePerMsg",$Q$6,INDEX(Assumptions!$D$54:$F$54,$Q$4))</f>
        <v/>
      </c>
      <c r="R14" s="45">
        <f>IF($R$5="WAPricePerMsg",$R$6,INDEX(Assumptions!$D$54:$F$54,$R$4))</f>
        <v/>
      </c>
      <c r="S14" s="45">
        <f>IF($S$5="WAPricePerMsg",$S$6,INDEX(Assumptions!$D$54:$F$54,$S$4))</f>
        <v/>
      </c>
      <c r="T14" s="45">
        <f>IF($T$5="WAPricePerMsg",$T$6,INDEX(Assumptions!$D$54:$F$54,$T$4))</f>
        <v/>
      </c>
      <c r="U14" s="45">
        <f>IF($U$5="WAPricePerMsg",$U$6,INDEX(Assumptions!$D$54:$F$54,$U$4))</f>
        <v/>
      </c>
      <c r="V14" s="45">
        <f>IF($V$5="WAPricePerMsg",$V$6,INDEX(Assumptions!$D$54:$F$54,$V$4))</f>
        <v/>
      </c>
      <c r="W14" s="45">
        <f>IF($W$5="WAPricePerMsg",$W$6,INDEX(Assumptions!$D$54:$F$54,$W$4))</f>
        <v/>
      </c>
      <c r="X14" s="45">
        <f>IF($X$5="WAPricePerMsg",$X$6,INDEX(Assumptions!$D$54:$F$54,$X$4))</f>
        <v/>
      </c>
      <c r="Y14" s="45">
        <f>IF($Y$5="WAPricePerMsg",$Y$6,INDEX(Assumptions!$D$54:$F$54,$Y$4))</f>
        <v/>
      </c>
      <c r="Z14" s="45">
        <f>IF($Z$5="WAPricePerMsg",$Z$6,INDEX(Assumptions!$D$54:$F$54,$Z$4))</f>
        <v/>
      </c>
      <c r="AA14" s="45">
        <f>IF($AA$5="WAPricePerMsg",$AA$6,INDEX(Assumptions!$D$54:$F$54,$AA$4))</f>
        <v/>
      </c>
      <c r="AB14" s="45">
        <f>IF($AB$5="WAPricePerMsg",$AB$6,INDEX(Assumptions!$D$54:$F$54,$AB$4))</f>
        <v/>
      </c>
      <c r="AC14" s="45">
        <f>IF($AC$5="WAPricePerMsg",$AC$6,INDEX(Assumptions!$D$54:$F$54,$AC$4))</f>
        <v/>
      </c>
      <c r="AD14" s="45">
        <f>IF($AD$5="WAPricePerMsg",$AD$6,INDEX(Assumptions!$D$54:$F$54,$AD$4))</f>
        <v/>
      </c>
      <c r="AE14" s="45">
        <f>IF($AE$5="WAPricePerMsg",$AE$6,INDEX(Assumptions!$D$54:$F$54,$AE$4))</f>
        <v/>
      </c>
      <c r="AF14" s="45">
        <f>IF($AF$5="WAPricePerMsg",$AF$6,INDEX(Assumptions!$D$54:$F$54,$AF$4))</f>
        <v/>
      </c>
      <c r="AG14" s="45">
        <f>IF($AG$5="WAPricePerMsg",$AG$6,INDEX(Assumptions!$D$54:$F$54,$AG$4))</f>
        <v/>
      </c>
      <c r="AH14" s="45">
        <f>IF($AH$5="WAPricePerMsg",$AH$6,INDEX(Assumptions!$D$54:$F$54,$AH$4))</f>
        <v/>
      </c>
      <c r="AI14" s="45">
        <f>IF($AI$5="WAPricePerMsg",$AI$6,INDEX(Assumptions!$D$54:$F$54,$AI$4))</f>
        <v/>
      </c>
      <c r="AJ14" s="45">
        <f>IF($AJ$5="WAPricePerMsg",$AJ$6,INDEX(Assumptions!$D$54:$F$54,$AJ$4))</f>
        <v/>
      </c>
      <c r="AK14" s="45">
        <f>IF($AK$5="WAPricePerMsg",$AK$6,INDEX(Assumptions!$D$54:$F$54,$AK$4))</f>
        <v/>
      </c>
      <c r="AL14" s="45">
        <f>IF($AL$5="WAPricePerMsg",$AL$6,INDEX(Assumptions!$D$54:$F$54,$AL$4))</f>
        <v/>
      </c>
      <c r="AM14" s="45">
        <f>IF($AM$5="WAPricePerMsg",$AM$6,INDEX(Assumptions!$D$54:$F$54,$AM$4))</f>
        <v/>
      </c>
      <c r="AN14" s="45">
        <f>IF($AN$5="WAPricePerMsg",$AN$6,INDEX(Assumptions!$D$54:$F$54,$AN$4))</f>
        <v/>
      </c>
      <c r="AO14" s="45">
        <f>IF($AO$5="WAPricePerMsg",$AO$6,INDEX(Assumptions!$D$54:$F$54,$AO$4))</f>
        <v/>
      </c>
      <c r="AP14" s="45">
        <f>IF($AP$5="WAPricePerMsg",$AP$6,INDEX(Assumptions!$D$54:$F$54,$AP$4))</f>
        <v/>
      </c>
      <c r="AQ14" s="45">
        <f>IF($AQ$5="WAPricePerMsg",$AQ$6,INDEX(Assumptions!$D$54:$F$54,$AQ$4))</f>
        <v/>
      </c>
      <c r="AR14" s="45">
        <f>IF($AR$5="WAPricePerMsg",$AR$6,INDEX(Assumptions!$D$54:$F$54,$AR$4))</f>
        <v/>
      </c>
      <c r="AS14" s="45">
        <f>IF($AS$5="WAPricePerMsg",$AS$6,INDEX(Assumptions!$D$54:$F$54,$AS$4))</f>
        <v/>
      </c>
      <c r="AT14" s="45">
        <f>IF($AT$5="WAPricePerMsg",$AT$6,INDEX(Assumptions!$D$54:$F$54,$AT$4))</f>
        <v/>
      </c>
      <c r="AU14" s="45">
        <f>IF($AU$5="WAPricePerMsg",$AU$6,INDEX(Assumptions!$D$54:$F$54,$AU$4))</f>
        <v/>
      </c>
      <c r="AV14" s="45">
        <f>IF($AV$5="WAPricePerMsg",$AV$6,INDEX(Assumptions!$D$54:$F$54,$AV$4))</f>
        <v/>
      </c>
    </row>
    <row r="15">
      <c r="B15" s="5" t="inlineStr">
        <is>
          <t>ComputePerStudentMonth</t>
        </is>
      </c>
      <c r="D15" s="45">
        <f>IF($D$5="ComputePerStudentMonth",$D$6,INDEX(Assumptions!$D$55:$F$55,$D$4))</f>
        <v/>
      </c>
      <c r="E15" s="45">
        <f>IF($E$5="ComputePerStudentMonth",$E$6,INDEX(Assumptions!$D$55:$F$55,$E$4))</f>
        <v/>
      </c>
      <c r="F15" s="45">
        <f>IF($F$5="ComputePerStudentMonth",$F$6,INDEX(Assumptions!$D$55:$F$55,$F$4))</f>
        <v/>
      </c>
      <c r="G15" s="45">
        <f>IF($G$5="ComputePerStudentMonth",$G$6,INDEX(Assumptions!$D$55:$F$55,$G$4))</f>
        <v/>
      </c>
      <c r="H15" s="45">
        <f>IF($H$5="ComputePerStudentMonth",$H$6,INDEX(Assumptions!$D$55:$F$55,$H$4))</f>
        <v/>
      </c>
      <c r="I15" s="45">
        <f>IF($I$5="ComputePerStudentMonth",$I$6,INDEX(Assumptions!$D$55:$F$55,$I$4))</f>
        <v/>
      </c>
      <c r="J15" s="45">
        <f>IF($J$5="ComputePerStudentMonth",$J$6,INDEX(Assumptions!$D$55:$F$55,$J$4))</f>
        <v/>
      </c>
      <c r="K15" s="45">
        <f>IF($K$5="ComputePerStudentMonth",$K$6,INDEX(Assumptions!$D$55:$F$55,$K$4))</f>
        <v/>
      </c>
      <c r="L15" s="45">
        <f>IF($L$5="ComputePerStudentMonth",$L$6,INDEX(Assumptions!$D$55:$F$55,$L$4))</f>
        <v/>
      </c>
      <c r="M15" s="45">
        <f>IF($M$5="ComputePerStudentMonth",$M$6,INDEX(Assumptions!$D$55:$F$55,$M$4))</f>
        <v/>
      </c>
      <c r="N15" s="45">
        <f>IF($N$5="ComputePerStudentMonth",$N$6,INDEX(Assumptions!$D$55:$F$55,$N$4))</f>
        <v/>
      </c>
      <c r="O15" s="45">
        <f>IF($O$5="ComputePerStudentMonth",$O$6,INDEX(Assumptions!$D$55:$F$55,$O$4))</f>
        <v/>
      </c>
      <c r="P15" s="45">
        <f>IF($P$5="ComputePerStudentMonth",$P$6,INDEX(Assumptions!$D$55:$F$55,$P$4))</f>
        <v/>
      </c>
      <c r="Q15" s="45">
        <f>IF($Q$5="ComputePerStudentMonth",$Q$6,INDEX(Assumptions!$D$55:$F$55,$Q$4))</f>
        <v/>
      </c>
      <c r="R15" s="45">
        <f>IF($R$5="ComputePerStudentMonth",$R$6,INDEX(Assumptions!$D$55:$F$55,$R$4))</f>
        <v/>
      </c>
      <c r="S15" s="45">
        <f>IF($S$5="ComputePerStudentMonth",$S$6,INDEX(Assumptions!$D$55:$F$55,$S$4))</f>
        <v/>
      </c>
      <c r="T15" s="45">
        <f>IF($T$5="ComputePerStudentMonth",$T$6,INDEX(Assumptions!$D$55:$F$55,$T$4))</f>
        <v/>
      </c>
      <c r="U15" s="45">
        <f>IF($U$5="ComputePerStudentMonth",$U$6,INDEX(Assumptions!$D$55:$F$55,$U$4))</f>
        <v/>
      </c>
      <c r="V15" s="45">
        <f>IF($V$5="ComputePerStudentMonth",$V$6,INDEX(Assumptions!$D$55:$F$55,$V$4))</f>
        <v/>
      </c>
      <c r="W15" s="45">
        <f>IF($W$5="ComputePerStudentMonth",$W$6,INDEX(Assumptions!$D$55:$F$55,$W$4))</f>
        <v/>
      </c>
      <c r="X15" s="45">
        <f>IF($X$5="ComputePerStudentMonth",$X$6,INDEX(Assumptions!$D$55:$F$55,$X$4))</f>
        <v/>
      </c>
      <c r="Y15" s="45">
        <f>IF($Y$5="ComputePerStudentMonth",$Y$6,INDEX(Assumptions!$D$55:$F$55,$Y$4))</f>
        <v/>
      </c>
      <c r="Z15" s="45">
        <f>IF($Z$5="ComputePerStudentMonth",$Z$6,INDEX(Assumptions!$D$55:$F$55,$Z$4))</f>
        <v/>
      </c>
      <c r="AA15" s="45">
        <f>IF($AA$5="ComputePerStudentMonth",$AA$6,INDEX(Assumptions!$D$55:$F$55,$AA$4))</f>
        <v/>
      </c>
      <c r="AB15" s="45">
        <f>IF($AB$5="ComputePerStudentMonth",$AB$6,INDEX(Assumptions!$D$55:$F$55,$AB$4))</f>
        <v/>
      </c>
      <c r="AC15" s="45">
        <f>IF($AC$5="ComputePerStudentMonth",$AC$6,INDEX(Assumptions!$D$55:$F$55,$AC$4))</f>
        <v/>
      </c>
      <c r="AD15" s="45">
        <f>IF($AD$5="ComputePerStudentMonth",$AD$6,INDEX(Assumptions!$D$55:$F$55,$AD$4))</f>
        <v/>
      </c>
      <c r="AE15" s="45">
        <f>IF($AE$5="ComputePerStudentMonth",$AE$6,INDEX(Assumptions!$D$55:$F$55,$AE$4))</f>
        <v/>
      </c>
      <c r="AF15" s="45">
        <f>IF($AF$5="ComputePerStudentMonth",$AF$6,INDEX(Assumptions!$D$55:$F$55,$AF$4))</f>
        <v/>
      </c>
      <c r="AG15" s="45">
        <f>IF($AG$5="ComputePerStudentMonth",$AG$6,INDEX(Assumptions!$D$55:$F$55,$AG$4))</f>
        <v/>
      </c>
      <c r="AH15" s="45">
        <f>IF($AH$5="ComputePerStudentMonth",$AH$6,INDEX(Assumptions!$D$55:$F$55,$AH$4))</f>
        <v/>
      </c>
      <c r="AI15" s="45">
        <f>IF($AI$5="ComputePerStudentMonth",$AI$6,INDEX(Assumptions!$D$55:$F$55,$AI$4))</f>
        <v/>
      </c>
      <c r="AJ15" s="45">
        <f>IF($AJ$5="ComputePerStudentMonth",$AJ$6,INDEX(Assumptions!$D$55:$F$55,$AJ$4))</f>
        <v/>
      </c>
      <c r="AK15" s="45">
        <f>IF($AK$5="ComputePerStudentMonth",$AK$6,INDEX(Assumptions!$D$55:$F$55,$AK$4))</f>
        <v/>
      </c>
      <c r="AL15" s="45">
        <f>IF($AL$5="ComputePerStudentMonth",$AL$6,INDEX(Assumptions!$D$55:$F$55,$AL$4))</f>
        <v/>
      </c>
      <c r="AM15" s="45">
        <f>IF($AM$5="ComputePerStudentMonth",$AM$6,INDEX(Assumptions!$D$55:$F$55,$AM$4))</f>
        <v/>
      </c>
      <c r="AN15" s="45">
        <f>IF($AN$5="ComputePerStudentMonth",$AN$6,INDEX(Assumptions!$D$55:$F$55,$AN$4))</f>
        <v/>
      </c>
      <c r="AO15" s="45">
        <f>IF($AO$5="ComputePerStudentMonth",$AO$6,INDEX(Assumptions!$D$55:$F$55,$AO$4))</f>
        <v/>
      </c>
      <c r="AP15" s="45">
        <f>IF($AP$5="ComputePerStudentMonth",$AP$6,INDEX(Assumptions!$D$55:$F$55,$AP$4))</f>
        <v/>
      </c>
      <c r="AQ15" s="45">
        <f>IF($AQ$5="ComputePerStudentMonth",$AQ$6,INDEX(Assumptions!$D$55:$F$55,$AQ$4))</f>
        <v/>
      </c>
      <c r="AR15" s="45">
        <f>IF($AR$5="ComputePerStudentMonth",$AR$6,INDEX(Assumptions!$D$55:$F$55,$AR$4))</f>
        <v/>
      </c>
      <c r="AS15" s="45">
        <f>IF($AS$5="ComputePerStudentMonth",$AS$6,INDEX(Assumptions!$D$55:$F$55,$AS$4))</f>
        <v/>
      </c>
      <c r="AT15" s="45">
        <f>IF($AT$5="ComputePerStudentMonth",$AT$6,INDEX(Assumptions!$D$55:$F$55,$AT$4))</f>
        <v/>
      </c>
      <c r="AU15" s="45">
        <f>IF($AU$5="ComputePerStudentMonth",$AU$6,INDEX(Assumptions!$D$55:$F$55,$AU$4))</f>
        <v/>
      </c>
      <c r="AV15" s="45">
        <f>IF($AV$5="ComputePerStudentMonth",$AV$6,INDEX(Assumptions!$D$55:$F$55,$AV$4))</f>
        <v/>
      </c>
    </row>
    <row r="16">
      <c r="B16" s="5" t="inlineStr">
        <is>
          <t>ConsentCostPerStudentYear</t>
        </is>
      </c>
      <c r="D16" s="45">
        <f>IF($D$5="ConsentCostPerStudentYear",$D$6,INDEX(Assumptions!$D$56:$F$56,$D$4))</f>
        <v/>
      </c>
      <c r="E16" s="45">
        <f>IF($E$5="ConsentCostPerStudentYear",$E$6,INDEX(Assumptions!$D$56:$F$56,$E$4))</f>
        <v/>
      </c>
      <c r="F16" s="45">
        <f>IF($F$5="ConsentCostPerStudentYear",$F$6,INDEX(Assumptions!$D$56:$F$56,$F$4))</f>
        <v/>
      </c>
      <c r="G16" s="45">
        <f>IF($G$5="ConsentCostPerStudentYear",$G$6,INDEX(Assumptions!$D$56:$F$56,$G$4))</f>
        <v/>
      </c>
      <c r="H16" s="45">
        <f>IF($H$5="ConsentCostPerStudentYear",$H$6,INDEX(Assumptions!$D$56:$F$56,$H$4))</f>
        <v/>
      </c>
      <c r="I16" s="45">
        <f>IF($I$5="ConsentCostPerStudentYear",$I$6,INDEX(Assumptions!$D$56:$F$56,$I$4))</f>
        <v/>
      </c>
      <c r="J16" s="45">
        <f>IF($J$5="ConsentCostPerStudentYear",$J$6,INDEX(Assumptions!$D$56:$F$56,$J$4))</f>
        <v/>
      </c>
      <c r="K16" s="45">
        <f>IF($K$5="ConsentCostPerStudentYear",$K$6,INDEX(Assumptions!$D$56:$F$56,$K$4))</f>
        <v/>
      </c>
      <c r="L16" s="45">
        <f>IF($L$5="ConsentCostPerStudentYear",$L$6,INDEX(Assumptions!$D$56:$F$56,$L$4))</f>
        <v/>
      </c>
      <c r="M16" s="45">
        <f>IF($M$5="ConsentCostPerStudentYear",$M$6,INDEX(Assumptions!$D$56:$F$56,$M$4))</f>
        <v/>
      </c>
      <c r="N16" s="45">
        <f>IF($N$5="ConsentCostPerStudentYear",$N$6,INDEX(Assumptions!$D$56:$F$56,$N$4))</f>
        <v/>
      </c>
      <c r="O16" s="45">
        <f>IF($O$5="ConsentCostPerStudentYear",$O$6,INDEX(Assumptions!$D$56:$F$56,$O$4))</f>
        <v/>
      </c>
      <c r="P16" s="45">
        <f>IF($P$5="ConsentCostPerStudentYear",$P$6,INDEX(Assumptions!$D$56:$F$56,$P$4))</f>
        <v/>
      </c>
      <c r="Q16" s="45">
        <f>IF($Q$5="ConsentCostPerStudentYear",$Q$6,INDEX(Assumptions!$D$56:$F$56,$Q$4))</f>
        <v/>
      </c>
      <c r="R16" s="45">
        <f>IF($R$5="ConsentCostPerStudentYear",$R$6,INDEX(Assumptions!$D$56:$F$56,$R$4))</f>
        <v/>
      </c>
      <c r="S16" s="45">
        <f>IF($S$5="ConsentCostPerStudentYear",$S$6,INDEX(Assumptions!$D$56:$F$56,$S$4))</f>
        <v/>
      </c>
      <c r="T16" s="45">
        <f>IF($T$5="ConsentCostPerStudentYear",$T$6,INDEX(Assumptions!$D$56:$F$56,$T$4))</f>
        <v/>
      </c>
      <c r="U16" s="45">
        <f>IF($U$5="ConsentCostPerStudentYear",$U$6,INDEX(Assumptions!$D$56:$F$56,$U$4))</f>
        <v/>
      </c>
      <c r="V16" s="45">
        <f>IF($V$5="ConsentCostPerStudentYear",$V$6,INDEX(Assumptions!$D$56:$F$56,$V$4))</f>
        <v/>
      </c>
      <c r="W16" s="45">
        <f>IF($W$5="ConsentCostPerStudentYear",$W$6,INDEX(Assumptions!$D$56:$F$56,$W$4))</f>
        <v/>
      </c>
      <c r="X16" s="45">
        <f>IF($X$5="ConsentCostPerStudentYear",$X$6,INDEX(Assumptions!$D$56:$F$56,$X$4))</f>
        <v/>
      </c>
      <c r="Y16" s="45">
        <f>IF($Y$5="ConsentCostPerStudentYear",$Y$6,INDEX(Assumptions!$D$56:$F$56,$Y$4))</f>
        <v/>
      </c>
      <c r="Z16" s="45">
        <f>IF($Z$5="ConsentCostPerStudentYear",$Z$6,INDEX(Assumptions!$D$56:$F$56,$Z$4))</f>
        <v/>
      </c>
      <c r="AA16" s="45">
        <f>IF($AA$5="ConsentCostPerStudentYear",$AA$6,INDEX(Assumptions!$D$56:$F$56,$AA$4))</f>
        <v/>
      </c>
      <c r="AB16" s="45">
        <f>IF($AB$5="ConsentCostPerStudentYear",$AB$6,INDEX(Assumptions!$D$56:$F$56,$AB$4))</f>
        <v/>
      </c>
      <c r="AC16" s="45">
        <f>IF($AC$5="ConsentCostPerStudentYear",$AC$6,INDEX(Assumptions!$D$56:$F$56,$AC$4))</f>
        <v/>
      </c>
      <c r="AD16" s="45">
        <f>IF($AD$5="ConsentCostPerStudentYear",$AD$6,INDEX(Assumptions!$D$56:$F$56,$AD$4))</f>
        <v/>
      </c>
      <c r="AE16" s="45">
        <f>IF($AE$5="ConsentCostPerStudentYear",$AE$6,INDEX(Assumptions!$D$56:$F$56,$AE$4))</f>
        <v/>
      </c>
      <c r="AF16" s="45">
        <f>IF($AF$5="ConsentCostPerStudentYear",$AF$6,INDEX(Assumptions!$D$56:$F$56,$AF$4))</f>
        <v/>
      </c>
      <c r="AG16" s="45">
        <f>IF($AG$5="ConsentCostPerStudentYear",$AG$6,INDEX(Assumptions!$D$56:$F$56,$AG$4))</f>
        <v/>
      </c>
      <c r="AH16" s="45">
        <f>IF($AH$5="ConsentCostPerStudentYear",$AH$6,INDEX(Assumptions!$D$56:$F$56,$AH$4))</f>
        <v/>
      </c>
      <c r="AI16" s="45">
        <f>IF($AI$5="ConsentCostPerStudentYear",$AI$6,INDEX(Assumptions!$D$56:$F$56,$AI$4))</f>
        <v/>
      </c>
      <c r="AJ16" s="45">
        <f>IF($AJ$5="ConsentCostPerStudentYear",$AJ$6,INDEX(Assumptions!$D$56:$F$56,$AJ$4))</f>
        <v/>
      </c>
      <c r="AK16" s="45">
        <f>IF($AK$5="ConsentCostPerStudentYear",$AK$6,INDEX(Assumptions!$D$56:$F$56,$AK$4))</f>
        <v/>
      </c>
      <c r="AL16" s="45">
        <f>IF($AL$5="ConsentCostPerStudentYear",$AL$6,INDEX(Assumptions!$D$56:$F$56,$AL$4))</f>
        <v/>
      </c>
      <c r="AM16" s="45">
        <f>IF($AM$5="ConsentCostPerStudentYear",$AM$6,INDEX(Assumptions!$D$56:$F$56,$AM$4))</f>
        <v/>
      </c>
      <c r="AN16" s="45">
        <f>IF($AN$5="ConsentCostPerStudentYear",$AN$6,INDEX(Assumptions!$D$56:$F$56,$AN$4))</f>
        <v/>
      </c>
      <c r="AO16" s="45">
        <f>IF($AO$5="ConsentCostPerStudentYear",$AO$6,INDEX(Assumptions!$D$56:$F$56,$AO$4))</f>
        <v/>
      </c>
      <c r="AP16" s="45">
        <f>IF($AP$5="ConsentCostPerStudentYear",$AP$6,INDEX(Assumptions!$D$56:$F$56,$AP$4))</f>
        <v/>
      </c>
      <c r="AQ16" s="45">
        <f>IF($AQ$5="ConsentCostPerStudentYear",$AQ$6,INDEX(Assumptions!$D$56:$F$56,$AQ$4))</f>
        <v/>
      </c>
      <c r="AR16" s="45">
        <f>IF($AR$5="ConsentCostPerStudentYear",$AR$6,INDEX(Assumptions!$D$56:$F$56,$AR$4))</f>
        <v/>
      </c>
      <c r="AS16" s="45">
        <f>IF($AS$5="ConsentCostPerStudentYear",$AS$6,INDEX(Assumptions!$D$56:$F$56,$AS$4))</f>
        <v/>
      </c>
      <c r="AT16" s="45">
        <f>IF($AT$5="ConsentCostPerStudentYear",$AT$6,INDEX(Assumptions!$D$56:$F$56,$AT$4))</f>
        <v/>
      </c>
      <c r="AU16" s="45">
        <f>IF($AU$5="ConsentCostPerStudentYear",$AU$6,INDEX(Assumptions!$D$56:$F$56,$AU$4))</f>
        <v/>
      </c>
      <c r="AV16" s="45">
        <f>IF($AV$5="ConsentCostPerStudentYear",$AV$6,INDEX(Assumptions!$D$56:$F$56,$AV$4))</f>
        <v/>
      </c>
    </row>
    <row r="17">
      <c r="B17" s="5" t="inlineStr">
        <is>
          <t>ServerCostMonth</t>
        </is>
      </c>
      <c r="D17" s="48">
        <f>IF($D$5="ServerCostMonth",$D$6,INDEX(Assumptions!$D$57:$F$57,$D$4))</f>
        <v/>
      </c>
      <c r="E17" s="48">
        <f>IF($E$5="ServerCostMonth",$E$6,INDEX(Assumptions!$D$57:$F$57,$E$4))</f>
        <v/>
      </c>
      <c r="F17" s="48">
        <f>IF($F$5="ServerCostMonth",$F$6,INDEX(Assumptions!$D$57:$F$57,$F$4))</f>
        <v/>
      </c>
      <c r="G17" s="48">
        <f>IF($G$5="ServerCostMonth",$G$6,INDEX(Assumptions!$D$57:$F$57,$G$4))</f>
        <v/>
      </c>
      <c r="H17" s="48">
        <f>IF($H$5="ServerCostMonth",$H$6,INDEX(Assumptions!$D$57:$F$57,$H$4))</f>
        <v/>
      </c>
      <c r="I17" s="48">
        <f>IF($I$5="ServerCostMonth",$I$6,INDEX(Assumptions!$D$57:$F$57,$I$4))</f>
        <v/>
      </c>
      <c r="J17" s="48">
        <f>IF($J$5="ServerCostMonth",$J$6,INDEX(Assumptions!$D$57:$F$57,$J$4))</f>
        <v/>
      </c>
      <c r="K17" s="48">
        <f>IF($K$5="ServerCostMonth",$K$6,INDEX(Assumptions!$D$57:$F$57,$K$4))</f>
        <v/>
      </c>
      <c r="L17" s="48">
        <f>IF($L$5="ServerCostMonth",$L$6,INDEX(Assumptions!$D$57:$F$57,$L$4))</f>
        <v/>
      </c>
      <c r="M17" s="48">
        <f>IF($M$5="ServerCostMonth",$M$6,INDEX(Assumptions!$D$57:$F$57,$M$4))</f>
        <v/>
      </c>
      <c r="N17" s="48">
        <f>IF($N$5="ServerCostMonth",$N$6,INDEX(Assumptions!$D$57:$F$57,$N$4))</f>
        <v/>
      </c>
      <c r="O17" s="48">
        <f>IF($O$5="ServerCostMonth",$O$6,INDEX(Assumptions!$D$57:$F$57,$O$4))</f>
        <v/>
      </c>
      <c r="P17" s="48">
        <f>IF($P$5="ServerCostMonth",$P$6,INDEX(Assumptions!$D$57:$F$57,$P$4))</f>
        <v/>
      </c>
      <c r="Q17" s="48">
        <f>IF($Q$5="ServerCostMonth",$Q$6,INDEX(Assumptions!$D$57:$F$57,$Q$4))</f>
        <v/>
      </c>
      <c r="R17" s="48">
        <f>IF($R$5="ServerCostMonth",$R$6,INDEX(Assumptions!$D$57:$F$57,$R$4))</f>
        <v/>
      </c>
      <c r="S17" s="48">
        <f>IF($S$5="ServerCostMonth",$S$6,INDEX(Assumptions!$D$57:$F$57,$S$4))</f>
        <v/>
      </c>
      <c r="T17" s="48">
        <f>IF($T$5="ServerCostMonth",$T$6,INDEX(Assumptions!$D$57:$F$57,$T$4))</f>
        <v/>
      </c>
      <c r="U17" s="48">
        <f>IF($U$5="ServerCostMonth",$U$6,INDEX(Assumptions!$D$57:$F$57,$U$4))</f>
        <v/>
      </c>
      <c r="V17" s="48">
        <f>IF($V$5="ServerCostMonth",$V$6,INDEX(Assumptions!$D$57:$F$57,$V$4))</f>
        <v/>
      </c>
      <c r="W17" s="48">
        <f>IF($W$5="ServerCostMonth",$W$6,INDEX(Assumptions!$D$57:$F$57,$W$4))</f>
        <v/>
      </c>
      <c r="X17" s="48">
        <f>IF($X$5="ServerCostMonth",$X$6,INDEX(Assumptions!$D$57:$F$57,$X$4))</f>
        <v/>
      </c>
      <c r="Y17" s="48">
        <f>IF($Y$5="ServerCostMonth",$Y$6,INDEX(Assumptions!$D$57:$F$57,$Y$4))</f>
        <v/>
      </c>
      <c r="Z17" s="48">
        <f>IF($Z$5="ServerCostMonth",$Z$6,INDEX(Assumptions!$D$57:$F$57,$Z$4))</f>
        <v/>
      </c>
      <c r="AA17" s="48">
        <f>IF($AA$5="ServerCostMonth",$AA$6,INDEX(Assumptions!$D$57:$F$57,$AA$4))</f>
        <v/>
      </c>
      <c r="AB17" s="48">
        <f>IF($AB$5="ServerCostMonth",$AB$6,INDEX(Assumptions!$D$57:$F$57,$AB$4))</f>
        <v/>
      </c>
      <c r="AC17" s="48">
        <f>IF($AC$5="ServerCostMonth",$AC$6,INDEX(Assumptions!$D$57:$F$57,$AC$4))</f>
        <v/>
      </c>
      <c r="AD17" s="48">
        <f>IF($AD$5="ServerCostMonth",$AD$6,INDEX(Assumptions!$D$57:$F$57,$AD$4))</f>
        <v/>
      </c>
      <c r="AE17" s="48">
        <f>IF($AE$5="ServerCostMonth",$AE$6,INDEX(Assumptions!$D$57:$F$57,$AE$4))</f>
        <v/>
      </c>
      <c r="AF17" s="48">
        <f>IF($AF$5="ServerCostMonth",$AF$6,INDEX(Assumptions!$D$57:$F$57,$AF$4))</f>
        <v/>
      </c>
      <c r="AG17" s="48">
        <f>IF($AG$5="ServerCostMonth",$AG$6,INDEX(Assumptions!$D$57:$F$57,$AG$4))</f>
        <v/>
      </c>
      <c r="AH17" s="48">
        <f>IF($AH$5="ServerCostMonth",$AH$6,INDEX(Assumptions!$D$57:$F$57,$AH$4))</f>
        <v/>
      </c>
      <c r="AI17" s="48">
        <f>IF($AI$5="ServerCostMonth",$AI$6,INDEX(Assumptions!$D$57:$F$57,$AI$4))</f>
        <v/>
      </c>
      <c r="AJ17" s="48">
        <f>IF($AJ$5="ServerCostMonth",$AJ$6,INDEX(Assumptions!$D$57:$F$57,$AJ$4))</f>
        <v/>
      </c>
      <c r="AK17" s="48">
        <f>IF($AK$5="ServerCostMonth",$AK$6,INDEX(Assumptions!$D$57:$F$57,$AK$4))</f>
        <v/>
      </c>
      <c r="AL17" s="48">
        <f>IF($AL$5="ServerCostMonth",$AL$6,INDEX(Assumptions!$D$57:$F$57,$AL$4))</f>
        <v/>
      </c>
      <c r="AM17" s="48">
        <f>IF($AM$5="ServerCostMonth",$AM$6,INDEX(Assumptions!$D$57:$F$57,$AM$4))</f>
        <v/>
      </c>
      <c r="AN17" s="48">
        <f>IF($AN$5="ServerCostMonth",$AN$6,INDEX(Assumptions!$D$57:$F$57,$AN$4))</f>
        <v/>
      </c>
      <c r="AO17" s="48">
        <f>IF($AO$5="ServerCostMonth",$AO$6,INDEX(Assumptions!$D$57:$F$57,$AO$4))</f>
        <v/>
      </c>
      <c r="AP17" s="48">
        <f>IF($AP$5="ServerCostMonth",$AP$6,INDEX(Assumptions!$D$57:$F$57,$AP$4))</f>
        <v/>
      </c>
      <c r="AQ17" s="48">
        <f>IF($AQ$5="ServerCostMonth",$AQ$6,INDEX(Assumptions!$D$57:$F$57,$AQ$4))</f>
        <v/>
      </c>
      <c r="AR17" s="48">
        <f>IF($AR$5="ServerCostMonth",$AR$6,INDEX(Assumptions!$D$57:$F$57,$AR$4))</f>
        <v/>
      </c>
      <c r="AS17" s="48">
        <f>IF($AS$5="ServerCostMonth",$AS$6,INDEX(Assumptions!$D$57:$F$57,$AS$4))</f>
        <v/>
      </c>
      <c r="AT17" s="48">
        <f>IF($AT$5="ServerCostMonth",$AT$6,INDEX(Assumptions!$D$57:$F$57,$AT$4))</f>
        <v/>
      </c>
      <c r="AU17" s="48">
        <f>IF($AU$5="ServerCostMonth",$AU$6,INDEX(Assumptions!$D$57:$F$57,$AU$4))</f>
        <v/>
      </c>
      <c r="AV17" s="48">
        <f>IF($AV$5="ServerCostMonth",$AV$6,INDEX(Assumptions!$D$57:$F$57,$AV$4))</f>
        <v/>
      </c>
    </row>
    <row r="18">
      <c r="B18" s="5" t="inlineStr">
        <is>
          <t>BSPFeeMonth</t>
        </is>
      </c>
      <c r="D18" s="48">
        <f>IF($D$5="BSPFeeMonth",$D$6,INDEX(Assumptions!$D$58:$F$58,$D$4))</f>
        <v/>
      </c>
      <c r="E18" s="48">
        <f>IF($E$5="BSPFeeMonth",$E$6,INDEX(Assumptions!$D$58:$F$58,$E$4))</f>
        <v/>
      </c>
      <c r="F18" s="48">
        <f>IF($F$5="BSPFeeMonth",$F$6,INDEX(Assumptions!$D$58:$F$58,$F$4))</f>
        <v/>
      </c>
      <c r="G18" s="48">
        <f>IF($G$5="BSPFeeMonth",$G$6,INDEX(Assumptions!$D$58:$F$58,$G$4))</f>
        <v/>
      </c>
      <c r="H18" s="48">
        <f>IF($H$5="BSPFeeMonth",$H$6,INDEX(Assumptions!$D$58:$F$58,$H$4))</f>
        <v/>
      </c>
      <c r="I18" s="48">
        <f>IF($I$5="BSPFeeMonth",$I$6,INDEX(Assumptions!$D$58:$F$58,$I$4))</f>
        <v/>
      </c>
      <c r="J18" s="48">
        <f>IF($J$5="BSPFeeMonth",$J$6,INDEX(Assumptions!$D$58:$F$58,$J$4))</f>
        <v/>
      </c>
      <c r="K18" s="48">
        <f>IF($K$5="BSPFeeMonth",$K$6,INDEX(Assumptions!$D$58:$F$58,$K$4))</f>
        <v/>
      </c>
      <c r="L18" s="48">
        <f>IF($L$5="BSPFeeMonth",$L$6,INDEX(Assumptions!$D$58:$F$58,$L$4))</f>
        <v/>
      </c>
      <c r="M18" s="48">
        <f>IF($M$5="BSPFeeMonth",$M$6,INDEX(Assumptions!$D$58:$F$58,$M$4))</f>
        <v/>
      </c>
      <c r="N18" s="48">
        <f>IF($N$5="BSPFeeMonth",$N$6,INDEX(Assumptions!$D$58:$F$58,$N$4))</f>
        <v/>
      </c>
      <c r="O18" s="48">
        <f>IF($O$5="BSPFeeMonth",$O$6,INDEX(Assumptions!$D$58:$F$58,$O$4))</f>
        <v/>
      </c>
      <c r="P18" s="48">
        <f>IF($P$5="BSPFeeMonth",$P$6,INDEX(Assumptions!$D$58:$F$58,$P$4))</f>
        <v/>
      </c>
      <c r="Q18" s="48">
        <f>IF($Q$5="BSPFeeMonth",$Q$6,INDEX(Assumptions!$D$58:$F$58,$Q$4))</f>
        <v/>
      </c>
      <c r="R18" s="48">
        <f>IF($R$5="BSPFeeMonth",$R$6,INDEX(Assumptions!$D$58:$F$58,$R$4))</f>
        <v/>
      </c>
      <c r="S18" s="48">
        <f>IF($S$5="BSPFeeMonth",$S$6,INDEX(Assumptions!$D$58:$F$58,$S$4))</f>
        <v/>
      </c>
      <c r="T18" s="48">
        <f>IF($T$5="BSPFeeMonth",$T$6,INDEX(Assumptions!$D$58:$F$58,$T$4))</f>
        <v/>
      </c>
      <c r="U18" s="48">
        <f>IF($U$5="BSPFeeMonth",$U$6,INDEX(Assumptions!$D$58:$F$58,$U$4))</f>
        <v/>
      </c>
      <c r="V18" s="48">
        <f>IF($V$5="BSPFeeMonth",$V$6,INDEX(Assumptions!$D$58:$F$58,$V$4))</f>
        <v/>
      </c>
      <c r="W18" s="48">
        <f>IF($W$5="BSPFeeMonth",$W$6,INDEX(Assumptions!$D$58:$F$58,$W$4))</f>
        <v/>
      </c>
      <c r="X18" s="48">
        <f>IF($X$5="BSPFeeMonth",$X$6,INDEX(Assumptions!$D$58:$F$58,$X$4))</f>
        <v/>
      </c>
      <c r="Y18" s="48">
        <f>IF($Y$5="BSPFeeMonth",$Y$6,INDEX(Assumptions!$D$58:$F$58,$Y$4))</f>
        <v/>
      </c>
      <c r="Z18" s="48">
        <f>IF($Z$5="BSPFeeMonth",$Z$6,INDEX(Assumptions!$D$58:$F$58,$Z$4))</f>
        <v/>
      </c>
      <c r="AA18" s="48">
        <f>IF($AA$5="BSPFeeMonth",$AA$6,INDEX(Assumptions!$D$58:$F$58,$AA$4))</f>
        <v/>
      </c>
      <c r="AB18" s="48">
        <f>IF($AB$5="BSPFeeMonth",$AB$6,INDEX(Assumptions!$D$58:$F$58,$AB$4))</f>
        <v/>
      </c>
      <c r="AC18" s="48">
        <f>IF($AC$5="BSPFeeMonth",$AC$6,INDEX(Assumptions!$D$58:$F$58,$AC$4))</f>
        <v/>
      </c>
      <c r="AD18" s="48">
        <f>IF($AD$5="BSPFeeMonth",$AD$6,INDEX(Assumptions!$D$58:$F$58,$AD$4))</f>
        <v/>
      </c>
      <c r="AE18" s="48">
        <f>IF($AE$5="BSPFeeMonth",$AE$6,INDEX(Assumptions!$D$58:$F$58,$AE$4))</f>
        <v/>
      </c>
      <c r="AF18" s="48">
        <f>IF($AF$5="BSPFeeMonth",$AF$6,INDEX(Assumptions!$D$58:$F$58,$AF$4))</f>
        <v/>
      </c>
      <c r="AG18" s="48">
        <f>IF($AG$5="BSPFeeMonth",$AG$6,INDEX(Assumptions!$D$58:$F$58,$AG$4))</f>
        <v/>
      </c>
      <c r="AH18" s="48">
        <f>IF($AH$5="BSPFeeMonth",$AH$6,INDEX(Assumptions!$D$58:$F$58,$AH$4))</f>
        <v/>
      </c>
      <c r="AI18" s="48">
        <f>IF($AI$5="BSPFeeMonth",$AI$6,INDEX(Assumptions!$D$58:$F$58,$AI$4))</f>
        <v/>
      </c>
      <c r="AJ18" s="48">
        <f>IF($AJ$5="BSPFeeMonth",$AJ$6,INDEX(Assumptions!$D$58:$F$58,$AJ$4))</f>
        <v/>
      </c>
      <c r="AK18" s="48">
        <f>IF($AK$5="BSPFeeMonth",$AK$6,INDEX(Assumptions!$D$58:$F$58,$AK$4))</f>
        <v/>
      </c>
      <c r="AL18" s="48">
        <f>IF($AL$5="BSPFeeMonth",$AL$6,INDEX(Assumptions!$D$58:$F$58,$AL$4))</f>
        <v/>
      </c>
      <c r="AM18" s="48">
        <f>IF($AM$5="BSPFeeMonth",$AM$6,INDEX(Assumptions!$D$58:$F$58,$AM$4))</f>
        <v/>
      </c>
      <c r="AN18" s="48">
        <f>IF($AN$5="BSPFeeMonth",$AN$6,INDEX(Assumptions!$D$58:$F$58,$AN$4))</f>
        <v/>
      </c>
      <c r="AO18" s="48">
        <f>IF($AO$5="BSPFeeMonth",$AO$6,INDEX(Assumptions!$D$58:$F$58,$AO$4))</f>
        <v/>
      </c>
      <c r="AP18" s="48">
        <f>IF($AP$5="BSPFeeMonth",$AP$6,INDEX(Assumptions!$D$58:$F$58,$AP$4))</f>
        <v/>
      </c>
      <c r="AQ18" s="48">
        <f>IF($AQ$5="BSPFeeMonth",$AQ$6,INDEX(Assumptions!$D$58:$F$58,$AQ$4))</f>
        <v/>
      </c>
      <c r="AR18" s="48">
        <f>IF($AR$5="BSPFeeMonth",$AR$6,INDEX(Assumptions!$D$58:$F$58,$AR$4))</f>
        <v/>
      </c>
      <c r="AS18" s="48">
        <f>IF($AS$5="BSPFeeMonth",$AS$6,INDEX(Assumptions!$D$58:$F$58,$AS$4))</f>
        <v/>
      </c>
      <c r="AT18" s="48">
        <f>IF($AT$5="BSPFeeMonth",$AT$6,INDEX(Assumptions!$D$58:$F$58,$AT$4))</f>
        <v/>
      </c>
      <c r="AU18" s="48">
        <f>IF($AU$5="BSPFeeMonth",$AU$6,INDEX(Assumptions!$D$58:$F$58,$AU$4))</f>
        <v/>
      </c>
      <c r="AV18" s="48">
        <f>IF($AV$5="BSPFeeMonth",$AV$6,INDEX(Assumptions!$D$58:$F$58,$AV$4))</f>
        <v/>
      </c>
    </row>
    <row r="19">
      <c r="B19" s="5" t="inlineStr">
        <is>
          <t>InstPerStack</t>
        </is>
      </c>
      <c r="D19" s="55">
        <f>IF($D$5="InstPerStack",$D$6,INDEX(Assumptions!$D$59:$F$59,$D$4))</f>
        <v/>
      </c>
      <c r="E19" s="55">
        <f>IF($E$5="InstPerStack",$E$6,INDEX(Assumptions!$D$59:$F$59,$E$4))</f>
        <v/>
      </c>
      <c r="F19" s="55">
        <f>IF($F$5="InstPerStack",$F$6,INDEX(Assumptions!$D$59:$F$59,$F$4))</f>
        <v/>
      </c>
      <c r="G19" s="55">
        <f>IF($G$5="InstPerStack",$G$6,INDEX(Assumptions!$D$59:$F$59,$G$4))</f>
        <v/>
      </c>
      <c r="H19" s="55">
        <f>IF($H$5="InstPerStack",$H$6,INDEX(Assumptions!$D$59:$F$59,$H$4))</f>
        <v/>
      </c>
      <c r="I19" s="55">
        <f>IF($I$5="InstPerStack",$I$6,INDEX(Assumptions!$D$59:$F$59,$I$4))</f>
        <v/>
      </c>
      <c r="J19" s="55">
        <f>IF($J$5="InstPerStack",$J$6,INDEX(Assumptions!$D$59:$F$59,$J$4))</f>
        <v/>
      </c>
      <c r="K19" s="55">
        <f>IF($K$5="InstPerStack",$K$6,INDEX(Assumptions!$D$59:$F$59,$K$4))</f>
        <v/>
      </c>
      <c r="L19" s="55">
        <f>IF($L$5="InstPerStack",$L$6,INDEX(Assumptions!$D$59:$F$59,$L$4))</f>
        <v/>
      </c>
      <c r="M19" s="55">
        <f>IF($M$5="InstPerStack",$M$6,INDEX(Assumptions!$D$59:$F$59,$M$4))</f>
        <v/>
      </c>
      <c r="N19" s="55">
        <f>IF($N$5="InstPerStack",$N$6,INDEX(Assumptions!$D$59:$F$59,$N$4))</f>
        <v/>
      </c>
      <c r="O19" s="55">
        <f>IF($O$5="InstPerStack",$O$6,INDEX(Assumptions!$D$59:$F$59,$O$4))</f>
        <v/>
      </c>
      <c r="P19" s="55">
        <f>IF($P$5="InstPerStack",$P$6,INDEX(Assumptions!$D$59:$F$59,$P$4))</f>
        <v/>
      </c>
      <c r="Q19" s="55">
        <f>IF($Q$5="InstPerStack",$Q$6,INDEX(Assumptions!$D$59:$F$59,$Q$4))</f>
        <v/>
      </c>
      <c r="R19" s="55">
        <f>IF($R$5="InstPerStack",$R$6,INDEX(Assumptions!$D$59:$F$59,$R$4))</f>
        <v/>
      </c>
      <c r="S19" s="55">
        <f>IF($S$5="InstPerStack",$S$6,INDEX(Assumptions!$D$59:$F$59,$S$4))</f>
        <v/>
      </c>
      <c r="T19" s="55">
        <f>IF($T$5="InstPerStack",$T$6,INDEX(Assumptions!$D$59:$F$59,$T$4))</f>
        <v/>
      </c>
      <c r="U19" s="55">
        <f>IF($U$5="InstPerStack",$U$6,INDEX(Assumptions!$D$59:$F$59,$U$4))</f>
        <v/>
      </c>
      <c r="V19" s="55">
        <f>IF($V$5="InstPerStack",$V$6,INDEX(Assumptions!$D$59:$F$59,$V$4))</f>
        <v/>
      </c>
      <c r="W19" s="55">
        <f>IF($W$5="InstPerStack",$W$6,INDEX(Assumptions!$D$59:$F$59,$W$4))</f>
        <v/>
      </c>
      <c r="X19" s="55">
        <f>IF($X$5="InstPerStack",$X$6,INDEX(Assumptions!$D$59:$F$59,$X$4))</f>
        <v/>
      </c>
      <c r="Y19" s="55">
        <f>IF($Y$5="InstPerStack",$Y$6,INDEX(Assumptions!$D$59:$F$59,$Y$4))</f>
        <v/>
      </c>
      <c r="Z19" s="55">
        <f>IF($Z$5="InstPerStack",$Z$6,INDEX(Assumptions!$D$59:$F$59,$Z$4))</f>
        <v/>
      </c>
      <c r="AA19" s="55">
        <f>IF($AA$5="InstPerStack",$AA$6,INDEX(Assumptions!$D$59:$F$59,$AA$4))</f>
        <v/>
      </c>
      <c r="AB19" s="55">
        <f>IF($AB$5="InstPerStack",$AB$6,INDEX(Assumptions!$D$59:$F$59,$AB$4))</f>
        <v/>
      </c>
      <c r="AC19" s="55">
        <f>IF($AC$5="InstPerStack",$AC$6,INDEX(Assumptions!$D$59:$F$59,$AC$4))</f>
        <v/>
      </c>
      <c r="AD19" s="55">
        <f>IF($AD$5="InstPerStack",$AD$6,INDEX(Assumptions!$D$59:$F$59,$AD$4))</f>
        <v/>
      </c>
      <c r="AE19" s="55">
        <f>IF($AE$5="InstPerStack",$AE$6,INDEX(Assumptions!$D$59:$F$59,$AE$4))</f>
        <v/>
      </c>
      <c r="AF19" s="55">
        <f>IF($AF$5="InstPerStack",$AF$6,INDEX(Assumptions!$D$59:$F$59,$AF$4))</f>
        <v/>
      </c>
      <c r="AG19" s="55">
        <f>IF($AG$5="InstPerStack",$AG$6,INDEX(Assumptions!$D$59:$F$59,$AG$4))</f>
        <v/>
      </c>
      <c r="AH19" s="55">
        <f>IF($AH$5="InstPerStack",$AH$6,INDEX(Assumptions!$D$59:$F$59,$AH$4))</f>
        <v/>
      </c>
      <c r="AI19" s="55">
        <f>IF($AI$5="InstPerStack",$AI$6,INDEX(Assumptions!$D$59:$F$59,$AI$4))</f>
        <v/>
      </c>
      <c r="AJ19" s="55">
        <f>IF($AJ$5="InstPerStack",$AJ$6,INDEX(Assumptions!$D$59:$F$59,$AJ$4))</f>
        <v/>
      </c>
      <c r="AK19" s="55">
        <f>IF($AK$5="InstPerStack",$AK$6,INDEX(Assumptions!$D$59:$F$59,$AK$4))</f>
        <v/>
      </c>
      <c r="AL19" s="55">
        <f>IF($AL$5="InstPerStack",$AL$6,INDEX(Assumptions!$D$59:$F$59,$AL$4))</f>
        <v/>
      </c>
      <c r="AM19" s="55">
        <f>IF($AM$5="InstPerStack",$AM$6,INDEX(Assumptions!$D$59:$F$59,$AM$4))</f>
        <v/>
      </c>
      <c r="AN19" s="55">
        <f>IF($AN$5="InstPerStack",$AN$6,INDEX(Assumptions!$D$59:$F$59,$AN$4))</f>
        <v/>
      </c>
      <c r="AO19" s="55">
        <f>IF($AO$5="InstPerStack",$AO$6,INDEX(Assumptions!$D$59:$F$59,$AO$4))</f>
        <v/>
      </c>
      <c r="AP19" s="55">
        <f>IF($AP$5="InstPerStack",$AP$6,INDEX(Assumptions!$D$59:$F$59,$AP$4))</f>
        <v/>
      </c>
      <c r="AQ19" s="55">
        <f>IF($AQ$5="InstPerStack",$AQ$6,INDEX(Assumptions!$D$59:$F$59,$AQ$4))</f>
        <v/>
      </c>
      <c r="AR19" s="55">
        <f>IF($AR$5="InstPerStack",$AR$6,INDEX(Assumptions!$D$59:$F$59,$AR$4))</f>
        <v/>
      </c>
      <c r="AS19" s="55">
        <f>IF($AS$5="InstPerStack",$AS$6,INDEX(Assumptions!$D$59:$F$59,$AS$4))</f>
        <v/>
      </c>
      <c r="AT19" s="55">
        <f>IF($AT$5="InstPerStack",$AT$6,INDEX(Assumptions!$D$59:$F$59,$AT$4))</f>
        <v/>
      </c>
      <c r="AU19" s="55">
        <f>IF($AU$5="InstPerStack",$AU$6,INDEX(Assumptions!$D$59:$F$59,$AU$4))</f>
        <v/>
      </c>
      <c r="AV19" s="55">
        <f>IF($AV$5="InstPerStack",$AV$6,INDEX(Assumptions!$D$59:$F$59,$AV$4))</f>
        <v/>
      </c>
    </row>
    <row r="20">
      <c r="B20" s="5" t="inlineStr">
        <is>
          <t>CompliancePerInstMonth</t>
        </is>
      </c>
      <c r="D20" s="48">
        <f>IF($D$5="CompliancePerInstMonth",$D$6,INDEX(Assumptions!$D$60:$F$60,$D$4))</f>
        <v/>
      </c>
      <c r="E20" s="48">
        <f>IF($E$5="CompliancePerInstMonth",$E$6,INDEX(Assumptions!$D$60:$F$60,$E$4))</f>
        <v/>
      </c>
      <c r="F20" s="48">
        <f>IF($F$5="CompliancePerInstMonth",$F$6,INDEX(Assumptions!$D$60:$F$60,$F$4))</f>
        <v/>
      </c>
      <c r="G20" s="48">
        <f>IF($G$5="CompliancePerInstMonth",$G$6,INDEX(Assumptions!$D$60:$F$60,$G$4))</f>
        <v/>
      </c>
      <c r="H20" s="48">
        <f>IF($H$5="CompliancePerInstMonth",$H$6,INDEX(Assumptions!$D$60:$F$60,$H$4))</f>
        <v/>
      </c>
      <c r="I20" s="48">
        <f>IF($I$5="CompliancePerInstMonth",$I$6,INDEX(Assumptions!$D$60:$F$60,$I$4))</f>
        <v/>
      </c>
      <c r="J20" s="48">
        <f>IF($J$5="CompliancePerInstMonth",$J$6,INDEX(Assumptions!$D$60:$F$60,$J$4))</f>
        <v/>
      </c>
      <c r="K20" s="48">
        <f>IF($K$5="CompliancePerInstMonth",$K$6,INDEX(Assumptions!$D$60:$F$60,$K$4))</f>
        <v/>
      </c>
      <c r="L20" s="48">
        <f>IF($L$5="CompliancePerInstMonth",$L$6,INDEX(Assumptions!$D$60:$F$60,$L$4))</f>
        <v/>
      </c>
      <c r="M20" s="48">
        <f>IF($M$5="CompliancePerInstMonth",$M$6,INDEX(Assumptions!$D$60:$F$60,$M$4))</f>
        <v/>
      </c>
      <c r="N20" s="48">
        <f>IF($N$5="CompliancePerInstMonth",$N$6,INDEX(Assumptions!$D$60:$F$60,$N$4))</f>
        <v/>
      </c>
      <c r="O20" s="48">
        <f>IF($O$5="CompliancePerInstMonth",$O$6,INDEX(Assumptions!$D$60:$F$60,$O$4))</f>
        <v/>
      </c>
      <c r="P20" s="48">
        <f>IF($P$5="CompliancePerInstMonth",$P$6,INDEX(Assumptions!$D$60:$F$60,$P$4))</f>
        <v/>
      </c>
      <c r="Q20" s="48">
        <f>IF($Q$5="CompliancePerInstMonth",$Q$6,INDEX(Assumptions!$D$60:$F$60,$Q$4))</f>
        <v/>
      </c>
      <c r="R20" s="48">
        <f>IF($R$5="CompliancePerInstMonth",$R$6,INDEX(Assumptions!$D$60:$F$60,$R$4))</f>
        <v/>
      </c>
      <c r="S20" s="48">
        <f>IF($S$5="CompliancePerInstMonth",$S$6,INDEX(Assumptions!$D$60:$F$60,$S$4))</f>
        <v/>
      </c>
      <c r="T20" s="48">
        <f>IF($T$5="CompliancePerInstMonth",$T$6,INDEX(Assumptions!$D$60:$F$60,$T$4))</f>
        <v/>
      </c>
      <c r="U20" s="48">
        <f>IF($U$5="CompliancePerInstMonth",$U$6,INDEX(Assumptions!$D$60:$F$60,$U$4))</f>
        <v/>
      </c>
      <c r="V20" s="48">
        <f>IF($V$5="CompliancePerInstMonth",$V$6,INDEX(Assumptions!$D$60:$F$60,$V$4))</f>
        <v/>
      </c>
      <c r="W20" s="48">
        <f>IF($W$5="CompliancePerInstMonth",$W$6,INDEX(Assumptions!$D$60:$F$60,$W$4))</f>
        <v/>
      </c>
      <c r="X20" s="48">
        <f>IF($X$5="CompliancePerInstMonth",$X$6,INDEX(Assumptions!$D$60:$F$60,$X$4))</f>
        <v/>
      </c>
      <c r="Y20" s="48">
        <f>IF($Y$5="CompliancePerInstMonth",$Y$6,INDEX(Assumptions!$D$60:$F$60,$Y$4))</f>
        <v/>
      </c>
      <c r="Z20" s="48">
        <f>IF($Z$5="CompliancePerInstMonth",$Z$6,INDEX(Assumptions!$D$60:$F$60,$Z$4))</f>
        <v/>
      </c>
      <c r="AA20" s="48">
        <f>IF($AA$5="CompliancePerInstMonth",$AA$6,INDEX(Assumptions!$D$60:$F$60,$AA$4))</f>
        <v/>
      </c>
      <c r="AB20" s="48">
        <f>IF($AB$5="CompliancePerInstMonth",$AB$6,INDEX(Assumptions!$D$60:$F$60,$AB$4))</f>
        <v/>
      </c>
      <c r="AC20" s="48">
        <f>IF($AC$5="CompliancePerInstMonth",$AC$6,INDEX(Assumptions!$D$60:$F$60,$AC$4))</f>
        <v/>
      </c>
      <c r="AD20" s="48">
        <f>IF($AD$5="CompliancePerInstMonth",$AD$6,INDEX(Assumptions!$D$60:$F$60,$AD$4))</f>
        <v/>
      </c>
      <c r="AE20" s="48">
        <f>IF($AE$5="CompliancePerInstMonth",$AE$6,INDEX(Assumptions!$D$60:$F$60,$AE$4))</f>
        <v/>
      </c>
      <c r="AF20" s="48">
        <f>IF($AF$5="CompliancePerInstMonth",$AF$6,INDEX(Assumptions!$D$60:$F$60,$AF$4))</f>
        <v/>
      </c>
      <c r="AG20" s="48">
        <f>IF($AG$5="CompliancePerInstMonth",$AG$6,INDEX(Assumptions!$D$60:$F$60,$AG$4))</f>
        <v/>
      </c>
      <c r="AH20" s="48">
        <f>IF($AH$5="CompliancePerInstMonth",$AH$6,INDEX(Assumptions!$D$60:$F$60,$AH$4))</f>
        <v/>
      </c>
      <c r="AI20" s="48">
        <f>IF($AI$5="CompliancePerInstMonth",$AI$6,INDEX(Assumptions!$D$60:$F$60,$AI$4))</f>
        <v/>
      </c>
      <c r="AJ20" s="48">
        <f>IF($AJ$5="CompliancePerInstMonth",$AJ$6,INDEX(Assumptions!$D$60:$F$60,$AJ$4))</f>
        <v/>
      </c>
      <c r="AK20" s="48">
        <f>IF($AK$5="CompliancePerInstMonth",$AK$6,INDEX(Assumptions!$D$60:$F$60,$AK$4))</f>
        <v/>
      </c>
      <c r="AL20" s="48">
        <f>IF($AL$5="CompliancePerInstMonth",$AL$6,INDEX(Assumptions!$D$60:$F$60,$AL$4))</f>
        <v/>
      </c>
      <c r="AM20" s="48">
        <f>IF($AM$5="CompliancePerInstMonth",$AM$6,INDEX(Assumptions!$D$60:$F$60,$AM$4))</f>
        <v/>
      </c>
      <c r="AN20" s="48">
        <f>IF($AN$5="CompliancePerInstMonth",$AN$6,INDEX(Assumptions!$D$60:$F$60,$AN$4))</f>
        <v/>
      </c>
      <c r="AO20" s="48">
        <f>IF($AO$5="CompliancePerInstMonth",$AO$6,INDEX(Assumptions!$D$60:$F$60,$AO$4))</f>
        <v/>
      </c>
      <c r="AP20" s="48">
        <f>IF($AP$5="CompliancePerInstMonth",$AP$6,INDEX(Assumptions!$D$60:$F$60,$AP$4))</f>
        <v/>
      </c>
      <c r="AQ20" s="48">
        <f>IF($AQ$5="CompliancePerInstMonth",$AQ$6,INDEX(Assumptions!$D$60:$F$60,$AQ$4))</f>
        <v/>
      </c>
      <c r="AR20" s="48">
        <f>IF($AR$5="CompliancePerInstMonth",$AR$6,INDEX(Assumptions!$D$60:$F$60,$AR$4))</f>
        <v/>
      </c>
      <c r="AS20" s="48">
        <f>IF($AS$5="CompliancePerInstMonth",$AS$6,INDEX(Assumptions!$D$60:$F$60,$AS$4))</f>
        <v/>
      </c>
      <c r="AT20" s="48">
        <f>IF($AT$5="CompliancePerInstMonth",$AT$6,INDEX(Assumptions!$D$60:$F$60,$AT$4))</f>
        <v/>
      </c>
      <c r="AU20" s="48">
        <f>IF($AU$5="CompliancePerInstMonth",$AU$6,INDEX(Assumptions!$D$60:$F$60,$AU$4))</f>
        <v/>
      </c>
      <c r="AV20" s="48">
        <f>IF($AV$5="CompliancePerInstMonth",$AV$6,INDEX(Assumptions!$D$60:$F$60,$AV$4))</f>
        <v/>
      </c>
    </row>
    <row r="21">
      <c r="B21" s="5" t="inlineStr">
        <is>
          <t>Students</t>
        </is>
      </c>
      <c r="D21" s="55">
        <f>IF($D$5="Students",$D$6,INDEX(Assumptions!$D$6:$F$6,$D$4))</f>
        <v/>
      </c>
      <c r="E21" s="55">
        <f>IF($E$5="Students",$E$6,INDEX(Assumptions!$D$7:$F$7,$E$4))</f>
        <v/>
      </c>
      <c r="F21" s="55">
        <f>IF($F$5="Students",$F$6,INDEX(Assumptions!$D$8:$F$8,$F$4))</f>
        <v/>
      </c>
      <c r="G21" s="55">
        <f>IF($G$5="Students",$G$6,INDEX(Assumptions!$D$6:$F$6,$G$4))</f>
        <v/>
      </c>
      <c r="H21" s="55">
        <f>IF($H$5="Students",$H$6,INDEX(Assumptions!$D$7:$F$7,$H$4))</f>
        <v/>
      </c>
      <c r="I21" s="55">
        <f>IF($I$5="Students",$I$6,INDEX(Assumptions!$D$8:$F$8,$I$4))</f>
        <v/>
      </c>
      <c r="J21" s="55">
        <f>IF($J$5="Students",$J$6,INDEX(Assumptions!$D$6:$F$6,$J$4))</f>
        <v/>
      </c>
      <c r="K21" s="55">
        <f>IF($K$5="Students",$K$6,INDEX(Assumptions!$D$7:$F$7,$K$4))</f>
        <v/>
      </c>
      <c r="L21" s="55">
        <f>IF($L$5="Students",$L$6,INDEX(Assumptions!$D$8:$F$8,$L$4))</f>
        <v/>
      </c>
      <c r="M21" s="55">
        <f>IF($M$5="Students",$M$6,INDEX(Assumptions!$D$6:$F$6,$M$4))</f>
        <v/>
      </c>
      <c r="N21" s="55">
        <f>IF($N$5="Students",$N$6,INDEX(Assumptions!$D$7:$F$7,$N$4))</f>
        <v/>
      </c>
      <c r="O21" s="55">
        <f>IF($O$5="Students",$O$6,INDEX(Assumptions!$D$8:$F$8,$O$4))</f>
        <v/>
      </c>
      <c r="P21" s="55">
        <f>IF($P$5="Students",$P$6,INDEX(Assumptions!$D$7:$F$7,$P$4))</f>
        <v/>
      </c>
      <c r="Q21" s="55">
        <f>IF($Q$5="Students",$Q$6,INDEX(Assumptions!$D$7:$F$7,$Q$4))</f>
        <v/>
      </c>
      <c r="R21" s="55">
        <f>IF($R$5="Students",$R$6,INDEX(Assumptions!$D$7:$F$7,$R$4))</f>
        <v/>
      </c>
      <c r="S21" s="55">
        <f>IF($S$5="Students",$S$6,INDEX(Assumptions!$D$7:$F$7,$S$4))</f>
        <v/>
      </c>
      <c r="T21" s="55">
        <f>IF($T$5="Students",$T$6,INDEX(Assumptions!$D$7:$F$7,$T$4))</f>
        <v/>
      </c>
      <c r="U21" s="55">
        <f>IF($U$5="Students",$U$6,INDEX(Assumptions!$D$7:$F$7,$U$4))</f>
        <v/>
      </c>
      <c r="V21" s="55">
        <f>IF($V$5="Students",$V$6,INDEX(Assumptions!$D$7:$F$7,$V$4))</f>
        <v/>
      </c>
      <c r="W21" s="55">
        <f>IF($W$5="Students",$W$6,INDEX(Assumptions!$D$7:$F$7,$W$4))</f>
        <v/>
      </c>
      <c r="X21" s="55">
        <f>IF($X$5="Students",$X$6,INDEX(Assumptions!$D$7:$F$7,$X$4))</f>
        <v/>
      </c>
      <c r="Y21" s="55">
        <f>IF($Y$5="Students",$Y$6,INDEX(Assumptions!$D$7:$F$7,$Y$4))</f>
        <v/>
      </c>
      <c r="Z21" s="55">
        <f>IF($Z$5="Students",$Z$6,INDEX(Assumptions!$D$7:$F$7,$Z$4))</f>
        <v/>
      </c>
      <c r="AA21" s="55">
        <f>IF($AA$5="Students",$AA$6,INDEX(Assumptions!$D$7:$F$7,$AA$4))</f>
        <v/>
      </c>
      <c r="AB21" s="55">
        <f>IF($AB$5="Students",$AB$6,INDEX(Assumptions!$D$7:$F$7,$AB$4))</f>
        <v/>
      </c>
      <c r="AC21" s="55">
        <f>IF($AC$5="Students",$AC$6,INDEX(Assumptions!$D$7:$F$7,$AC$4))</f>
        <v/>
      </c>
      <c r="AD21" s="55">
        <f>IF($AD$5="Students",$AD$6,INDEX(Assumptions!$D$7:$F$7,$AD$4))</f>
        <v/>
      </c>
      <c r="AE21" s="55">
        <f>IF($AE$5="Students",$AE$6,INDEX(Assumptions!$D$7:$F$7,$AE$4))</f>
        <v/>
      </c>
      <c r="AF21" s="55">
        <f>IF($AF$5="Students",$AF$6,INDEX(Assumptions!$D$7:$F$7,$AF$4))</f>
        <v/>
      </c>
      <c r="AG21" s="55">
        <f>IF($AG$5="Students",$AG$6,INDEX(Assumptions!$D$7:$F$7,$AG$4))</f>
        <v/>
      </c>
      <c r="AH21" s="55">
        <f>IF($AH$5="Students",$AH$6,INDEX(Assumptions!$D$7:$F$7,$AH$4))</f>
        <v/>
      </c>
      <c r="AI21" s="55">
        <f>IF($AI$5="Students",$AI$6,INDEX(Assumptions!$D$7:$F$7,$AI$4))</f>
        <v/>
      </c>
      <c r="AJ21" s="55">
        <f>IF($AJ$5="Students",$AJ$6,INDEX(Assumptions!$D$7:$F$7,$AJ$4))</f>
        <v/>
      </c>
      <c r="AK21" s="55">
        <f>IF($AK$5="Students",$AK$6,INDEX(Assumptions!$D$7:$F$7,$AK$4))</f>
        <v/>
      </c>
      <c r="AL21" s="55">
        <f>IF($AL$5="Students",$AL$6,INDEX(Assumptions!$D$7:$F$7,$AL$4))</f>
        <v/>
      </c>
      <c r="AM21" s="55">
        <f>IF($AM$5="Students",$AM$6,INDEX(Assumptions!$D$7:$F$7,$AM$4))</f>
        <v/>
      </c>
      <c r="AN21" s="55">
        <f>IF($AN$5="Students",$AN$6,INDEX(Assumptions!$D$7:$F$7,$AN$4))</f>
        <v/>
      </c>
      <c r="AO21" s="55">
        <f>IF($AO$5="Students",$AO$6,INDEX(Assumptions!$D$7:$F$7,$AO$4))</f>
        <v/>
      </c>
      <c r="AP21" s="55">
        <f>IF($AP$5="Students",$AP$6,INDEX(Assumptions!$D$7:$F$7,$AP$4))</f>
        <v/>
      </c>
      <c r="AQ21" s="55">
        <f>IF($AQ$5="Students",$AQ$6,INDEX(Assumptions!$D$7:$F$7,$AQ$4))</f>
        <v/>
      </c>
      <c r="AR21" s="55">
        <f>IF($AR$5="Students",$AR$6,INDEX(Assumptions!$D$7:$F$7,$AR$4))</f>
        <v/>
      </c>
      <c r="AS21" s="55">
        <f>IF($AS$5="Students",$AS$6,INDEX(Assumptions!$D$7:$F$7,$AS$4))</f>
        <v/>
      </c>
      <c r="AT21" s="55">
        <f>IF($AT$5="Students",$AT$6,INDEX(Assumptions!$D$7:$F$7,$AT$4))</f>
        <v/>
      </c>
      <c r="AU21" s="55">
        <f>IF($AU$5="Students",$AU$6,INDEX(Assumptions!$D$7:$F$7,$AU$4))</f>
        <v/>
      </c>
      <c r="AV21" s="55">
        <f>IF($AV$5="Students",$AV$6,INDEX(Assumptions!$D$7:$F$7,$AV$4))</f>
        <v/>
      </c>
    </row>
    <row r="22">
      <c r="B22" s="5" t="inlineStr">
        <is>
          <t>ListPrice</t>
        </is>
      </c>
      <c r="D22" s="48">
        <f>IF($D$5="ListPrice",$D$6,INDEX(Assumptions!$D$38:$F$38,$D$4))</f>
        <v/>
      </c>
      <c r="E22" s="48">
        <f>IF($E$5="ListPrice",$E$6,INDEX(Assumptions!$D$38:$F$38,$E$4))</f>
        <v/>
      </c>
      <c r="F22" s="48">
        <f>IF($F$5="ListPrice",$F$6,INDEX(Assumptions!$D$38:$F$38,$F$4))</f>
        <v/>
      </c>
      <c r="G22" s="48">
        <f>IF($G$5="ListPrice",$G$6,INDEX(Assumptions!$D$38:$F$38,$G$4))</f>
        <v/>
      </c>
      <c r="H22" s="48">
        <f>IF($H$5="ListPrice",$H$6,INDEX(Assumptions!$D$38:$F$38,$H$4))</f>
        <v/>
      </c>
      <c r="I22" s="48">
        <f>IF($I$5="ListPrice",$I$6,INDEX(Assumptions!$D$38:$F$38,$I$4))</f>
        <v/>
      </c>
      <c r="J22" s="48">
        <f>IF($J$5="ListPrice",$J$6,INDEX(Assumptions!$D$38:$F$38,$J$4))</f>
        <v/>
      </c>
      <c r="K22" s="48">
        <f>IF($K$5="ListPrice",$K$6,INDEX(Assumptions!$D$38:$F$38,$K$4))</f>
        <v/>
      </c>
      <c r="L22" s="48">
        <f>IF($L$5="ListPrice",$L$6,INDEX(Assumptions!$D$38:$F$38,$L$4))</f>
        <v/>
      </c>
      <c r="M22" s="48">
        <f>IF($M$5="ListPrice",$M$6,INDEX(Assumptions!$D$38:$F$38,$M$4))</f>
        <v/>
      </c>
      <c r="N22" s="48">
        <f>IF($N$5="ListPrice",$N$6,INDEX(Assumptions!$D$38:$F$38,$N$4))</f>
        <v/>
      </c>
      <c r="O22" s="48">
        <f>IF($O$5="ListPrice",$O$6,INDEX(Assumptions!$D$38:$F$38,$O$4))</f>
        <v/>
      </c>
      <c r="P22" s="48">
        <f>IF($P$5="ListPrice",$P$6,INDEX(Assumptions!$D$38:$F$38,$P$4))</f>
        <v/>
      </c>
      <c r="Q22" s="48">
        <f>IF($Q$5="ListPrice",$Q$6,INDEX(Assumptions!$D$38:$F$38,$Q$4))</f>
        <v/>
      </c>
      <c r="R22" s="48">
        <f>IF($R$5="ListPrice",$R$6,INDEX(Assumptions!$D$38:$F$38,$R$4))</f>
        <v/>
      </c>
      <c r="S22" s="48">
        <f>IF($S$5="ListPrice",$S$6,INDEX(Assumptions!$D$38:$F$38,$S$4))</f>
        <v/>
      </c>
      <c r="T22" s="48">
        <f>IF($T$5="ListPrice",$T$6,INDEX(Assumptions!$D$38:$F$38,$T$4))</f>
        <v/>
      </c>
      <c r="U22" s="48">
        <f>IF($U$5="ListPrice",$U$6,INDEX(Assumptions!$D$38:$F$38,$U$4))</f>
        <v/>
      </c>
      <c r="V22" s="48">
        <f>IF($V$5="ListPrice",$V$6,INDEX(Assumptions!$D$38:$F$38,$V$4))</f>
        <v/>
      </c>
      <c r="W22" s="48">
        <f>IF($W$5="ListPrice",$W$6,INDEX(Assumptions!$D$38:$F$38,$W$4))</f>
        <v/>
      </c>
      <c r="X22" s="48">
        <f>IF($X$5="ListPrice",$X$6,INDEX(Assumptions!$D$38:$F$38,$X$4))</f>
        <v/>
      </c>
      <c r="Y22" s="48">
        <f>IF($Y$5="ListPrice",$Y$6,INDEX(Assumptions!$D$38:$F$38,$Y$4))</f>
        <v/>
      </c>
      <c r="Z22" s="48">
        <f>IF($Z$5="ListPrice",$Z$6,INDEX(Assumptions!$D$38:$F$38,$Z$4))</f>
        <v/>
      </c>
      <c r="AA22" s="48">
        <f>IF($AA$5="ListPrice",$AA$6,INDEX(Assumptions!$D$38:$F$38,$AA$4))</f>
        <v/>
      </c>
      <c r="AB22" s="48">
        <f>IF($AB$5="ListPrice",$AB$6,INDEX(Assumptions!$D$38:$F$38,$AB$4))</f>
        <v/>
      </c>
      <c r="AC22" s="48">
        <f>IF($AC$5="ListPrice",$AC$6,INDEX(Assumptions!$D$38:$F$38,$AC$4))</f>
        <v/>
      </c>
      <c r="AD22" s="48">
        <f>IF($AD$5="ListPrice",$AD$6,INDEX(Assumptions!$D$38:$F$38,$AD$4))</f>
        <v/>
      </c>
      <c r="AE22" s="48">
        <f>IF($AE$5="ListPrice",$AE$6,INDEX(Assumptions!$D$38:$F$38,$AE$4))</f>
        <v/>
      </c>
      <c r="AF22" s="48">
        <f>IF($AF$5="ListPrice",$AF$6,INDEX(Assumptions!$D$38:$F$38,$AF$4))</f>
        <v/>
      </c>
      <c r="AG22" s="48">
        <f>IF($AG$5="ListPrice",$AG$6,INDEX(Assumptions!$D$38:$F$38,$AG$4))</f>
        <v/>
      </c>
      <c r="AH22" s="48">
        <f>IF($AH$5="ListPrice",$AH$6,INDEX(Assumptions!$D$38:$F$38,$AH$4))</f>
        <v/>
      </c>
      <c r="AI22" s="48">
        <f>IF($AI$5="ListPrice",$AI$6,INDEX(Assumptions!$D$38:$F$38,$AI$4))</f>
        <v/>
      </c>
      <c r="AJ22" s="48">
        <f>IF($AJ$5="ListPrice",$AJ$6,INDEX(Assumptions!$D$38:$F$38,$AJ$4))</f>
        <v/>
      </c>
      <c r="AK22" s="48">
        <f>IF($AK$5="ListPrice",$AK$6,INDEX(Assumptions!$D$38:$F$38,$AK$4))</f>
        <v/>
      </c>
      <c r="AL22" s="48">
        <f>IF($AL$5="ListPrice",$AL$6,INDEX(Assumptions!$D$38:$F$38,$AL$4))</f>
        <v/>
      </c>
      <c r="AM22" s="48">
        <f>IF($AM$5="ListPrice",$AM$6,INDEX(Assumptions!$D$38:$F$38,$AM$4))</f>
        <v/>
      </c>
      <c r="AN22" s="48">
        <f>IF($AN$5="ListPrice",$AN$6,INDEX(Assumptions!$D$38:$F$38,$AN$4))</f>
        <v/>
      </c>
      <c r="AO22" s="48">
        <f>IF($AO$5="ListPrice",$AO$6,INDEX(Assumptions!$D$38:$F$38,$AO$4))</f>
        <v/>
      </c>
      <c r="AP22" s="48">
        <f>IF($AP$5="ListPrice",$AP$6,INDEX(Assumptions!$D$38:$F$38,$AP$4))</f>
        <v/>
      </c>
      <c r="AQ22" s="48">
        <f>IF($AQ$5="ListPrice",$AQ$6,INDEX(Assumptions!$D$38:$F$38,$AQ$4))</f>
        <v/>
      </c>
      <c r="AR22" s="48">
        <f>IF($AR$5="ListPrice",$AR$6,INDEX(Assumptions!$D$38:$F$38,$AR$4))</f>
        <v/>
      </c>
      <c r="AS22" s="48">
        <f>IF($AS$5="ListPrice",$AS$6,INDEX(Assumptions!$D$38:$F$38,$AS$4))</f>
        <v/>
      </c>
      <c r="AT22" s="48">
        <f>IF($AT$5="ListPrice",$AT$6,INDEX(Assumptions!$D$38:$F$38,$AT$4))</f>
        <v/>
      </c>
      <c r="AU22" s="48">
        <f>IF($AU$5="ListPrice",$AU$6,INDEX(Assumptions!$D$38:$F$38,$AU$4))</f>
        <v/>
      </c>
      <c r="AV22" s="48">
        <f>IF($AV$5="ListPrice",$AV$6,INDEX(Assumptions!$D$38:$F$38,$AV$4))</f>
        <v/>
      </c>
    </row>
    <row r="23">
      <c r="B23" s="5" t="inlineStr">
        <is>
          <t>MinFee</t>
        </is>
      </c>
      <c r="D23" s="48">
        <f>IF($D$5="MinFee",$D$6,INDEX(Assumptions!$D$41:$F$41,$D$4))</f>
        <v/>
      </c>
      <c r="E23" s="48">
        <f>IF($E$5="MinFee",$E$6,INDEX(Assumptions!$D$41:$F$41,$E$4))</f>
        <v/>
      </c>
      <c r="F23" s="48">
        <f>IF($F$5="MinFee",$F$6,INDEX(Assumptions!$D$41:$F$41,$F$4))</f>
        <v/>
      </c>
      <c r="G23" s="48">
        <f>IF($G$5="MinFee",$G$6,INDEX(Assumptions!$D$41:$F$41,$G$4))</f>
        <v/>
      </c>
      <c r="H23" s="48">
        <f>IF($H$5="MinFee",$H$6,INDEX(Assumptions!$D$41:$F$41,$H$4))</f>
        <v/>
      </c>
      <c r="I23" s="48">
        <f>IF($I$5="MinFee",$I$6,INDEX(Assumptions!$D$41:$F$41,$I$4))</f>
        <v/>
      </c>
      <c r="J23" s="48">
        <f>IF($J$5="MinFee",$J$6,INDEX(Assumptions!$D$41:$F$41,$J$4))</f>
        <v/>
      </c>
      <c r="K23" s="48">
        <f>IF($K$5="MinFee",$K$6,INDEX(Assumptions!$D$41:$F$41,$K$4))</f>
        <v/>
      </c>
      <c r="L23" s="48">
        <f>IF($L$5="MinFee",$L$6,INDEX(Assumptions!$D$41:$F$41,$L$4))</f>
        <v/>
      </c>
      <c r="M23" s="48">
        <f>IF($M$5="MinFee",$M$6,INDEX(Assumptions!$D$41:$F$41,$M$4))</f>
        <v/>
      </c>
      <c r="N23" s="48">
        <f>IF($N$5="MinFee",$N$6,INDEX(Assumptions!$D$41:$F$41,$N$4))</f>
        <v/>
      </c>
      <c r="O23" s="48">
        <f>IF($O$5="MinFee",$O$6,INDEX(Assumptions!$D$41:$F$41,$O$4))</f>
        <v/>
      </c>
      <c r="P23" s="48">
        <f>IF($P$5="MinFee",$P$6,INDEX(Assumptions!$D$41:$F$41,$P$4))</f>
        <v/>
      </c>
      <c r="Q23" s="48">
        <f>IF($Q$5="MinFee",$Q$6,INDEX(Assumptions!$D$41:$F$41,$Q$4))</f>
        <v/>
      </c>
      <c r="R23" s="48">
        <f>IF($R$5="MinFee",$R$6,INDEX(Assumptions!$D$41:$F$41,$R$4))</f>
        <v/>
      </c>
      <c r="S23" s="48">
        <f>IF($S$5="MinFee",$S$6,INDEX(Assumptions!$D$41:$F$41,$S$4))</f>
        <v/>
      </c>
      <c r="T23" s="48">
        <f>IF($T$5="MinFee",$T$6,INDEX(Assumptions!$D$41:$F$41,$T$4))</f>
        <v/>
      </c>
      <c r="U23" s="48">
        <f>IF($U$5="MinFee",$U$6,INDEX(Assumptions!$D$41:$F$41,$U$4))</f>
        <v/>
      </c>
      <c r="V23" s="48">
        <f>IF($V$5="MinFee",$V$6,INDEX(Assumptions!$D$41:$F$41,$V$4))</f>
        <v/>
      </c>
      <c r="W23" s="48">
        <f>IF($W$5="MinFee",$W$6,INDEX(Assumptions!$D$41:$F$41,$W$4))</f>
        <v/>
      </c>
      <c r="X23" s="48">
        <f>IF($X$5="MinFee",$X$6,INDEX(Assumptions!$D$41:$F$41,$X$4))</f>
        <v/>
      </c>
      <c r="Y23" s="48">
        <f>IF($Y$5="MinFee",$Y$6,INDEX(Assumptions!$D$41:$F$41,$Y$4))</f>
        <v/>
      </c>
      <c r="Z23" s="48">
        <f>IF($Z$5="MinFee",$Z$6,INDEX(Assumptions!$D$41:$F$41,$Z$4))</f>
        <v/>
      </c>
      <c r="AA23" s="48">
        <f>IF($AA$5="MinFee",$AA$6,INDEX(Assumptions!$D$41:$F$41,$AA$4))</f>
        <v/>
      </c>
      <c r="AB23" s="48">
        <f>IF($AB$5="MinFee",$AB$6,INDEX(Assumptions!$D$41:$F$41,$AB$4))</f>
        <v/>
      </c>
      <c r="AC23" s="48">
        <f>IF($AC$5="MinFee",$AC$6,INDEX(Assumptions!$D$41:$F$41,$AC$4))</f>
        <v/>
      </c>
      <c r="AD23" s="48">
        <f>IF($AD$5="MinFee",$AD$6,INDEX(Assumptions!$D$41:$F$41,$AD$4))</f>
        <v/>
      </c>
      <c r="AE23" s="48">
        <f>IF($AE$5="MinFee",$AE$6,INDEX(Assumptions!$D$41:$F$41,$AE$4))</f>
        <v/>
      </c>
      <c r="AF23" s="48">
        <f>IF($AF$5="MinFee",$AF$6,INDEX(Assumptions!$D$41:$F$41,$AF$4))</f>
        <v/>
      </c>
      <c r="AG23" s="48">
        <f>IF($AG$5="MinFee",$AG$6,INDEX(Assumptions!$D$41:$F$41,$AG$4))</f>
        <v/>
      </c>
      <c r="AH23" s="48">
        <f>IF($AH$5="MinFee",$AH$6,INDEX(Assumptions!$D$41:$F$41,$AH$4))</f>
        <v/>
      </c>
      <c r="AI23" s="48">
        <f>IF($AI$5="MinFee",$AI$6,INDEX(Assumptions!$D$41:$F$41,$AI$4))</f>
        <v/>
      </c>
      <c r="AJ23" s="48">
        <f>IF($AJ$5="MinFee",$AJ$6,INDEX(Assumptions!$D$41:$F$41,$AJ$4))</f>
        <v/>
      </c>
      <c r="AK23" s="48">
        <f>IF($AK$5="MinFee",$AK$6,INDEX(Assumptions!$D$41:$F$41,$AK$4))</f>
        <v/>
      </c>
      <c r="AL23" s="48">
        <f>IF($AL$5="MinFee",$AL$6,INDEX(Assumptions!$D$41:$F$41,$AL$4))</f>
        <v/>
      </c>
      <c r="AM23" s="48">
        <f>IF($AM$5="MinFee",$AM$6,INDEX(Assumptions!$D$41:$F$41,$AM$4))</f>
        <v/>
      </c>
      <c r="AN23" s="48">
        <f>IF($AN$5="MinFee",$AN$6,INDEX(Assumptions!$D$41:$F$41,$AN$4))</f>
        <v/>
      </c>
      <c r="AO23" s="48">
        <f>IF($AO$5="MinFee",$AO$6,INDEX(Assumptions!$D$41:$F$41,$AO$4))</f>
        <v/>
      </c>
      <c r="AP23" s="48">
        <f>IF($AP$5="MinFee",$AP$6,INDEX(Assumptions!$D$41:$F$41,$AP$4))</f>
        <v/>
      </c>
      <c r="AQ23" s="48">
        <f>IF($AQ$5="MinFee",$AQ$6,INDEX(Assumptions!$D$41:$F$41,$AQ$4))</f>
        <v/>
      </c>
      <c r="AR23" s="48">
        <f>IF($AR$5="MinFee",$AR$6,INDEX(Assumptions!$D$41:$F$41,$AR$4))</f>
        <v/>
      </c>
      <c r="AS23" s="48">
        <f>IF($AS$5="MinFee",$AS$6,INDEX(Assumptions!$D$41:$F$41,$AS$4))</f>
        <v/>
      </c>
      <c r="AT23" s="48">
        <f>IF($AT$5="MinFee",$AT$6,INDEX(Assumptions!$D$41:$F$41,$AT$4))</f>
        <v/>
      </c>
      <c r="AU23" s="48">
        <f>IF($AU$5="MinFee",$AU$6,INDEX(Assumptions!$D$41:$F$41,$AU$4))</f>
        <v/>
      </c>
      <c r="AV23" s="48">
        <f>IF($AV$5="MinFee",$AV$6,INDEX(Assumptions!$D$41:$F$41,$AV$4))</f>
        <v/>
      </c>
    </row>
    <row r="24">
      <c r="B24" s="5" t="inlineStr">
        <is>
          <t>NegotiationDisc</t>
        </is>
      </c>
      <c r="D24" s="37">
        <f>IF($D$5="NegotiationDisc",$D$6,INDEX(Assumptions!$D$42:$F$42,$D$4))</f>
        <v/>
      </c>
      <c r="E24" s="37">
        <f>IF($E$5="NegotiationDisc",$E$6,INDEX(Assumptions!$D$42:$F$42,$E$4))</f>
        <v/>
      </c>
      <c r="F24" s="37">
        <f>IF($F$5="NegotiationDisc",$F$6,INDEX(Assumptions!$D$42:$F$42,$F$4))</f>
        <v/>
      </c>
      <c r="G24" s="37">
        <f>IF($G$5="NegotiationDisc",$G$6,INDEX(Assumptions!$D$42:$F$42,$G$4))</f>
        <v/>
      </c>
      <c r="H24" s="37">
        <f>IF($H$5="NegotiationDisc",$H$6,INDEX(Assumptions!$D$42:$F$42,$H$4))</f>
        <v/>
      </c>
      <c r="I24" s="37">
        <f>IF($I$5="NegotiationDisc",$I$6,INDEX(Assumptions!$D$42:$F$42,$I$4))</f>
        <v/>
      </c>
      <c r="J24" s="37">
        <f>IF($J$5="NegotiationDisc",$J$6,INDEX(Assumptions!$D$42:$F$42,$J$4))</f>
        <v/>
      </c>
      <c r="K24" s="37">
        <f>IF($K$5="NegotiationDisc",$K$6,INDEX(Assumptions!$D$42:$F$42,$K$4))</f>
        <v/>
      </c>
      <c r="L24" s="37">
        <f>IF($L$5="NegotiationDisc",$L$6,INDEX(Assumptions!$D$42:$F$42,$L$4))</f>
        <v/>
      </c>
      <c r="M24" s="37">
        <f>IF($M$5="NegotiationDisc",$M$6,INDEX(Assumptions!$D$42:$F$42,$M$4))</f>
        <v/>
      </c>
      <c r="N24" s="37">
        <f>IF($N$5="NegotiationDisc",$N$6,INDEX(Assumptions!$D$42:$F$42,$N$4))</f>
        <v/>
      </c>
      <c r="O24" s="37">
        <f>IF($O$5="NegotiationDisc",$O$6,INDEX(Assumptions!$D$42:$F$42,$O$4))</f>
        <v/>
      </c>
      <c r="P24" s="37">
        <f>IF($P$5="NegotiationDisc",$P$6,INDEX(Assumptions!$D$42:$F$42,$P$4))</f>
        <v/>
      </c>
      <c r="Q24" s="37">
        <f>IF($Q$5="NegotiationDisc",$Q$6,INDEX(Assumptions!$D$42:$F$42,$Q$4))</f>
        <v/>
      </c>
      <c r="R24" s="37">
        <f>IF($R$5="NegotiationDisc",$R$6,INDEX(Assumptions!$D$42:$F$42,$R$4))</f>
        <v/>
      </c>
      <c r="S24" s="37">
        <f>IF($S$5="NegotiationDisc",$S$6,INDEX(Assumptions!$D$42:$F$42,$S$4))</f>
        <v/>
      </c>
      <c r="T24" s="37">
        <f>IF($T$5="NegotiationDisc",$T$6,INDEX(Assumptions!$D$42:$F$42,$T$4))</f>
        <v/>
      </c>
      <c r="U24" s="37">
        <f>IF($U$5="NegotiationDisc",$U$6,INDEX(Assumptions!$D$42:$F$42,$U$4))</f>
        <v/>
      </c>
      <c r="V24" s="37">
        <f>IF($V$5="NegotiationDisc",$V$6,INDEX(Assumptions!$D$42:$F$42,$V$4))</f>
        <v/>
      </c>
      <c r="W24" s="37">
        <f>IF($W$5="NegotiationDisc",$W$6,INDEX(Assumptions!$D$42:$F$42,$W$4))</f>
        <v/>
      </c>
      <c r="X24" s="37">
        <f>IF($X$5="NegotiationDisc",$X$6,INDEX(Assumptions!$D$42:$F$42,$X$4))</f>
        <v/>
      </c>
      <c r="Y24" s="37">
        <f>IF($Y$5="NegotiationDisc",$Y$6,INDEX(Assumptions!$D$42:$F$42,$Y$4))</f>
        <v/>
      </c>
      <c r="Z24" s="37">
        <f>IF($Z$5="NegotiationDisc",$Z$6,INDEX(Assumptions!$D$42:$F$42,$Z$4))</f>
        <v/>
      </c>
      <c r="AA24" s="37">
        <f>IF($AA$5="NegotiationDisc",$AA$6,INDEX(Assumptions!$D$42:$F$42,$AA$4))</f>
        <v/>
      </c>
      <c r="AB24" s="37">
        <f>IF($AB$5="NegotiationDisc",$AB$6,INDEX(Assumptions!$D$42:$F$42,$AB$4))</f>
        <v/>
      </c>
      <c r="AC24" s="37">
        <f>IF($AC$5="NegotiationDisc",$AC$6,INDEX(Assumptions!$D$42:$F$42,$AC$4))</f>
        <v/>
      </c>
      <c r="AD24" s="37">
        <f>IF($AD$5="NegotiationDisc",$AD$6,INDEX(Assumptions!$D$42:$F$42,$AD$4))</f>
        <v/>
      </c>
      <c r="AE24" s="37">
        <f>IF($AE$5="NegotiationDisc",$AE$6,INDEX(Assumptions!$D$42:$F$42,$AE$4))</f>
        <v/>
      </c>
      <c r="AF24" s="37">
        <f>IF($AF$5="NegotiationDisc",$AF$6,INDEX(Assumptions!$D$42:$F$42,$AF$4))</f>
        <v/>
      </c>
      <c r="AG24" s="37">
        <f>IF($AG$5="NegotiationDisc",$AG$6,INDEX(Assumptions!$D$42:$F$42,$AG$4))</f>
        <v/>
      </c>
      <c r="AH24" s="37">
        <f>IF($AH$5="NegotiationDisc",$AH$6,INDEX(Assumptions!$D$42:$F$42,$AH$4))</f>
        <v/>
      </c>
      <c r="AI24" s="37">
        <f>IF($AI$5="NegotiationDisc",$AI$6,INDEX(Assumptions!$D$42:$F$42,$AI$4))</f>
        <v/>
      </c>
      <c r="AJ24" s="37">
        <f>IF($AJ$5="NegotiationDisc",$AJ$6,INDEX(Assumptions!$D$42:$F$42,$AJ$4))</f>
        <v/>
      </c>
      <c r="AK24" s="37">
        <f>IF($AK$5="NegotiationDisc",$AK$6,INDEX(Assumptions!$D$42:$F$42,$AK$4))</f>
        <v/>
      </c>
      <c r="AL24" s="37">
        <f>IF($AL$5="NegotiationDisc",$AL$6,INDEX(Assumptions!$D$42:$F$42,$AL$4))</f>
        <v/>
      </c>
      <c r="AM24" s="37">
        <f>IF($AM$5="NegotiationDisc",$AM$6,INDEX(Assumptions!$D$42:$F$42,$AM$4))</f>
        <v/>
      </c>
      <c r="AN24" s="37">
        <f>IF($AN$5="NegotiationDisc",$AN$6,INDEX(Assumptions!$D$42:$F$42,$AN$4))</f>
        <v/>
      </c>
      <c r="AO24" s="37">
        <f>IF($AO$5="NegotiationDisc",$AO$6,INDEX(Assumptions!$D$42:$F$42,$AO$4))</f>
        <v/>
      </c>
      <c r="AP24" s="37">
        <f>IF($AP$5="NegotiationDisc",$AP$6,INDEX(Assumptions!$D$42:$F$42,$AP$4))</f>
        <v/>
      </c>
      <c r="AQ24" s="37">
        <f>IF($AQ$5="NegotiationDisc",$AQ$6,INDEX(Assumptions!$D$42:$F$42,$AQ$4))</f>
        <v/>
      </c>
      <c r="AR24" s="37">
        <f>IF($AR$5="NegotiationDisc",$AR$6,INDEX(Assumptions!$D$42:$F$42,$AR$4))</f>
        <v/>
      </c>
      <c r="AS24" s="37">
        <f>IF($AS$5="NegotiationDisc",$AS$6,INDEX(Assumptions!$D$42:$F$42,$AS$4))</f>
        <v/>
      </c>
      <c r="AT24" s="37">
        <f>IF($AT$5="NegotiationDisc",$AT$6,INDEX(Assumptions!$D$42:$F$42,$AT$4))</f>
        <v/>
      </c>
      <c r="AU24" s="37">
        <f>IF($AU$5="NegotiationDisc",$AU$6,INDEX(Assumptions!$D$42:$F$42,$AU$4))</f>
        <v/>
      </c>
      <c r="AV24" s="37">
        <f>IF($AV$5="NegotiationDisc",$AV$6,INDEX(Assumptions!$D$42:$F$42,$AV$4))</f>
        <v/>
      </c>
    </row>
    <row r="25">
      <c r="B25" s="5" t="inlineStr">
        <is>
          <t>PrepayUptake</t>
        </is>
      </c>
      <c r="D25" s="37">
        <f>IF($D$5="PrepayUptake",$D$6,INDEX(Assumptions!$D$43:$F$43,$D$4))</f>
        <v/>
      </c>
      <c r="E25" s="37">
        <f>IF($E$5="PrepayUptake",$E$6,INDEX(Assumptions!$D$43:$F$43,$E$4))</f>
        <v/>
      </c>
      <c r="F25" s="37">
        <f>IF($F$5="PrepayUptake",$F$6,INDEX(Assumptions!$D$43:$F$43,$F$4))</f>
        <v/>
      </c>
      <c r="G25" s="37">
        <f>IF($G$5="PrepayUptake",$G$6,INDEX(Assumptions!$D$43:$F$43,$G$4))</f>
        <v/>
      </c>
      <c r="H25" s="37">
        <f>IF($H$5="PrepayUptake",$H$6,INDEX(Assumptions!$D$43:$F$43,$H$4))</f>
        <v/>
      </c>
      <c r="I25" s="37">
        <f>IF($I$5="PrepayUptake",$I$6,INDEX(Assumptions!$D$43:$F$43,$I$4))</f>
        <v/>
      </c>
      <c r="J25" s="37">
        <f>IF($J$5="PrepayUptake",$J$6,INDEX(Assumptions!$D$43:$F$43,$J$4))</f>
        <v/>
      </c>
      <c r="K25" s="37">
        <f>IF($K$5="PrepayUptake",$K$6,INDEX(Assumptions!$D$43:$F$43,$K$4))</f>
        <v/>
      </c>
      <c r="L25" s="37">
        <f>IF($L$5="PrepayUptake",$L$6,INDEX(Assumptions!$D$43:$F$43,$L$4))</f>
        <v/>
      </c>
      <c r="M25" s="37">
        <f>IF($M$5="PrepayUptake",$M$6,INDEX(Assumptions!$D$43:$F$43,$M$4))</f>
        <v/>
      </c>
      <c r="N25" s="37">
        <f>IF($N$5="PrepayUptake",$N$6,INDEX(Assumptions!$D$43:$F$43,$N$4))</f>
        <v/>
      </c>
      <c r="O25" s="37">
        <f>IF($O$5="PrepayUptake",$O$6,INDEX(Assumptions!$D$43:$F$43,$O$4))</f>
        <v/>
      </c>
      <c r="P25" s="37">
        <f>IF($P$5="PrepayUptake",$P$6,INDEX(Assumptions!$D$43:$F$43,$P$4))</f>
        <v/>
      </c>
      <c r="Q25" s="37">
        <f>IF($Q$5="PrepayUptake",$Q$6,INDEX(Assumptions!$D$43:$F$43,$Q$4))</f>
        <v/>
      </c>
      <c r="R25" s="37">
        <f>IF($R$5="PrepayUptake",$R$6,INDEX(Assumptions!$D$43:$F$43,$R$4))</f>
        <v/>
      </c>
      <c r="S25" s="37">
        <f>IF($S$5="PrepayUptake",$S$6,INDEX(Assumptions!$D$43:$F$43,$S$4))</f>
        <v/>
      </c>
      <c r="T25" s="37">
        <f>IF($T$5="PrepayUptake",$T$6,INDEX(Assumptions!$D$43:$F$43,$T$4))</f>
        <v/>
      </c>
      <c r="U25" s="37">
        <f>IF($U$5="PrepayUptake",$U$6,INDEX(Assumptions!$D$43:$F$43,$U$4))</f>
        <v/>
      </c>
      <c r="V25" s="37">
        <f>IF($V$5="PrepayUptake",$V$6,INDEX(Assumptions!$D$43:$F$43,$V$4))</f>
        <v/>
      </c>
      <c r="W25" s="37">
        <f>IF($W$5="PrepayUptake",$W$6,INDEX(Assumptions!$D$43:$F$43,$W$4))</f>
        <v/>
      </c>
      <c r="X25" s="37">
        <f>IF($X$5="PrepayUptake",$X$6,INDEX(Assumptions!$D$43:$F$43,$X$4))</f>
        <v/>
      </c>
      <c r="Y25" s="37">
        <f>IF($Y$5="PrepayUptake",$Y$6,INDEX(Assumptions!$D$43:$F$43,$Y$4))</f>
        <v/>
      </c>
      <c r="Z25" s="37">
        <f>IF($Z$5="PrepayUptake",$Z$6,INDEX(Assumptions!$D$43:$F$43,$Z$4))</f>
        <v/>
      </c>
      <c r="AA25" s="37">
        <f>IF($AA$5="PrepayUptake",$AA$6,INDEX(Assumptions!$D$43:$F$43,$AA$4))</f>
        <v/>
      </c>
      <c r="AB25" s="37">
        <f>IF($AB$5="PrepayUptake",$AB$6,INDEX(Assumptions!$D$43:$F$43,$AB$4))</f>
        <v/>
      </c>
      <c r="AC25" s="37">
        <f>IF($AC$5="PrepayUptake",$AC$6,INDEX(Assumptions!$D$43:$F$43,$AC$4))</f>
        <v/>
      </c>
      <c r="AD25" s="37">
        <f>IF($AD$5="PrepayUptake",$AD$6,INDEX(Assumptions!$D$43:$F$43,$AD$4))</f>
        <v/>
      </c>
      <c r="AE25" s="37">
        <f>IF($AE$5="PrepayUptake",$AE$6,INDEX(Assumptions!$D$43:$F$43,$AE$4))</f>
        <v/>
      </c>
      <c r="AF25" s="37">
        <f>IF($AF$5="PrepayUptake",$AF$6,INDEX(Assumptions!$D$43:$F$43,$AF$4))</f>
        <v/>
      </c>
      <c r="AG25" s="37">
        <f>IF($AG$5="PrepayUptake",$AG$6,INDEX(Assumptions!$D$43:$F$43,$AG$4))</f>
        <v/>
      </c>
      <c r="AH25" s="37">
        <f>IF($AH$5="PrepayUptake",$AH$6,INDEX(Assumptions!$D$43:$F$43,$AH$4))</f>
        <v/>
      </c>
      <c r="AI25" s="37">
        <f>IF($AI$5="PrepayUptake",$AI$6,INDEX(Assumptions!$D$43:$F$43,$AI$4))</f>
        <v/>
      </c>
      <c r="AJ25" s="37">
        <f>IF($AJ$5="PrepayUptake",$AJ$6,INDEX(Assumptions!$D$43:$F$43,$AJ$4))</f>
        <v/>
      </c>
      <c r="AK25" s="37">
        <f>IF($AK$5="PrepayUptake",$AK$6,INDEX(Assumptions!$D$43:$F$43,$AK$4))</f>
        <v/>
      </c>
      <c r="AL25" s="37">
        <f>IF($AL$5="PrepayUptake",$AL$6,INDEX(Assumptions!$D$43:$F$43,$AL$4))</f>
        <v/>
      </c>
      <c r="AM25" s="37">
        <f>IF($AM$5="PrepayUptake",$AM$6,INDEX(Assumptions!$D$43:$F$43,$AM$4))</f>
        <v/>
      </c>
      <c r="AN25" s="37">
        <f>IF($AN$5="PrepayUptake",$AN$6,INDEX(Assumptions!$D$43:$F$43,$AN$4))</f>
        <v/>
      </c>
      <c r="AO25" s="37">
        <f>IF($AO$5="PrepayUptake",$AO$6,INDEX(Assumptions!$D$43:$F$43,$AO$4))</f>
        <v/>
      </c>
      <c r="AP25" s="37">
        <f>IF($AP$5="PrepayUptake",$AP$6,INDEX(Assumptions!$D$43:$F$43,$AP$4))</f>
        <v/>
      </c>
      <c r="AQ25" s="37">
        <f>IF($AQ$5="PrepayUptake",$AQ$6,INDEX(Assumptions!$D$43:$F$43,$AQ$4))</f>
        <v/>
      </c>
      <c r="AR25" s="37">
        <f>IF($AR$5="PrepayUptake",$AR$6,INDEX(Assumptions!$D$43:$F$43,$AR$4))</f>
        <v/>
      </c>
      <c r="AS25" s="37">
        <f>IF($AS$5="PrepayUptake",$AS$6,INDEX(Assumptions!$D$43:$F$43,$AS$4))</f>
        <v/>
      </c>
      <c r="AT25" s="37">
        <f>IF($AT$5="PrepayUptake",$AT$6,INDEX(Assumptions!$D$43:$F$43,$AT$4))</f>
        <v/>
      </c>
      <c r="AU25" s="37">
        <f>IF($AU$5="PrepayUptake",$AU$6,INDEX(Assumptions!$D$43:$F$43,$AU$4))</f>
        <v/>
      </c>
      <c r="AV25" s="37">
        <f>IF($AV$5="PrepayUptake",$AV$6,INDEX(Assumptions!$D$43:$F$43,$AV$4))</f>
        <v/>
      </c>
    </row>
    <row r="26">
      <c r="B26" s="5" t="inlineStr">
        <is>
          <t>PrepayDisc</t>
        </is>
      </c>
      <c r="D26" s="37">
        <f>IF($D$5="PrepayDisc",$D$6,INDEX(Assumptions!$D$44:$F$44,$D$4))</f>
        <v/>
      </c>
      <c r="E26" s="37">
        <f>IF($E$5="PrepayDisc",$E$6,INDEX(Assumptions!$D$44:$F$44,$E$4))</f>
        <v/>
      </c>
      <c r="F26" s="37">
        <f>IF($F$5="PrepayDisc",$F$6,INDEX(Assumptions!$D$44:$F$44,$F$4))</f>
        <v/>
      </c>
      <c r="G26" s="37">
        <f>IF($G$5="PrepayDisc",$G$6,INDEX(Assumptions!$D$44:$F$44,$G$4))</f>
        <v/>
      </c>
      <c r="H26" s="37">
        <f>IF($H$5="PrepayDisc",$H$6,INDEX(Assumptions!$D$44:$F$44,$H$4))</f>
        <v/>
      </c>
      <c r="I26" s="37">
        <f>IF($I$5="PrepayDisc",$I$6,INDEX(Assumptions!$D$44:$F$44,$I$4))</f>
        <v/>
      </c>
      <c r="J26" s="37">
        <f>IF($J$5="PrepayDisc",$J$6,INDEX(Assumptions!$D$44:$F$44,$J$4))</f>
        <v/>
      </c>
      <c r="K26" s="37">
        <f>IF($K$5="PrepayDisc",$K$6,INDEX(Assumptions!$D$44:$F$44,$K$4))</f>
        <v/>
      </c>
      <c r="L26" s="37">
        <f>IF($L$5="PrepayDisc",$L$6,INDEX(Assumptions!$D$44:$F$44,$L$4))</f>
        <v/>
      </c>
      <c r="M26" s="37">
        <f>IF($M$5="PrepayDisc",$M$6,INDEX(Assumptions!$D$44:$F$44,$M$4))</f>
        <v/>
      </c>
      <c r="N26" s="37">
        <f>IF($N$5="PrepayDisc",$N$6,INDEX(Assumptions!$D$44:$F$44,$N$4))</f>
        <v/>
      </c>
      <c r="O26" s="37">
        <f>IF($O$5="PrepayDisc",$O$6,INDEX(Assumptions!$D$44:$F$44,$O$4))</f>
        <v/>
      </c>
      <c r="P26" s="37">
        <f>IF($P$5="PrepayDisc",$P$6,INDEX(Assumptions!$D$44:$F$44,$P$4))</f>
        <v/>
      </c>
      <c r="Q26" s="37">
        <f>IF($Q$5="PrepayDisc",$Q$6,INDEX(Assumptions!$D$44:$F$44,$Q$4))</f>
        <v/>
      </c>
      <c r="R26" s="37">
        <f>IF($R$5="PrepayDisc",$R$6,INDEX(Assumptions!$D$44:$F$44,$R$4))</f>
        <v/>
      </c>
      <c r="S26" s="37">
        <f>IF($S$5="PrepayDisc",$S$6,INDEX(Assumptions!$D$44:$F$44,$S$4))</f>
        <v/>
      </c>
      <c r="T26" s="37">
        <f>IF($T$5="PrepayDisc",$T$6,INDEX(Assumptions!$D$44:$F$44,$T$4))</f>
        <v/>
      </c>
      <c r="U26" s="37">
        <f>IF($U$5="PrepayDisc",$U$6,INDEX(Assumptions!$D$44:$F$44,$U$4))</f>
        <v/>
      </c>
      <c r="V26" s="37">
        <f>IF($V$5="PrepayDisc",$V$6,INDEX(Assumptions!$D$44:$F$44,$V$4))</f>
        <v/>
      </c>
      <c r="W26" s="37">
        <f>IF($W$5="PrepayDisc",$W$6,INDEX(Assumptions!$D$44:$F$44,$W$4))</f>
        <v/>
      </c>
      <c r="X26" s="37">
        <f>IF($X$5="PrepayDisc",$X$6,INDEX(Assumptions!$D$44:$F$44,$X$4))</f>
        <v/>
      </c>
      <c r="Y26" s="37">
        <f>IF($Y$5="PrepayDisc",$Y$6,INDEX(Assumptions!$D$44:$F$44,$Y$4))</f>
        <v/>
      </c>
      <c r="Z26" s="37">
        <f>IF($Z$5="PrepayDisc",$Z$6,INDEX(Assumptions!$D$44:$F$44,$Z$4))</f>
        <v/>
      </c>
      <c r="AA26" s="37">
        <f>IF($AA$5="PrepayDisc",$AA$6,INDEX(Assumptions!$D$44:$F$44,$AA$4))</f>
        <v/>
      </c>
      <c r="AB26" s="37">
        <f>IF($AB$5="PrepayDisc",$AB$6,INDEX(Assumptions!$D$44:$F$44,$AB$4))</f>
        <v/>
      </c>
      <c r="AC26" s="37">
        <f>IF($AC$5="PrepayDisc",$AC$6,INDEX(Assumptions!$D$44:$F$44,$AC$4))</f>
        <v/>
      </c>
      <c r="AD26" s="37">
        <f>IF($AD$5="PrepayDisc",$AD$6,INDEX(Assumptions!$D$44:$F$44,$AD$4))</f>
        <v/>
      </c>
      <c r="AE26" s="37">
        <f>IF($AE$5="PrepayDisc",$AE$6,INDEX(Assumptions!$D$44:$F$44,$AE$4))</f>
        <v/>
      </c>
      <c r="AF26" s="37">
        <f>IF($AF$5="PrepayDisc",$AF$6,INDEX(Assumptions!$D$44:$F$44,$AF$4))</f>
        <v/>
      </c>
      <c r="AG26" s="37">
        <f>IF($AG$5="PrepayDisc",$AG$6,INDEX(Assumptions!$D$44:$F$44,$AG$4))</f>
        <v/>
      </c>
      <c r="AH26" s="37">
        <f>IF($AH$5="PrepayDisc",$AH$6,INDEX(Assumptions!$D$44:$F$44,$AH$4))</f>
        <v/>
      </c>
      <c r="AI26" s="37">
        <f>IF($AI$5="PrepayDisc",$AI$6,INDEX(Assumptions!$D$44:$F$44,$AI$4))</f>
        <v/>
      </c>
      <c r="AJ26" s="37">
        <f>IF($AJ$5="PrepayDisc",$AJ$6,INDEX(Assumptions!$D$44:$F$44,$AJ$4))</f>
        <v/>
      </c>
      <c r="AK26" s="37">
        <f>IF($AK$5="PrepayDisc",$AK$6,INDEX(Assumptions!$D$44:$F$44,$AK$4))</f>
        <v/>
      </c>
      <c r="AL26" s="37">
        <f>IF($AL$5="PrepayDisc",$AL$6,INDEX(Assumptions!$D$44:$F$44,$AL$4))</f>
        <v/>
      </c>
      <c r="AM26" s="37">
        <f>IF($AM$5="PrepayDisc",$AM$6,INDEX(Assumptions!$D$44:$F$44,$AM$4))</f>
        <v/>
      </c>
      <c r="AN26" s="37">
        <f>IF($AN$5="PrepayDisc",$AN$6,INDEX(Assumptions!$D$44:$F$44,$AN$4))</f>
        <v/>
      </c>
      <c r="AO26" s="37">
        <f>IF($AO$5="PrepayDisc",$AO$6,INDEX(Assumptions!$D$44:$F$44,$AO$4))</f>
        <v/>
      </c>
      <c r="AP26" s="37">
        <f>IF($AP$5="PrepayDisc",$AP$6,INDEX(Assumptions!$D$44:$F$44,$AP$4))</f>
        <v/>
      </c>
      <c r="AQ26" s="37">
        <f>IF($AQ$5="PrepayDisc",$AQ$6,INDEX(Assumptions!$D$44:$F$44,$AQ$4))</f>
        <v/>
      </c>
      <c r="AR26" s="37">
        <f>IF($AR$5="PrepayDisc",$AR$6,INDEX(Assumptions!$D$44:$F$44,$AR$4))</f>
        <v/>
      </c>
      <c r="AS26" s="37">
        <f>IF($AS$5="PrepayDisc",$AS$6,INDEX(Assumptions!$D$44:$F$44,$AS$4))</f>
        <v/>
      </c>
      <c r="AT26" s="37">
        <f>IF($AT$5="PrepayDisc",$AT$6,INDEX(Assumptions!$D$44:$F$44,$AT$4))</f>
        <v/>
      </c>
      <c r="AU26" s="37">
        <f>IF($AU$5="PrepayDisc",$AU$6,INDEX(Assumptions!$D$44:$F$44,$AU$4))</f>
        <v/>
      </c>
      <c r="AV26" s="37">
        <f>IF($AV$5="PrepayDisc",$AV$6,INDEX(Assumptions!$D$44:$F$44,$AV$4))</f>
        <v/>
      </c>
    </row>
    <row r="27">
      <c r="B27" s="5" t="inlineStr">
        <is>
          <t>GST</t>
        </is>
      </c>
      <c r="D27" s="37">
        <f>IF($D$5="GST",$D$6,INDEX(Assumptions!$D$35:$F$35,$D$4))</f>
        <v/>
      </c>
      <c r="E27" s="37">
        <f>IF($E$5="GST",$E$6,INDEX(Assumptions!$D$35:$F$35,$E$4))</f>
        <v/>
      </c>
      <c r="F27" s="37">
        <f>IF($F$5="GST",$F$6,INDEX(Assumptions!$D$35:$F$35,$F$4))</f>
        <v/>
      </c>
      <c r="G27" s="37">
        <f>IF($G$5="GST",$G$6,INDEX(Assumptions!$D$35:$F$35,$G$4))</f>
        <v/>
      </c>
      <c r="H27" s="37">
        <f>IF($H$5="GST",$H$6,INDEX(Assumptions!$D$35:$F$35,$H$4))</f>
        <v/>
      </c>
      <c r="I27" s="37">
        <f>IF($I$5="GST",$I$6,INDEX(Assumptions!$D$35:$F$35,$I$4))</f>
        <v/>
      </c>
      <c r="J27" s="37">
        <f>IF($J$5="GST",$J$6,INDEX(Assumptions!$D$35:$F$35,$J$4))</f>
        <v/>
      </c>
      <c r="K27" s="37">
        <f>IF($K$5="GST",$K$6,INDEX(Assumptions!$D$35:$F$35,$K$4))</f>
        <v/>
      </c>
      <c r="L27" s="37">
        <f>IF($L$5="GST",$L$6,INDEX(Assumptions!$D$35:$F$35,$L$4))</f>
        <v/>
      </c>
      <c r="M27" s="37">
        <f>IF($M$5="GST",$M$6,INDEX(Assumptions!$D$35:$F$35,$M$4))</f>
        <v/>
      </c>
      <c r="N27" s="37">
        <f>IF($N$5="GST",$N$6,INDEX(Assumptions!$D$35:$F$35,$N$4))</f>
        <v/>
      </c>
      <c r="O27" s="37">
        <f>IF($O$5="GST",$O$6,INDEX(Assumptions!$D$35:$F$35,$O$4))</f>
        <v/>
      </c>
      <c r="P27" s="37">
        <f>IF($P$5="GST",$P$6,INDEX(Assumptions!$D$35:$F$35,$P$4))</f>
        <v/>
      </c>
      <c r="Q27" s="37">
        <f>IF($Q$5="GST",$Q$6,INDEX(Assumptions!$D$35:$F$35,$Q$4))</f>
        <v/>
      </c>
      <c r="R27" s="37">
        <f>IF($R$5="GST",$R$6,INDEX(Assumptions!$D$35:$F$35,$R$4))</f>
        <v/>
      </c>
      <c r="S27" s="37">
        <f>IF($S$5="GST",$S$6,INDEX(Assumptions!$D$35:$F$35,$S$4))</f>
        <v/>
      </c>
      <c r="T27" s="37">
        <f>IF($T$5="GST",$T$6,INDEX(Assumptions!$D$35:$F$35,$T$4))</f>
        <v/>
      </c>
      <c r="U27" s="37">
        <f>IF($U$5="GST",$U$6,INDEX(Assumptions!$D$35:$F$35,$U$4))</f>
        <v/>
      </c>
      <c r="V27" s="37">
        <f>IF($V$5="GST",$V$6,INDEX(Assumptions!$D$35:$F$35,$V$4))</f>
        <v/>
      </c>
      <c r="W27" s="37">
        <f>IF($W$5="GST",$W$6,INDEX(Assumptions!$D$35:$F$35,$W$4))</f>
        <v/>
      </c>
      <c r="X27" s="37">
        <f>IF($X$5="GST",$X$6,INDEX(Assumptions!$D$35:$F$35,$X$4))</f>
        <v/>
      </c>
      <c r="Y27" s="37">
        <f>IF($Y$5="GST",$Y$6,INDEX(Assumptions!$D$35:$F$35,$Y$4))</f>
        <v/>
      </c>
      <c r="Z27" s="37">
        <f>IF($Z$5="GST",$Z$6,INDEX(Assumptions!$D$35:$F$35,$Z$4))</f>
        <v/>
      </c>
      <c r="AA27" s="37">
        <f>IF($AA$5="GST",$AA$6,INDEX(Assumptions!$D$35:$F$35,$AA$4))</f>
        <v/>
      </c>
      <c r="AB27" s="37">
        <f>IF($AB$5="GST",$AB$6,INDEX(Assumptions!$D$35:$F$35,$AB$4))</f>
        <v/>
      </c>
      <c r="AC27" s="37">
        <f>IF($AC$5="GST",$AC$6,INDEX(Assumptions!$D$35:$F$35,$AC$4))</f>
        <v/>
      </c>
      <c r="AD27" s="37">
        <f>IF($AD$5="GST",$AD$6,INDEX(Assumptions!$D$35:$F$35,$AD$4))</f>
        <v/>
      </c>
      <c r="AE27" s="37">
        <f>IF($AE$5="GST",$AE$6,INDEX(Assumptions!$D$35:$F$35,$AE$4))</f>
        <v/>
      </c>
      <c r="AF27" s="37">
        <f>IF($AF$5="GST",$AF$6,INDEX(Assumptions!$D$35:$F$35,$AF$4))</f>
        <v/>
      </c>
      <c r="AG27" s="37">
        <f>IF($AG$5="GST",$AG$6,INDEX(Assumptions!$D$35:$F$35,$AG$4))</f>
        <v/>
      </c>
      <c r="AH27" s="37">
        <f>IF($AH$5="GST",$AH$6,INDEX(Assumptions!$D$35:$F$35,$AH$4))</f>
        <v/>
      </c>
      <c r="AI27" s="37">
        <f>IF($AI$5="GST",$AI$6,INDEX(Assumptions!$D$35:$F$35,$AI$4))</f>
        <v/>
      </c>
      <c r="AJ27" s="37">
        <f>IF($AJ$5="GST",$AJ$6,INDEX(Assumptions!$D$35:$F$35,$AJ$4))</f>
        <v/>
      </c>
      <c r="AK27" s="37">
        <f>IF($AK$5="GST",$AK$6,INDEX(Assumptions!$D$35:$F$35,$AK$4))</f>
        <v/>
      </c>
      <c r="AL27" s="37">
        <f>IF($AL$5="GST",$AL$6,INDEX(Assumptions!$D$35:$F$35,$AL$4))</f>
        <v/>
      </c>
      <c r="AM27" s="37">
        <f>IF($AM$5="GST",$AM$6,INDEX(Assumptions!$D$35:$F$35,$AM$4))</f>
        <v/>
      </c>
      <c r="AN27" s="37">
        <f>IF($AN$5="GST",$AN$6,INDEX(Assumptions!$D$35:$F$35,$AN$4))</f>
        <v/>
      </c>
      <c r="AO27" s="37">
        <f>IF($AO$5="GST",$AO$6,INDEX(Assumptions!$D$35:$F$35,$AO$4))</f>
        <v/>
      </c>
      <c r="AP27" s="37">
        <f>IF($AP$5="GST",$AP$6,INDEX(Assumptions!$D$35:$F$35,$AP$4))</f>
        <v/>
      </c>
      <c r="AQ27" s="37">
        <f>IF($AQ$5="GST",$AQ$6,INDEX(Assumptions!$D$35:$F$35,$AQ$4))</f>
        <v/>
      </c>
      <c r="AR27" s="37">
        <f>IF($AR$5="GST",$AR$6,INDEX(Assumptions!$D$35:$F$35,$AR$4))</f>
        <v/>
      </c>
      <c r="AS27" s="37">
        <f>IF($AS$5="GST",$AS$6,INDEX(Assumptions!$D$35:$F$35,$AS$4))</f>
        <v/>
      </c>
      <c r="AT27" s="37">
        <f>IF($AT$5="GST",$AT$6,INDEX(Assumptions!$D$35:$F$35,$AT$4))</f>
        <v/>
      </c>
      <c r="AU27" s="37">
        <f>IF($AU$5="GST",$AU$6,INDEX(Assumptions!$D$35:$F$35,$AU$4))</f>
        <v/>
      </c>
      <c r="AV27" s="37">
        <f>IF($AV$5="GST",$AV$6,INDEX(Assumptions!$D$35:$F$35,$AV$4))</f>
        <v/>
      </c>
    </row>
    <row r="28">
      <c r="B28" s="5" t="inlineStr">
        <is>
          <t>CompetitorAnchor</t>
        </is>
      </c>
      <c r="D28" s="45">
        <f>IF($D$5="CompetitorAnchor",$D$6,INDEX(Assumptions!$D$39:$F$39,$D$4))</f>
        <v/>
      </c>
      <c r="E28" s="45">
        <f>IF($E$5="CompetitorAnchor",$E$6,INDEX(Assumptions!$D$39:$F$39,$E$4))</f>
        <v/>
      </c>
      <c r="F28" s="45">
        <f>IF($F$5="CompetitorAnchor",$F$6,INDEX(Assumptions!$D$39:$F$39,$F$4))</f>
        <v/>
      </c>
      <c r="G28" s="45">
        <f>IF($G$5="CompetitorAnchor",$G$6,INDEX(Assumptions!$D$39:$F$39,$G$4))</f>
        <v/>
      </c>
      <c r="H28" s="45">
        <f>IF($H$5="CompetitorAnchor",$H$6,INDEX(Assumptions!$D$39:$F$39,$H$4))</f>
        <v/>
      </c>
      <c r="I28" s="45">
        <f>IF($I$5="CompetitorAnchor",$I$6,INDEX(Assumptions!$D$39:$F$39,$I$4))</f>
        <v/>
      </c>
      <c r="J28" s="45">
        <f>IF($J$5="CompetitorAnchor",$J$6,INDEX(Assumptions!$D$39:$F$39,$J$4))</f>
        <v/>
      </c>
      <c r="K28" s="45">
        <f>IF($K$5="CompetitorAnchor",$K$6,INDEX(Assumptions!$D$39:$F$39,$K$4))</f>
        <v/>
      </c>
      <c r="L28" s="45">
        <f>IF($L$5="CompetitorAnchor",$L$6,INDEX(Assumptions!$D$39:$F$39,$L$4))</f>
        <v/>
      </c>
      <c r="M28" s="45">
        <f>IF($M$5="CompetitorAnchor",$M$6,INDEX(Assumptions!$D$39:$F$39,$M$4))</f>
        <v/>
      </c>
      <c r="N28" s="45">
        <f>IF($N$5="CompetitorAnchor",$N$6,INDEX(Assumptions!$D$39:$F$39,$N$4))</f>
        <v/>
      </c>
      <c r="O28" s="45">
        <f>IF($O$5="CompetitorAnchor",$O$6,INDEX(Assumptions!$D$39:$F$39,$O$4))</f>
        <v/>
      </c>
      <c r="P28" s="45">
        <f>IF($P$5="CompetitorAnchor",$P$6,INDEX(Assumptions!$D$39:$F$39,$P$4))</f>
        <v/>
      </c>
      <c r="Q28" s="45">
        <f>IF($Q$5="CompetitorAnchor",$Q$6,INDEX(Assumptions!$D$39:$F$39,$Q$4))</f>
        <v/>
      </c>
      <c r="R28" s="45">
        <f>IF($R$5="CompetitorAnchor",$R$6,INDEX(Assumptions!$D$39:$F$39,$R$4))</f>
        <v/>
      </c>
      <c r="S28" s="45">
        <f>IF($S$5="CompetitorAnchor",$S$6,INDEX(Assumptions!$D$39:$F$39,$S$4))</f>
        <v/>
      </c>
      <c r="T28" s="45">
        <f>IF($T$5="CompetitorAnchor",$T$6,INDEX(Assumptions!$D$39:$F$39,$T$4))</f>
        <v/>
      </c>
      <c r="U28" s="45">
        <f>IF($U$5="CompetitorAnchor",$U$6,INDEX(Assumptions!$D$39:$F$39,$U$4))</f>
        <v/>
      </c>
      <c r="V28" s="45">
        <f>IF($V$5="CompetitorAnchor",$V$6,INDEX(Assumptions!$D$39:$F$39,$V$4))</f>
        <v/>
      </c>
      <c r="W28" s="45">
        <f>IF($W$5="CompetitorAnchor",$W$6,INDEX(Assumptions!$D$39:$F$39,$W$4))</f>
        <v/>
      </c>
      <c r="X28" s="45">
        <f>IF($X$5="CompetitorAnchor",$X$6,INDEX(Assumptions!$D$39:$F$39,$X$4))</f>
        <v/>
      </c>
      <c r="Y28" s="45">
        <f>IF($Y$5="CompetitorAnchor",$Y$6,INDEX(Assumptions!$D$39:$F$39,$Y$4))</f>
        <v/>
      </c>
      <c r="Z28" s="45">
        <f>IF($Z$5="CompetitorAnchor",$Z$6,INDEX(Assumptions!$D$39:$F$39,$Z$4))</f>
        <v/>
      </c>
      <c r="AA28" s="45">
        <f>IF($AA$5="CompetitorAnchor",$AA$6,INDEX(Assumptions!$D$39:$F$39,$AA$4))</f>
        <v/>
      </c>
      <c r="AB28" s="45">
        <f>IF($AB$5="CompetitorAnchor",$AB$6,INDEX(Assumptions!$D$39:$F$39,$AB$4))</f>
        <v/>
      </c>
      <c r="AC28" s="45">
        <f>IF($AC$5="CompetitorAnchor",$AC$6,INDEX(Assumptions!$D$39:$F$39,$AC$4))</f>
        <v/>
      </c>
      <c r="AD28" s="45">
        <f>IF($AD$5="CompetitorAnchor",$AD$6,INDEX(Assumptions!$D$39:$F$39,$AD$4))</f>
        <v/>
      </c>
      <c r="AE28" s="45">
        <f>IF($AE$5="CompetitorAnchor",$AE$6,INDEX(Assumptions!$D$39:$F$39,$AE$4))</f>
        <v/>
      </c>
      <c r="AF28" s="45">
        <f>IF($AF$5="CompetitorAnchor",$AF$6,INDEX(Assumptions!$D$39:$F$39,$AF$4))</f>
        <v/>
      </c>
      <c r="AG28" s="45">
        <f>IF($AG$5="CompetitorAnchor",$AG$6,INDEX(Assumptions!$D$39:$F$39,$AG$4))</f>
        <v/>
      </c>
      <c r="AH28" s="45">
        <f>IF($AH$5="CompetitorAnchor",$AH$6,INDEX(Assumptions!$D$39:$F$39,$AH$4))</f>
        <v/>
      </c>
      <c r="AI28" s="45">
        <f>IF($AI$5="CompetitorAnchor",$AI$6,INDEX(Assumptions!$D$39:$F$39,$AI$4))</f>
        <v/>
      </c>
      <c r="AJ28" s="45">
        <f>IF($AJ$5="CompetitorAnchor",$AJ$6,INDEX(Assumptions!$D$39:$F$39,$AJ$4))</f>
        <v/>
      </c>
      <c r="AK28" s="45">
        <f>IF($AK$5="CompetitorAnchor",$AK$6,INDEX(Assumptions!$D$39:$F$39,$AK$4))</f>
        <v/>
      </c>
      <c r="AL28" s="45">
        <f>IF($AL$5="CompetitorAnchor",$AL$6,INDEX(Assumptions!$D$39:$F$39,$AL$4))</f>
        <v/>
      </c>
      <c r="AM28" s="45">
        <f>IF($AM$5="CompetitorAnchor",$AM$6,INDEX(Assumptions!$D$39:$F$39,$AM$4))</f>
        <v/>
      </c>
      <c r="AN28" s="45">
        <f>IF($AN$5="CompetitorAnchor",$AN$6,INDEX(Assumptions!$D$39:$F$39,$AN$4))</f>
        <v/>
      </c>
      <c r="AO28" s="45">
        <f>IF($AO$5="CompetitorAnchor",$AO$6,INDEX(Assumptions!$D$39:$F$39,$AO$4))</f>
        <v/>
      </c>
      <c r="AP28" s="45">
        <f>IF($AP$5="CompetitorAnchor",$AP$6,INDEX(Assumptions!$D$39:$F$39,$AP$4))</f>
        <v/>
      </c>
      <c r="AQ28" s="45">
        <f>IF($AQ$5="CompetitorAnchor",$AQ$6,INDEX(Assumptions!$D$39:$F$39,$AQ$4))</f>
        <v/>
      </c>
      <c r="AR28" s="45">
        <f>IF($AR$5="CompetitorAnchor",$AR$6,INDEX(Assumptions!$D$39:$F$39,$AR$4))</f>
        <v/>
      </c>
      <c r="AS28" s="45">
        <f>IF($AS$5="CompetitorAnchor",$AS$6,INDEX(Assumptions!$D$39:$F$39,$AS$4))</f>
        <v/>
      </c>
      <c r="AT28" s="45">
        <f>IF($AT$5="CompetitorAnchor",$AT$6,INDEX(Assumptions!$D$39:$F$39,$AT$4))</f>
        <v/>
      </c>
      <c r="AU28" s="45">
        <f>IF($AU$5="CompetitorAnchor",$AU$6,INDEX(Assumptions!$D$39:$F$39,$AU$4))</f>
        <v/>
      </c>
      <c r="AV28" s="45">
        <f>IF($AV$5="CompetitorAnchor",$AV$6,INDEX(Assumptions!$D$39:$F$39,$AV$4))</f>
        <v/>
      </c>
    </row>
    <row r="29">
      <c r="B29" s="5" t="inlineStr">
        <is>
          <t>Fee</t>
        </is>
      </c>
      <c r="D29" s="48">
        <f>IF($D$5="Fee",$D$6,INDEX(Assumptions!$D$9:$F$9,$D$4))</f>
        <v/>
      </c>
      <c r="E29" s="48">
        <f>IF($E$5="Fee",$E$6,INDEX(Assumptions!$D$10:$F$10,$E$4))</f>
        <v/>
      </c>
      <c r="F29" s="48">
        <f>IF($F$5="Fee",$F$6,INDEX(Assumptions!$D$11:$F$11,$F$4))</f>
        <v/>
      </c>
      <c r="G29" s="48">
        <f>IF($G$5="Fee",$G$6,INDEX(Assumptions!$D$9:$F$9,$G$4))</f>
        <v/>
      </c>
      <c r="H29" s="48">
        <f>IF($H$5="Fee",$H$6,INDEX(Assumptions!$D$10:$F$10,$H$4))</f>
        <v/>
      </c>
      <c r="I29" s="48">
        <f>IF($I$5="Fee",$I$6,INDEX(Assumptions!$D$11:$F$11,$I$4))</f>
        <v/>
      </c>
      <c r="J29" s="48">
        <f>IF($J$5="Fee",$J$6,INDEX(Assumptions!$D$9:$F$9,$J$4))</f>
        <v/>
      </c>
      <c r="K29" s="48">
        <f>IF($K$5="Fee",$K$6,INDEX(Assumptions!$D$10:$F$10,$K$4))</f>
        <v/>
      </c>
      <c r="L29" s="48">
        <f>IF($L$5="Fee",$L$6,INDEX(Assumptions!$D$11:$F$11,$L$4))</f>
        <v/>
      </c>
      <c r="M29" s="48">
        <f>IF($M$5="Fee",$M$6,INDEX(Assumptions!$D$9:$F$9,$M$4))</f>
        <v/>
      </c>
      <c r="N29" s="48">
        <f>IF($N$5="Fee",$N$6,INDEX(Assumptions!$D$10:$F$10,$N$4))</f>
        <v/>
      </c>
      <c r="O29" s="48">
        <f>IF($O$5="Fee",$O$6,INDEX(Assumptions!$D$11:$F$11,$O$4))</f>
        <v/>
      </c>
      <c r="P29" s="48">
        <f>IF($P$5="Fee",$P$6,INDEX(Assumptions!$D$10:$F$10,$P$4))</f>
        <v/>
      </c>
      <c r="Q29" s="48">
        <f>IF($Q$5="Fee",$Q$6,INDEX(Assumptions!$D$10:$F$10,$Q$4))</f>
        <v/>
      </c>
      <c r="R29" s="48">
        <f>IF($R$5="Fee",$R$6,INDEX(Assumptions!$D$10:$F$10,$R$4))</f>
        <v/>
      </c>
      <c r="S29" s="48">
        <f>IF($S$5="Fee",$S$6,INDEX(Assumptions!$D$10:$F$10,$S$4))</f>
        <v/>
      </c>
      <c r="T29" s="48">
        <f>IF($T$5="Fee",$T$6,INDEX(Assumptions!$D$10:$F$10,$T$4))</f>
        <v/>
      </c>
      <c r="U29" s="48">
        <f>IF($U$5="Fee",$U$6,INDEX(Assumptions!$D$10:$F$10,$U$4))</f>
        <v/>
      </c>
      <c r="V29" s="48">
        <f>IF($V$5="Fee",$V$6,INDEX(Assumptions!$D$10:$F$10,$V$4))</f>
        <v/>
      </c>
      <c r="W29" s="48">
        <f>IF($W$5="Fee",$W$6,INDEX(Assumptions!$D$10:$F$10,$W$4))</f>
        <v/>
      </c>
      <c r="X29" s="48">
        <f>IF($X$5="Fee",$X$6,INDEX(Assumptions!$D$10:$F$10,$X$4))</f>
        <v/>
      </c>
      <c r="Y29" s="48">
        <f>IF($Y$5="Fee",$Y$6,INDEX(Assumptions!$D$10:$F$10,$Y$4))</f>
        <v/>
      </c>
      <c r="Z29" s="48">
        <f>IF($Z$5="Fee",$Z$6,INDEX(Assumptions!$D$10:$F$10,$Z$4))</f>
        <v/>
      </c>
      <c r="AA29" s="48">
        <f>IF($AA$5="Fee",$AA$6,INDEX(Assumptions!$D$10:$F$10,$AA$4))</f>
        <v/>
      </c>
      <c r="AB29" s="48">
        <f>IF($AB$5="Fee",$AB$6,INDEX(Assumptions!$D$10:$F$10,$AB$4))</f>
        <v/>
      </c>
      <c r="AC29" s="48">
        <f>IF($AC$5="Fee",$AC$6,INDEX(Assumptions!$D$10:$F$10,$AC$4))</f>
        <v/>
      </c>
      <c r="AD29" s="48">
        <f>IF($AD$5="Fee",$AD$6,INDEX(Assumptions!$D$10:$F$10,$AD$4))</f>
        <v/>
      </c>
      <c r="AE29" s="48">
        <f>IF($AE$5="Fee",$AE$6,INDEX(Assumptions!$D$10:$F$10,$AE$4))</f>
        <v/>
      </c>
      <c r="AF29" s="48">
        <f>IF($AF$5="Fee",$AF$6,INDEX(Assumptions!$D$10:$F$10,$AF$4))</f>
        <v/>
      </c>
      <c r="AG29" s="48">
        <f>IF($AG$5="Fee",$AG$6,INDEX(Assumptions!$D$10:$F$10,$AG$4))</f>
        <v/>
      </c>
      <c r="AH29" s="48">
        <f>IF($AH$5="Fee",$AH$6,INDEX(Assumptions!$D$10:$F$10,$AH$4))</f>
        <v/>
      </c>
      <c r="AI29" s="48">
        <f>IF($AI$5="Fee",$AI$6,INDEX(Assumptions!$D$10:$F$10,$AI$4))</f>
        <v/>
      </c>
      <c r="AJ29" s="48">
        <f>IF($AJ$5="Fee",$AJ$6,INDEX(Assumptions!$D$10:$F$10,$AJ$4))</f>
        <v/>
      </c>
      <c r="AK29" s="48">
        <f>IF($AK$5="Fee",$AK$6,INDEX(Assumptions!$D$10:$F$10,$AK$4))</f>
        <v/>
      </c>
      <c r="AL29" s="48">
        <f>IF($AL$5="Fee",$AL$6,INDEX(Assumptions!$D$10:$F$10,$AL$4))</f>
        <v/>
      </c>
      <c r="AM29" s="48">
        <f>IF($AM$5="Fee",$AM$6,INDEX(Assumptions!$D$10:$F$10,$AM$4))</f>
        <v/>
      </c>
      <c r="AN29" s="48">
        <f>IF($AN$5="Fee",$AN$6,INDEX(Assumptions!$D$10:$F$10,$AN$4))</f>
        <v/>
      </c>
      <c r="AO29" s="48">
        <f>IF($AO$5="Fee",$AO$6,INDEX(Assumptions!$D$10:$F$10,$AO$4))</f>
        <v/>
      </c>
      <c r="AP29" s="48">
        <f>IF($AP$5="Fee",$AP$6,INDEX(Assumptions!$D$10:$F$10,$AP$4))</f>
        <v/>
      </c>
      <c r="AQ29" s="48">
        <f>IF($AQ$5="Fee",$AQ$6,INDEX(Assumptions!$D$10:$F$10,$AQ$4))</f>
        <v/>
      </c>
      <c r="AR29" s="48">
        <f>IF($AR$5="Fee",$AR$6,INDEX(Assumptions!$D$10:$F$10,$AR$4))</f>
        <v/>
      </c>
      <c r="AS29" s="48">
        <f>IF($AS$5="Fee",$AS$6,INDEX(Assumptions!$D$10:$F$10,$AS$4))</f>
        <v/>
      </c>
      <c r="AT29" s="48">
        <f>IF($AT$5="Fee",$AT$6,INDEX(Assumptions!$D$10:$F$10,$AT$4))</f>
        <v/>
      </c>
      <c r="AU29" s="48">
        <f>IF($AU$5="Fee",$AU$6,INDEX(Assumptions!$D$10:$F$10,$AU$4))</f>
        <v/>
      </c>
      <c r="AV29" s="48">
        <f>IF($AV$5="Fee",$AV$6,INDEX(Assumptions!$D$10:$F$10,$AV$4))</f>
        <v/>
      </c>
    </row>
    <row r="30">
      <c r="B30" s="5" t="inlineStr">
        <is>
          <t>DropoutRate</t>
        </is>
      </c>
      <c r="D30" s="37">
        <f>IF($D$5="DropoutRate",$D$6,INDEX(Assumptions!$D$16:$F$16,$D$4))</f>
        <v/>
      </c>
      <c r="E30" s="37">
        <f>IF($E$5="DropoutRate",$E$6,INDEX(Assumptions!$D$16:$F$16,$E$4))</f>
        <v/>
      </c>
      <c r="F30" s="37">
        <f>IF($F$5="DropoutRate",$F$6,INDEX(Assumptions!$D$16:$F$16,$F$4))</f>
        <v/>
      </c>
      <c r="G30" s="37">
        <f>IF($G$5="DropoutRate",$G$6,INDEX(Assumptions!$D$16:$F$16,$G$4))</f>
        <v/>
      </c>
      <c r="H30" s="37">
        <f>IF($H$5="DropoutRate",$H$6,INDEX(Assumptions!$D$16:$F$16,$H$4))</f>
        <v/>
      </c>
      <c r="I30" s="37">
        <f>IF($I$5="DropoutRate",$I$6,INDEX(Assumptions!$D$16:$F$16,$I$4))</f>
        <v/>
      </c>
      <c r="J30" s="37">
        <f>IF($J$5="DropoutRate",$J$6,INDEX(Assumptions!$D$16:$F$16,$J$4))</f>
        <v/>
      </c>
      <c r="K30" s="37">
        <f>IF($K$5="DropoutRate",$K$6,INDEX(Assumptions!$D$16:$F$16,$K$4))</f>
        <v/>
      </c>
      <c r="L30" s="37">
        <f>IF($L$5="DropoutRate",$L$6,INDEX(Assumptions!$D$16:$F$16,$L$4))</f>
        <v/>
      </c>
      <c r="M30" s="37">
        <f>IF($M$5="DropoutRate",$M$6,INDEX(Assumptions!$D$16:$F$16,$M$4))</f>
        <v/>
      </c>
      <c r="N30" s="37">
        <f>IF($N$5="DropoutRate",$N$6,INDEX(Assumptions!$D$16:$F$16,$N$4))</f>
        <v/>
      </c>
      <c r="O30" s="37">
        <f>IF($O$5="DropoutRate",$O$6,INDEX(Assumptions!$D$16:$F$16,$O$4))</f>
        <v/>
      </c>
      <c r="P30" s="37">
        <f>IF($P$5="DropoutRate",$P$6,INDEX(Assumptions!$D$16:$F$16,$P$4))</f>
        <v/>
      </c>
      <c r="Q30" s="37">
        <f>IF($Q$5="DropoutRate",$Q$6,INDEX(Assumptions!$D$16:$F$16,$Q$4))</f>
        <v/>
      </c>
      <c r="R30" s="37">
        <f>IF($R$5="DropoutRate",$R$6,INDEX(Assumptions!$D$16:$F$16,$R$4))</f>
        <v/>
      </c>
      <c r="S30" s="37">
        <f>IF($S$5="DropoutRate",$S$6,INDEX(Assumptions!$D$16:$F$16,$S$4))</f>
        <v/>
      </c>
      <c r="T30" s="37">
        <f>IF($T$5="DropoutRate",$T$6,INDEX(Assumptions!$D$16:$F$16,$T$4))</f>
        <v/>
      </c>
      <c r="U30" s="37">
        <f>IF($U$5="DropoutRate",$U$6,INDEX(Assumptions!$D$16:$F$16,$U$4))</f>
        <v/>
      </c>
      <c r="V30" s="37">
        <f>IF($V$5="DropoutRate",$V$6,INDEX(Assumptions!$D$16:$F$16,$V$4))</f>
        <v/>
      </c>
      <c r="W30" s="37">
        <f>IF($W$5="DropoutRate",$W$6,INDEX(Assumptions!$D$16:$F$16,$W$4))</f>
        <v/>
      </c>
      <c r="X30" s="37">
        <f>IF($X$5="DropoutRate",$X$6,INDEX(Assumptions!$D$16:$F$16,$X$4))</f>
        <v/>
      </c>
      <c r="Y30" s="37">
        <f>IF($Y$5="DropoutRate",$Y$6,INDEX(Assumptions!$D$16:$F$16,$Y$4))</f>
        <v/>
      </c>
      <c r="Z30" s="37">
        <f>IF($Z$5="DropoutRate",$Z$6,INDEX(Assumptions!$D$16:$F$16,$Z$4))</f>
        <v/>
      </c>
      <c r="AA30" s="37">
        <f>IF($AA$5="DropoutRate",$AA$6,INDEX(Assumptions!$D$16:$F$16,$AA$4))</f>
        <v/>
      </c>
      <c r="AB30" s="37">
        <f>IF($AB$5="DropoutRate",$AB$6,INDEX(Assumptions!$D$16:$F$16,$AB$4))</f>
        <v/>
      </c>
      <c r="AC30" s="37">
        <f>IF($AC$5="DropoutRate",$AC$6,INDEX(Assumptions!$D$16:$F$16,$AC$4))</f>
        <v/>
      </c>
      <c r="AD30" s="37">
        <f>IF($AD$5="DropoutRate",$AD$6,INDEX(Assumptions!$D$16:$F$16,$AD$4))</f>
        <v/>
      </c>
      <c r="AE30" s="37">
        <f>IF($AE$5="DropoutRate",$AE$6,INDEX(Assumptions!$D$16:$F$16,$AE$4))</f>
        <v/>
      </c>
      <c r="AF30" s="37">
        <f>IF($AF$5="DropoutRate",$AF$6,INDEX(Assumptions!$D$16:$F$16,$AF$4))</f>
        <v/>
      </c>
      <c r="AG30" s="37">
        <f>IF($AG$5="DropoutRate",$AG$6,INDEX(Assumptions!$D$16:$F$16,$AG$4))</f>
        <v/>
      </c>
      <c r="AH30" s="37">
        <f>IF($AH$5="DropoutRate",$AH$6,INDEX(Assumptions!$D$16:$F$16,$AH$4))</f>
        <v/>
      </c>
      <c r="AI30" s="37">
        <f>IF($AI$5="DropoutRate",$AI$6,INDEX(Assumptions!$D$16:$F$16,$AI$4))</f>
        <v/>
      </c>
      <c r="AJ30" s="37">
        <f>IF($AJ$5="DropoutRate",$AJ$6,INDEX(Assumptions!$D$16:$F$16,$AJ$4))</f>
        <v/>
      </c>
      <c r="AK30" s="37">
        <f>IF($AK$5="DropoutRate",$AK$6,INDEX(Assumptions!$D$16:$F$16,$AK$4))</f>
        <v/>
      </c>
      <c r="AL30" s="37">
        <f>IF($AL$5="DropoutRate",$AL$6,INDEX(Assumptions!$D$16:$F$16,$AL$4))</f>
        <v/>
      </c>
      <c r="AM30" s="37">
        <f>IF($AM$5="DropoutRate",$AM$6,INDEX(Assumptions!$D$16:$F$16,$AM$4))</f>
        <v/>
      </c>
      <c r="AN30" s="37">
        <f>IF($AN$5="DropoutRate",$AN$6,INDEX(Assumptions!$D$16:$F$16,$AN$4))</f>
        <v/>
      </c>
      <c r="AO30" s="37">
        <f>IF($AO$5="DropoutRate",$AO$6,INDEX(Assumptions!$D$16:$F$16,$AO$4))</f>
        <v/>
      </c>
      <c r="AP30" s="37">
        <f>IF($AP$5="DropoutRate",$AP$6,INDEX(Assumptions!$D$16:$F$16,$AP$4))</f>
        <v/>
      </c>
      <c r="AQ30" s="37">
        <f>IF($AQ$5="DropoutRate",$AQ$6,INDEX(Assumptions!$D$16:$F$16,$AQ$4))</f>
        <v/>
      </c>
      <c r="AR30" s="37">
        <f>IF($AR$5="DropoutRate",$AR$6,INDEX(Assumptions!$D$16:$F$16,$AR$4))</f>
        <v/>
      </c>
      <c r="AS30" s="37">
        <f>IF($AS$5="DropoutRate",$AS$6,INDEX(Assumptions!$D$16:$F$16,$AS$4))</f>
        <v/>
      </c>
      <c r="AT30" s="37">
        <f>IF($AT$5="DropoutRate",$AT$6,INDEX(Assumptions!$D$16:$F$16,$AT$4))</f>
        <v/>
      </c>
      <c r="AU30" s="37">
        <f>IF($AU$5="DropoutRate",$AU$6,INDEX(Assumptions!$D$16:$F$16,$AU$4))</f>
        <v/>
      </c>
      <c r="AV30" s="37">
        <f>IF($AV$5="DropoutRate",$AV$6,INDEX(Assumptions!$D$16:$F$16,$AV$4))</f>
        <v/>
      </c>
    </row>
    <row r="31">
      <c r="B31" s="5" t="inlineStr">
        <is>
          <t>UpfrontShare</t>
        </is>
      </c>
      <c r="D31" s="37">
        <f>IF($D$5="UpfrontShare",$D$6,INDEX(Assumptions!$D$17:$F$17,$D$4))</f>
        <v/>
      </c>
      <c r="E31" s="37">
        <f>IF($E$5="UpfrontShare",$E$6,INDEX(Assumptions!$D$17:$F$17,$E$4))</f>
        <v/>
      </c>
      <c r="F31" s="37">
        <f>IF($F$5="UpfrontShare",$F$6,INDEX(Assumptions!$D$17:$F$17,$F$4))</f>
        <v/>
      </c>
      <c r="G31" s="37">
        <f>IF($G$5="UpfrontShare",$G$6,INDEX(Assumptions!$D$17:$F$17,$G$4))</f>
        <v/>
      </c>
      <c r="H31" s="37">
        <f>IF($H$5="UpfrontShare",$H$6,INDEX(Assumptions!$D$17:$F$17,$H$4))</f>
        <v/>
      </c>
      <c r="I31" s="37">
        <f>IF($I$5="UpfrontShare",$I$6,INDEX(Assumptions!$D$17:$F$17,$I$4))</f>
        <v/>
      </c>
      <c r="J31" s="37">
        <f>IF($J$5="UpfrontShare",$J$6,INDEX(Assumptions!$D$17:$F$17,$J$4))</f>
        <v/>
      </c>
      <c r="K31" s="37">
        <f>IF($K$5="UpfrontShare",$K$6,INDEX(Assumptions!$D$17:$F$17,$K$4))</f>
        <v/>
      </c>
      <c r="L31" s="37">
        <f>IF($L$5="UpfrontShare",$L$6,INDEX(Assumptions!$D$17:$F$17,$L$4))</f>
        <v/>
      </c>
      <c r="M31" s="37">
        <f>IF($M$5="UpfrontShare",$M$6,INDEX(Assumptions!$D$17:$F$17,$M$4))</f>
        <v/>
      </c>
      <c r="N31" s="37">
        <f>IF($N$5="UpfrontShare",$N$6,INDEX(Assumptions!$D$17:$F$17,$N$4))</f>
        <v/>
      </c>
      <c r="O31" s="37">
        <f>IF($O$5="UpfrontShare",$O$6,INDEX(Assumptions!$D$17:$F$17,$O$4))</f>
        <v/>
      </c>
      <c r="P31" s="37">
        <f>IF($P$5="UpfrontShare",$P$6,INDEX(Assumptions!$D$17:$F$17,$P$4))</f>
        <v/>
      </c>
      <c r="Q31" s="37">
        <f>IF($Q$5="UpfrontShare",$Q$6,INDEX(Assumptions!$D$17:$F$17,$Q$4))</f>
        <v/>
      </c>
      <c r="R31" s="37">
        <f>IF($R$5="UpfrontShare",$R$6,INDEX(Assumptions!$D$17:$F$17,$R$4))</f>
        <v/>
      </c>
      <c r="S31" s="37">
        <f>IF($S$5="UpfrontShare",$S$6,INDEX(Assumptions!$D$17:$F$17,$S$4))</f>
        <v/>
      </c>
      <c r="T31" s="37">
        <f>IF($T$5="UpfrontShare",$T$6,INDEX(Assumptions!$D$17:$F$17,$T$4))</f>
        <v/>
      </c>
      <c r="U31" s="37">
        <f>IF($U$5="UpfrontShare",$U$6,INDEX(Assumptions!$D$17:$F$17,$U$4))</f>
        <v/>
      </c>
      <c r="V31" s="37">
        <f>IF($V$5="UpfrontShare",$V$6,INDEX(Assumptions!$D$17:$F$17,$V$4))</f>
        <v/>
      </c>
      <c r="W31" s="37">
        <f>IF($W$5="UpfrontShare",$W$6,INDEX(Assumptions!$D$17:$F$17,$W$4))</f>
        <v/>
      </c>
      <c r="X31" s="37">
        <f>IF($X$5="UpfrontShare",$X$6,INDEX(Assumptions!$D$17:$F$17,$X$4))</f>
        <v/>
      </c>
      <c r="Y31" s="37">
        <f>IF($Y$5="UpfrontShare",$Y$6,INDEX(Assumptions!$D$17:$F$17,$Y$4))</f>
        <v/>
      </c>
      <c r="Z31" s="37">
        <f>IF($Z$5="UpfrontShare",$Z$6,INDEX(Assumptions!$D$17:$F$17,$Z$4))</f>
        <v/>
      </c>
      <c r="AA31" s="37">
        <f>IF($AA$5="UpfrontShare",$AA$6,INDEX(Assumptions!$D$17:$F$17,$AA$4))</f>
        <v/>
      </c>
      <c r="AB31" s="37">
        <f>IF($AB$5="UpfrontShare",$AB$6,INDEX(Assumptions!$D$17:$F$17,$AB$4))</f>
        <v/>
      </c>
      <c r="AC31" s="37">
        <f>IF($AC$5="UpfrontShare",$AC$6,INDEX(Assumptions!$D$17:$F$17,$AC$4))</f>
        <v/>
      </c>
      <c r="AD31" s="37">
        <f>IF($AD$5="UpfrontShare",$AD$6,INDEX(Assumptions!$D$17:$F$17,$AD$4))</f>
        <v/>
      </c>
      <c r="AE31" s="37">
        <f>IF($AE$5="UpfrontShare",$AE$6,INDEX(Assumptions!$D$17:$F$17,$AE$4))</f>
        <v/>
      </c>
      <c r="AF31" s="37">
        <f>IF($AF$5="UpfrontShare",$AF$6,INDEX(Assumptions!$D$17:$F$17,$AF$4))</f>
        <v/>
      </c>
      <c r="AG31" s="37">
        <f>IF($AG$5="UpfrontShare",$AG$6,INDEX(Assumptions!$D$17:$F$17,$AG$4))</f>
        <v/>
      </c>
      <c r="AH31" s="37">
        <f>IF($AH$5="UpfrontShare",$AH$6,INDEX(Assumptions!$D$17:$F$17,$AH$4))</f>
        <v/>
      </c>
      <c r="AI31" s="37">
        <f>IF($AI$5="UpfrontShare",$AI$6,INDEX(Assumptions!$D$17:$F$17,$AI$4))</f>
        <v/>
      </c>
      <c r="AJ31" s="37">
        <f>IF($AJ$5="UpfrontShare",$AJ$6,INDEX(Assumptions!$D$17:$F$17,$AJ$4))</f>
        <v/>
      </c>
      <c r="AK31" s="37">
        <f>IF($AK$5="UpfrontShare",$AK$6,INDEX(Assumptions!$D$17:$F$17,$AK$4))</f>
        <v/>
      </c>
      <c r="AL31" s="37">
        <f>IF($AL$5="UpfrontShare",$AL$6,INDEX(Assumptions!$D$17:$F$17,$AL$4))</f>
        <v/>
      </c>
      <c r="AM31" s="37">
        <f>IF($AM$5="UpfrontShare",$AM$6,INDEX(Assumptions!$D$17:$F$17,$AM$4))</f>
        <v/>
      </c>
      <c r="AN31" s="37">
        <f>IF($AN$5="UpfrontShare",$AN$6,INDEX(Assumptions!$D$17:$F$17,$AN$4))</f>
        <v/>
      </c>
      <c r="AO31" s="37">
        <f>IF($AO$5="UpfrontShare",$AO$6,INDEX(Assumptions!$D$17:$F$17,$AO$4))</f>
        <v/>
      </c>
      <c r="AP31" s="37">
        <f>IF($AP$5="UpfrontShare",$AP$6,INDEX(Assumptions!$D$17:$F$17,$AP$4))</f>
        <v/>
      </c>
      <c r="AQ31" s="37">
        <f>IF($AQ$5="UpfrontShare",$AQ$6,INDEX(Assumptions!$D$17:$F$17,$AQ$4))</f>
        <v/>
      </c>
      <c r="AR31" s="37">
        <f>IF($AR$5="UpfrontShare",$AR$6,INDEX(Assumptions!$D$17:$F$17,$AR$4))</f>
        <v/>
      </c>
      <c r="AS31" s="37">
        <f>IF($AS$5="UpfrontShare",$AS$6,INDEX(Assumptions!$D$17:$F$17,$AS$4))</f>
        <v/>
      </c>
      <c r="AT31" s="37">
        <f>IF($AT$5="UpfrontShare",$AT$6,INDEX(Assumptions!$D$17:$F$17,$AT$4))</f>
        <v/>
      </c>
      <c r="AU31" s="37">
        <f>IF($AU$5="UpfrontShare",$AU$6,INDEX(Assumptions!$D$17:$F$17,$AU$4))</f>
        <v/>
      </c>
      <c r="AV31" s="37">
        <f>IF($AV$5="UpfrontShare",$AV$6,INDEX(Assumptions!$D$17:$F$17,$AV$4))</f>
        <v/>
      </c>
    </row>
    <row r="32">
      <c r="B32" s="5" t="inlineStr">
        <is>
          <t>NInstalments</t>
        </is>
      </c>
      <c r="D32" s="55">
        <f>IF($D$5="NInstalments",$D$6,INDEX(Assumptions!$D$18:$F$18,$D$4))</f>
        <v/>
      </c>
      <c r="E32" s="55">
        <f>IF($E$5="NInstalments",$E$6,INDEX(Assumptions!$D$18:$F$18,$E$4))</f>
        <v/>
      </c>
      <c r="F32" s="55">
        <f>IF($F$5="NInstalments",$F$6,INDEX(Assumptions!$D$18:$F$18,$F$4))</f>
        <v/>
      </c>
      <c r="G32" s="55">
        <f>IF($G$5="NInstalments",$G$6,INDEX(Assumptions!$D$18:$F$18,$G$4))</f>
        <v/>
      </c>
      <c r="H32" s="55">
        <f>IF($H$5="NInstalments",$H$6,INDEX(Assumptions!$D$18:$F$18,$H$4))</f>
        <v/>
      </c>
      <c r="I32" s="55">
        <f>IF($I$5="NInstalments",$I$6,INDEX(Assumptions!$D$18:$F$18,$I$4))</f>
        <v/>
      </c>
      <c r="J32" s="55">
        <f>IF($J$5="NInstalments",$J$6,INDEX(Assumptions!$D$18:$F$18,$J$4))</f>
        <v/>
      </c>
      <c r="K32" s="55">
        <f>IF($K$5="NInstalments",$K$6,INDEX(Assumptions!$D$18:$F$18,$K$4))</f>
        <v/>
      </c>
      <c r="L32" s="55">
        <f>IF($L$5="NInstalments",$L$6,INDEX(Assumptions!$D$18:$F$18,$L$4))</f>
        <v/>
      </c>
      <c r="M32" s="55">
        <f>IF($M$5="NInstalments",$M$6,INDEX(Assumptions!$D$18:$F$18,$M$4))</f>
        <v/>
      </c>
      <c r="N32" s="55">
        <f>IF($N$5="NInstalments",$N$6,INDEX(Assumptions!$D$18:$F$18,$N$4))</f>
        <v/>
      </c>
      <c r="O32" s="55">
        <f>IF($O$5="NInstalments",$O$6,INDEX(Assumptions!$D$18:$F$18,$O$4))</f>
        <v/>
      </c>
      <c r="P32" s="55">
        <f>IF($P$5="NInstalments",$P$6,INDEX(Assumptions!$D$18:$F$18,$P$4))</f>
        <v/>
      </c>
      <c r="Q32" s="55">
        <f>IF($Q$5="NInstalments",$Q$6,INDEX(Assumptions!$D$18:$F$18,$Q$4))</f>
        <v/>
      </c>
      <c r="R32" s="55">
        <f>IF($R$5="NInstalments",$R$6,INDEX(Assumptions!$D$18:$F$18,$R$4))</f>
        <v/>
      </c>
      <c r="S32" s="55">
        <f>IF($S$5="NInstalments",$S$6,INDEX(Assumptions!$D$18:$F$18,$S$4))</f>
        <v/>
      </c>
      <c r="T32" s="55">
        <f>IF($T$5="NInstalments",$T$6,INDEX(Assumptions!$D$18:$F$18,$T$4))</f>
        <v/>
      </c>
      <c r="U32" s="55">
        <f>IF($U$5="NInstalments",$U$6,INDEX(Assumptions!$D$18:$F$18,$U$4))</f>
        <v/>
      </c>
      <c r="V32" s="55">
        <f>IF($V$5="NInstalments",$V$6,INDEX(Assumptions!$D$18:$F$18,$V$4))</f>
        <v/>
      </c>
      <c r="W32" s="55">
        <f>IF($W$5="NInstalments",$W$6,INDEX(Assumptions!$D$18:$F$18,$W$4))</f>
        <v/>
      </c>
      <c r="X32" s="55">
        <f>IF($X$5="NInstalments",$X$6,INDEX(Assumptions!$D$18:$F$18,$X$4))</f>
        <v/>
      </c>
      <c r="Y32" s="55">
        <f>IF($Y$5="NInstalments",$Y$6,INDEX(Assumptions!$D$18:$F$18,$Y$4))</f>
        <v/>
      </c>
      <c r="Z32" s="55">
        <f>IF($Z$5="NInstalments",$Z$6,INDEX(Assumptions!$D$18:$F$18,$Z$4))</f>
        <v/>
      </c>
      <c r="AA32" s="55">
        <f>IF($AA$5="NInstalments",$AA$6,INDEX(Assumptions!$D$18:$F$18,$AA$4))</f>
        <v/>
      </c>
      <c r="AB32" s="55">
        <f>IF($AB$5="NInstalments",$AB$6,INDEX(Assumptions!$D$18:$F$18,$AB$4))</f>
        <v/>
      </c>
      <c r="AC32" s="55">
        <f>IF($AC$5="NInstalments",$AC$6,INDEX(Assumptions!$D$18:$F$18,$AC$4))</f>
        <v/>
      </c>
      <c r="AD32" s="55">
        <f>IF($AD$5="NInstalments",$AD$6,INDEX(Assumptions!$D$18:$F$18,$AD$4))</f>
        <v/>
      </c>
      <c r="AE32" s="55">
        <f>IF($AE$5="NInstalments",$AE$6,INDEX(Assumptions!$D$18:$F$18,$AE$4))</f>
        <v/>
      </c>
      <c r="AF32" s="55">
        <f>IF($AF$5="NInstalments",$AF$6,INDEX(Assumptions!$D$18:$F$18,$AF$4))</f>
        <v/>
      </c>
      <c r="AG32" s="55">
        <f>IF($AG$5="NInstalments",$AG$6,INDEX(Assumptions!$D$18:$F$18,$AG$4))</f>
        <v/>
      </c>
      <c r="AH32" s="55">
        <f>IF($AH$5="NInstalments",$AH$6,INDEX(Assumptions!$D$18:$F$18,$AH$4))</f>
        <v/>
      </c>
      <c r="AI32" s="55">
        <f>IF($AI$5="NInstalments",$AI$6,INDEX(Assumptions!$D$18:$F$18,$AI$4))</f>
        <v/>
      </c>
      <c r="AJ32" s="55">
        <f>IF($AJ$5="NInstalments",$AJ$6,INDEX(Assumptions!$D$18:$F$18,$AJ$4))</f>
        <v/>
      </c>
      <c r="AK32" s="55">
        <f>IF($AK$5="NInstalments",$AK$6,INDEX(Assumptions!$D$18:$F$18,$AK$4))</f>
        <v/>
      </c>
      <c r="AL32" s="55">
        <f>IF($AL$5="NInstalments",$AL$6,INDEX(Assumptions!$D$18:$F$18,$AL$4))</f>
        <v/>
      </c>
      <c r="AM32" s="55">
        <f>IF($AM$5="NInstalments",$AM$6,INDEX(Assumptions!$D$18:$F$18,$AM$4))</f>
        <v/>
      </c>
      <c r="AN32" s="55">
        <f>IF($AN$5="NInstalments",$AN$6,INDEX(Assumptions!$D$18:$F$18,$AN$4))</f>
        <v/>
      </c>
      <c r="AO32" s="55">
        <f>IF($AO$5="NInstalments",$AO$6,INDEX(Assumptions!$D$18:$F$18,$AO$4))</f>
        <v/>
      </c>
      <c r="AP32" s="55">
        <f>IF($AP$5="NInstalments",$AP$6,INDEX(Assumptions!$D$18:$F$18,$AP$4))</f>
        <v/>
      </c>
      <c r="AQ32" s="55">
        <f>IF($AQ$5="NInstalments",$AQ$6,INDEX(Assumptions!$D$18:$F$18,$AQ$4))</f>
        <v/>
      </c>
      <c r="AR32" s="55">
        <f>IF($AR$5="NInstalments",$AR$6,INDEX(Assumptions!$D$18:$F$18,$AR$4))</f>
        <v/>
      </c>
      <c r="AS32" s="55">
        <f>IF($AS$5="NInstalments",$AS$6,INDEX(Assumptions!$D$18:$F$18,$AS$4))</f>
        <v/>
      </c>
      <c r="AT32" s="55">
        <f>IF($AT$5="NInstalments",$AT$6,INDEX(Assumptions!$D$18:$F$18,$AT$4))</f>
        <v/>
      </c>
      <c r="AU32" s="55">
        <f>IF($AU$5="NInstalments",$AU$6,INDEX(Assumptions!$D$18:$F$18,$AU$4))</f>
        <v/>
      </c>
      <c r="AV32" s="55">
        <f>IF($AV$5="NInstalments",$AV$6,INDEX(Assumptions!$D$18:$F$18,$AV$4))</f>
        <v/>
      </c>
    </row>
    <row r="33">
      <c r="B33" s="5" t="inlineStr">
        <is>
          <t>RefundEnforced</t>
        </is>
      </c>
      <c r="D33" s="37">
        <f>IF($D$5="RefundEnforced",$D$6,INDEX(Assumptions!$D$19:$F$19,$D$4))</f>
        <v/>
      </c>
      <c r="E33" s="37">
        <f>IF($E$5="RefundEnforced",$E$6,INDEX(Assumptions!$D$19:$F$19,$E$4))</f>
        <v/>
      </c>
      <c r="F33" s="37">
        <f>IF($F$5="RefundEnforced",$F$6,INDEX(Assumptions!$D$19:$F$19,$F$4))</f>
        <v/>
      </c>
      <c r="G33" s="37">
        <f>IF($G$5="RefundEnforced",$G$6,INDEX(Assumptions!$D$19:$F$19,$G$4))</f>
        <v/>
      </c>
      <c r="H33" s="37">
        <f>IF($H$5="RefundEnforced",$H$6,INDEX(Assumptions!$D$19:$F$19,$H$4))</f>
        <v/>
      </c>
      <c r="I33" s="37">
        <f>IF($I$5="RefundEnforced",$I$6,INDEX(Assumptions!$D$19:$F$19,$I$4))</f>
        <v/>
      </c>
      <c r="J33" s="37">
        <f>IF($J$5="RefundEnforced",$J$6,INDEX(Assumptions!$D$19:$F$19,$J$4))</f>
        <v/>
      </c>
      <c r="K33" s="37">
        <f>IF($K$5="RefundEnforced",$K$6,INDEX(Assumptions!$D$19:$F$19,$K$4))</f>
        <v/>
      </c>
      <c r="L33" s="37">
        <f>IF($L$5="RefundEnforced",$L$6,INDEX(Assumptions!$D$19:$F$19,$L$4))</f>
        <v/>
      </c>
      <c r="M33" s="37">
        <f>IF($M$5="RefundEnforced",$M$6,INDEX(Assumptions!$D$19:$F$19,$M$4))</f>
        <v/>
      </c>
      <c r="N33" s="37">
        <f>IF($N$5="RefundEnforced",$N$6,INDEX(Assumptions!$D$19:$F$19,$N$4))</f>
        <v/>
      </c>
      <c r="O33" s="37">
        <f>IF($O$5="RefundEnforced",$O$6,INDEX(Assumptions!$D$19:$F$19,$O$4))</f>
        <v/>
      </c>
      <c r="P33" s="37">
        <f>IF($P$5="RefundEnforced",$P$6,INDEX(Assumptions!$D$19:$F$19,$P$4))</f>
        <v/>
      </c>
      <c r="Q33" s="37">
        <f>IF($Q$5="RefundEnforced",$Q$6,INDEX(Assumptions!$D$19:$F$19,$Q$4))</f>
        <v/>
      </c>
      <c r="R33" s="37">
        <f>IF($R$5="RefundEnforced",$R$6,INDEX(Assumptions!$D$19:$F$19,$R$4))</f>
        <v/>
      </c>
      <c r="S33" s="37">
        <f>IF($S$5="RefundEnforced",$S$6,INDEX(Assumptions!$D$19:$F$19,$S$4))</f>
        <v/>
      </c>
      <c r="T33" s="37">
        <f>IF($T$5="RefundEnforced",$T$6,INDEX(Assumptions!$D$19:$F$19,$T$4))</f>
        <v/>
      </c>
      <c r="U33" s="37">
        <f>IF($U$5="RefundEnforced",$U$6,INDEX(Assumptions!$D$19:$F$19,$U$4))</f>
        <v/>
      </c>
      <c r="V33" s="37">
        <f>IF($V$5="RefundEnforced",$V$6,INDEX(Assumptions!$D$19:$F$19,$V$4))</f>
        <v/>
      </c>
      <c r="W33" s="37">
        <f>IF($W$5="RefundEnforced",$W$6,INDEX(Assumptions!$D$19:$F$19,$W$4))</f>
        <v/>
      </c>
      <c r="X33" s="37">
        <f>IF($X$5="RefundEnforced",$X$6,INDEX(Assumptions!$D$19:$F$19,$X$4))</f>
        <v/>
      </c>
      <c r="Y33" s="37">
        <f>IF($Y$5="RefundEnforced",$Y$6,INDEX(Assumptions!$D$19:$F$19,$Y$4))</f>
        <v/>
      </c>
      <c r="Z33" s="37">
        <f>IF($Z$5="RefundEnforced",$Z$6,INDEX(Assumptions!$D$19:$F$19,$Z$4))</f>
        <v/>
      </c>
      <c r="AA33" s="37">
        <f>IF($AA$5="RefundEnforced",$AA$6,INDEX(Assumptions!$D$19:$F$19,$AA$4))</f>
        <v/>
      </c>
      <c r="AB33" s="37">
        <f>IF($AB$5="RefundEnforced",$AB$6,INDEX(Assumptions!$D$19:$F$19,$AB$4))</f>
        <v/>
      </c>
      <c r="AC33" s="37">
        <f>IF($AC$5="RefundEnforced",$AC$6,INDEX(Assumptions!$D$19:$F$19,$AC$4))</f>
        <v/>
      </c>
      <c r="AD33" s="37">
        <f>IF($AD$5="RefundEnforced",$AD$6,INDEX(Assumptions!$D$19:$F$19,$AD$4))</f>
        <v/>
      </c>
      <c r="AE33" s="37">
        <f>IF($AE$5="RefundEnforced",$AE$6,INDEX(Assumptions!$D$19:$F$19,$AE$4))</f>
        <v/>
      </c>
      <c r="AF33" s="37">
        <f>IF($AF$5="RefundEnforced",$AF$6,INDEX(Assumptions!$D$19:$F$19,$AF$4))</f>
        <v/>
      </c>
      <c r="AG33" s="37">
        <f>IF($AG$5="RefundEnforced",$AG$6,INDEX(Assumptions!$D$19:$F$19,$AG$4))</f>
        <v/>
      </c>
      <c r="AH33" s="37">
        <f>IF($AH$5="RefundEnforced",$AH$6,INDEX(Assumptions!$D$19:$F$19,$AH$4))</f>
        <v/>
      </c>
      <c r="AI33" s="37">
        <f>IF($AI$5="RefundEnforced",$AI$6,INDEX(Assumptions!$D$19:$F$19,$AI$4))</f>
        <v/>
      </c>
      <c r="AJ33" s="37">
        <f>IF($AJ$5="RefundEnforced",$AJ$6,INDEX(Assumptions!$D$19:$F$19,$AJ$4))</f>
        <v/>
      </c>
      <c r="AK33" s="37">
        <f>IF($AK$5="RefundEnforced",$AK$6,INDEX(Assumptions!$D$19:$F$19,$AK$4))</f>
        <v/>
      </c>
      <c r="AL33" s="37">
        <f>IF($AL$5="RefundEnforced",$AL$6,INDEX(Assumptions!$D$19:$F$19,$AL$4))</f>
        <v/>
      </c>
      <c r="AM33" s="37">
        <f>IF($AM$5="RefundEnforced",$AM$6,INDEX(Assumptions!$D$19:$F$19,$AM$4))</f>
        <v/>
      </c>
      <c r="AN33" s="37">
        <f>IF($AN$5="RefundEnforced",$AN$6,INDEX(Assumptions!$D$19:$F$19,$AN$4))</f>
        <v/>
      </c>
      <c r="AO33" s="37">
        <f>IF($AO$5="RefundEnforced",$AO$6,INDEX(Assumptions!$D$19:$F$19,$AO$4))</f>
        <v/>
      </c>
      <c r="AP33" s="37">
        <f>IF($AP$5="RefundEnforced",$AP$6,INDEX(Assumptions!$D$19:$F$19,$AP$4))</f>
        <v/>
      </c>
      <c r="AQ33" s="37">
        <f>IF($AQ$5="RefundEnforced",$AQ$6,INDEX(Assumptions!$D$19:$F$19,$AQ$4))</f>
        <v/>
      </c>
      <c r="AR33" s="37">
        <f>IF($AR$5="RefundEnforced",$AR$6,INDEX(Assumptions!$D$19:$F$19,$AR$4))</f>
        <v/>
      </c>
      <c r="AS33" s="37">
        <f>IF($AS$5="RefundEnforced",$AS$6,INDEX(Assumptions!$D$19:$F$19,$AS$4))</f>
        <v/>
      </c>
      <c r="AT33" s="37">
        <f>IF($AT$5="RefundEnforced",$AT$6,INDEX(Assumptions!$D$19:$F$19,$AT$4))</f>
        <v/>
      </c>
      <c r="AU33" s="37">
        <f>IF($AU$5="RefundEnforced",$AU$6,INDEX(Assumptions!$D$19:$F$19,$AU$4))</f>
        <v/>
      </c>
      <c r="AV33" s="37">
        <f>IF($AV$5="RefundEnforced",$AV$6,INDEX(Assumptions!$D$19:$F$19,$AV$4))</f>
        <v/>
      </c>
    </row>
    <row r="34">
      <c r="B34" s="5" t="inlineStr">
        <is>
          <t>BlindMonths</t>
        </is>
      </c>
      <c r="D34" s="55">
        <f>IF($D$5="BlindMonths",$D$6,INDEX(Assumptions!$D$21:$F$21,$D$4))</f>
        <v/>
      </c>
      <c r="E34" s="55">
        <f>IF($E$5="BlindMonths",$E$6,INDEX(Assumptions!$D$21:$F$21,$E$4))</f>
        <v/>
      </c>
      <c r="F34" s="55">
        <f>IF($F$5="BlindMonths",$F$6,INDEX(Assumptions!$D$21:$F$21,$F$4))</f>
        <v/>
      </c>
      <c r="G34" s="55">
        <f>IF($G$5="BlindMonths",$G$6,INDEX(Assumptions!$D$21:$F$21,$G$4))</f>
        <v/>
      </c>
      <c r="H34" s="55">
        <f>IF($H$5="BlindMonths",$H$6,INDEX(Assumptions!$D$21:$F$21,$H$4))</f>
        <v/>
      </c>
      <c r="I34" s="55">
        <f>IF($I$5="BlindMonths",$I$6,INDEX(Assumptions!$D$21:$F$21,$I$4))</f>
        <v/>
      </c>
      <c r="J34" s="55">
        <f>IF($J$5="BlindMonths",$J$6,INDEX(Assumptions!$D$21:$F$21,$J$4))</f>
        <v/>
      </c>
      <c r="K34" s="55">
        <f>IF($K$5="BlindMonths",$K$6,INDEX(Assumptions!$D$21:$F$21,$K$4))</f>
        <v/>
      </c>
      <c r="L34" s="55">
        <f>IF($L$5="BlindMonths",$L$6,INDEX(Assumptions!$D$21:$F$21,$L$4))</f>
        <v/>
      </c>
      <c r="M34" s="55">
        <f>IF($M$5="BlindMonths",$M$6,INDEX(Assumptions!$D$21:$F$21,$M$4))</f>
        <v/>
      </c>
      <c r="N34" s="55">
        <f>IF($N$5="BlindMonths",$N$6,INDEX(Assumptions!$D$21:$F$21,$N$4))</f>
        <v/>
      </c>
      <c r="O34" s="55">
        <f>IF($O$5="BlindMonths",$O$6,INDEX(Assumptions!$D$21:$F$21,$O$4))</f>
        <v/>
      </c>
      <c r="P34" s="55">
        <f>IF($P$5="BlindMonths",$P$6,INDEX(Assumptions!$D$21:$F$21,$P$4))</f>
        <v/>
      </c>
      <c r="Q34" s="55">
        <f>IF($Q$5="BlindMonths",$Q$6,INDEX(Assumptions!$D$21:$F$21,$Q$4))</f>
        <v/>
      </c>
      <c r="R34" s="55">
        <f>IF($R$5="BlindMonths",$R$6,INDEX(Assumptions!$D$21:$F$21,$R$4))</f>
        <v/>
      </c>
      <c r="S34" s="55">
        <f>IF($S$5="BlindMonths",$S$6,INDEX(Assumptions!$D$21:$F$21,$S$4))</f>
        <v/>
      </c>
      <c r="T34" s="55">
        <f>IF($T$5="BlindMonths",$T$6,INDEX(Assumptions!$D$21:$F$21,$T$4))</f>
        <v/>
      </c>
      <c r="U34" s="55">
        <f>IF($U$5="BlindMonths",$U$6,INDEX(Assumptions!$D$21:$F$21,$U$4))</f>
        <v/>
      </c>
      <c r="V34" s="55">
        <f>IF($V$5="BlindMonths",$V$6,INDEX(Assumptions!$D$21:$F$21,$V$4))</f>
        <v/>
      </c>
      <c r="W34" s="55">
        <f>IF($W$5="BlindMonths",$W$6,INDEX(Assumptions!$D$21:$F$21,$W$4))</f>
        <v/>
      </c>
      <c r="X34" s="55">
        <f>IF($X$5="BlindMonths",$X$6,INDEX(Assumptions!$D$21:$F$21,$X$4))</f>
        <v/>
      </c>
      <c r="Y34" s="55">
        <f>IF($Y$5="BlindMonths",$Y$6,INDEX(Assumptions!$D$21:$F$21,$Y$4))</f>
        <v/>
      </c>
      <c r="Z34" s="55">
        <f>IF($Z$5="BlindMonths",$Z$6,INDEX(Assumptions!$D$21:$F$21,$Z$4))</f>
        <v/>
      </c>
      <c r="AA34" s="55">
        <f>IF($AA$5="BlindMonths",$AA$6,INDEX(Assumptions!$D$21:$F$21,$AA$4))</f>
        <v/>
      </c>
      <c r="AB34" s="55">
        <f>IF($AB$5="BlindMonths",$AB$6,INDEX(Assumptions!$D$21:$F$21,$AB$4))</f>
        <v/>
      </c>
      <c r="AC34" s="55">
        <f>IF($AC$5="BlindMonths",$AC$6,INDEX(Assumptions!$D$21:$F$21,$AC$4))</f>
        <v/>
      </c>
      <c r="AD34" s="55">
        <f>IF($AD$5="BlindMonths",$AD$6,INDEX(Assumptions!$D$21:$F$21,$AD$4))</f>
        <v/>
      </c>
      <c r="AE34" s="55">
        <f>IF($AE$5="BlindMonths",$AE$6,INDEX(Assumptions!$D$21:$F$21,$AE$4))</f>
        <v/>
      </c>
      <c r="AF34" s="55">
        <f>IF($AF$5="BlindMonths",$AF$6,INDEX(Assumptions!$D$21:$F$21,$AF$4))</f>
        <v/>
      </c>
      <c r="AG34" s="55">
        <f>IF($AG$5="BlindMonths",$AG$6,INDEX(Assumptions!$D$21:$F$21,$AG$4))</f>
        <v/>
      </c>
      <c r="AH34" s="55">
        <f>IF($AH$5="BlindMonths",$AH$6,INDEX(Assumptions!$D$21:$F$21,$AH$4))</f>
        <v/>
      </c>
      <c r="AI34" s="55">
        <f>IF($AI$5="BlindMonths",$AI$6,INDEX(Assumptions!$D$21:$F$21,$AI$4))</f>
        <v/>
      </c>
      <c r="AJ34" s="55">
        <f>IF($AJ$5="BlindMonths",$AJ$6,INDEX(Assumptions!$D$21:$F$21,$AJ$4))</f>
        <v/>
      </c>
      <c r="AK34" s="55">
        <f>IF($AK$5="BlindMonths",$AK$6,INDEX(Assumptions!$D$21:$F$21,$AK$4))</f>
        <v/>
      </c>
      <c r="AL34" s="55">
        <f>IF($AL$5="BlindMonths",$AL$6,INDEX(Assumptions!$D$21:$F$21,$AL$4))</f>
        <v/>
      </c>
      <c r="AM34" s="55">
        <f>IF($AM$5="BlindMonths",$AM$6,INDEX(Assumptions!$D$21:$F$21,$AM$4))</f>
        <v/>
      </c>
      <c r="AN34" s="55">
        <f>IF($AN$5="BlindMonths",$AN$6,INDEX(Assumptions!$D$21:$F$21,$AN$4))</f>
        <v/>
      </c>
      <c r="AO34" s="55">
        <f>IF($AO$5="BlindMonths",$AO$6,INDEX(Assumptions!$D$21:$F$21,$AO$4))</f>
        <v/>
      </c>
      <c r="AP34" s="55">
        <f>IF($AP$5="BlindMonths",$AP$6,INDEX(Assumptions!$D$21:$F$21,$AP$4))</f>
        <v/>
      </c>
      <c r="AQ34" s="55">
        <f>IF($AQ$5="BlindMonths",$AQ$6,INDEX(Assumptions!$D$21:$F$21,$AQ$4))</f>
        <v/>
      </c>
      <c r="AR34" s="55">
        <f>IF($AR$5="BlindMonths",$AR$6,INDEX(Assumptions!$D$21:$F$21,$AR$4))</f>
        <v/>
      </c>
      <c r="AS34" s="55">
        <f>IF($AS$5="BlindMonths",$AS$6,INDEX(Assumptions!$D$21:$F$21,$AS$4))</f>
        <v/>
      </c>
      <c r="AT34" s="55">
        <f>IF($AT$5="BlindMonths",$AT$6,INDEX(Assumptions!$D$21:$F$21,$AT$4))</f>
        <v/>
      </c>
      <c r="AU34" s="55">
        <f>IF($AU$5="BlindMonths",$AU$6,INDEX(Assumptions!$D$21:$F$21,$AU$4))</f>
        <v/>
      </c>
      <c r="AV34" s="55">
        <f>IF($AV$5="BlindMonths",$AV$6,INDEX(Assumptions!$D$21:$F$21,$AV$4))</f>
        <v/>
      </c>
    </row>
    <row r="35">
      <c r="B35" s="5" t="inlineStr">
        <is>
          <t>MinorShare</t>
        </is>
      </c>
      <c r="D35" s="37">
        <f>IF($D$5="MinorShare",$D$6,INDEX(Assumptions!$D$23:$F$23,$D$4))</f>
        <v/>
      </c>
      <c r="E35" s="37">
        <f>IF($E$5="MinorShare",$E$6,INDEX(Assumptions!$D$23:$F$23,$E$4))</f>
        <v/>
      </c>
      <c r="F35" s="37">
        <f>IF($F$5="MinorShare",$F$6,INDEX(Assumptions!$D$23:$F$23,$F$4))</f>
        <v/>
      </c>
      <c r="G35" s="37">
        <f>IF($G$5="MinorShare",$G$6,INDEX(Assumptions!$D$23:$F$23,$G$4))</f>
        <v/>
      </c>
      <c r="H35" s="37">
        <f>IF($H$5="MinorShare",$H$6,INDEX(Assumptions!$D$23:$F$23,$H$4))</f>
        <v/>
      </c>
      <c r="I35" s="37">
        <f>IF($I$5="MinorShare",$I$6,INDEX(Assumptions!$D$23:$F$23,$I$4))</f>
        <v/>
      </c>
      <c r="J35" s="37">
        <f>IF($J$5="MinorShare",$J$6,INDEX(Assumptions!$D$23:$F$23,$J$4))</f>
        <v/>
      </c>
      <c r="K35" s="37">
        <f>IF($K$5="MinorShare",$K$6,INDEX(Assumptions!$D$23:$F$23,$K$4))</f>
        <v/>
      </c>
      <c r="L35" s="37">
        <f>IF($L$5="MinorShare",$L$6,INDEX(Assumptions!$D$23:$F$23,$L$4))</f>
        <v/>
      </c>
      <c r="M35" s="37">
        <f>IF($M$5="MinorShare",$M$6,INDEX(Assumptions!$D$23:$F$23,$M$4))</f>
        <v/>
      </c>
      <c r="N35" s="37">
        <f>IF($N$5="MinorShare",$N$6,INDEX(Assumptions!$D$23:$F$23,$N$4))</f>
        <v/>
      </c>
      <c r="O35" s="37">
        <f>IF($O$5="MinorShare",$O$6,INDEX(Assumptions!$D$23:$F$23,$O$4))</f>
        <v/>
      </c>
      <c r="P35" s="37">
        <f>IF($P$5="MinorShare",$P$6,INDEX(Assumptions!$D$23:$F$23,$P$4))</f>
        <v/>
      </c>
      <c r="Q35" s="37">
        <f>IF($Q$5="MinorShare",$Q$6,INDEX(Assumptions!$D$23:$F$23,$Q$4))</f>
        <v/>
      </c>
      <c r="R35" s="37">
        <f>IF($R$5="MinorShare",$R$6,INDEX(Assumptions!$D$23:$F$23,$R$4))</f>
        <v/>
      </c>
      <c r="S35" s="37">
        <f>IF($S$5="MinorShare",$S$6,INDEX(Assumptions!$D$23:$F$23,$S$4))</f>
        <v/>
      </c>
      <c r="T35" s="37">
        <f>IF($T$5="MinorShare",$T$6,INDEX(Assumptions!$D$23:$F$23,$T$4))</f>
        <v/>
      </c>
      <c r="U35" s="37">
        <f>IF($U$5="MinorShare",$U$6,INDEX(Assumptions!$D$23:$F$23,$U$4))</f>
        <v/>
      </c>
      <c r="V35" s="37">
        <f>IF($V$5="MinorShare",$V$6,INDEX(Assumptions!$D$23:$F$23,$V$4))</f>
        <v/>
      </c>
      <c r="W35" s="37">
        <f>IF($W$5="MinorShare",$W$6,INDEX(Assumptions!$D$23:$F$23,$W$4))</f>
        <v/>
      </c>
      <c r="X35" s="37">
        <f>IF($X$5="MinorShare",$X$6,INDEX(Assumptions!$D$23:$F$23,$X$4))</f>
        <v/>
      </c>
      <c r="Y35" s="37">
        <f>IF($Y$5="MinorShare",$Y$6,INDEX(Assumptions!$D$23:$F$23,$Y$4))</f>
        <v/>
      </c>
      <c r="Z35" s="37">
        <f>IF($Z$5="MinorShare",$Z$6,INDEX(Assumptions!$D$23:$F$23,$Z$4))</f>
        <v/>
      </c>
      <c r="AA35" s="37">
        <f>IF($AA$5="MinorShare",$AA$6,INDEX(Assumptions!$D$23:$F$23,$AA$4))</f>
        <v/>
      </c>
      <c r="AB35" s="37">
        <f>IF($AB$5="MinorShare",$AB$6,INDEX(Assumptions!$D$23:$F$23,$AB$4))</f>
        <v/>
      </c>
      <c r="AC35" s="37">
        <f>IF($AC$5="MinorShare",$AC$6,INDEX(Assumptions!$D$23:$F$23,$AC$4))</f>
        <v/>
      </c>
      <c r="AD35" s="37">
        <f>IF($AD$5="MinorShare",$AD$6,INDEX(Assumptions!$D$23:$F$23,$AD$4))</f>
        <v/>
      </c>
      <c r="AE35" s="37">
        <f>IF($AE$5="MinorShare",$AE$6,INDEX(Assumptions!$D$23:$F$23,$AE$4))</f>
        <v/>
      </c>
      <c r="AF35" s="37">
        <f>IF($AF$5="MinorShare",$AF$6,INDEX(Assumptions!$D$23:$F$23,$AF$4))</f>
        <v/>
      </c>
      <c r="AG35" s="37">
        <f>IF($AG$5="MinorShare",$AG$6,INDEX(Assumptions!$D$23:$F$23,$AG$4))</f>
        <v/>
      </c>
      <c r="AH35" s="37">
        <f>IF($AH$5="MinorShare",$AH$6,INDEX(Assumptions!$D$23:$F$23,$AH$4))</f>
        <v/>
      </c>
      <c r="AI35" s="37">
        <f>IF($AI$5="MinorShare",$AI$6,INDEX(Assumptions!$D$23:$F$23,$AI$4))</f>
        <v/>
      </c>
      <c r="AJ35" s="37">
        <f>IF($AJ$5="MinorShare",$AJ$6,INDEX(Assumptions!$D$23:$F$23,$AJ$4))</f>
        <v/>
      </c>
      <c r="AK35" s="37">
        <f>IF($AK$5="MinorShare",$AK$6,INDEX(Assumptions!$D$23:$F$23,$AK$4))</f>
        <v/>
      </c>
      <c r="AL35" s="37">
        <f>IF($AL$5="MinorShare",$AL$6,INDEX(Assumptions!$D$23:$F$23,$AL$4))</f>
        <v/>
      </c>
      <c r="AM35" s="37">
        <f>IF($AM$5="MinorShare",$AM$6,INDEX(Assumptions!$D$23:$F$23,$AM$4))</f>
        <v/>
      </c>
      <c r="AN35" s="37">
        <f>IF($AN$5="MinorShare",$AN$6,INDEX(Assumptions!$D$23:$F$23,$AN$4))</f>
        <v/>
      </c>
      <c r="AO35" s="37">
        <f>IF($AO$5="MinorShare",$AO$6,INDEX(Assumptions!$D$23:$F$23,$AO$4))</f>
        <v/>
      </c>
      <c r="AP35" s="37">
        <f>IF($AP$5="MinorShare",$AP$6,INDEX(Assumptions!$D$23:$F$23,$AP$4))</f>
        <v/>
      </c>
      <c r="AQ35" s="37">
        <f>IF($AQ$5="MinorShare",$AQ$6,INDEX(Assumptions!$D$23:$F$23,$AQ$4))</f>
        <v/>
      </c>
      <c r="AR35" s="37">
        <f>IF($AR$5="MinorShare",$AR$6,INDEX(Assumptions!$D$23:$F$23,$AR$4))</f>
        <v/>
      </c>
      <c r="AS35" s="37">
        <f>IF($AS$5="MinorShare",$AS$6,INDEX(Assumptions!$D$23:$F$23,$AS$4))</f>
        <v/>
      </c>
      <c r="AT35" s="37">
        <f>IF($AT$5="MinorShare",$AT$6,INDEX(Assumptions!$D$23:$F$23,$AT$4))</f>
        <v/>
      </c>
      <c r="AU35" s="37">
        <f>IF($AU$5="MinorShare",$AU$6,INDEX(Assumptions!$D$23:$F$23,$AU$4))</f>
        <v/>
      </c>
      <c r="AV35" s="37">
        <f>IF($AV$5="MinorShare",$AV$6,INDEX(Assumptions!$D$23:$F$23,$AV$4))</f>
        <v/>
      </c>
    </row>
    <row r="36">
      <c r="B36" s="5" t="inlineStr">
        <is>
          <t>Recall_Minor</t>
        </is>
      </c>
      <c r="D36" s="37">
        <f>IF($D$5="Recall_Minor",$D$6,INDEX(Assumptions!$D$24:$F$24,$D$4))</f>
        <v/>
      </c>
      <c r="E36" s="37">
        <f>IF($E$5="Recall_Minor",$E$6,INDEX(Assumptions!$D$24:$F$24,$E$4))</f>
        <v/>
      </c>
      <c r="F36" s="37">
        <f>IF($F$5="Recall_Minor",$F$6,INDEX(Assumptions!$D$24:$F$24,$F$4))</f>
        <v/>
      </c>
      <c r="G36" s="37">
        <f>IF($G$5="Recall_Minor",$G$6,INDEX(Assumptions!$D$24:$F$24,$G$4))</f>
        <v/>
      </c>
      <c r="H36" s="37">
        <f>IF($H$5="Recall_Minor",$H$6,INDEX(Assumptions!$D$24:$F$24,$H$4))</f>
        <v/>
      </c>
      <c r="I36" s="37">
        <f>IF($I$5="Recall_Minor",$I$6,INDEX(Assumptions!$D$24:$F$24,$I$4))</f>
        <v/>
      </c>
      <c r="J36" s="37">
        <f>IF($J$5="Recall_Minor",$J$6,INDEX(Assumptions!$D$24:$F$24,$J$4))</f>
        <v/>
      </c>
      <c r="K36" s="37">
        <f>IF($K$5="Recall_Minor",$K$6,INDEX(Assumptions!$D$24:$F$24,$K$4))</f>
        <v/>
      </c>
      <c r="L36" s="37">
        <f>IF($L$5="Recall_Minor",$L$6,INDEX(Assumptions!$D$24:$F$24,$L$4))</f>
        <v/>
      </c>
      <c r="M36" s="37">
        <f>IF($M$5="Recall_Minor",$M$6,INDEX(Assumptions!$D$24:$F$24,$M$4))</f>
        <v/>
      </c>
      <c r="N36" s="37">
        <f>IF($N$5="Recall_Minor",$N$6,INDEX(Assumptions!$D$24:$F$24,$N$4))</f>
        <v/>
      </c>
      <c r="O36" s="37">
        <f>IF($O$5="Recall_Minor",$O$6,INDEX(Assumptions!$D$24:$F$24,$O$4))</f>
        <v/>
      </c>
      <c r="P36" s="37">
        <f>IF($P$5="Recall_Minor",$P$6,INDEX(Assumptions!$D$24:$F$24,$P$4))</f>
        <v/>
      </c>
      <c r="Q36" s="37">
        <f>IF($Q$5="Recall_Minor",$Q$6,INDEX(Assumptions!$D$24:$F$24,$Q$4))</f>
        <v/>
      </c>
      <c r="R36" s="37">
        <f>IF($R$5="Recall_Minor",$R$6,INDEX(Assumptions!$D$24:$F$24,$R$4))</f>
        <v/>
      </c>
      <c r="S36" s="37">
        <f>IF($S$5="Recall_Minor",$S$6,INDEX(Assumptions!$D$24:$F$24,$S$4))</f>
        <v/>
      </c>
      <c r="T36" s="37">
        <f>IF($T$5="Recall_Minor",$T$6,INDEX(Assumptions!$D$24:$F$24,$T$4))</f>
        <v/>
      </c>
      <c r="U36" s="37">
        <f>IF($U$5="Recall_Minor",$U$6,INDEX(Assumptions!$D$24:$F$24,$U$4))</f>
        <v/>
      </c>
      <c r="V36" s="37">
        <f>IF($V$5="Recall_Minor",$V$6,INDEX(Assumptions!$D$24:$F$24,$V$4))</f>
        <v/>
      </c>
      <c r="W36" s="37">
        <f>IF($W$5="Recall_Minor",$W$6,INDEX(Assumptions!$D$24:$F$24,$W$4))</f>
        <v/>
      </c>
      <c r="X36" s="37">
        <f>IF($X$5="Recall_Minor",$X$6,INDEX(Assumptions!$D$24:$F$24,$X$4))</f>
        <v/>
      </c>
      <c r="Y36" s="37">
        <f>IF($Y$5="Recall_Minor",$Y$6,INDEX(Assumptions!$D$24:$F$24,$Y$4))</f>
        <v/>
      </c>
      <c r="Z36" s="37">
        <f>IF($Z$5="Recall_Minor",$Z$6,INDEX(Assumptions!$D$24:$F$24,$Z$4))</f>
        <v/>
      </c>
      <c r="AA36" s="37">
        <f>IF($AA$5="Recall_Minor",$AA$6,INDEX(Assumptions!$D$24:$F$24,$AA$4))</f>
        <v/>
      </c>
      <c r="AB36" s="37">
        <f>IF($AB$5="Recall_Minor",$AB$6,INDEX(Assumptions!$D$24:$F$24,$AB$4))</f>
        <v/>
      </c>
      <c r="AC36" s="37">
        <f>IF($AC$5="Recall_Minor",$AC$6,INDEX(Assumptions!$D$24:$F$24,$AC$4))</f>
        <v/>
      </c>
      <c r="AD36" s="37">
        <f>IF($AD$5="Recall_Minor",$AD$6,INDEX(Assumptions!$D$24:$F$24,$AD$4))</f>
        <v/>
      </c>
      <c r="AE36" s="37">
        <f>IF($AE$5="Recall_Minor",$AE$6,INDEX(Assumptions!$D$24:$F$24,$AE$4))</f>
        <v/>
      </c>
      <c r="AF36" s="37">
        <f>IF($AF$5="Recall_Minor",$AF$6,INDEX(Assumptions!$D$24:$F$24,$AF$4))</f>
        <v/>
      </c>
      <c r="AG36" s="37">
        <f>IF($AG$5="Recall_Minor",$AG$6,INDEX(Assumptions!$D$24:$F$24,$AG$4))</f>
        <v/>
      </c>
      <c r="AH36" s="37">
        <f>IF($AH$5="Recall_Minor",$AH$6,INDEX(Assumptions!$D$24:$F$24,$AH$4))</f>
        <v/>
      </c>
      <c r="AI36" s="37">
        <f>IF($AI$5="Recall_Minor",$AI$6,INDEX(Assumptions!$D$24:$F$24,$AI$4))</f>
        <v/>
      </c>
      <c r="AJ36" s="37">
        <f>IF($AJ$5="Recall_Minor",$AJ$6,INDEX(Assumptions!$D$24:$F$24,$AJ$4))</f>
        <v/>
      </c>
      <c r="AK36" s="37">
        <f>IF($AK$5="Recall_Minor",$AK$6,INDEX(Assumptions!$D$24:$F$24,$AK$4))</f>
        <v/>
      </c>
      <c r="AL36" s="37">
        <f>IF($AL$5="Recall_Minor",$AL$6,INDEX(Assumptions!$D$24:$F$24,$AL$4))</f>
        <v/>
      </c>
      <c r="AM36" s="37">
        <f>IF($AM$5="Recall_Minor",$AM$6,INDEX(Assumptions!$D$24:$F$24,$AM$4))</f>
        <v/>
      </c>
      <c r="AN36" s="37">
        <f>IF($AN$5="Recall_Minor",$AN$6,INDEX(Assumptions!$D$24:$F$24,$AN$4))</f>
        <v/>
      </c>
      <c r="AO36" s="37">
        <f>IF($AO$5="Recall_Minor",$AO$6,INDEX(Assumptions!$D$24:$F$24,$AO$4))</f>
        <v/>
      </c>
      <c r="AP36" s="37">
        <f>IF($AP$5="Recall_Minor",$AP$6,INDEX(Assumptions!$D$24:$F$24,$AP$4))</f>
        <v/>
      </c>
      <c r="AQ36" s="37">
        <f>IF($AQ$5="Recall_Minor",$AQ$6,INDEX(Assumptions!$D$24:$F$24,$AQ$4))</f>
        <v/>
      </c>
      <c r="AR36" s="37">
        <f>IF($AR$5="Recall_Minor",$AR$6,INDEX(Assumptions!$D$24:$F$24,$AR$4))</f>
        <v/>
      </c>
      <c r="AS36" s="37">
        <f>IF($AS$5="Recall_Minor",$AS$6,INDEX(Assumptions!$D$24:$F$24,$AS$4))</f>
        <v/>
      </c>
      <c r="AT36" s="37">
        <f>IF($AT$5="Recall_Minor",$AT$6,INDEX(Assumptions!$D$24:$F$24,$AT$4))</f>
        <v/>
      </c>
      <c r="AU36" s="37">
        <f>IF($AU$5="Recall_Minor",$AU$6,INDEX(Assumptions!$D$24:$F$24,$AU$4))</f>
        <v/>
      </c>
      <c r="AV36" s="37">
        <f>IF($AV$5="Recall_Minor",$AV$6,INDEX(Assumptions!$D$24:$F$24,$AV$4))</f>
        <v/>
      </c>
    </row>
    <row r="37">
      <c r="B37" s="5" t="inlineStr">
        <is>
          <t>Recall_Adult</t>
        </is>
      </c>
      <c r="D37" s="37">
        <f>IF($D$5="Recall_Adult",$D$6,INDEX(Assumptions!$D$25:$F$25,$D$4))</f>
        <v/>
      </c>
      <c r="E37" s="37">
        <f>IF($E$5="Recall_Adult",$E$6,INDEX(Assumptions!$D$25:$F$25,$E$4))</f>
        <v/>
      </c>
      <c r="F37" s="37">
        <f>IF($F$5="Recall_Adult",$F$6,INDEX(Assumptions!$D$25:$F$25,$F$4))</f>
        <v/>
      </c>
      <c r="G37" s="37">
        <f>IF($G$5="Recall_Adult",$G$6,INDEX(Assumptions!$D$25:$F$25,$G$4))</f>
        <v/>
      </c>
      <c r="H37" s="37">
        <f>IF($H$5="Recall_Adult",$H$6,INDEX(Assumptions!$D$25:$F$25,$H$4))</f>
        <v/>
      </c>
      <c r="I37" s="37">
        <f>IF($I$5="Recall_Adult",$I$6,INDEX(Assumptions!$D$25:$F$25,$I$4))</f>
        <v/>
      </c>
      <c r="J37" s="37">
        <f>IF($J$5="Recall_Adult",$J$6,INDEX(Assumptions!$D$25:$F$25,$J$4))</f>
        <v/>
      </c>
      <c r="K37" s="37">
        <f>IF($K$5="Recall_Adult",$K$6,INDEX(Assumptions!$D$25:$F$25,$K$4))</f>
        <v/>
      </c>
      <c r="L37" s="37">
        <f>IF($L$5="Recall_Adult",$L$6,INDEX(Assumptions!$D$25:$F$25,$L$4))</f>
        <v/>
      </c>
      <c r="M37" s="37">
        <f>IF($M$5="Recall_Adult",$M$6,INDEX(Assumptions!$D$25:$F$25,$M$4))</f>
        <v/>
      </c>
      <c r="N37" s="37">
        <f>IF($N$5="Recall_Adult",$N$6,INDEX(Assumptions!$D$25:$F$25,$N$4))</f>
        <v/>
      </c>
      <c r="O37" s="37">
        <f>IF($O$5="Recall_Adult",$O$6,INDEX(Assumptions!$D$25:$F$25,$O$4))</f>
        <v/>
      </c>
      <c r="P37" s="37">
        <f>IF($P$5="Recall_Adult",$P$6,INDEX(Assumptions!$D$25:$F$25,$P$4))</f>
        <v/>
      </c>
      <c r="Q37" s="37">
        <f>IF($Q$5="Recall_Adult",$Q$6,INDEX(Assumptions!$D$25:$F$25,$Q$4))</f>
        <v/>
      </c>
      <c r="R37" s="37">
        <f>IF($R$5="Recall_Adult",$R$6,INDEX(Assumptions!$D$25:$F$25,$R$4))</f>
        <v/>
      </c>
      <c r="S37" s="37">
        <f>IF($S$5="Recall_Adult",$S$6,INDEX(Assumptions!$D$25:$F$25,$S$4))</f>
        <v/>
      </c>
      <c r="T37" s="37">
        <f>IF($T$5="Recall_Adult",$T$6,INDEX(Assumptions!$D$25:$F$25,$T$4))</f>
        <v/>
      </c>
      <c r="U37" s="37">
        <f>IF($U$5="Recall_Adult",$U$6,INDEX(Assumptions!$D$25:$F$25,$U$4))</f>
        <v/>
      </c>
      <c r="V37" s="37">
        <f>IF($V$5="Recall_Adult",$V$6,INDEX(Assumptions!$D$25:$F$25,$V$4))</f>
        <v/>
      </c>
      <c r="W37" s="37">
        <f>IF($W$5="Recall_Adult",$W$6,INDEX(Assumptions!$D$25:$F$25,$W$4))</f>
        <v/>
      </c>
      <c r="X37" s="37">
        <f>IF($X$5="Recall_Adult",$X$6,INDEX(Assumptions!$D$25:$F$25,$X$4))</f>
        <v/>
      </c>
      <c r="Y37" s="37">
        <f>IF($Y$5="Recall_Adult",$Y$6,INDEX(Assumptions!$D$25:$F$25,$Y$4))</f>
        <v/>
      </c>
      <c r="Z37" s="37">
        <f>IF($Z$5="Recall_Adult",$Z$6,INDEX(Assumptions!$D$25:$F$25,$Z$4))</f>
        <v/>
      </c>
      <c r="AA37" s="37">
        <f>IF($AA$5="Recall_Adult",$AA$6,INDEX(Assumptions!$D$25:$F$25,$AA$4))</f>
        <v/>
      </c>
      <c r="AB37" s="37">
        <f>IF($AB$5="Recall_Adult",$AB$6,INDEX(Assumptions!$D$25:$F$25,$AB$4))</f>
        <v/>
      </c>
      <c r="AC37" s="37">
        <f>IF($AC$5="Recall_Adult",$AC$6,INDEX(Assumptions!$D$25:$F$25,$AC$4))</f>
        <v/>
      </c>
      <c r="AD37" s="37">
        <f>IF($AD$5="Recall_Adult",$AD$6,INDEX(Assumptions!$D$25:$F$25,$AD$4))</f>
        <v/>
      </c>
      <c r="AE37" s="37">
        <f>IF($AE$5="Recall_Adult",$AE$6,INDEX(Assumptions!$D$25:$F$25,$AE$4))</f>
        <v/>
      </c>
      <c r="AF37" s="37">
        <f>IF($AF$5="Recall_Adult",$AF$6,INDEX(Assumptions!$D$25:$F$25,$AF$4))</f>
        <v/>
      </c>
      <c r="AG37" s="37">
        <f>IF($AG$5="Recall_Adult",$AG$6,INDEX(Assumptions!$D$25:$F$25,$AG$4))</f>
        <v/>
      </c>
      <c r="AH37" s="37">
        <f>IF($AH$5="Recall_Adult",$AH$6,INDEX(Assumptions!$D$25:$F$25,$AH$4))</f>
        <v/>
      </c>
      <c r="AI37" s="37">
        <f>IF($AI$5="Recall_Adult",$AI$6,INDEX(Assumptions!$D$25:$F$25,$AI$4))</f>
        <v/>
      </c>
      <c r="AJ37" s="37">
        <f>IF($AJ$5="Recall_Adult",$AJ$6,INDEX(Assumptions!$D$25:$F$25,$AJ$4))</f>
        <v/>
      </c>
      <c r="AK37" s="37">
        <f>IF($AK$5="Recall_Adult",$AK$6,INDEX(Assumptions!$D$25:$F$25,$AK$4))</f>
        <v/>
      </c>
      <c r="AL37" s="37">
        <f>IF($AL$5="Recall_Adult",$AL$6,INDEX(Assumptions!$D$25:$F$25,$AL$4))</f>
        <v/>
      </c>
      <c r="AM37" s="37">
        <f>IF($AM$5="Recall_Adult",$AM$6,INDEX(Assumptions!$D$25:$F$25,$AM$4))</f>
        <v/>
      </c>
      <c r="AN37" s="37">
        <f>IF($AN$5="Recall_Adult",$AN$6,INDEX(Assumptions!$D$25:$F$25,$AN$4))</f>
        <v/>
      </c>
      <c r="AO37" s="37">
        <f>IF($AO$5="Recall_Adult",$AO$6,INDEX(Assumptions!$D$25:$F$25,$AO$4))</f>
        <v/>
      </c>
      <c r="AP37" s="37">
        <f>IF($AP$5="Recall_Adult",$AP$6,INDEX(Assumptions!$D$25:$F$25,$AP$4))</f>
        <v/>
      </c>
      <c r="AQ37" s="37">
        <f>IF($AQ$5="Recall_Adult",$AQ$6,INDEX(Assumptions!$D$25:$F$25,$AQ$4))</f>
        <v/>
      </c>
      <c r="AR37" s="37">
        <f>IF($AR$5="Recall_Adult",$AR$6,INDEX(Assumptions!$D$25:$F$25,$AR$4))</f>
        <v/>
      </c>
      <c r="AS37" s="37">
        <f>IF($AS$5="Recall_Adult",$AS$6,INDEX(Assumptions!$D$25:$F$25,$AS$4))</f>
        <v/>
      </c>
      <c r="AT37" s="37">
        <f>IF($AT$5="Recall_Adult",$AT$6,INDEX(Assumptions!$D$25:$F$25,$AT$4))</f>
        <v/>
      </c>
      <c r="AU37" s="37">
        <f>IF($AU$5="Recall_Adult",$AU$6,INDEX(Assumptions!$D$25:$F$25,$AU$4))</f>
        <v/>
      </c>
      <c r="AV37" s="37">
        <f>IF($AV$5="Recall_Adult",$AV$6,INDEX(Assumptions!$D$25:$F$25,$AV$4))</f>
        <v/>
      </c>
    </row>
    <row r="38">
      <c r="B38" s="5" t="inlineStr">
        <is>
          <t>Precision</t>
        </is>
      </c>
      <c r="D38" s="37">
        <f>IF($D$5="Precision",$D$6,INDEX(Assumptions!$D$26:$F$26,$D$4))</f>
        <v/>
      </c>
      <c r="E38" s="37">
        <f>IF($E$5="Precision",$E$6,INDEX(Assumptions!$D$26:$F$26,$E$4))</f>
        <v/>
      </c>
      <c r="F38" s="37">
        <f>IF($F$5="Precision",$F$6,INDEX(Assumptions!$D$26:$F$26,$F$4))</f>
        <v/>
      </c>
      <c r="G38" s="37">
        <f>IF($G$5="Precision",$G$6,INDEX(Assumptions!$D$26:$F$26,$G$4))</f>
        <v/>
      </c>
      <c r="H38" s="37">
        <f>IF($H$5="Precision",$H$6,INDEX(Assumptions!$D$26:$F$26,$H$4))</f>
        <v/>
      </c>
      <c r="I38" s="37">
        <f>IF($I$5="Precision",$I$6,INDEX(Assumptions!$D$26:$F$26,$I$4))</f>
        <v/>
      </c>
      <c r="J38" s="37">
        <f>IF($J$5="Precision",$J$6,INDEX(Assumptions!$D$26:$F$26,$J$4))</f>
        <v/>
      </c>
      <c r="K38" s="37">
        <f>IF($K$5="Precision",$K$6,INDEX(Assumptions!$D$26:$F$26,$K$4))</f>
        <v/>
      </c>
      <c r="L38" s="37">
        <f>IF($L$5="Precision",$L$6,INDEX(Assumptions!$D$26:$F$26,$L$4))</f>
        <v/>
      </c>
      <c r="M38" s="37">
        <f>IF($M$5="Precision",$M$6,INDEX(Assumptions!$D$26:$F$26,$M$4))</f>
        <v/>
      </c>
      <c r="N38" s="37">
        <f>IF($N$5="Precision",$N$6,INDEX(Assumptions!$D$26:$F$26,$N$4))</f>
        <v/>
      </c>
      <c r="O38" s="37">
        <f>IF($O$5="Precision",$O$6,INDEX(Assumptions!$D$26:$F$26,$O$4))</f>
        <v/>
      </c>
      <c r="P38" s="37">
        <f>IF($P$5="Precision",$P$6,INDEX(Assumptions!$D$26:$F$26,$P$4))</f>
        <v/>
      </c>
      <c r="Q38" s="37">
        <f>IF($Q$5="Precision",$Q$6,INDEX(Assumptions!$D$26:$F$26,$Q$4))</f>
        <v/>
      </c>
      <c r="R38" s="37">
        <f>IF($R$5="Precision",$R$6,INDEX(Assumptions!$D$26:$F$26,$R$4))</f>
        <v/>
      </c>
      <c r="S38" s="37">
        <f>IF($S$5="Precision",$S$6,INDEX(Assumptions!$D$26:$F$26,$S$4))</f>
        <v/>
      </c>
      <c r="T38" s="37">
        <f>IF($T$5="Precision",$T$6,INDEX(Assumptions!$D$26:$F$26,$T$4))</f>
        <v/>
      </c>
      <c r="U38" s="37">
        <f>IF($U$5="Precision",$U$6,INDEX(Assumptions!$D$26:$F$26,$U$4))</f>
        <v/>
      </c>
      <c r="V38" s="37">
        <f>IF($V$5="Precision",$V$6,INDEX(Assumptions!$D$26:$F$26,$V$4))</f>
        <v/>
      </c>
      <c r="W38" s="37">
        <f>IF($W$5="Precision",$W$6,INDEX(Assumptions!$D$26:$F$26,$W$4))</f>
        <v/>
      </c>
      <c r="X38" s="37">
        <f>IF($X$5="Precision",$X$6,INDEX(Assumptions!$D$26:$F$26,$X$4))</f>
        <v/>
      </c>
      <c r="Y38" s="37">
        <f>IF($Y$5="Precision",$Y$6,INDEX(Assumptions!$D$26:$F$26,$Y$4))</f>
        <v/>
      </c>
      <c r="Z38" s="37">
        <f>IF($Z$5="Precision",$Z$6,INDEX(Assumptions!$D$26:$F$26,$Z$4))</f>
        <v/>
      </c>
      <c r="AA38" s="37">
        <f>IF($AA$5="Precision",$AA$6,INDEX(Assumptions!$D$26:$F$26,$AA$4))</f>
        <v/>
      </c>
      <c r="AB38" s="37">
        <f>IF($AB$5="Precision",$AB$6,INDEX(Assumptions!$D$26:$F$26,$AB$4))</f>
        <v/>
      </c>
      <c r="AC38" s="37">
        <f>IF($AC$5="Precision",$AC$6,INDEX(Assumptions!$D$26:$F$26,$AC$4))</f>
        <v/>
      </c>
      <c r="AD38" s="37">
        <f>IF($AD$5="Precision",$AD$6,INDEX(Assumptions!$D$26:$F$26,$AD$4))</f>
        <v/>
      </c>
      <c r="AE38" s="37">
        <f>IF($AE$5="Precision",$AE$6,INDEX(Assumptions!$D$26:$F$26,$AE$4))</f>
        <v/>
      </c>
      <c r="AF38" s="37">
        <f>IF($AF$5="Precision",$AF$6,INDEX(Assumptions!$D$26:$F$26,$AF$4))</f>
        <v/>
      </c>
      <c r="AG38" s="37">
        <f>IF($AG$5="Precision",$AG$6,INDEX(Assumptions!$D$26:$F$26,$AG$4))</f>
        <v/>
      </c>
      <c r="AH38" s="37">
        <f>IF($AH$5="Precision",$AH$6,INDEX(Assumptions!$D$26:$F$26,$AH$4))</f>
        <v/>
      </c>
      <c r="AI38" s="37">
        <f>IF($AI$5="Precision",$AI$6,INDEX(Assumptions!$D$26:$F$26,$AI$4))</f>
        <v/>
      </c>
      <c r="AJ38" s="37">
        <f>IF($AJ$5="Precision",$AJ$6,INDEX(Assumptions!$D$26:$F$26,$AJ$4))</f>
        <v/>
      </c>
      <c r="AK38" s="37">
        <f>IF($AK$5="Precision",$AK$6,INDEX(Assumptions!$D$26:$F$26,$AK$4))</f>
        <v/>
      </c>
      <c r="AL38" s="37">
        <f>IF($AL$5="Precision",$AL$6,INDEX(Assumptions!$D$26:$F$26,$AL$4))</f>
        <v/>
      </c>
      <c r="AM38" s="37">
        <f>IF($AM$5="Precision",$AM$6,INDEX(Assumptions!$D$26:$F$26,$AM$4))</f>
        <v/>
      </c>
      <c r="AN38" s="37">
        <f>IF($AN$5="Precision",$AN$6,INDEX(Assumptions!$D$26:$F$26,$AN$4))</f>
        <v/>
      </c>
      <c r="AO38" s="37">
        <f>IF($AO$5="Precision",$AO$6,INDEX(Assumptions!$D$26:$F$26,$AO$4))</f>
        <v/>
      </c>
      <c r="AP38" s="37">
        <f>IF($AP$5="Precision",$AP$6,INDEX(Assumptions!$D$26:$F$26,$AP$4))</f>
        <v/>
      </c>
      <c r="AQ38" s="37">
        <f>IF($AQ$5="Precision",$AQ$6,INDEX(Assumptions!$D$26:$F$26,$AQ$4))</f>
        <v/>
      </c>
      <c r="AR38" s="37">
        <f>IF($AR$5="Precision",$AR$6,INDEX(Assumptions!$D$26:$F$26,$AR$4))</f>
        <v/>
      </c>
      <c r="AS38" s="37">
        <f>IF($AS$5="Precision",$AS$6,INDEX(Assumptions!$D$26:$F$26,$AS$4))</f>
        <v/>
      </c>
      <c r="AT38" s="37">
        <f>IF($AT$5="Precision",$AT$6,INDEX(Assumptions!$D$26:$F$26,$AT$4))</f>
        <v/>
      </c>
      <c r="AU38" s="37">
        <f>IF($AU$5="Precision",$AU$6,INDEX(Assumptions!$D$26:$F$26,$AU$4))</f>
        <v/>
      </c>
      <c r="AV38" s="37">
        <f>IF($AV$5="Precision",$AV$6,INDEX(Assumptions!$D$26:$F$26,$AV$4))</f>
        <v/>
      </c>
    </row>
    <row r="39">
      <c r="B39" s="5" t="inlineStr">
        <is>
          <t>ActionRate</t>
        </is>
      </c>
      <c r="D39" s="37">
        <f>IF($D$5="ActionRate",$D$6,INDEX(Assumptions!$D$27:$F$27,$D$4))</f>
        <v/>
      </c>
      <c r="E39" s="37">
        <f>IF($E$5="ActionRate",$E$6,INDEX(Assumptions!$D$27:$F$27,$E$4))</f>
        <v/>
      </c>
      <c r="F39" s="37">
        <f>IF($F$5="ActionRate",$F$6,INDEX(Assumptions!$D$27:$F$27,$F$4))</f>
        <v/>
      </c>
      <c r="G39" s="37">
        <f>IF($G$5="ActionRate",$G$6,INDEX(Assumptions!$D$27:$F$27,$G$4))</f>
        <v/>
      </c>
      <c r="H39" s="37">
        <f>IF($H$5="ActionRate",$H$6,INDEX(Assumptions!$D$27:$F$27,$H$4))</f>
        <v/>
      </c>
      <c r="I39" s="37">
        <f>IF($I$5="ActionRate",$I$6,INDEX(Assumptions!$D$27:$F$27,$I$4))</f>
        <v/>
      </c>
      <c r="J39" s="37">
        <f>IF($J$5="ActionRate",$J$6,INDEX(Assumptions!$D$27:$F$27,$J$4))</f>
        <v/>
      </c>
      <c r="K39" s="37">
        <f>IF($K$5="ActionRate",$K$6,INDEX(Assumptions!$D$27:$F$27,$K$4))</f>
        <v/>
      </c>
      <c r="L39" s="37">
        <f>IF($L$5="ActionRate",$L$6,INDEX(Assumptions!$D$27:$F$27,$L$4))</f>
        <v/>
      </c>
      <c r="M39" s="37">
        <f>IF($M$5="ActionRate",$M$6,INDEX(Assumptions!$D$27:$F$27,$M$4))</f>
        <v/>
      </c>
      <c r="N39" s="37">
        <f>IF($N$5="ActionRate",$N$6,INDEX(Assumptions!$D$27:$F$27,$N$4))</f>
        <v/>
      </c>
      <c r="O39" s="37">
        <f>IF($O$5="ActionRate",$O$6,INDEX(Assumptions!$D$27:$F$27,$O$4))</f>
        <v/>
      </c>
      <c r="P39" s="37">
        <f>IF($P$5="ActionRate",$P$6,INDEX(Assumptions!$D$27:$F$27,$P$4))</f>
        <v/>
      </c>
      <c r="Q39" s="37">
        <f>IF($Q$5="ActionRate",$Q$6,INDEX(Assumptions!$D$27:$F$27,$Q$4))</f>
        <v/>
      </c>
      <c r="R39" s="37">
        <f>IF($R$5="ActionRate",$R$6,INDEX(Assumptions!$D$27:$F$27,$R$4))</f>
        <v/>
      </c>
      <c r="S39" s="37">
        <f>IF($S$5="ActionRate",$S$6,INDEX(Assumptions!$D$27:$F$27,$S$4))</f>
        <v/>
      </c>
      <c r="T39" s="37">
        <f>IF($T$5="ActionRate",$T$6,INDEX(Assumptions!$D$27:$F$27,$T$4))</f>
        <v/>
      </c>
      <c r="U39" s="37">
        <f>IF($U$5="ActionRate",$U$6,INDEX(Assumptions!$D$27:$F$27,$U$4))</f>
        <v/>
      </c>
      <c r="V39" s="37">
        <f>IF($V$5="ActionRate",$V$6,INDEX(Assumptions!$D$27:$F$27,$V$4))</f>
        <v/>
      </c>
      <c r="W39" s="37">
        <f>IF($W$5="ActionRate",$W$6,INDEX(Assumptions!$D$27:$F$27,$W$4))</f>
        <v/>
      </c>
      <c r="X39" s="37">
        <f>IF($X$5="ActionRate",$X$6,INDEX(Assumptions!$D$27:$F$27,$X$4))</f>
        <v/>
      </c>
      <c r="Y39" s="37">
        <f>IF($Y$5="ActionRate",$Y$6,INDEX(Assumptions!$D$27:$F$27,$Y$4))</f>
        <v/>
      </c>
      <c r="Z39" s="37">
        <f>IF($Z$5="ActionRate",$Z$6,INDEX(Assumptions!$D$27:$F$27,$Z$4))</f>
        <v/>
      </c>
      <c r="AA39" s="37">
        <f>IF($AA$5="ActionRate",$AA$6,INDEX(Assumptions!$D$27:$F$27,$AA$4))</f>
        <v/>
      </c>
      <c r="AB39" s="37">
        <f>IF($AB$5="ActionRate",$AB$6,INDEX(Assumptions!$D$27:$F$27,$AB$4))</f>
        <v/>
      </c>
      <c r="AC39" s="37">
        <f>IF($AC$5="ActionRate",$AC$6,INDEX(Assumptions!$D$27:$F$27,$AC$4))</f>
        <v/>
      </c>
      <c r="AD39" s="37">
        <f>IF($AD$5="ActionRate",$AD$6,INDEX(Assumptions!$D$27:$F$27,$AD$4))</f>
        <v/>
      </c>
      <c r="AE39" s="37">
        <f>IF($AE$5="ActionRate",$AE$6,INDEX(Assumptions!$D$27:$F$27,$AE$4))</f>
        <v/>
      </c>
      <c r="AF39" s="37">
        <f>IF($AF$5="ActionRate",$AF$6,INDEX(Assumptions!$D$27:$F$27,$AF$4))</f>
        <v/>
      </c>
      <c r="AG39" s="37">
        <f>IF($AG$5="ActionRate",$AG$6,INDEX(Assumptions!$D$27:$F$27,$AG$4))</f>
        <v/>
      </c>
      <c r="AH39" s="37">
        <f>IF($AH$5="ActionRate",$AH$6,INDEX(Assumptions!$D$27:$F$27,$AH$4))</f>
        <v/>
      </c>
      <c r="AI39" s="37">
        <f>IF($AI$5="ActionRate",$AI$6,INDEX(Assumptions!$D$27:$F$27,$AI$4))</f>
        <v/>
      </c>
      <c r="AJ39" s="37">
        <f>IF($AJ$5="ActionRate",$AJ$6,INDEX(Assumptions!$D$27:$F$27,$AJ$4))</f>
        <v/>
      </c>
      <c r="AK39" s="37">
        <f>IF($AK$5="ActionRate",$AK$6,INDEX(Assumptions!$D$27:$F$27,$AK$4))</f>
        <v/>
      </c>
      <c r="AL39" s="37">
        <f>IF($AL$5="ActionRate",$AL$6,INDEX(Assumptions!$D$27:$F$27,$AL$4))</f>
        <v/>
      </c>
      <c r="AM39" s="37">
        <f>IF($AM$5="ActionRate",$AM$6,INDEX(Assumptions!$D$27:$F$27,$AM$4))</f>
        <v/>
      </c>
      <c r="AN39" s="37">
        <f>IF($AN$5="ActionRate",$AN$6,INDEX(Assumptions!$D$27:$F$27,$AN$4))</f>
        <v/>
      </c>
      <c r="AO39" s="37">
        <f>IF($AO$5="ActionRate",$AO$6,INDEX(Assumptions!$D$27:$F$27,$AO$4))</f>
        <v/>
      </c>
      <c r="AP39" s="37">
        <f>IF($AP$5="ActionRate",$AP$6,INDEX(Assumptions!$D$27:$F$27,$AP$4))</f>
        <v/>
      </c>
      <c r="AQ39" s="37">
        <f>IF($AQ$5="ActionRate",$AQ$6,INDEX(Assumptions!$D$27:$F$27,$AQ$4))</f>
        <v/>
      </c>
      <c r="AR39" s="37">
        <f>IF($AR$5="ActionRate",$AR$6,INDEX(Assumptions!$D$27:$F$27,$AR$4))</f>
        <v/>
      </c>
      <c r="AS39" s="37">
        <f>IF($AS$5="ActionRate",$AS$6,INDEX(Assumptions!$D$27:$F$27,$AS$4))</f>
        <v/>
      </c>
      <c r="AT39" s="37">
        <f>IF($AT$5="ActionRate",$AT$6,INDEX(Assumptions!$D$27:$F$27,$AT$4))</f>
        <v/>
      </c>
      <c r="AU39" s="37">
        <f>IF($AU$5="ActionRate",$AU$6,INDEX(Assumptions!$D$27:$F$27,$AU$4))</f>
        <v/>
      </c>
      <c r="AV39" s="37">
        <f>IF($AV$5="ActionRate",$AV$6,INDEX(Assumptions!$D$27:$F$27,$AV$4))</f>
        <v/>
      </c>
    </row>
    <row r="40">
      <c r="B40" s="5" t="inlineStr">
        <is>
          <t>InterventionSuccess</t>
        </is>
      </c>
      <c r="D40" s="37">
        <f>IF($D$5="InterventionSuccess",$D$6,INDEX(Assumptions!$D$28:$F$28,$D$4))</f>
        <v/>
      </c>
      <c r="E40" s="37">
        <f>IF($E$5="InterventionSuccess",$E$6,INDEX(Assumptions!$D$28:$F$28,$E$4))</f>
        <v/>
      </c>
      <c r="F40" s="37">
        <f>IF($F$5="InterventionSuccess",$F$6,INDEX(Assumptions!$D$28:$F$28,$F$4))</f>
        <v/>
      </c>
      <c r="G40" s="37">
        <f>IF($G$5="InterventionSuccess",$G$6,INDEX(Assumptions!$D$28:$F$28,$G$4))</f>
        <v/>
      </c>
      <c r="H40" s="37">
        <f>IF($H$5="InterventionSuccess",$H$6,INDEX(Assumptions!$D$28:$F$28,$H$4))</f>
        <v/>
      </c>
      <c r="I40" s="37">
        <f>IF($I$5="InterventionSuccess",$I$6,INDEX(Assumptions!$D$28:$F$28,$I$4))</f>
        <v/>
      </c>
      <c r="J40" s="37">
        <f>IF($J$5="InterventionSuccess",$J$6,INDEX(Assumptions!$D$28:$F$28,$J$4))</f>
        <v/>
      </c>
      <c r="K40" s="37">
        <f>IF($K$5="InterventionSuccess",$K$6,INDEX(Assumptions!$D$28:$F$28,$K$4))</f>
        <v/>
      </c>
      <c r="L40" s="37">
        <f>IF($L$5="InterventionSuccess",$L$6,INDEX(Assumptions!$D$28:$F$28,$L$4))</f>
        <v/>
      </c>
      <c r="M40" s="37">
        <f>IF($M$5="InterventionSuccess",$M$6,INDEX(Assumptions!$D$28:$F$28,$M$4))</f>
        <v/>
      </c>
      <c r="N40" s="37">
        <f>IF($N$5="InterventionSuccess",$N$6,INDEX(Assumptions!$D$28:$F$28,$N$4))</f>
        <v/>
      </c>
      <c r="O40" s="37">
        <f>IF($O$5="InterventionSuccess",$O$6,INDEX(Assumptions!$D$28:$F$28,$O$4))</f>
        <v/>
      </c>
      <c r="P40" s="37">
        <f>IF($P$5="InterventionSuccess",$P$6,INDEX(Assumptions!$D$28:$F$28,$P$4))</f>
        <v/>
      </c>
      <c r="Q40" s="37">
        <f>IF($Q$5="InterventionSuccess",$Q$6,INDEX(Assumptions!$D$28:$F$28,$Q$4))</f>
        <v/>
      </c>
      <c r="R40" s="37">
        <f>IF($R$5="InterventionSuccess",$R$6,INDEX(Assumptions!$D$28:$F$28,$R$4))</f>
        <v/>
      </c>
      <c r="S40" s="37">
        <f>IF($S$5="InterventionSuccess",$S$6,INDEX(Assumptions!$D$28:$F$28,$S$4))</f>
        <v/>
      </c>
      <c r="T40" s="37">
        <f>IF($T$5="InterventionSuccess",$T$6,INDEX(Assumptions!$D$28:$F$28,$T$4))</f>
        <v/>
      </c>
      <c r="U40" s="37">
        <f>IF($U$5="InterventionSuccess",$U$6,INDEX(Assumptions!$D$28:$F$28,$U$4))</f>
        <v/>
      </c>
      <c r="V40" s="37">
        <f>IF($V$5="InterventionSuccess",$V$6,INDEX(Assumptions!$D$28:$F$28,$V$4))</f>
        <v/>
      </c>
      <c r="W40" s="37">
        <f>IF($W$5="InterventionSuccess",$W$6,INDEX(Assumptions!$D$28:$F$28,$W$4))</f>
        <v/>
      </c>
      <c r="X40" s="37">
        <f>IF($X$5="InterventionSuccess",$X$6,INDEX(Assumptions!$D$28:$F$28,$X$4))</f>
        <v/>
      </c>
      <c r="Y40" s="37">
        <f>IF($Y$5="InterventionSuccess",$Y$6,INDEX(Assumptions!$D$28:$F$28,$Y$4))</f>
        <v/>
      </c>
      <c r="Z40" s="37">
        <f>IF($Z$5="InterventionSuccess",$Z$6,INDEX(Assumptions!$D$28:$F$28,$Z$4))</f>
        <v/>
      </c>
      <c r="AA40" s="37">
        <f>IF($AA$5="InterventionSuccess",$AA$6,INDEX(Assumptions!$D$28:$F$28,$AA$4))</f>
        <v/>
      </c>
      <c r="AB40" s="37">
        <f>IF($AB$5="InterventionSuccess",$AB$6,INDEX(Assumptions!$D$28:$F$28,$AB$4))</f>
        <v/>
      </c>
      <c r="AC40" s="37">
        <f>IF($AC$5="InterventionSuccess",$AC$6,INDEX(Assumptions!$D$28:$F$28,$AC$4))</f>
        <v/>
      </c>
      <c r="AD40" s="37">
        <f>IF($AD$5="InterventionSuccess",$AD$6,INDEX(Assumptions!$D$28:$F$28,$AD$4))</f>
        <v/>
      </c>
      <c r="AE40" s="37">
        <f>IF($AE$5="InterventionSuccess",$AE$6,INDEX(Assumptions!$D$28:$F$28,$AE$4))</f>
        <v/>
      </c>
      <c r="AF40" s="37">
        <f>IF($AF$5="InterventionSuccess",$AF$6,INDEX(Assumptions!$D$28:$F$28,$AF$4))</f>
        <v/>
      </c>
      <c r="AG40" s="37">
        <f>IF($AG$5="InterventionSuccess",$AG$6,INDEX(Assumptions!$D$28:$F$28,$AG$4))</f>
        <v/>
      </c>
      <c r="AH40" s="37">
        <f>IF($AH$5="InterventionSuccess",$AH$6,INDEX(Assumptions!$D$28:$F$28,$AH$4))</f>
        <v/>
      </c>
      <c r="AI40" s="37">
        <f>IF($AI$5="InterventionSuccess",$AI$6,INDEX(Assumptions!$D$28:$F$28,$AI$4))</f>
        <v/>
      </c>
      <c r="AJ40" s="37">
        <f>IF($AJ$5="InterventionSuccess",$AJ$6,INDEX(Assumptions!$D$28:$F$28,$AJ$4))</f>
        <v/>
      </c>
      <c r="AK40" s="37">
        <f>IF($AK$5="InterventionSuccess",$AK$6,INDEX(Assumptions!$D$28:$F$28,$AK$4))</f>
        <v/>
      </c>
      <c r="AL40" s="37">
        <f>IF($AL$5="InterventionSuccess",$AL$6,INDEX(Assumptions!$D$28:$F$28,$AL$4))</f>
        <v/>
      </c>
      <c r="AM40" s="37">
        <f>IF($AM$5="InterventionSuccess",$AM$6,INDEX(Assumptions!$D$28:$F$28,$AM$4))</f>
        <v/>
      </c>
      <c r="AN40" s="37">
        <f>IF($AN$5="InterventionSuccess",$AN$6,INDEX(Assumptions!$D$28:$F$28,$AN$4))</f>
        <v/>
      </c>
      <c r="AO40" s="37">
        <f>IF($AO$5="InterventionSuccess",$AO$6,INDEX(Assumptions!$D$28:$F$28,$AO$4))</f>
        <v/>
      </c>
      <c r="AP40" s="37">
        <f>IF($AP$5="InterventionSuccess",$AP$6,INDEX(Assumptions!$D$28:$F$28,$AP$4))</f>
        <v/>
      </c>
      <c r="AQ40" s="37">
        <f>IF($AQ$5="InterventionSuccess",$AQ$6,INDEX(Assumptions!$D$28:$F$28,$AQ$4))</f>
        <v/>
      </c>
      <c r="AR40" s="37">
        <f>IF($AR$5="InterventionSuccess",$AR$6,INDEX(Assumptions!$D$28:$F$28,$AR$4))</f>
        <v/>
      </c>
      <c r="AS40" s="37">
        <f>IF($AS$5="InterventionSuccess",$AS$6,INDEX(Assumptions!$D$28:$F$28,$AS$4))</f>
        <v/>
      </c>
      <c r="AT40" s="37">
        <f>IF($AT$5="InterventionSuccess",$AT$6,INDEX(Assumptions!$D$28:$F$28,$AT$4))</f>
        <v/>
      </c>
      <c r="AU40" s="37">
        <f>IF($AU$5="InterventionSuccess",$AU$6,INDEX(Assumptions!$D$28:$F$28,$AU$4))</f>
        <v/>
      </c>
      <c r="AV40" s="37">
        <f>IF($AV$5="InterventionSuccess",$AV$6,INDEX(Assumptions!$D$28:$F$28,$AV$4))</f>
        <v/>
      </c>
    </row>
    <row r="41">
      <c r="B41" s="5" t="inlineStr">
        <is>
          <t>AdmissionUplift</t>
        </is>
      </c>
      <c r="D41" s="37">
        <f>IF($D$5="AdmissionUplift",$D$6,INDEX(Assumptions!$D$29:$F$29,$D$4))</f>
        <v/>
      </c>
      <c r="E41" s="37">
        <f>IF($E$5="AdmissionUplift",$E$6,INDEX(Assumptions!$D$29:$F$29,$E$4))</f>
        <v/>
      </c>
      <c r="F41" s="37">
        <f>IF($F$5="AdmissionUplift",$F$6,INDEX(Assumptions!$D$29:$F$29,$F$4))</f>
        <v/>
      </c>
      <c r="G41" s="37">
        <f>IF($G$5="AdmissionUplift",$G$6,INDEX(Assumptions!$D$29:$F$29,$G$4))</f>
        <v/>
      </c>
      <c r="H41" s="37">
        <f>IF($H$5="AdmissionUplift",$H$6,INDEX(Assumptions!$D$29:$F$29,$H$4))</f>
        <v/>
      </c>
      <c r="I41" s="37">
        <f>IF($I$5="AdmissionUplift",$I$6,INDEX(Assumptions!$D$29:$F$29,$I$4))</f>
        <v/>
      </c>
      <c r="J41" s="37">
        <f>IF($J$5="AdmissionUplift",$J$6,INDEX(Assumptions!$D$29:$F$29,$J$4))</f>
        <v/>
      </c>
      <c r="K41" s="37">
        <f>IF($K$5="AdmissionUplift",$K$6,INDEX(Assumptions!$D$29:$F$29,$K$4))</f>
        <v/>
      </c>
      <c r="L41" s="37">
        <f>IF($L$5="AdmissionUplift",$L$6,INDEX(Assumptions!$D$29:$F$29,$L$4))</f>
        <v/>
      </c>
      <c r="M41" s="37">
        <f>IF($M$5="AdmissionUplift",$M$6,INDEX(Assumptions!$D$29:$F$29,$M$4))</f>
        <v/>
      </c>
      <c r="N41" s="37">
        <f>IF($N$5="AdmissionUplift",$N$6,INDEX(Assumptions!$D$29:$F$29,$N$4))</f>
        <v/>
      </c>
      <c r="O41" s="37">
        <f>IF($O$5="AdmissionUplift",$O$6,INDEX(Assumptions!$D$29:$F$29,$O$4))</f>
        <v/>
      </c>
      <c r="P41" s="37">
        <f>IF($P$5="AdmissionUplift",$P$6,INDEX(Assumptions!$D$29:$F$29,$P$4))</f>
        <v/>
      </c>
      <c r="Q41" s="37">
        <f>IF($Q$5="AdmissionUplift",$Q$6,INDEX(Assumptions!$D$29:$F$29,$Q$4))</f>
        <v/>
      </c>
      <c r="R41" s="37">
        <f>IF($R$5="AdmissionUplift",$R$6,INDEX(Assumptions!$D$29:$F$29,$R$4))</f>
        <v/>
      </c>
      <c r="S41" s="37">
        <f>IF($S$5="AdmissionUplift",$S$6,INDEX(Assumptions!$D$29:$F$29,$S$4))</f>
        <v/>
      </c>
      <c r="T41" s="37">
        <f>IF($T$5="AdmissionUplift",$T$6,INDEX(Assumptions!$D$29:$F$29,$T$4))</f>
        <v/>
      </c>
      <c r="U41" s="37">
        <f>IF($U$5="AdmissionUplift",$U$6,INDEX(Assumptions!$D$29:$F$29,$U$4))</f>
        <v/>
      </c>
      <c r="V41" s="37">
        <f>IF($V$5="AdmissionUplift",$V$6,INDEX(Assumptions!$D$29:$F$29,$V$4))</f>
        <v/>
      </c>
      <c r="W41" s="37">
        <f>IF($W$5="AdmissionUplift",$W$6,INDEX(Assumptions!$D$29:$F$29,$W$4))</f>
        <v/>
      </c>
      <c r="X41" s="37">
        <f>IF($X$5="AdmissionUplift",$X$6,INDEX(Assumptions!$D$29:$F$29,$X$4))</f>
        <v/>
      </c>
      <c r="Y41" s="37">
        <f>IF($Y$5="AdmissionUplift",$Y$6,INDEX(Assumptions!$D$29:$F$29,$Y$4))</f>
        <v/>
      </c>
      <c r="Z41" s="37">
        <f>IF($Z$5="AdmissionUplift",$Z$6,INDEX(Assumptions!$D$29:$F$29,$Z$4))</f>
        <v/>
      </c>
      <c r="AA41" s="37">
        <f>IF($AA$5="AdmissionUplift",$AA$6,INDEX(Assumptions!$D$29:$F$29,$AA$4))</f>
        <v/>
      </c>
      <c r="AB41" s="37">
        <f>IF($AB$5="AdmissionUplift",$AB$6,INDEX(Assumptions!$D$29:$F$29,$AB$4))</f>
        <v/>
      </c>
      <c r="AC41" s="37">
        <f>IF($AC$5="AdmissionUplift",$AC$6,INDEX(Assumptions!$D$29:$F$29,$AC$4))</f>
        <v/>
      </c>
      <c r="AD41" s="37">
        <f>IF($AD$5="AdmissionUplift",$AD$6,INDEX(Assumptions!$D$29:$F$29,$AD$4))</f>
        <v/>
      </c>
      <c r="AE41" s="37">
        <f>IF($AE$5="AdmissionUplift",$AE$6,INDEX(Assumptions!$D$29:$F$29,$AE$4))</f>
        <v/>
      </c>
      <c r="AF41" s="37">
        <f>IF($AF$5="AdmissionUplift",$AF$6,INDEX(Assumptions!$D$29:$F$29,$AF$4))</f>
        <v/>
      </c>
      <c r="AG41" s="37">
        <f>IF($AG$5="AdmissionUplift",$AG$6,INDEX(Assumptions!$D$29:$F$29,$AG$4))</f>
        <v/>
      </c>
      <c r="AH41" s="37">
        <f>IF($AH$5="AdmissionUplift",$AH$6,INDEX(Assumptions!$D$29:$F$29,$AH$4))</f>
        <v/>
      </c>
      <c r="AI41" s="37">
        <f>IF($AI$5="AdmissionUplift",$AI$6,INDEX(Assumptions!$D$29:$F$29,$AI$4))</f>
        <v/>
      </c>
      <c r="AJ41" s="37">
        <f>IF($AJ$5="AdmissionUplift",$AJ$6,INDEX(Assumptions!$D$29:$F$29,$AJ$4))</f>
        <v/>
      </c>
      <c r="AK41" s="37">
        <f>IF($AK$5="AdmissionUplift",$AK$6,INDEX(Assumptions!$D$29:$F$29,$AK$4))</f>
        <v/>
      </c>
      <c r="AL41" s="37">
        <f>IF($AL$5="AdmissionUplift",$AL$6,INDEX(Assumptions!$D$29:$F$29,$AL$4))</f>
        <v/>
      </c>
      <c r="AM41" s="37">
        <f>IF($AM$5="AdmissionUplift",$AM$6,INDEX(Assumptions!$D$29:$F$29,$AM$4))</f>
        <v/>
      </c>
      <c r="AN41" s="37">
        <f>IF($AN$5="AdmissionUplift",$AN$6,INDEX(Assumptions!$D$29:$F$29,$AN$4))</f>
        <v/>
      </c>
      <c r="AO41" s="37">
        <f>IF($AO$5="AdmissionUplift",$AO$6,INDEX(Assumptions!$D$29:$F$29,$AO$4))</f>
        <v/>
      </c>
      <c r="AP41" s="37">
        <f>IF($AP$5="AdmissionUplift",$AP$6,INDEX(Assumptions!$D$29:$F$29,$AP$4))</f>
        <v/>
      </c>
      <c r="AQ41" s="37">
        <f>IF($AQ$5="AdmissionUplift",$AQ$6,INDEX(Assumptions!$D$29:$F$29,$AQ$4))</f>
        <v/>
      </c>
      <c r="AR41" s="37">
        <f>IF($AR$5="AdmissionUplift",$AR$6,INDEX(Assumptions!$D$29:$F$29,$AR$4))</f>
        <v/>
      </c>
      <c r="AS41" s="37">
        <f>IF($AS$5="AdmissionUplift",$AS$6,INDEX(Assumptions!$D$29:$F$29,$AS$4))</f>
        <v/>
      </c>
      <c r="AT41" s="37">
        <f>IF($AT$5="AdmissionUplift",$AT$6,INDEX(Assumptions!$D$29:$F$29,$AT$4))</f>
        <v/>
      </c>
      <c r="AU41" s="37">
        <f>IF($AU$5="AdmissionUplift",$AU$6,INDEX(Assumptions!$D$29:$F$29,$AU$4))</f>
        <v/>
      </c>
      <c r="AV41" s="37">
        <f>IF($AV$5="AdmissionUplift",$AV$6,INDEX(Assumptions!$D$29:$F$29,$AV$4))</f>
        <v/>
      </c>
    </row>
    <row r="42">
      <c r="B42" s="5" t="inlineStr">
        <is>
          <t>MarginExtraAdmission</t>
        </is>
      </c>
      <c r="D42" s="37">
        <f>IF($D$5="MarginExtraAdmission",$D$6,INDEX(Assumptions!$D$30:$F$30,$D$4))</f>
        <v/>
      </c>
      <c r="E42" s="37">
        <f>IF($E$5="MarginExtraAdmission",$E$6,INDEX(Assumptions!$D$30:$F$30,$E$4))</f>
        <v/>
      </c>
      <c r="F42" s="37">
        <f>IF($F$5="MarginExtraAdmission",$F$6,INDEX(Assumptions!$D$30:$F$30,$F$4))</f>
        <v/>
      </c>
      <c r="G42" s="37">
        <f>IF($G$5="MarginExtraAdmission",$G$6,INDEX(Assumptions!$D$30:$F$30,$G$4))</f>
        <v/>
      </c>
      <c r="H42" s="37">
        <f>IF($H$5="MarginExtraAdmission",$H$6,INDEX(Assumptions!$D$30:$F$30,$H$4))</f>
        <v/>
      </c>
      <c r="I42" s="37">
        <f>IF($I$5="MarginExtraAdmission",$I$6,INDEX(Assumptions!$D$30:$F$30,$I$4))</f>
        <v/>
      </c>
      <c r="J42" s="37">
        <f>IF($J$5="MarginExtraAdmission",$J$6,INDEX(Assumptions!$D$30:$F$30,$J$4))</f>
        <v/>
      </c>
      <c r="K42" s="37">
        <f>IF($K$5="MarginExtraAdmission",$K$6,INDEX(Assumptions!$D$30:$F$30,$K$4))</f>
        <v/>
      </c>
      <c r="L42" s="37">
        <f>IF($L$5="MarginExtraAdmission",$L$6,INDEX(Assumptions!$D$30:$F$30,$L$4))</f>
        <v/>
      </c>
      <c r="M42" s="37">
        <f>IF($M$5="MarginExtraAdmission",$M$6,INDEX(Assumptions!$D$30:$F$30,$M$4))</f>
        <v/>
      </c>
      <c r="N42" s="37">
        <f>IF($N$5="MarginExtraAdmission",$N$6,INDEX(Assumptions!$D$30:$F$30,$N$4))</f>
        <v/>
      </c>
      <c r="O42" s="37">
        <f>IF($O$5="MarginExtraAdmission",$O$6,INDEX(Assumptions!$D$30:$F$30,$O$4))</f>
        <v/>
      </c>
      <c r="P42" s="37">
        <f>IF($P$5="MarginExtraAdmission",$P$6,INDEX(Assumptions!$D$30:$F$30,$P$4))</f>
        <v/>
      </c>
      <c r="Q42" s="37">
        <f>IF($Q$5="MarginExtraAdmission",$Q$6,INDEX(Assumptions!$D$30:$F$30,$Q$4))</f>
        <v/>
      </c>
      <c r="R42" s="37">
        <f>IF($R$5="MarginExtraAdmission",$R$6,INDEX(Assumptions!$D$30:$F$30,$R$4))</f>
        <v/>
      </c>
      <c r="S42" s="37">
        <f>IF($S$5="MarginExtraAdmission",$S$6,INDEX(Assumptions!$D$30:$F$30,$S$4))</f>
        <v/>
      </c>
      <c r="T42" s="37">
        <f>IF($T$5="MarginExtraAdmission",$T$6,INDEX(Assumptions!$D$30:$F$30,$T$4))</f>
        <v/>
      </c>
      <c r="U42" s="37">
        <f>IF($U$5="MarginExtraAdmission",$U$6,INDEX(Assumptions!$D$30:$F$30,$U$4))</f>
        <v/>
      </c>
      <c r="V42" s="37">
        <f>IF($V$5="MarginExtraAdmission",$V$6,INDEX(Assumptions!$D$30:$F$30,$V$4))</f>
        <v/>
      </c>
      <c r="W42" s="37">
        <f>IF($W$5="MarginExtraAdmission",$W$6,INDEX(Assumptions!$D$30:$F$30,$W$4))</f>
        <v/>
      </c>
      <c r="X42" s="37">
        <f>IF($X$5="MarginExtraAdmission",$X$6,INDEX(Assumptions!$D$30:$F$30,$X$4))</f>
        <v/>
      </c>
      <c r="Y42" s="37">
        <f>IF($Y$5="MarginExtraAdmission",$Y$6,INDEX(Assumptions!$D$30:$F$30,$Y$4))</f>
        <v/>
      </c>
      <c r="Z42" s="37">
        <f>IF($Z$5="MarginExtraAdmission",$Z$6,INDEX(Assumptions!$D$30:$F$30,$Z$4))</f>
        <v/>
      </c>
      <c r="AA42" s="37">
        <f>IF($AA$5="MarginExtraAdmission",$AA$6,INDEX(Assumptions!$D$30:$F$30,$AA$4))</f>
        <v/>
      </c>
      <c r="AB42" s="37">
        <f>IF($AB$5="MarginExtraAdmission",$AB$6,INDEX(Assumptions!$D$30:$F$30,$AB$4))</f>
        <v/>
      </c>
      <c r="AC42" s="37">
        <f>IF($AC$5="MarginExtraAdmission",$AC$6,INDEX(Assumptions!$D$30:$F$30,$AC$4))</f>
        <v/>
      </c>
      <c r="AD42" s="37">
        <f>IF($AD$5="MarginExtraAdmission",$AD$6,INDEX(Assumptions!$D$30:$F$30,$AD$4))</f>
        <v/>
      </c>
      <c r="AE42" s="37">
        <f>IF($AE$5="MarginExtraAdmission",$AE$6,INDEX(Assumptions!$D$30:$F$30,$AE$4))</f>
        <v/>
      </c>
      <c r="AF42" s="37">
        <f>IF($AF$5="MarginExtraAdmission",$AF$6,INDEX(Assumptions!$D$30:$F$30,$AF$4))</f>
        <v/>
      </c>
      <c r="AG42" s="37">
        <f>IF($AG$5="MarginExtraAdmission",$AG$6,INDEX(Assumptions!$D$30:$F$30,$AG$4))</f>
        <v/>
      </c>
      <c r="AH42" s="37">
        <f>IF($AH$5="MarginExtraAdmission",$AH$6,INDEX(Assumptions!$D$30:$F$30,$AH$4))</f>
        <v/>
      </c>
      <c r="AI42" s="37">
        <f>IF($AI$5="MarginExtraAdmission",$AI$6,INDEX(Assumptions!$D$30:$F$30,$AI$4))</f>
        <v/>
      </c>
      <c r="AJ42" s="37">
        <f>IF($AJ$5="MarginExtraAdmission",$AJ$6,INDEX(Assumptions!$D$30:$F$30,$AJ$4))</f>
        <v/>
      </c>
      <c r="AK42" s="37">
        <f>IF($AK$5="MarginExtraAdmission",$AK$6,INDEX(Assumptions!$D$30:$F$30,$AK$4))</f>
        <v/>
      </c>
      <c r="AL42" s="37">
        <f>IF($AL$5="MarginExtraAdmission",$AL$6,INDEX(Assumptions!$D$30:$F$30,$AL$4))</f>
        <v/>
      </c>
      <c r="AM42" s="37">
        <f>IF($AM$5="MarginExtraAdmission",$AM$6,INDEX(Assumptions!$D$30:$F$30,$AM$4))</f>
        <v/>
      </c>
      <c r="AN42" s="37">
        <f>IF($AN$5="MarginExtraAdmission",$AN$6,INDEX(Assumptions!$D$30:$F$30,$AN$4))</f>
        <v/>
      </c>
      <c r="AO42" s="37">
        <f>IF($AO$5="MarginExtraAdmission",$AO$6,INDEX(Assumptions!$D$30:$F$30,$AO$4))</f>
        <v/>
      </c>
      <c r="AP42" s="37">
        <f>IF($AP$5="MarginExtraAdmission",$AP$6,INDEX(Assumptions!$D$30:$F$30,$AP$4))</f>
        <v/>
      </c>
      <c r="AQ42" s="37">
        <f>IF($AQ$5="MarginExtraAdmission",$AQ$6,INDEX(Assumptions!$D$30:$F$30,$AQ$4))</f>
        <v/>
      </c>
      <c r="AR42" s="37">
        <f>IF($AR$5="MarginExtraAdmission",$AR$6,INDEX(Assumptions!$D$30:$F$30,$AR$4))</f>
        <v/>
      </c>
      <c r="AS42" s="37">
        <f>IF($AS$5="MarginExtraAdmission",$AS$6,INDEX(Assumptions!$D$30:$F$30,$AS$4))</f>
        <v/>
      </c>
      <c r="AT42" s="37">
        <f>IF($AT$5="MarginExtraAdmission",$AT$6,INDEX(Assumptions!$D$30:$F$30,$AT$4))</f>
        <v/>
      </c>
      <c r="AU42" s="37">
        <f>IF($AU$5="MarginExtraAdmission",$AU$6,INDEX(Assumptions!$D$30:$F$30,$AU$4))</f>
        <v/>
      </c>
      <c r="AV42" s="37">
        <f>IF($AV$5="MarginExtraAdmission",$AV$6,INDEX(Assumptions!$D$30:$F$30,$AV$4))</f>
        <v/>
      </c>
    </row>
    <row r="43">
      <c r="B43" s="5" t="inlineStr">
        <is>
          <t>StaffHoursSaved</t>
        </is>
      </c>
      <c r="D43" s="55">
        <f>IF($D$5="StaffHoursSaved",$D$6,INDEX(Assumptions!$D$31:$F$31,$D$4))</f>
        <v/>
      </c>
      <c r="E43" s="55">
        <f>IF($E$5="StaffHoursSaved",$E$6,INDEX(Assumptions!$D$31:$F$31,$E$4))</f>
        <v/>
      </c>
      <c r="F43" s="55">
        <f>IF($F$5="StaffHoursSaved",$F$6,INDEX(Assumptions!$D$31:$F$31,$F$4))</f>
        <v/>
      </c>
      <c r="G43" s="55">
        <f>IF($G$5="StaffHoursSaved",$G$6,INDEX(Assumptions!$D$31:$F$31,$G$4))</f>
        <v/>
      </c>
      <c r="H43" s="55">
        <f>IF($H$5="StaffHoursSaved",$H$6,INDEX(Assumptions!$D$31:$F$31,$H$4))</f>
        <v/>
      </c>
      <c r="I43" s="55">
        <f>IF($I$5="StaffHoursSaved",$I$6,INDEX(Assumptions!$D$31:$F$31,$I$4))</f>
        <v/>
      </c>
      <c r="J43" s="55">
        <f>IF($J$5="StaffHoursSaved",$J$6,INDEX(Assumptions!$D$31:$F$31,$J$4))</f>
        <v/>
      </c>
      <c r="K43" s="55">
        <f>IF($K$5="StaffHoursSaved",$K$6,INDEX(Assumptions!$D$31:$F$31,$K$4))</f>
        <v/>
      </c>
      <c r="L43" s="55">
        <f>IF($L$5="StaffHoursSaved",$L$6,INDEX(Assumptions!$D$31:$F$31,$L$4))</f>
        <v/>
      </c>
      <c r="M43" s="55">
        <f>IF($M$5="StaffHoursSaved",$M$6,INDEX(Assumptions!$D$31:$F$31,$M$4))</f>
        <v/>
      </c>
      <c r="N43" s="55">
        <f>IF($N$5="StaffHoursSaved",$N$6,INDEX(Assumptions!$D$31:$F$31,$N$4))</f>
        <v/>
      </c>
      <c r="O43" s="55">
        <f>IF($O$5="StaffHoursSaved",$O$6,INDEX(Assumptions!$D$31:$F$31,$O$4))</f>
        <v/>
      </c>
      <c r="P43" s="55">
        <f>IF($P$5="StaffHoursSaved",$P$6,INDEX(Assumptions!$D$31:$F$31,$P$4))</f>
        <v/>
      </c>
      <c r="Q43" s="55">
        <f>IF($Q$5="StaffHoursSaved",$Q$6,INDEX(Assumptions!$D$31:$F$31,$Q$4))</f>
        <v/>
      </c>
      <c r="R43" s="55">
        <f>IF($R$5="StaffHoursSaved",$R$6,INDEX(Assumptions!$D$31:$F$31,$R$4))</f>
        <v/>
      </c>
      <c r="S43" s="55">
        <f>IF($S$5="StaffHoursSaved",$S$6,INDEX(Assumptions!$D$31:$F$31,$S$4))</f>
        <v/>
      </c>
      <c r="T43" s="55">
        <f>IF($T$5="StaffHoursSaved",$T$6,INDEX(Assumptions!$D$31:$F$31,$T$4))</f>
        <v/>
      </c>
      <c r="U43" s="55">
        <f>IF($U$5="StaffHoursSaved",$U$6,INDEX(Assumptions!$D$31:$F$31,$U$4))</f>
        <v/>
      </c>
      <c r="V43" s="55">
        <f>IF($V$5="StaffHoursSaved",$V$6,INDEX(Assumptions!$D$31:$F$31,$V$4))</f>
        <v/>
      </c>
      <c r="W43" s="55">
        <f>IF($W$5="StaffHoursSaved",$W$6,INDEX(Assumptions!$D$31:$F$31,$W$4))</f>
        <v/>
      </c>
      <c r="X43" s="55">
        <f>IF($X$5="StaffHoursSaved",$X$6,INDEX(Assumptions!$D$31:$F$31,$X$4))</f>
        <v/>
      </c>
      <c r="Y43" s="55">
        <f>IF($Y$5="StaffHoursSaved",$Y$6,INDEX(Assumptions!$D$31:$F$31,$Y$4))</f>
        <v/>
      </c>
      <c r="Z43" s="55">
        <f>IF($Z$5="StaffHoursSaved",$Z$6,INDEX(Assumptions!$D$31:$F$31,$Z$4))</f>
        <v/>
      </c>
      <c r="AA43" s="55">
        <f>IF($AA$5="StaffHoursSaved",$AA$6,INDEX(Assumptions!$D$31:$F$31,$AA$4))</f>
        <v/>
      </c>
      <c r="AB43" s="55">
        <f>IF($AB$5="StaffHoursSaved",$AB$6,INDEX(Assumptions!$D$31:$F$31,$AB$4))</f>
        <v/>
      </c>
      <c r="AC43" s="55">
        <f>IF($AC$5="StaffHoursSaved",$AC$6,INDEX(Assumptions!$D$31:$F$31,$AC$4))</f>
        <v/>
      </c>
      <c r="AD43" s="55">
        <f>IF($AD$5="StaffHoursSaved",$AD$6,INDEX(Assumptions!$D$31:$F$31,$AD$4))</f>
        <v/>
      </c>
      <c r="AE43" s="55">
        <f>IF($AE$5="StaffHoursSaved",$AE$6,INDEX(Assumptions!$D$31:$F$31,$AE$4))</f>
        <v/>
      </c>
      <c r="AF43" s="55">
        <f>IF($AF$5="StaffHoursSaved",$AF$6,INDEX(Assumptions!$D$31:$F$31,$AF$4))</f>
        <v/>
      </c>
      <c r="AG43" s="55">
        <f>IF($AG$5="StaffHoursSaved",$AG$6,INDEX(Assumptions!$D$31:$F$31,$AG$4))</f>
        <v/>
      </c>
      <c r="AH43" s="55">
        <f>IF($AH$5="StaffHoursSaved",$AH$6,INDEX(Assumptions!$D$31:$F$31,$AH$4))</f>
        <v/>
      </c>
      <c r="AI43" s="55">
        <f>IF($AI$5="StaffHoursSaved",$AI$6,INDEX(Assumptions!$D$31:$F$31,$AI$4))</f>
        <v/>
      </c>
      <c r="AJ43" s="55">
        <f>IF($AJ$5="StaffHoursSaved",$AJ$6,INDEX(Assumptions!$D$31:$F$31,$AJ$4))</f>
        <v/>
      </c>
      <c r="AK43" s="55">
        <f>IF($AK$5="StaffHoursSaved",$AK$6,INDEX(Assumptions!$D$31:$F$31,$AK$4))</f>
        <v/>
      </c>
      <c r="AL43" s="55">
        <f>IF($AL$5="StaffHoursSaved",$AL$6,INDEX(Assumptions!$D$31:$F$31,$AL$4))</f>
        <v/>
      </c>
      <c r="AM43" s="55">
        <f>IF($AM$5="StaffHoursSaved",$AM$6,INDEX(Assumptions!$D$31:$F$31,$AM$4))</f>
        <v/>
      </c>
      <c r="AN43" s="55">
        <f>IF($AN$5="StaffHoursSaved",$AN$6,INDEX(Assumptions!$D$31:$F$31,$AN$4))</f>
        <v/>
      </c>
      <c r="AO43" s="55">
        <f>IF($AO$5="StaffHoursSaved",$AO$6,INDEX(Assumptions!$D$31:$F$31,$AO$4))</f>
        <v/>
      </c>
      <c r="AP43" s="55">
        <f>IF($AP$5="StaffHoursSaved",$AP$6,INDEX(Assumptions!$D$31:$F$31,$AP$4))</f>
        <v/>
      </c>
      <c r="AQ43" s="55">
        <f>IF($AQ$5="StaffHoursSaved",$AQ$6,INDEX(Assumptions!$D$31:$F$31,$AQ$4))</f>
        <v/>
      </c>
      <c r="AR43" s="55">
        <f>IF($AR$5="StaffHoursSaved",$AR$6,INDEX(Assumptions!$D$31:$F$31,$AR$4))</f>
        <v/>
      </c>
      <c r="AS43" s="55">
        <f>IF($AS$5="StaffHoursSaved",$AS$6,INDEX(Assumptions!$D$31:$F$31,$AS$4))</f>
        <v/>
      </c>
      <c r="AT43" s="55">
        <f>IF($AT$5="StaffHoursSaved",$AT$6,INDEX(Assumptions!$D$31:$F$31,$AT$4))</f>
        <v/>
      </c>
      <c r="AU43" s="55">
        <f>IF($AU$5="StaffHoursSaved",$AU$6,INDEX(Assumptions!$D$31:$F$31,$AU$4))</f>
        <v/>
      </c>
      <c r="AV43" s="55">
        <f>IF($AV$5="StaffHoursSaved",$AV$6,INDEX(Assumptions!$D$31:$F$31,$AV$4))</f>
        <v/>
      </c>
    </row>
    <row r="44">
      <c r="B44" s="5" t="inlineStr">
        <is>
          <t>StaffHourCost</t>
        </is>
      </c>
      <c r="D44" s="48">
        <f>IF($D$5="StaffHourCost",$D$6,INDEX(Assumptions!$D$32:$F$32,$D$4))</f>
        <v/>
      </c>
      <c r="E44" s="48">
        <f>IF($E$5="StaffHourCost",$E$6,INDEX(Assumptions!$D$32:$F$32,$E$4))</f>
        <v/>
      </c>
      <c r="F44" s="48">
        <f>IF($F$5="StaffHourCost",$F$6,INDEX(Assumptions!$D$32:$F$32,$F$4))</f>
        <v/>
      </c>
      <c r="G44" s="48">
        <f>IF($G$5="StaffHourCost",$G$6,INDEX(Assumptions!$D$32:$F$32,$G$4))</f>
        <v/>
      </c>
      <c r="H44" s="48">
        <f>IF($H$5="StaffHourCost",$H$6,INDEX(Assumptions!$D$32:$F$32,$H$4))</f>
        <v/>
      </c>
      <c r="I44" s="48">
        <f>IF($I$5="StaffHourCost",$I$6,INDEX(Assumptions!$D$32:$F$32,$I$4))</f>
        <v/>
      </c>
      <c r="J44" s="48">
        <f>IF($J$5="StaffHourCost",$J$6,INDEX(Assumptions!$D$32:$F$32,$J$4))</f>
        <v/>
      </c>
      <c r="K44" s="48">
        <f>IF($K$5="StaffHourCost",$K$6,INDEX(Assumptions!$D$32:$F$32,$K$4))</f>
        <v/>
      </c>
      <c r="L44" s="48">
        <f>IF($L$5="StaffHourCost",$L$6,INDEX(Assumptions!$D$32:$F$32,$L$4))</f>
        <v/>
      </c>
      <c r="M44" s="48">
        <f>IF($M$5="StaffHourCost",$M$6,INDEX(Assumptions!$D$32:$F$32,$M$4))</f>
        <v/>
      </c>
      <c r="N44" s="48">
        <f>IF($N$5="StaffHourCost",$N$6,INDEX(Assumptions!$D$32:$F$32,$N$4))</f>
        <v/>
      </c>
      <c r="O44" s="48">
        <f>IF($O$5="StaffHourCost",$O$6,INDEX(Assumptions!$D$32:$F$32,$O$4))</f>
        <v/>
      </c>
      <c r="P44" s="48">
        <f>IF($P$5="StaffHourCost",$P$6,INDEX(Assumptions!$D$32:$F$32,$P$4))</f>
        <v/>
      </c>
      <c r="Q44" s="48">
        <f>IF($Q$5="StaffHourCost",$Q$6,INDEX(Assumptions!$D$32:$F$32,$Q$4))</f>
        <v/>
      </c>
      <c r="R44" s="48">
        <f>IF($R$5="StaffHourCost",$R$6,INDEX(Assumptions!$D$32:$F$32,$R$4))</f>
        <v/>
      </c>
      <c r="S44" s="48">
        <f>IF($S$5="StaffHourCost",$S$6,INDEX(Assumptions!$D$32:$F$32,$S$4))</f>
        <v/>
      </c>
      <c r="T44" s="48">
        <f>IF($T$5="StaffHourCost",$T$6,INDEX(Assumptions!$D$32:$F$32,$T$4))</f>
        <v/>
      </c>
      <c r="U44" s="48">
        <f>IF($U$5="StaffHourCost",$U$6,INDEX(Assumptions!$D$32:$F$32,$U$4))</f>
        <v/>
      </c>
      <c r="V44" s="48">
        <f>IF($V$5="StaffHourCost",$V$6,INDEX(Assumptions!$D$32:$F$32,$V$4))</f>
        <v/>
      </c>
      <c r="W44" s="48">
        <f>IF($W$5="StaffHourCost",$W$6,INDEX(Assumptions!$D$32:$F$32,$W$4))</f>
        <v/>
      </c>
      <c r="X44" s="48">
        <f>IF($X$5="StaffHourCost",$X$6,INDEX(Assumptions!$D$32:$F$32,$X$4))</f>
        <v/>
      </c>
      <c r="Y44" s="48">
        <f>IF($Y$5="StaffHourCost",$Y$6,INDEX(Assumptions!$D$32:$F$32,$Y$4))</f>
        <v/>
      </c>
      <c r="Z44" s="48">
        <f>IF($Z$5="StaffHourCost",$Z$6,INDEX(Assumptions!$D$32:$F$32,$Z$4))</f>
        <v/>
      </c>
      <c r="AA44" s="48">
        <f>IF($AA$5="StaffHourCost",$AA$6,INDEX(Assumptions!$D$32:$F$32,$AA$4))</f>
        <v/>
      </c>
      <c r="AB44" s="48">
        <f>IF($AB$5="StaffHourCost",$AB$6,INDEX(Assumptions!$D$32:$F$32,$AB$4))</f>
        <v/>
      </c>
      <c r="AC44" s="48">
        <f>IF($AC$5="StaffHourCost",$AC$6,INDEX(Assumptions!$D$32:$F$32,$AC$4))</f>
        <v/>
      </c>
      <c r="AD44" s="48">
        <f>IF($AD$5="StaffHourCost",$AD$6,INDEX(Assumptions!$D$32:$F$32,$AD$4))</f>
        <v/>
      </c>
      <c r="AE44" s="48">
        <f>IF($AE$5="StaffHourCost",$AE$6,INDEX(Assumptions!$D$32:$F$32,$AE$4))</f>
        <v/>
      </c>
      <c r="AF44" s="48">
        <f>IF($AF$5="StaffHourCost",$AF$6,INDEX(Assumptions!$D$32:$F$32,$AF$4))</f>
        <v/>
      </c>
      <c r="AG44" s="48">
        <f>IF($AG$5="StaffHourCost",$AG$6,INDEX(Assumptions!$D$32:$F$32,$AG$4))</f>
        <v/>
      </c>
      <c r="AH44" s="48">
        <f>IF($AH$5="StaffHourCost",$AH$6,INDEX(Assumptions!$D$32:$F$32,$AH$4))</f>
        <v/>
      </c>
      <c r="AI44" s="48">
        <f>IF($AI$5="StaffHourCost",$AI$6,INDEX(Assumptions!$D$32:$F$32,$AI$4))</f>
        <v/>
      </c>
      <c r="AJ44" s="48">
        <f>IF($AJ$5="StaffHourCost",$AJ$6,INDEX(Assumptions!$D$32:$F$32,$AJ$4))</f>
        <v/>
      </c>
      <c r="AK44" s="48">
        <f>IF($AK$5="StaffHourCost",$AK$6,INDEX(Assumptions!$D$32:$F$32,$AK$4))</f>
        <v/>
      </c>
      <c r="AL44" s="48">
        <f>IF($AL$5="StaffHourCost",$AL$6,INDEX(Assumptions!$D$32:$F$32,$AL$4))</f>
        <v/>
      </c>
      <c r="AM44" s="48">
        <f>IF($AM$5="StaffHourCost",$AM$6,INDEX(Assumptions!$D$32:$F$32,$AM$4))</f>
        <v/>
      </c>
      <c r="AN44" s="48">
        <f>IF($AN$5="StaffHourCost",$AN$6,INDEX(Assumptions!$D$32:$F$32,$AN$4))</f>
        <v/>
      </c>
      <c r="AO44" s="48">
        <f>IF($AO$5="StaffHourCost",$AO$6,INDEX(Assumptions!$D$32:$F$32,$AO$4))</f>
        <v/>
      </c>
      <c r="AP44" s="48">
        <f>IF($AP$5="StaffHourCost",$AP$6,INDEX(Assumptions!$D$32:$F$32,$AP$4))</f>
        <v/>
      </c>
      <c r="AQ44" s="48">
        <f>IF($AQ$5="StaffHourCost",$AQ$6,INDEX(Assumptions!$D$32:$F$32,$AQ$4))</f>
        <v/>
      </c>
      <c r="AR44" s="48">
        <f>IF($AR$5="StaffHourCost",$AR$6,INDEX(Assumptions!$D$32:$F$32,$AR$4))</f>
        <v/>
      </c>
      <c r="AS44" s="48">
        <f>IF($AS$5="StaffHourCost",$AS$6,INDEX(Assumptions!$D$32:$F$32,$AS$4))</f>
        <v/>
      </c>
      <c r="AT44" s="48">
        <f>IF($AT$5="StaffHourCost",$AT$6,INDEX(Assumptions!$D$32:$F$32,$AT$4))</f>
        <v/>
      </c>
      <c r="AU44" s="48">
        <f>IF($AU$5="StaffHourCost",$AU$6,INDEX(Assumptions!$D$32:$F$32,$AU$4))</f>
        <v/>
      </c>
      <c r="AV44" s="48">
        <f>IF($AV$5="StaffHourCost",$AV$6,INDEX(Assumptions!$D$32:$F$32,$AV$4))</f>
        <v/>
      </c>
    </row>
    <row r="45">
      <c r="B45" s="5" t="inlineStr">
        <is>
          <t>InterventionMinutes</t>
        </is>
      </c>
      <c r="D45" s="55">
        <f>IF($D$5="InterventionMinutes",$D$6,INDEX(Assumptions!$D$33:$F$33,$D$4))</f>
        <v/>
      </c>
      <c r="E45" s="55">
        <f>IF($E$5="InterventionMinutes",$E$6,INDEX(Assumptions!$D$33:$F$33,$E$4))</f>
        <v/>
      </c>
      <c r="F45" s="55">
        <f>IF($F$5="InterventionMinutes",$F$6,INDEX(Assumptions!$D$33:$F$33,$F$4))</f>
        <v/>
      </c>
      <c r="G45" s="55">
        <f>IF($G$5="InterventionMinutes",$G$6,INDEX(Assumptions!$D$33:$F$33,$G$4))</f>
        <v/>
      </c>
      <c r="H45" s="55">
        <f>IF($H$5="InterventionMinutes",$H$6,INDEX(Assumptions!$D$33:$F$33,$H$4))</f>
        <v/>
      </c>
      <c r="I45" s="55">
        <f>IF($I$5="InterventionMinutes",$I$6,INDEX(Assumptions!$D$33:$F$33,$I$4))</f>
        <v/>
      </c>
      <c r="J45" s="55">
        <f>IF($J$5="InterventionMinutes",$J$6,INDEX(Assumptions!$D$33:$F$33,$J$4))</f>
        <v/>
      </c>
      <c r="K45" s="55">
        <f>IF($K$5="InterventionMinutes",$K$6,INDEX(Assumptions!$D$33:$F$33,$K$4))</f>
        <v/>
      </c>
      <c r="L45" s="55">
        <f>IF($L$5="InterventionMinutes",$L$6,INDEX(Assumptions!$D$33:$F$33,$L$4))</f>
        <v/>
      </c>
      <c r="M45" s="55">
        <f>IF($M$5="InterventionMinutes",$M$6,INDEX(Assumptions!$D$33:$F$33,$M$4))</f>
        <v/>
      </c>
      <c r="N45" s="55">
        <f>IF($N$5="InterventionMinutes",$N$6,INDEX(Assumptions!$D$33:$F$33,$N$4))</f>
        <v/>
      </c>
      <c r="O45" s="55">
        <f>IF($O$5="InterventionMinutes",$O$6,INDEX(Assumptions!$D$33:$F$33,$O$4))</f>
        <v/>
      </c>
      <c r="P45" s="55">
        <f>IF($P$5="InterventionMinutes",$P$6,INDEX(Assumptions!$D$33:$F$33,$P$4))</f>
        <v/>
      </c>
      <c r="Q45" s="55">
        <f>IF($Q$5="InterventionMinutes",$Q$6,INDEX(Assumptions!$D$33:$F$33,$Q$4))</f>
        <v/>
      </c>
      <c r="R45" s="55">
        <f>IF($R$5="InterventionMinutes",$R$6,INDEX(Assumptions!$D$33:$F$33,$R$4))</f>
        <v/>
      </c>
      <c r="S45" s="55">
        <f>IF($S$5="InterventionMinutes",$S$6,INDEX(Assumptions!$D$33:$F$33,$S$4))</f>
        <v/>
      </c>
      <c r="T45" s="55">
        <f>IF($T$5="InterventionMinutes",$T$6,INDEX(Assumptions!$D$33:$F$33,$T$4))</f>
        <v/>
      </c>
      <c r="U45" s="55">
        <f>IF($U$5="InterventionMinutes",$U$6,INDEX(Assumptions!$D$33:$F$33,$U$4))</f>
        <v/>
      </c>
      <c r="V45" s="55">
        <f>IF($V$5="InterventionMinutes",$V$6,INDEX(Assumptions!$D$33:$F$33,$V$4))</f>
        <v/>
      </c>
      <c r="W45" s="55">
        <f>IF($W$5="InterventionMinutes",$W$6,INDEX(Assumptions!$D$33:$F$33,$W$4))</f>
        <v/>
      </c>
      <c r="X45" s="55">
        <f>IF($X$5="InterventionMinutes",$X$6,INDEX(Assumptions!$D$33:$F$33,$X$4))</f>
        <v/>
      </c>
      <c r="Y45" s="55">
        <f>IF($Y$5="InterventionMinutes",$Y$6,INDEX(Assumptions!$D$33:$F$33,$Y$4))</f>
        <v/>
      </c>
      <c r="Z45" s="55">
        <f>IF($Z$5="InterventionMinutes",$Z$6,INDEX(Assumptions!$D$33:$F$33,$Z$4))</f>
        <v/>
      </c>
      <c r="AA45" s="55">
        <f>IF($AA$5="InterventionMinutes",$AA$6,INDEX(Assumptions!$D$33:$F$33,$AA$4))</f>
        <v/>
      </c>
      <c r="AB45" s="55">
        <f>IF($AB$5="InterventionMinutes",$AB$6,INDEX(Assumptions!$D$33:$F$33,$AB$4))</f>
        <v/>
      </c>
      <c r="AC45" s="55">
        <f>IF($AC$5="InterventionMinutes",$AC$6,INDEX(Assumptions!$D$33:$F$33,$AC$4))</f>
        <v/>
      </c>
      <c r="AD45" s="55">
        <f>IF($AD$5="InterventionMinutes",$AD$6,INDEX(Assumptions!$D$33:$F$33,$AD$4))</f>
        <v/>
      </c>
      <c r="AE45" s="55">
        <f>IF($AE$5="InterventionMinutes",$AE$6,INDEX(Assumptions!$D$33:$F$33,$AE$4))</f>
        <v/>
      </c>
      <c r="AF45" s="55">
        <f>IF($AF$5="InterventionMinutes",$AF$6,INDEX(Assumptions!$D$33:$F$33,$AF$4))</f>
        <v/>
      </c>
      <c r="AG45" s="55">
        <f>IF($AG$5="InterventionMinutes",$AG$6,INDEX(Assumptions!$D$33:$F$33,$AG$4))</f>
        <v/>
      </c>
      <c r="AH45" s="55">
        <f>IF($AH$5="InterventionMinutes",$AH$6,INDEX(Assumptions!$D$33:$F$33,$AH$4))</f>
        <v/>
      </c>
      <c r="AI45" s="55">
        <f>IF($AI$5="InterventionMinutes",$AI$6,INDEX(Assumptions!$D$33:$F$33,$AI$4))</f>
        <v/>
      </c>
      <c r="AJ45" s="55">
        <f>IF($AJ$5="InterventionMinutes",$AJ$6,INDEX(Assumptions!$D$33:$F$33,$AJ$4))</f>
        <v/>
      </c>
      <c r="AK45" s="55">
        <f>IF($AK$5="InterventionMinutes",$AK$6,INDEX(Assumptions!$D$33:$F$33,$AK$4))</f>
        <v/>
      </c>
      <c r="AL45" s="55">
        <f>IF($AL$5="InterventionMinutes",$AL$6,INDEX(Assumptions!$D$33:$F$33,$AL$4))</f>
        <v/>
      </c>
      <c r="AM45" s="55">
        <f>IF($AM$5="InterventionMinutes",$AM$6,INDEX(Assumptions!$D$33:$F$33,$AM$4))</f>
        <v/>
      </c>
      <c r="AN45" s="55">
        <f>IF($AN$5="InterventionMinutes",$AN$6,INDEX(Assumptions!$D$33:$F$33,$AN$4))</f>
        <v/>
      </c>
      <c r="AO45" s="55">
        <f>IF($AO$5="InterventionMinutes",$AO$6,INDEX(Assumptions!$D$33:$F$33,$AO$4))</f>
        <v/>
      </c>
      <c r="AP45" s="55">
        <f>IF($AP$5="InterventionMinutes",$AP$6,INDEX(Assumptions!$D$33:$F$33,$AP$4))</f>
        <v/>
      </c>
      <c r="AQ45" s="55">
        <f>IF($AQ$5="InterventionMinutes",$AQ$6,INDEX(Assumptions!$D$33:$F$33,$AQ$4))</f>
        <v/>
      </c>
      <c r="AR45" s="55">
        <f>IF($AR$5="InterventionMinutes",$AR$6,INDEX(Assumptions!$D$33:$F$33,$AR$4))</f>
        <v/>
      </c>
      <c r="AS45" s="55">
        <f>IF($AS$5="InterventionMinutes",$AS$6,INDEX(Assumptions!$D$33:$F$33,$AS$4))</f>
        <v/>
      </c>
      <c r="AT45" s="55">
        <f>IF($AT$5="InterventionMinutes",$AT$6,INDEX(Assumptions!$D$33:$F$33,$AT$4))</f>
        <v/>
      </c>
      <c r="AU45" s="55">
        <f>IF($AU$5="InterventionMinutes",$AU$6,INDEX(Assumptions!$D$33:$F$33,$AU$4))</f>
        <v/>
      </c>
      <c r="AV45" s="55">
        <f>IF($AV$5="InterventionMinutes",$AV$6,INDEX(Assumptions!$D$33:$F$33,$AV$4))</f>
        <v/>
      </c>
    </row>
    <row r="46">
      <c r="B46" s="5" t="inlineStr">
        <is>
          <t>MentorHourCost</t>
        </is>
      </c>
      <c r="D46" s="48">
        <f>IF($D$5="MentorHourCost",$D$6,INDEX(Assumptions!$D$34:$F$34,$D$4))</f>
        <v/>
      </c>
      <c r="E46" s="48">
        <f>IF($E$5="MentorHourCost",$E$6,INDEX(Assumptions!$D$34:$F$34,$E$4))</f>
        <v/>
      </c>
      <c r="F46" s="48">
        <f>IF($F$5="MentorHourCost",$F$6,INDEX(Assumptions!$D$34:$F$34,$F$4))</f>
        <v/>
      </c>
      <c r="G46" s="48">
        <f>IF($G$5="MentorHourCost",$G$6,INDEX(Assumptions!$D$34:$F$34,$G$4))</f>
        <v/>
      </c>
      <c r="H46" s="48">
        <f>IF($H$5="MentorHourCost",$H$6,INDEX(Assumptions!$D$34:$F$34,$H$4))</f>
        <v/>
      </c>
      <c r="I46" s="48">
        <f>IF($I$5="MentorHourCost",$I$6,INDEX(Assumptions!$D$34:$F$34,$I$4))</f>
        <v/>
      </c>
      <c r="J46" s="48">
        <f>IF($J$5="MentorHourCost",$J$6,INDEX(Assumptions!$D$34:$F$34,$J$4))</f>
        <v/>
      </c>
      <c r="K46" s="48">
        <f>IF($K$5="MentorHourCost",$K$6,INDEX(Assumptions!$D$34:$F$34,$K$4))</f>
        <v/>
      </c>
      <c r="L46" s="48">
        <f>IF($L$5="MentorHourCost",$L$6,INDEX(Assumptions!$D$34:$F$34,$L$4))</f>
        <v/>
      </c>
      <c r="M46" s="48">
        <f>IF($M$5="MentorHourCost",$M$6,INDEX(Assumptions!$D$34:$F$34,$M$4))</f>
        <v/>
      </c>
      <c r="N46" s="48">
        <f>IF($N$5="MentorHourCost",$N$6,INDEX(Assumptions!$D$34:$F$34,$N$4))</f>
        <v/>
      </c>
      <c r="O46" s="48">
        <f>IF($O$5="MentorHourCost",$O$6,INDEX(Assumptions!$D$34:$F$34,$O$4))</f>
        <v/>
      </c>
      <c r="P46" s="48">
        <f>IF($P$5="MentorHourCost",$P$6,INDEX(Assumptions!$D$34:$F$34,$P$4))</f>
        <v/>
      </c>
      <c r="Q46" s="48">
        <f>IF($Q$5="MentorHourCost",$Q$6,INDEX(Assumptions!$D$34:$F$34,$Q$4))</f>
        <v/>
      </c>
      <c r="R46" s="48">
        <f>IF($R$5="MentorHourCost",$R$6,INDEX(Assumptions!$D$34:$F$34,$R$4))</f>
        <v/>
      </c>
      <c r="S46" s="48">
        <f>IF($S$5="MentorHourCost",$S$6,INDEX(Assumptions!$D$34:$F$34,$S$4))</f>
        <v/>
      </c>
      <c r="T46" s="48">
        <f>IF($T$5="MentorHourCost",$T$6,INDEX(Assumptions!$D$34:$F$34,$T$4))</f>
        <v/>
      </c>
      <c r="U46" s="48">
        <f>IF($U$5="MentorHourCost",$U$6,INDEX(Assumptions!$D$34:$F$34,$U$4))</f>
        <v/>
      </c>
      <c r="V46" s="48">
        <f>IF($V$5="MentorHourCost",$V$6,INDEX(Assumptions!$D$34:$F$34,$V$4))</f>
        <v/>
      </c>
      <c r="W46" s="48">
        <f>IF($W$5="MentorHourCost",$W$6,INDEX(Assumptions!$D$34:$F$34,$W$4))</f>
        <v/>
      </c>
      <c r="X46" s="48">
        <f>IF($X$5="MentorHourCost",$X$6,INDEX(Assumptions!$D$34:$F$34,$X$4))</f>
        <v/>
      </c>
      <c r="Y46" s="48">
        <f>IF($Y$5="MentorHourCost",$Y$6,INDEX(Assumptions!$D$34:$F$34,$Y$4))</f>
        <v/>
      </c>
      <c r="Z46" s="48">
        <f>IF($Z$5="MentorHourCost",$Z$6,INDEX(Assumptions!$D$34:$F$34,$Z$4))</f>
        <v/>
      </c>
      <c r="AA46" s="48">
        <f>IF($AA$5="MentorHourCost",$AA$6,INDEX(Assumptions!$D$34:$F$34,$AA$4))</f>
        <v/>
      </c>
      <c r="AB46" s="48">
        <f>IF($AB$5="MentorHourCost",$AB$6,INDEX(Assumptions!$D$34:$F$34,$AB$4))</f>
        <v/>
      </c>
      <c r="AC46" s="48">
        <f>IF($AC$5="MentorHourCost",$AC$6,INDEX(Assumptions!$D$34:$F$34,$AC$4))</f>
        <v/>
      </c>
      <c r="AD46" s="48">
        <f>IF($AD$5="MentorHourCost",$AD$6,INDEX(Assumptions!$D$34:$F$34,$AD$4))</f>
        <v/>
      </c>
      <c r="AE46" s="48">
        <f>IF($AE$5="MentorHourCost",$AE$6,INDEX(Assumptions!$D$34:$F$34,$AE$4))</f>
        <v/>
      </c>
      <c r="AF46" s="48">
        <f>IF($AF$5="MentorHourCost",$AF$6,INDEX(Assumptions!$D$34:$F$34,$AF$4))</f>
        <v/>
      </c>
      <c r="AG46" s="48">
        <f>IF($AG$5="MentorHourCost",$AG$6,INDEX(Assumptions!$D$34:$F$34,$AG$4))</f>
        <v/>
      </c>
      <c r="AH46" s="48">
        <f>IF($AH$5="MentorHourCost",$AH$6,INDEX(Assumptions!$D$34:$F$34,$AH$4))</f>
        <v/>
      </c>
      <c r="AI46" s="48">
        <f>IF($AI$5="MentorHourCost",$AI$6,INDEX(Assumptions!$D$34:$F$34,$AI$4))</f>
        <v/>
      </c>
      <c r="AJ46" s="48">
        <f>IF($AJ$5="MentorHourCost",$AJ$6,INDEX(Assumptions!$D$34:$F$34,$AJ$4))</f>
        <v/>
      </c>
      <c r="AK46" s="48">
        <f>IF($AK$5="MentorHourCost",$AK$6,INDEX(Assumptions!$D$34:$F$34,$AK$4))</f>
        <v/>
      </c>
      <c r="AL46" s="48">
        <f>IF($AL$5="MentorHourCost",$AL$6,INDEX(Assumptions!$D$34:$F$34,$AL$4))</f>
        <v/>
      </c>
      <c r="AM46" s="48">
        <f>IF($AM$5="MentorHourCost",$AM$6,INDEX(Assumptions!$D$34:$F$34,$AM$4))</f>
        <v/>
      </c>
      <c r="AN46" s="48">
        <f>IF($AN$5="MentorHourCost",$AN$6,INDEX(Assumptions!$D$34:$F$34,$AN$4))</f>
        <v/>
      </c>
      <c r="AO46" s="48">
        <f>IF($AO$5="MentorHourCost",$AO$6,INDEX(Assumptions!$D$34:$F$34,$AO$4))</f>
        <v/>
      </c>
      <c r="AP46" s="48">
        <f>IF($AP$5="MentorHourCost",$AP$6,INDEX(Assumptions!$D$34:$F$34,$AP$4))</f>
        <v/>
      </c>
      <c r="AQ46" s="48">
        <f>IF($AQ$5="MentorHourCost",$AQ$6,INDEX(Assumptions!$D$34:$F$34,$AQ$4))</f>
        <v/>
      </c>
      <c r="AR46" s="48">
        <f>IF($AR$5="MentorHourCost",$AR$6,INDEX(Assumptions!$D$34:$F$34,$AR$4))</f>
        <v/>
      </c>
      <c r="AS46" s="48">
        <f>IF($AS$5="MentorHourCost",$AS$6,INDEX(Assumptions!$D$34:$F$34,$AS$4))</f>
        <v/>
      </c>
      <c r="AT46" s="48">
        <f>IF($AT$5="MentorHourCost",$AT$6,INDEX(Assumptions!$D$34:$F$34,$AT$4))</f>
        <v/>
      </c>
      <c r="AU46" s="48">
        <f>IF($AU$5="MentorHourCost",$AU$6,INDEX(Assumptions!$D$34:$F$34,$AU$4))</f>
        <v/>
      </c>
      <c r="AV46" s="48">
        <f>IF($AV$5="MentorHourCost",$AV$6,INDEX(Assumptions!$D$34:$F$34,$AV$4))</f>
        <v/>
      </c>
    </row>
    <row r="47">
      <c r="B47" s="5" t="inlineStr">
        <is>
          <t>ITCShare</t>
        </is>
      </c>
      <c r="D47" s="37">
        <f>IF($D$5="ITCShare",$D$6,INDEX(Assumptions!$D$36:$F$36,$D$4))</f>
        <v/>
      </c>
      <c r="E47" s="37">
        <f>IF($E$5="ITCShare",$E$6,INDEX(Assumptions!$D$36:$F$36,$E$4))</f>
        <v/>
      </c>
      <c r="F47" s="37">
        <f>IF($F$5="ITCShare",$F$6,INDEX(Assumptions!$D$36:$F$36,$F$4))</f>
        <v/>
      </c>
      <c r="G47" s="37">
        <f>IF($G$5="ITCShare",$G$6,INDEX(Assumptions!$D$36:$F$36,$G$4))</f>
        <v/>
      </c>
      <c r="H47" s="37">
        <f>IF($H$5="ITCShare",$H$6,INDEX(Assumptions!$D$36:$F$36,$H$4))</f>
        <v/>
      </c>
      <c r="I47" s="37">
        <f>IF($I$5="ITCShare",$I$6,INDEX(Assumptions!$D$36:$F$36,$I$4))</f>
        <v/>
      </c>
      <c r="J47" s="37">
        <f>IF($J$5="ITCShare",$J$6,INDEX(Assumptions!$D$36:$F$36,$J$4))</f>
        <v/>
      </c>
      <c r="K47" s="37">
        <f>IF($K$5="ITCShare",$K$6,INDEX(Assumptions!$D$36:$F$36,$K$4))</f>
        <v/>
      </c>
      <c r="L47" s="37">
        <f>IF($L$5="ITCShare",$L$6,INDEX(Assumptions!$D$36:$F$36,$L$4))</f>
        <v/>
      </c>
      <c r="M47" s="37">
        <f>IF($M$5="ITCShare",$M$6,INDEX(Assumptions!$D$36:$F$36,$M$4))</f>
        <v/>
      </c>
      <c r="N47" s="37">
        <f>IF($N$5="ITCShare",$N$6,INDEX(Assumptions!$D$36:$F$36,$N$4))</f>
        <v/>
      </c>
      <c r="O47" s="37">
        <f>IF($O$5="ITCShare",$O$6,INDEX(Assumptions!$D$36:$F$36,$O$4))</f>
        <v/>
      </c>
      <c r="P47" s="37">
        <f>IF($P$5="ITCShare",$P$6,INDEX(Assumptions!$D$36:$F$36,$P$4))</f>
        <v/>
      </c>
      <c r="Q47" s="37">
        <f>IF($Q$5="ITCShare",$Q$6,INDEX(Assumptions!$D$36:$F$36,$Q$4))</f>
        <v/>
      </c>
      <c r="R47" s="37">
        <f>IF($R$5="ITCShare",$R$6,INDEX(Assumptions!$D$36:$F$36,$R$4))</f>
        <v/>
      </c>
      <c r="S47" s="37">
        <f>IF($S$5="ITCShare",$S$6,INDEX(Assumptions!$D$36:$F$36,$S$4))</f>
        <v/>
      </c>
      <c r="T47" s="37">
        <f>IF($T$5="ITCShare",$T$6,INDEX(Assumptions!$D$36:$F$36,$T$4))</f>
        <v/>
      </c>
      <c r="U47" s="37">
        <f>IF($U$5="ITCShare",$U$6,INDEX(Assumptions!$D$36:$F$36,$U$4))</f>
        <v/>
      </c>
      <c r="V47" s="37">
        <f>IF($V$5="ITCShare",$V$6,INDEX(Assumptions!$D$36:$F$36,$V$4))</f>
        <v/>
      </c>
      <c r="W47" s="37">
        <f>IF($W$5="ITCShare",$W$6,INDEX(Assumptions!$D$36:$F$36,$W$4))</f>
        <v/>
      </c>
      <c r="X47" s="37">
        <f>IF($X$5="ITCShare",$X$6,INDEX(Assumptions!$D$36:$F$36,$X$4))</f>
        <v/>
      </c>
      <c r="Y47" s="37">
        <f>IF($Y$5="ITCShare",$Y$6,INDEX(Assumptions!$D$36:$F$36,$Y$4))</f>
        <v/>
      </c>
      <c r="Z47" s="37">
        <f>IF($Z$5="ITCShare",$Z$6,INDEX(Assumptions!$D$36:$F$36,$Z$4))</f>
        <v/>
      </c>
      <c r="AA47" s="37">
        <f>IF($AA$5="ITCShare",$AA$6,INDEX(Assumptions!$D$36:$F$36,$AA$4))</f>
        <v/>
      </c>
      <c r="AB47" s="37">
        <f>IF($AB$5="ITCShare",$AB$6,INDEX(Assumptions!$D$36:$F$36,$AB$4))</f>
        <v/>
      </c>
      <c r="AC47" s="37">
        <f>IF($AC$5="ITCShare",$AC$6,INDEX(Assumptions!$D$36:$F$36,$AC$4))</f>
        <v/>
      </c>
      <c r="AD47" s="37">
        <f>IF($AD$5="ITCShare",$AD$6,INDEX(Assumptions!$D$36:$F$36,$AD$4))</f>
        <v/>
      </c>
      <c r="AE47" s="37">
        <f>IF($AE$5="ITCShare",$AE$6,INDEX(Assumptions!$D$36:$F$36,$AE$4))</f>
        <v/>
      </c>
      <c r="AF47" s="37">
        <f>IF($AF$5="ITCShare",$AF$6,INDEX(Assumptions!$D$36:$F$36,$AF$4))</f>
        <v/>
      </c>
      <c r="AG47" s="37">
        <f>IF($AG$5="ITCShare",$AG$6,INDEX(Assumptions!$D$36:$F$36,$AG$4))</f>
        <v/>
      </c>
      <c r="AH47" s="37">
        <f>IF($AH$5="ITCShare",$AH$6,INDEX(Assumptions!$D$36:$F$36,$AH$4))</f>
        <v/>
      </c>
      <c r="AI47" s="37">
        <f>IF($AI$5="ITCShare",$AI$6,INDEX(Assumptions!$D$36:$F$36,$AI$4))</f>
        <v/>
      </c>
      <c r="AJ47" s="37">
        <f>IF($AJ$5="ITCShare",$AJ$6,INDEX(Assumptions!$D$36:$F$36,$AJ$4))</f>
        <v/>
      </c>
      <c r="AK47" s="37">
        <f>IF($AK$5="ITCShare",$AK$6,INDEX(Assumptions!$D$36:$F$36,$AK$4))</f>
        <v/>
      </c>
      <c r="AL47" s="37">
        <f>IF($AL$5="ITCShare",$AL$6,INDEX(Assumptions!$D$36:$F$36,$AL$4))</f>
        <v/>
      </c>
      <c r="AM47" s="37">
        <f>IF($AM$5="ITCShare",$AM$6,INDEX(Assumptions!$D$36:$F$36,$AM$4))</f>
        <v/>
      </c>
      <c r="AN47" s="37">
        <f>IF($AN$5="ITCShare",$AN$6,INDEX(Assumptions!$D$36:$F$36,$AN$4))</f>
        <v/>
      </c>
      <c r="AO47" s="37">
        <f>IF($AO$5="ITCShare",$AO$6,INDEX(Assumptions!$D$36:$F$36,$AO$4))</f>
        <v/>
      </c>
      <c r="AP47" s="37">
        <f>IF($AP$5="ITCShare",$AP$6,INDEX(Assumptions!$D$36:$F$36,$AP$4))</f>
        <v/>
      </c>
      <c r="AQ47" s="37">
        <f>IF($AQ$5="ITCShare",$AQ$6,INDEX(Assumptions!$D$36:$F$36,$AQ$4))</f>
        <v/>
      </c>
      <c r="AR47" s="37">
        <f>IF($AR$5="ITCShare",$AR$6,INDEX(Assumptions!$D$36:$F$36,$AR$4))</f>
        <v/>
      </c>
      <c r="AS47" s="37">
        <f>IF($AS$5="ITCShare",$AS$6,INDEX(Assumptions!$D$36:$F$36,$AS$4))</f>
        <v/>
      </c>
      <c r="AT47" s="37">
        <f>IF($AT$5="ITCShare",$AT$6,INDEX(Assumptions!$D$36:$F$36,$AT$4))</f>
        <v/>
      </c>
      <c r="AU47" s="37">
        <f>IF($AU$5="ITCShare",$AU$6,INDEX(Assumptions!$D$36:$F$36,$AU$4))</f>
        <v/>
      </c>
      <c r="AV47" s="37">
        <f>IF($AV$5="ITCShare",$AV$6,INDEX(Assumptions!$D$36:$F$36,$AV$4))</f>
        <v/>
      </c>
    </row>
    <row r="48">
      <c r="B48" s="5" t="inlineStr">
        <is>
          <t>BadDebt</t>
        </is>
      </c>
      <c r="D48" s="37">
        <f>IF($D$5="BadDebt",$D$6,INDEX(Assumptions!$D$45:$F$45,$D$4))</f>
        <v/>
      </c>
      <c r="E48" s="37">
        <f>IF($E$5="BadDebt",$E$6,INDEX(Assumptions!$D$45:$F$45,$E$4))</f>
        <v/>
      </c>
      <c r="F48" s="37">
        <f>IF($F$5="BadDebt",$F$6,INDEX(Assumptions!$D$45:$F$45,$F$4))</f>
        <v/>
      </c>
      <c r="G48" s="37">
        <f>IF($G$5="BadDebt",$G$6,INDEX(Assumptions!$D$45:$F$45,$G$4))</f>
        <v/>
      </c>
      <c r="H48" s="37">
        <f>IF($H$5="BadDebt",$H$6,INDEX(Assumptions!$D$45:$F$45,$H$4))</f>
        <v/>
      </c>
      <c r="I48" s="37">
        <f>IF($I$5="BadDebt",$I$6,INDEX(Assumptions!$D$45:$F$45,$I$4))</f>
        <v/>
      </c>
      <c r="J48" s="37">
        <f>IF($J$5="BadDebt",$J$6,INDEX(Assumptions!$D$45:$F$45,$J$4))</f>
        <v/>
      </c>
      <c r="K48" s="37">
        <f>IF($K$5="BadDebt",$K$6,INDEX(Assumptions!$D$45:$F$45,$K$4))</f>
        <v/>
      </c>
      <c r="L48" s="37">
        <f>IF($L$5="BadDebt",$L$6,INDEX(Assumptions!$D$45:$F$45,$L$4))</f>
        <v/>
      </c>
      <c r="M48" s="37">
        <f>IF($M$5="BadDebt",$M$6,INDEX(Assumptions!$D$45:$F$45,$M$4))</f>
        <v/>
      </c>
      <c r="N48" s="37">
        <f>IF($N$5="BadDebt",$N$6,INDEX(Assumptions!$D$45:$F$45,$N$4))</f>
        <v/>
      </c>
      <c r="O48" s="37">
        <f>IF($O$5="BadDebt",$O$6,INDEX(Assumptions!$D$45:$F$45,$O$4))</f>
        <v/>
      </c>
      <c r="P48" s="37">
        <f>IF($P$5="BadDebt",$P$6,INDEX(Assumptions!$D$45:$F$45,$P$4))</f>
        <v/>
      </c>
      <c r="Q48" s="37">
        <f>IF($Q$5="BadDebt",$Q$6,INDEX(Assumptions!$D$45:$F$45,$Q$4))</f>
        <v/>
      </c>
      <c r="R48" s="37">
        <f>IF($R$5="BadDebt",$R$6,INDEX(Assumptions!$D$45:$F$45,$R$4))</f>
        <v/>
      </c>
      <c r="S48" s="37">
        <f>IF($S$5="BadDebt",$S$6,INDEX(Assumptions!$D$45:$F$45,$S$4))</f>
        <v/>
      </c>
      <c r="T48" s="37">
        <f>IF($T$5="BadDebt",$T$6,INDEX(Assumptions!$D$45:$F$45,$T$4))</f>
        <v/>
      </c>
      <c r="U48" s="37">
        <f>IF($U$5="BadDebt",$U$6,INDEX(Assumptions!$D$45:$F$45,$U$4))</f>
        <v/>
      </c>
      <c r="V48" s="37">
        <f>IF($V$5="BadDebt",$V$6,INDEX(Assumptions!$D$45:$F$45,$V$4))</f>
        <v/>
      </c>
      <c r="W48" s="37">
        <f>IF($W$5="BadDebt",$W$6,INDEX(Assumptions!$D$45:$F$45,$W$4))</f>
        <v/>
      </c>
      <c r="X48" s="37">
        <f>IF($X$5="BadDebt",$X$6,INDEX(Assumptions!$D$45:$F$45,$X$4))</f>
        <v/>
      </c>
      <c r="Y48" s="37">
        <f>IF($Y$5="BadDebt",$Y$6,INDEX(Assumptions!$D$45:$F$45,$Y$4))</f>
        <v/>
      </c>
      <c r="Z48" s="37">
        <f>IF($Z$5="BadDebt",$Z$6,INDEX(Assumptions!$D$45:$F$45,$Z$4))</f>
        <v/>
      </c>
      <c r="AA48" s="37">
        <f>IF($AA$5="BadDebt",$AA$6,INDEX(Assumptions!$D$45:$F$45,$AA$4))</f>
        <v/>
      </c>
      <c r="AB48" s="37">
        <f>IF($AB$5="BadDebt",$AB$6,INDEX(Assumptions!$D$45:$F$45,$AB$4))</f>
        <v/>
      </c>
      <c r="AC48" s="37">
        <f>IF($AC$5="BadDebt",$AC$6,INDEX(Assumptions!$D$45:$F$45,$AC$4))</f>
        <v/>
      </c>
      <c r="AD48" s="37">
        <f>IF($AD$5="BadDebt",$AD$6,INDEX(Assumptions!$D$45:$F$45,$AD$4))</f>
        <v/>
      </c>
      <c r="AE48" s="37">
        <f>IF($AE$5="BadDebt",$AE$6,INDEX(Assumptions!$D$45:$F$45,$AE$4))</f>
        <v/>
      </c>
      <c r="AF48" s="37">
        <f>IF($AF$5="BadDebt",$AF$6,INDEX(Assumptions!$D$45:$F$45,$AF$4))</f>
        <v/>
      </c>
      <c r="AG48" s="37">
        <f>IF($AG$5="BadDebt",$AG$6,INDEX(Assumptions!$D$45:$F$45,$AG$4))</f>
        <v/>
      </c>
      <c r="AH48" s="37">
        <f>IF($AH$5="BadDebt",$AH$6,INDEX(Assumptions!$D$45:$F$45,$AH$4))</f>
        <v/>
      </c>
      <c r="AI48" s="37">
        <f>IF($AI$5="BadDebt",$AI$6,INDEX(Assumptions!$D$45:$F$45,$AI$4))</f>
        <v/>
      </c>
      <c r="AJ48" s="37">
        <f>IF($AJ$5="BadDebt",$AJ$6,INDEX(Assumptions!$D$45:$F$45,$AJ$4))</f>
        <v/>
      </c>
      <c r="AK48" s="37">
        <f>IF($AK$5="BadDebt",$AK$6,INDEX(Assumptions!$D$45:$F$45,$AK$4))</f>
        <v/>
      </c>
      <c r="AL48" s="37">
        <f>IF($AL$5="BadDebt",$AL$6,INDEX(Assumptions!$D$45:$F$45,$AL$4))</f>
        <v/>
      </c>
      <c r="AM48" s="37">
        <f>IF($AM$5="BadDebt",$AM$6,INDEX(Assumptions!$D$45:$F$45,$AM$4))</f>
        <v/>
      </c>
      <c r="AN48" s="37">
        <f>IF($AN$5="BadDebt",$AN$6,INDEX(Assumptions!$D$45:$F$45,$AN$4))</f>
        <v/>
      </c>
      <c r="AO48" s="37">
        <f>IF($AO$5="BadDebt",$AO$6,INDEX(Assumptions!$D$45:$F$45,$AO$4))</f>
        <v/>
      </c>
      <c r="AP48" s="37">
        <f>IF($AP$5="BadDebt",$AP$6,INDEX(Assumptions!$D$45:$F$45,$AP$4))</f>
        <v/>
      </c>
      <c r="AQ48" s="37">
        <f>IF($AQ$5="BadDebt",$AQ$6,INDEX(Assumptions!$D$45:$F$45,$AQ$4))</f>
        <v/>
      </c>
      <c r="AR48" s="37">
        <f>IF($AR$5="BadDebt",$AR$6,INDEX(Assumptions!$D$45:$F$45,$AR$4))</f>
        <v/>
      </c>
      <c r="AS48" s="37">
        <f>IF($AS$5="BadDebt",$AS$6,INDEX(Assumptions!$D$45:$F$45,$AS$4))</f>
        <v/>
      </c>
      <c r="AT48" s="37">
        <f>IF($AT$5="BadDebt",$AT$6,INDEX(Assumptions!$D$45:$F$45,$AT$4))</f>
        <v/>
      </c>
      <c r="AU48" s="37">
        <f>IF($AU$5="BadDebt",$AU$6,INDEX(Assumptions!$D$45:$F$45,$AU$4))</f>
        <v/>
      </c>
      <c r="AV48" s="37">
        <f>IF($AV$5="BadDebt",$AV$6,INDEX(Assumptions!$D$45:$F$45,$AV$4))</f>
        <v/>
      </c>
    </row>
    <row r="49">
      <c r="B49" s="5" t="inlineStr">
        <is>
          <t>GatewayFee</t>
        </is>
      </c>
      <c r="D49" s="37">
        <f>IF($D$5="GatewayFee",$D$6,INDEX(Assumptions!$D$46:$F$46,$D$4))</f>
        <v/>
      </c>
      <c r="E49" s="37">
        <f>IF($E$5="GatewayFee",$E$6,INDEX(Assumptions!$D$46:$F$46,$E$4))</f>
        <v/>
      </c>
      <c r="F49" s="37">
        <f>IF($F$5="GatewayFee",$F$6,INDEX(Assumptions!$D$46:$F$46,$F$4))</f>
        <v/>
      </c>
      <c r="G49" s="37">
        <f>IF($G$5="GatewayFee",$G$6,INDEX(Assumptions!$D$46:$F$46,$G$4))</f>
        <v/>
      </c>
      <c r="H49" s="37">
        <f>IF($H$5="GatewayFee",$H$6,INDEX(Assumptions!$D$46:$F$46,$H$4))</f>
        <v/>
      </c>
      <c r="I49" s="37">
        <f>IF($I$5="GatewayFee",$I$6,INDEX(Assumptions!$D$46:$F$46,$I$4))</f>
        <v/>
      </c>
      <c r="J49" s="37">
        <f>IF($J$5="GatewayFee",$J$6,INDEX(Assumptions!$D$46:$F$46,$J$4))</f>
        <v/>
      </c>
      <c r="K49" s="37">
        <f>IF($K$5="GatewayFee",$K$6,INDEX(Assumptions!$D$46:$F$46,$K$4))</f>
        <v/>
      </c>
      <c r="L49" s="37">
        <f>IF($L$5="GatewayFee",$L$6,INDEX(Assumptions!$D$46:$F$46,$L$4))</f>
        <v/>
      </c>
      <c r="M49" s="37">
        <f>IF($M$5="GatewayFee",$M$6,INDEX(Assumptions!$D$46:$F$46,$M$4))</f>
        <v/>
      </c>
      <c r="N49" s="37">
        <f>IF($N$5="GatewayFee",$N$6,INDEX(Assumptions!$D$46:$F$46,$N$4))</f>
        <v/>
      </c>
      <c r="O49" s="37">
        <f>IF($O$5="GatewayFee",$O$6,INDEX(Assumptions!$D$46:$F$46,$O$4))</f>
        <v/>
      </c>
      <c r="P49" s="37">
        <f>IF($P$5="GatewayFee",$P$6,INDEX(Assumptions!$D$46:$F$46,$P$4))</f>
        <v/>
      </c>
      <c r="Q49" s="37">
        <f>IF($Q$5="GatewayFee",$Q$6,INDEX(Assumptions!$D$46:$F$46,$Q$4))</f>
        <v/>
      </c>
      <c r="R49" s="37">
        <f>IF($R$5="GatewayFee",$R$6,INDEX(Assumptions!$D$46:$F$46,$R$4))</f>
        <v/>
      </c>
      <c r="S49" s="37">
        <f>IF($S$5="GatewayFee",$S$6,INDEX(Assumptions!$D$46:$F$46,$S$4))</f>
        <v/>
      </c>
      <c r="T49" s="37">
        <f>IF($T$5="GatewayFee",$T$6,INDEX(Assumptions!$D$46:$F$46,$T$4))</f>
        <v/>
      </c>
      <c r="U49" s="37">
        <f>IF($U$5="GatewayFee",$U$6,INDEX(Assumptions!$D$46:$F$46,$U$4))</f>
        <v/>
      </c>
      <c r="V49" s="37">
        <f>IF($V$5="GatewayFee",$V$6,INDEX(Assumptions!$D$46:$F$46,$V$4))</f>
        <v/>
      </c>
      <c r="W49" s="37">
        <f>IF($W$5="GatewayFee",$W$6,INDEX(Assumptions!$D$46:$F$46,$W$4))</f>
        <v/>
      </c>
      <c r="X49" s="37">
        <f>IF($X$5="GatewayFee",$X$6,INDEX(Assumptions!$D$46:$F$46,$X$4))</f>
        <v/>
      </c>
      <c r="Y49" s="37">
        <f>IF($Y$5="GatewayFee",$Y$6,INDEX(Assumptions!$D$46:$F$46,$Y$4))</f>
        <v/>
      </c>
      <c r="Z49" s="37">
        <f>IF($Z$5="GatewayFee",$Z$6,INDEX(Assumptions!$D$46:$F$46,$Z$4))</f>
        <v/>
      </c>
      <c r="AA49" s="37">
        <f>IF($AA$5="GatewayFee",$AA$6,INDEX(Assumptions!$D$46:$F$46,$AA$4))</f>
        <v/>
      </c>
      <c r="AB49" s="37">
        <f>IF($AB$5="GatewayFee",$AB$6,INDEX(Assumptions!$D$46:$F$46,$AB$4))</f>
        <v/>
      </c>
      <c r="AC49" s="37">
        <f>IF($AC$5="GatewayFee",$AC$6,INDEX(Assumptions!$D$46:$F$46,$AC$4))</f>
        <v/>
      </c>
      <c r="AD49" s="37">
        <f>IF($AD$5="GatewayFee",$AD$6,INDEX(Assumptions!$D$46:$F$46,$AD$4))</f>
        <v/>
      </c>
      <c r="AE49" s="37">
        <f>IF($AE$5="GatewayFee",$AE$6,INDEX(Assumptions!$D$46:$F$46,$AE$4))</f>
        <v/>
      </c>
      <c r="AF49" s="37">
        <f>IF($AF$5="GatewayFee",$AF$6,INDEX(Assumptions!$D$46:$F$46,$AF$4))</f>
        <v/>
      </c>
      <c r="AG49" s="37">
        <f>IF($AG$5="GatewayFee",$AG$6,INDEX(Assumptions!$D$46:$F$46,$AG$4))</f>
        <v/>
      </c>
      <c r="AH49" s="37">
        <f>IF($AH$5="GatewayFee",$AH$6,INDEX(Assumptions!$D$46:$F$46,$AH$4))</f>
        <v/>
      </c>
      <c r="AI49" s="37">
        <f>IF($AI$5="GatewayFee",$AI$6,INDEX(Assumptions!$D$46:$F$46,$AI$4))</f>
        <v/>
      </c>
      <c r="AJ49" s="37">
        <f>IF($AJ$5="GatewayFee",$AJ$6,INDEX(Assumptions!$D$46:$F$46,$AJ$4))</f>
        <v/>
      </c>
      <c r="AK49" s="37">
        <f>IF($AK$5="GatewayFee",$AK$6,INDEX(Assumptions!$D$46:$F$46,$AK$4))</f>
        <v/>
      </c>
      <c r="AL49" s="37">
        <f>IF($AL$5="GatewayFee",$AL$6,INDEX(Assumptions!$D$46:$F$46,$AL$4))</f>
        <v/>
      </c>
      <c r="AM49" s="37">
        <f>IF($AM$5="GatewayFee",$AM$6,INDEX(Assumptions!$D$46:$F$46,$AM$4))</f>
        <v/>
      </c>
      <c r="AN49" s="37">
        <f>IF($AN$5="GatewayFee",$AN$6,INDEX(Assumptions!$D$46:$F$46,$AN$4))</f>
        <v/>
      </c>
      <c r="AO49" s="37">
        <f>IF($AO$5="GatewayFee",$AO$6,INDEX(Assumptions!$D$46:$F$46,$AO$4))</f>
        <v/>
      </c>
      <c r="AP49" s="37">
        <f>IF($AP$5="GatewayFee",$AP$6,INDEX(Assumptions!$D$46:$F$46,$AP$4))</f>
        <v/>
      </c>
      <c r="AQ49" s="37">
        <f>IF($AQ$5="GatewayFee",$AQ$6,INDEX(Assumptions!$D$46:$F$46,$AQ$4))</f>
        <v/>
      </c>
      <c r="AR49" s="37">
        <f>IF($AR$5="GatewayFee",$AR$6,INDEX(Assumptions!$D$46:$F$46,$AR$4))</f>
        <v/>
      </c>
      <c r="AS49" s="37">
        <f>IF($AS$5="GatewayFee",$AS$6,INDEX(Assumptions!$D$46:$F$46,$AS$4))</f>
        <v/>
      </c>
      <c r="AT49" s="37">
        <f>IF($AT$5="GatewayFee",$AT$6,INDEX(Assumptions!$D$46:$F$46,$AT$4))</f>
        <v/>
      </c>
      <c r="AU49" s="37">
        <f>IF($AU$5="GatewayFee",$AU$6,INDEX(Assumptions!$D$46:$F$46,$AU$4))</f>
        <v/>
      </c>
      <c r="AV49" s="37">
        <f>IF($AV$5="GatewayFee",$AV$6,INDEX(Assumptions!$D$46:$F$46,$AV$4))</f>
        <v/>
      </c>
    </row>
    <row r="50">
      <c r="B50" s="5" t="inlineStr">
        <is>
          <t>ChurnInSeason</t>
        </is>
      </c>
      <c r="D50" s="37">
        <f>IF($D$5="ChurnInSeason",$D$6,INDEX(Assumptions!$D$72:$F$72,$D$4))</f>
        <v/>
      </c>
      <c r="E50" s="37">
        <f>IF($E$5="ChurnInSeason",$E$6,INDEX(Assumptions!$D$72:$F$72,$E$4))</f>
        <v/>
      </c>
      <c r="F50" s="37">
        <f>IF($F$5="ChurnInSeason",$F$6,INDEX(Assumptions!$D$72:$F$72,$F$4))</f>
        <v/>
      </c>
      <c r="G50" s="37">
        <f>IF($G$5="ChurnInSeason",$G$6,INDEX(Assumptions!$D$72:$F$72,$G$4))</f>
        <v/>
      </c>
      <c r="H50" s="37">
        <f>IF($H$5="ChurnInSeason",$H$6,INDEX(Assumptions!$D$72:$F$72,$H$4))</f>
        <v/>
      </c>
      <c r="I50" s="37">
        <f>IF($I$5="ChurnInSeason",$I$6,INDEX(Assumptions!$D$72:$F$72,$I$4))</f>
        <v/>
      </c>
      <c r="J50" s="37">
        <f>IF($J$5="ChurnInSeason",$J$6,INDEX(Assumptions!$D$72:$F$72,$J$4))</f>
        <v/>
      </c>
      <c r="K50" s="37">
        <f>IF($K$5="ChurnInSeason",$K$6,INDEX(Assumptions!$D$72:$F$72,$K$4))</f>
        <v/>
      </c>
      <c r="L50" s="37">
        <f>IF($L$5="ChurnInSeason",$L$6,INDEX(Assumptions!$D$72:$F$72,$L$4))</f>
        <v/>
      </c>
      <c r="M50" s="37">
        <f>IF($M$5="ChurnInSeason",$M$6,INDEX(Assumptions!$D$72:$F$72,$M$4))</f>
        <v/>
      </c>
      <c r="N50" s="37">
        <f>IF($N$5="ChurnInSeason",$N$6,INDEX(Assumptions!$D$72:$F$72,$N$4))</f>
        <v/>
      </c>
      <c r="O50" s="37">
        <f>IF($O$5="ChurnInSeason",$O$6,INDEX(Assumptions!$D$72:$F$72,$O$4))</f>
        <v/>
      </c>
      <c r="P50" s="37">
        <f>IF($P$5="ChurnInSeason",$P$6,INDEX(Assumptions!$D$72:$F$72,$P$4))</f>
        <v/>
      </c>
      <c r="Q50" s="37">
        <f>IF($Q$5="ChurnInSeason",$Q$6,INDEX(Assumptions!$D$72:$F$72,$Q$4))</f>
        <v/>
      </c>
      <c r="R50" s="37">
        <f>IF($R$5="ChurnInSeason",$R$6,INDEX(Assumptions!$D$72:$F$72,$R$4))</f>
        <v/>
      </c>
      <c r="S50" s="37">
        <f>IF($S$5="ChurnInSeason",$S$6,INDEX(Assumptions!$D$72:$F$72,$S$4))</f>
        <v/>
      </c>
      <c r="T50" s="37">
        <f>IF($T$5="ChurnInSeason",$T$6,INDEX(Assumptions!$D$72:$F$72,$T$4))</f>
        <v/>
      </c>
      <c r="U50" s="37">
        <f>IF($U$5="ChurnInSeason",$U$6,INDEX(Assumptions!$D$72:$F$72,$U$4))</f>
        <v/>
      </c>
      <c r="V50" s="37">
        <f>IF($V$5="ChurnInSeason",$V$6,INDEX(Assumptions!$D$72:$F$72,$V$4))</f>
        <v/>
      </c>
      <c r="W50" s="37">
        <f>IF($W$5="ChurnInSeason",$W$6,INDEX(Assumptions!$D$72:$F$72,$W$4))</f>
        <v/>
      </c>
      <c r="X50" s="37">
        <f>IF($X$5="ChurnInSeason",$X$6,INDEX(Assumptions!$D$72:$F$72,$X$4))</f>
        <v/>
      </c>
      <c r="Y50" s="37">
        <f>IF($Y$5="ChurnInSeason",$Y$6,INDEX(Assumptions!$D$72:$F$72,$Y$4))</f>
        <v/>
      </c>
      <c r="Z50" s="37">
        <f>IF($Z$5="ChurnInSeason",$Z$6,INDEX(Assumptions!$D$72:$F$72,$Z$4))</f>
        <v/>
      </c>
      <c r="AA50" s="37">
        <f>IF($AA$5="ChurnInSeason",$AA$6,INDEX(Assumptions!$D$72:$F$72,$AA$4))</f>
        <v/>
      </c>
      <c r="AB50" s="37">
        <f>IF($AB$5="ChurnInSeason",$AB$6,INDEX(Assumptions!$D$72:$F$72,$AB$4))</f>
        <v/>
      </c>
      <c r="AC50" s="37">
        <f>IF($AC$5="ChurnInSeason",$AC$6,INDEX(Assumptions!$D$72:$F$72,$AC$4))</f>
        <v/>
      </c>
      <c r="AD50" s="37">
        <f>IF($AD$5="ChurnInSeason",$AD$6,INDEX(Assumptions!$D$72:$F$72,$AD$4))</f>
        <v/>
      </c>
      <c r="AE50" s="37">
        <f>IF($AE$5="ChurnInSeason",$AE$6,INDEX(Assumptions!$D$72:$F$72,$AE$4))</f>
        <v/>
      </c>
      <c r="AF50" s="37">
        <f>IF($AF$5="ChurnInSeason",$AF$6,INDEX(Assumptions!$D$72:$F$72,$AF$4))</f>
        <v/>
      </c>
      <c r="AG50" s="37">
        <f>IF($AG$5="ChurnInSeason",$AG$6,INDEX(Assumptions!$D$72:$F$72,$AG$4))</f>
        <v/>
      </c>
      <c r="AH50" s="37">
        <f>IF($AH$5="ChurnInSeason",$AH$6,INDEX(Assumptions!$D$72:$F$72,$AH$4))</f>
        <v/>
      </c>
      <c r="AI50" s="37">
        <f>IF($AI$5="ChurnInSeason",$AI$6,INDEX(Assumptions!$D$72:$F$72,$AI$4))</f>
        <v/>
      </c>
      <c r="AJ50" s="37">
        <f>IF($AJ$5="ChurnInSeason",$AJ$6,INDEX(Assumptions!$D$72:$F$72,$AJ$4))</f>
        <v/>
      </c>
      <c r="AK50" s="37">
        <f>IF($AK$5="ChurnInSeason",$AK$6,INDEX(Assumptions!$D$72:$F$72,$AK$4))</f>
        <v/>
      </c>
      <c r="AL50" s="37">
        <f>IF($AL$5="ChurnInSeason",$AL$6,INDEX(Assumptions!$D$72:$F$72,$AL$4))</f>
        <v/>
      </c>
      <c r="AM50" s="37">
        <f>IF($AM$5="ChurnInSeason",$AM$6,INDEX(Assumptions!$D$72:$F$72,$AM$4))</f>
        <v/>
      </c>
      <c r="AN50" s="37">
        <f>IF($AN$5="ChurnInSeason",$AN$6,INDEX(Assumptions!$D$72:$F$72,$AN$4))</f>
        <v/>
      </c>
      <c r="AO50" s="37">
        <f>IF($AO$5="ChurnInSeason",$AO$6,INDEX(Assumptions!$D$72:$F$72,$AO$4))</f>
        <v/>
      </c>
      <c r="AP50" s="37">
        <f>IF($AP$5="ChurnInSeason",$AP$6,INDEX(Assumptions!$D$72:$F$72,$AP$4))</f>
        <v/>
      </c>
      <c r="AQ50" s="37">
        <f>IF($AQ$5="ChurnInSeason",$AQ$6,INDEX(Assumptions!$D$72:$F$72,$AQ$4))</f>
        <v/>
      </c>
      <c r="AR50" s="37">
        <f>IF($AR$5="ChurnInSeason",$AR$6,INDEX(Assumptions!$D$72:$F$72,$AR$4))</f>
        <v/>
      </c>
      <c r="AS50" s="37">
        <f>IF($AS$5="ChurnInSeason",$AS$6,INDEX(Assumptions!$D$72:$F$72,$AS$4))</f>
        <v/>
      </c>
      <c r="AT50" s="37">
        <f>IF($AT$5="ChurnInSeason",$AT$6,INDEX(Assumptions!$D$72:$F$72,$AT$4))</f>
        <v/>
      </c>
      <c r="AU50" s="37">
        <f>IF($AU$5="ChurnInSeason",$AU$6,INDEX(Assumptions!$D$72:$F$72,$AU$4))</f>
        <v/>
      </c>
      <c r="AV50" s="37">
        <f>IF($AV$5="ChurnInSeason",$AV$6,INDEX(Assumptions!$D$72:$F$72,$AV$4))</f>
        <v/>
      </c>
    </row>
    <row r="51">
      <c r="B51" s="5" t="inlineStr">
        <is>
          <t>RenewalSpike</t>
        </is>
      </c>
      <c r="D51" s="37">
        <f>IF($D$5="RenewalSpike",$D$6,INDEX(Assumptions!$D$73:$F$73,$D$4))</f>
        <v/>
      </c>
      <c r="E51" s="37">
        <f>IF($E$5="RenewalSpike",$E$6,INDEX(Assumptions!$D$73:$F$73,$E$4))</f>
        <v/>
      </c>
      <c r="F51" s="37">
        <f>IF($F$5="RenewalSpike",$F$6,INDEX(Assumptions!$D$73:$F$73,$F$4))</f>
        <v/>
      </c>
      <c r="G51" s="37">
        <f>IF($G$5="RenewalSpike",$G$6,INDEX(Assumptions!$D$73:$F$73,$G$4))</f>
        <v/>
      </c>
      <c r="H51" s="37">
        <f>IF($H$5="RenewalSpike",$H$6,INDEX(Assumptions!$D$73:$F$73,$H$4))</f>
        <v/>
      </c>
      <c r="I51" s="37">
        <f>IF($I$5="RenewalSpike",$I$6,INDEX(Assumptions!$D$73:$F$73,$I$4))</f>
        <v/>
      </c>
      <c r="J51" s="37">
        <f>IF($J$5="RenewalSpike",$J$6,INDEX(Assumptions!$D$73:$F$73,$J$4))</f>
        <v/>
      </c>
      <c r="K51" s="37">
        <f>IF($K$5="RenewalSpike",$K$6,INDEX(Assumptions!$D$73:$F$73,$K$4))</f>
        <v/>
      </c>
      <c r="L51" s="37">
        <f>IF($L$5="RenewalSpike",$L$6,INDEX(Assumptions!$D$73:$F$73,$L$4))</f>
        <v/>
      </c>
      <c r="M51" s="37">
        <f>IF($M$5="RenewalSpike",$M$6,INDEX(Assumptions!$D$73:$F$73,$M$4))</f>
        <v/>
      </c>
      <c r="N51" s="37">
        <f>IF($N$5="RenewalSpike",$N$6,INDEX(Assumptions!$D$73:$F$73,$N$4))</f>
        <v/>
      </c>
      <c r="O51" s="37">
        <f>IF($O$5="RenewalSpike",$O$6,INDEX(Assumptions!$D$73:$F$73,$O$4))</f>
        <v/>
      </c>
      <c r="P51" s="37">
        <f>IF($P$5="RenewalSpike",$P$6,INDEX(Assumptions!$D$73:$F$73,$P$4))</f>
        <v/>
      </c>
      <c r="Q51" s="37">
        <f>IF($Q$5="RenewalSpike",$Q$6,INDEX(Assumptions!$D$73:$F$73,$Q$4))</f>
        <v/>
      </c>
      <c r="R51" s="37">
        <f>IF($R$5="RenewalSpike",$R$6,INDEX(Assumptions!$D$73:$F$73,$R$4))</f>
        <v/>
      </c>
      <c r="S51" s="37">
        <f>IF($S$5="RenewalSpike",$S$6,INDEX(Assumptions!$D$73:$F$73,$S$4))</f>
        <v/>
      </c>
      <c r="T51" s="37">
        <f>IF($T$5="RenewalSpike",$T$6,INDEX(Assumptions!$D$73:$F$73,$T$4))</f>
        <v/>
      </c>
      <c r="U51" s="37">
        <f>IF($U$5="RenewalSpike",$U$6,INDEX(Assumptions!$D$73:$F$73,$U$4))</f>
        <v/>
      </c>
      <c r="V51" s="37">
        <f>IF($V$5="RenewalSpike",$V$6,INDEX(Assumptions!$D$73:$F$73,$V$4))</f>
        <v/>
      </c>
      <c r="W51" s="37">
        <f>IF($W$5="RenewalSpike",$W$6,INDEX(Assumptions!$D$73:$F$73,$W$4))</f>
        <v/>
      </c>
      <c r="X51" s="37">
        <f>IF($X$5="RenewalSpike",$X$6,INDEX(Assumptions!$D$73:$F$73,$X$4))</f>
        <v/>
      </c>
      <c r="Y51" s="37">
        <f>IF($Y$5="RenewalSpike",$Y$6,INDEX(Assumptions!$D$73:$F$73,$Y$4))</f>
        <v/>
      </c>
      <c r="Z51" s="37">
        <f>IF($Z$5="RenewalSpike",$Z$6,INDEX(Assumptions!$D$73:$F$73,$Z$4))</f>
        <v/>
      </c>
      <c r="AA51" s="37">
        <f>IF($AA$5="RenewalSpike",$AA$6,INDEX(Assumptions!$D$73:$F$73,$AA$4))</f>
        <v/>
      </c>
      <c r="AB51" s="37">
        <f>IF($AB$5="RenewalSpike",$AB$6,INDEX(Assumptions!$D$73:$F$73,$AB$4))</f>
        <v/>
      </c>
      <c r="AC51" s="37">
        <f>IF($AC$5="RenewalSpike",$AC$6,INDEX(Assumptions!$D$73:$F$73,$AC$4))</f>
        <v/>
      </c>
      <c r="AD51" s="37">
        <f>IF($AD$5="RenewalSpike",$AD$6,INDEX(Assumptions!$D$73:$F$73,$AD$4))</f>
        <v/>
      </c>
      <c r="AE51" s="37">
        <f>IF($AE$5="RenewalSpike",$AE$6,INDEX(Assumptions!$D$73:$F$73,$AE$4))</f>
        <v/>
      </c>
      <c r="AF51" s="37">
        <f>IF($AF$5="RenewalSpike",$AF$6,INDEX(Assumptions!$D$73:$F$73,$AF$4))</f>
        <v/>
      </c>
      <c r="AG51" s="37">
        <f>IF($AG$5="RenewalSpike",$AG$6,INDEX(Assumptions!$D$73:$F$73,$AG$4))</f>
        <v/>
      </c>
      <c r="AH51" s="37">
        <f>IF($AH$5="RenewalSpike",$AH$6,INDEX(Assumptions!$D$73:$F$73,$AH$4))</f>
        <v/>
      </c>
      <c r="AI51" s="37">
        <f>IF($AI$5="RenewalSpike",$AI$6,INDEX(Assumptions!$D$73:$F$73,$AI$4))</f>
        <v/>
      </c>
      <c r="AJ51" s="37">
        <f>IF($AJ$5="RenewalSpike",$AJ$6,INDEX(Assumptions!$D$73:$F$73,$AJ$4))</f>
        <v/>
      </c>
      <c r="AK51" s="37">
        <f>IF($AK$5="RenewalSpike",$AK$6,INDEX(Assumptions!$D$73:$F$73,$AK$4))</f>
        <v/>
      </c>
      <c r="AL51" s="37">
        <f>IF($AL$5="RenewalSpike",$AL$6,INDEX(Assumptions!$D$73:$F$73,$AL$4))</f>
        <v/>
      </c>
      <c r="AM51" s="37">
        <f>IF($AM$5="RenewalSpike",$AM$6,INDEX(Assumptions!$D$73:$F$73,$AM$4))</f>
        <v/>
      </c>
      <c r="AN51" s="37">
        <f>IF($AN$5="RenewalSpike",$AN$6,INDEX(Assumptions!$D$73:$F$73,$AN$4))</f>
        <v/>
      </c>
      <c r="AO51" s="37">
        <f>IF($AO$5="RenewalSpike",$AO$6,INDEX(Assumptions!$D$73:$F$73,$AO$4))</f>
        <v/>
      </c>
      <c r="AP51" s="37">
        <f>IF($AP$5="RenewalSpike",$AP$6,INDEX(Assumptions!$D$73:$F$73,$AP$4))</f>
        <v/>
      </c>
      <c r="AQ51" s="37">
        <f>IF($AQ$5="RenewalSpike",$AQ$6,INDEX(Assumptions!$D$73:$F$73,$AQ$4))</f>
        <v/>
      </c>
      <c r="AR51" s="37">
        <f>IF($AR$5="RenewalSpike",$AR$6,INDEX(Assumptions!$D$73:$F$73,$AR$4))</f>
        <v/>
      </c>
      <c r="AS51" s="37">
        <f>IF($AS$5="RenewalSpike",$AS$6,INDEX(Assumptions!$D$73:$F$73,$AS$4))</f>
        <v/>
      </c>
      <c r="AT51" s="37">
        <f>IF($AT$5="RenewalSpike",$AT$6,INDEX(Assumptions!$D$73:$F$73,$AT$4))</f>
        <v/>
      </c>
      <c r="AU51" s="37">
        <f>IF($AU$5="RenewalSpike",$AU$6,INDEX(Assumptions!$D$73:$F$73,$AU$4))</f>
        <v/>
      </c>
      <c r="AV51" s="37">
        <f>IF($AV$5="RenewalSpike",$AV$6,INDEX(Assumptions!$D$73:$F$73,$AV$4))</f>
        <v/>
      </c>
    </row>
    <row r="52">
      <c r="B52" s="5" t="inlineStr">
        <is>
          <t>CSM_CTC</t>
        </is>
      </c>
      <c r="D52" s="48">
        <f>IF($D$5="CSM_CTC",$D$6,INDEX(Assumptions!$D$62:$F$62,$D$4))</f>
        <v/>
      </c>
      <c r="E52" s="48">
        <f>IF($E$5="CSM_CTC",$E$6,INDEX(Assumptions!$D$62:$F$62,$E$4))</f>
        <v/>
      </c>
      <c r="F52" s="48">
        <f>IF($F$5="CSM_CTC",$F$6,INDEX(Assumptions!$D$62:$F$62,$F$4))</f>
        <v/>
      </c>
      <c r="G52" s="48">
        <f>IF($G$5="CSM_CTC",$G$6,INDEX(Assumptions!$D$62:$F$62,$G$4))</f>
        <v/>
      </c>
      <c r="H52" s="48">
        <f>IF($H$5="CSM_CTC",$H$6,INDEX(Assumptions!$D$62:$F$62,$H$4))</f>
        <v/>
      </c>
      <c r="I52" s="48">
        <f>IF($I$5="CSM_CTC",$I$6,INDEX(Assumptions!$D$62:$F$62,$I$4))</f>
        <v/>
      </c>
      <c r="J52" s="48">
        <f>IF($J$5="CSM_CTC",$J$6,INDEX(Assumptions!$D$62:$F$62,$J$4))</f>
        <v/>
      </c>
      <c r="K52" s="48">
        <f>IF($K$5="CSM_CTC",$K$6,INDEX(Assumptions!$D$62:$F$62,$K$4))</f>
        <v/>
      </c>
      <c r="L52" s="48">
        <f>IF($L$5="CSM_CTC",$L$6,INDEX(Assumptions!$D$62:$F$62,$L$4))</f>
        <v/>
      </c>
      <c r="M52" s="48">
        <f>IF($M$5="CSM_CTC",$M$6,INDEX(Assumptions!$D$62:$F$62,$M$4))</f>
        <v/>
      </c>
      <c r="N52" s="48">
        <f>IF($N$5="CSM_CTC",$N$6,INDEX(Assumptions!$D$62:$F$62,$N$4))</f>
        <v/>
      </c>
      <c r="O52" s="48">
        <f>IF($O$5="CSM_CTC",$O$6,INDEX(Assumptions!$D$62:$F$62,$O$4))</f>
        <v/>
      </c>
      <c r="P52" s="48">
        <f>IF($P$5="CSM_CTC",$P$6,INDEX(Assumptions!$D$62:$F$62,$P$4))</f>
        <v/>
      </c>
      <c r="Q52" s="48">
        <f>IF($Q$5="CSM_CTC",$Q$6,INDEX(Assumptions!$D$62:$F$62,$Q$4))</f>
        <v/>
      </c>
      <c r="R52" s="48">
        <f>IF($R$5="CSM_CTC",$R$6,INDEX(Assumptions!$D$62:$F$62,$R$4))</f>
        <v/>
      </c>
      <c r="S52" s="48">
        <f>IF($S$5="CSM_CTC",$S$6,INDEX(Assumptions!$D$62:$F$62,$S$4))</f>
        <v/>
      </c>
      <c r="T52" s="48">
        <f>IF($T$5="CSM_CTC",$T$6,INDEX(Assumptions!$D$62:$F$62,$T$4))</f>
        <v/>
      </c>
      <c r="U52" s="48">
        <f>IF($U$5="CSM_CTC",$U$6,INDEX(Assumptions!$D$62:$F$62,$U$4))</f>
        <v/>
      </c>
      <c r="V52" s="48">
        <f>IF($V$5="CSM_CTC",$V$6,INDEX(Assumptions!$D$62:$F$62,$V$4))</f>
        <v/>
      </c>
      <c r="W52" s="48">
        <f>IF($W$5="CSM_CTC",$W$6,INDEX(Assumptions!$D$62:$F$62,$W$4))</f>
        <v/>
      </c>
      <c r="X52" s="48">
        <f>IF($X$5="CSM_CTC",$X$6,INDEX(Assumptions!$D$62:$F$62,$X$4))</f>
        <v/>
      </c>
      <c r="Y52" s="48">
        <f>IF($Y$5="CSM_CTC",$Y$6,INDEX(Assumptions!$D$62:$F$62,$Y$4))</f>
        <v/>
      </c>
      <c r="Z52" s="48">
        <f>IF($Z$5="CSM_CTC",$Z$6,INDEX(Assumptions!$D$62:$F$62,$Z$4))</f>
        <v/>
      </c>
      <c r="AA52" s="48">
        <f>IF($AA$5="CSM_CTC",$AA$6,INDEX(Assumptions!$D$62:$F$62,$AA$4))</f>
        <v/>
      </c>
      <c r="AB52" s="48">
        <f>IF($AB$5="CSM_CTC",$AB$6,INDEX(Assumptions!$D$62:$F$62,$AB$4))</f>
        <v/>
      </c>
      <c r="AC52" s="48">
        <f>IF($AC$5="CSM_CTC",$AC$6,INDEX(Assumptions!$D$62:$F$62,$AC$4))</f>
        <v/>
      </c>
      <c r="AD52" s="48">
        <f>IF($AD$5="CSM_CTC",$AD$6,INDEX(Assumptions!$D$62:$F$62,$AD$4))</f>
        <v/>
      </c>
      <c r="AE52" s="48">
        <f>IF($AE$5="CSM_CTC",$AE$6,INDEX(Assumptions!$D$62:$F$62,$AE$4))</f>
        <v/>
      </c>
      <c r="AF52" s="48">
        <f>IF($AF$5="CSM_CTC",$AF$6,INDEX(Assumptions!$D$62:$F$62,$AF$4))</f>
        <v/>
      </c>
      <c r="AG52" s="48">
        <f>IF($AG$5="CSM_CTC",$AG$6,INDEX(Assumptions!$D$62:$F$62,$AG$4))</f>
        <v/>
      </c>
      <c r="AH52" s="48">
        <f>IF($AH$5="CSM_CTC",$AH$6,INDEX(Assumptions!$D$62:$F$62,$AH$4))</f>
        <v/>
      </c>
      <c r="AI52" s="48">
        <f>IF($AI$5="CSM_CTC",$AI$6,INDEX(Assumptions!$D$62:$F$62,$AI$4))</f>
        <v/>
      </c>
      <c r="AJ52" s="48">
        <f>IF($AJ$5="CSM_CTC",$AJ$6,INDEX(Assumptions!$D$62:$F$62,$AJ$4))</f>
        <v/>
      </c>
      <c r="AK52" s="48">
        <f>IF($AK$5="CSM_CTC",$AK$6,INDEX(Assumptions!$D$62:$F$62,$AK$4))</f>
        <v/>
      </c>
      <c r="AL52" s="48">
        <f>IF($AL$5="CSM_CTC",$AL$6,INDEX(Assumptions!$D$62:$F$62,$AL$4))</f>
        <v/>
      </c>
      <c r="AM52" s="48">
        <f>IF($AM$5="CSM_CTC",$AM$6,INDEX(Assumptions!$D$62:$F$62,$AM$4))</f>
        <v/>
      </c>
      <c r="AN52" s="48">
        <f>IF($AN$5="CSM_CTC",$AN$6,INDEX(Assumptions!$D$62:$F$62,$AN$4))</f>
        <v/>
      </c>
      <c r="AO52" s="48">
        <f>IF($AO$5="CSM_CTC",$AO$6,INDEX(Assumptions!$D$62:$F$62,$AO$4))</f>
        <v/>
      </c>
      <c r="AP52" s="48">
        <f>IF($AP$5="CSM_CTC",$AP$6,INDEX(Assumptions!$D$62:$F$62,$AP$4))</f>
        <v/>
      </c>
      <c r="AQ52" s="48">
        <f>IF($AQ$5="CSM_CTC",$AQ$6,INDEX(Assumptions!$D$62:$F$62,$AQ$4))</f>
        <v/>
      </c>
      <c r="AR52" s="48">
        <f>IF($AR$5="CSM_CTC",$AR$6,INDEX(Assumptions!$D$62:$F$62,$AR$4))</f>
        <v/>
      </c>
      <c r="AS52" s="48">
        <f>IF($AS$5="CSM_CTC",$AS$6,INDEX(Assumptions!$D$62:$F$62,$AS$4))</f>
        <v/>
      </c>
      <c r="AT52" s="48">
        <f>IF($AT$5="CSM_CTC",$AT$6,INDEX(Assumptions!$D$62:$F$62,$AT$4))</f>
        <v/>
      </c>
      <c r="AU52" s="48">
        <f>IF($AU$5="CSM_CTC",$AU$6,INDEX(Assumptions!$D$62:$F$62,$AU$4))</f>
        <v/>
      </c>
      <c r="AV52" s="48">
        <f>IF($AV$5="CSM_CTC",$AV$6,INDEX(Assumptions!$D$62:$F$62,$AV$4))</f>
        <v/>
      </c>
    </row>
    <row r="53">
      <c r="B53" s="5" t="inlineStr">
        <is>
          <t>InstPerCSM</t>
        </is>
      </c>
      <c r="D53" s="55">
        <f>IF($D$5="InstPerCSM",$D$6,INDEX(Assumptions!$D$63:$F$63,$D$4))</f>
        <v/>
      </c>
      <c r="E53" s="55">
        <f>IF($E$5="InstPerCSM",$E$6,INDEX(Assumptions!$D$63:$F$63,$E$4))</f>
        <v/>
      </c>
      <c r="F53" s="55">
        <f>IF($F$5="InstPerCSM",$F$6,INDEX(Assumptions!$D$63:$F$63,$F$4))</f>
        <v/>
      </c>
      <c r="G53" s="55">
        <f>IF($G$5="InstPerCSM",$G$6,INDEX(Assumptions!$D$63:$F$63,$G$4))</f>
        <v/>
      </c>
      <c r="H53" s="55">
        <f>IF($H$5="InstPerCSM",$H$6,INDEX(Assumptions!$D$63:$F$63,$H$4))</f>
        <v/>
      </c>
      <c r="I53" s="55">
        <f>IF($I$5="InstPerCSM",$I$6,INDEX(Assumptions!$D$63:$F$63,$I$4))</f>
        <v/>
      </c>
      <c r="J53" s="55">
        <f>IF($J$5="InstPerCSM",$J$6,INDEX(Assumptions!$D$63:$F$63,$J$4))</f>
        <v/>
      </c>
      <c r="K53" s="55">
        <f>IF($K$5="InstPerCSM",$K$6,INDEX(Assumptions!$D$63:$F$63,$K$4))</f>
        <v/>
      </c>
      <c r="L53" s="55">
        <f>IF($L$5="InstPerCSM",$L$6,INDEX(Assumptions!$D$63:$F$63,$L$4))</f>
        <v/>
      </c>
      <c r="M53" s="55">
        <f>IF($M$5="InstPerCSM",$M$6,INDEX(Assumptions!$D$63:$F$63,$M$4))</f>
        <v/>
      </c>
      <c r="N53" s="55">
        <f>IF($N$5="InstPerCSM",$N$6,INDEX(Assumptions!$D$63:$F$63,$N$4))</f>
        <v/>
      </c>
      <c r="O53" s="55">
        <f>IF($O$5="InstPerCSM",$O$6,INDEX(Assumptions!$D$63:$F$63,$O$4))</f>
        <v/>
      </c>
      <c r="P53" s="55">
        <f>IF($P$5="InstPerCSM",$P$6,INDEX(Assumptions!$D$63:$F$63,$P$4))</f>
        <v/>
      </c>
      <c r="Q53" s="55">
        <f>IF($Q$5="InstPerCSM",$Q$6,INDEX(Assumptions!$D$63:$F$63,$Q$4))</f>
        <v/>
      </c>
      <c r="R53" s="55">
        <f>IF($R$5="InstPerCSM",$R$6,INDEX(Assumptions!$D$63:$F$63,$R$4))</f>
        <v/>
      </c>
      <c r="S53" s="55">
        <f>IF($S$5="InstPerCSM",$S$6,INDEX(Assumptions!$D$63:$F$63,$S$4))</f>
        <v/>
      </c>
      <c r="T53" s="55">
        <f>IF($T$5="InstPerCSM",$T$6,INDEX(Assumptions!$D$63:$F$63,$T$4))</f>
        <v/>
      </c>
      <c r="U53" s="55">
        <f>IF($U$5="InstPerCSM",$U$6,INDEX(Assumptions!$D$63:$F$63,$U$4))</f>
        <v/>
      </c>
      <c r="V53" s="55">
        <f>IF($V$5="InstPerCSM",$V$6,INDEX(Assumptions!$D$63:$F$63,$V$4))</f>
        <v/>
      </c>
      <c r="W53" s="55">
        <f>IF($W$5="InstPerCSM",$W$6,INDEX(Assumptions!$D$63:$F$63,$W$4))</f>
        <v/>
      </c>
      <c r="X53" s="55">
        <f>IF($X$5="InstPerCSM",$X$6,INDEX(Assumptions!$D$63:$F$63,$X$4))</f>
        <v/>
      </c>
      <c r="Y53" s="55">
        <f>IF($Y$5="InstPerCSM",$Y$6,INDEX(Assumptions!$D$63:$F$63,$Y$4))</f>
        <v/>
      </c>
      <c r="Z53" s="55">
        <f>IF($Z$5="InstPerCSM",$Z$6,INDEX(Assumptions!$D$63:$F$63,$Z$4))</f>
        <v/>
      </c>
      <c r="AA53" s="55">
        <f>IF($AA$5="InstPerCSM",$AA$6,INDEX(Assumptions!$D$63:$F$63,$AA$4))</f>
        <v/>
      </c>
      <c r="AB53" s="55">
        <f>IF($AB$5="InstPerCSM",$AB$6,INDEX(Assumptions!$D$63:$F$63,$AB$4))</f>
        <v/>
      </c>
      <c r="AC53" s="55">
        <f>IF($AC$5="InstPerCSM",$AC$6,INDEX(Assumptions!$D$63:$F$63,$AC$4))</f>
        <v/>
      </c>
      <c r="AD53" s="55">
        <f>IF($AD$5="InstPerCSM",$AD$6,INDEX(Assumptions!$D$63:$F$63,$AD$4))</f>
        <v/>
      </c>
      <c r="AE53" s="55">
        <f>IF($AE$5="InstPerCSM",$AE$6,INDEX(Assumptions!$D$63:$F$63,$AE$4))</f>
        <v/>
      </c>
      <c r="AF53" s="55">
        <f>IF($AF$5="InstPerCSM",$AF$6,INDEX(Assumptions!$D$63:$F$63,$AF$4))</f>
        <v/>
      </c>
      <c r="AG53" s="55">
        <f>IF($AG$5="InstPerCSM",$AG$6,INDEX(Assumptions!$D$63:$F$63,$AG$4))</f>
        <v/>
      </c>
      <c r="AH53" s="55">
        <f>IF($AH$5="InstPerCSM",$AH$6,INDEX(Assumptions!$D$63:$F$63,$AH$4))</f>
        <v/>
      </c>
      <c r="AI53" s="55">
        <f>IF($AI$5="InstPerCSM",$AI$6,INDEX(Assumptions!$D$63:$F$63,$AI$4))</f>
        <v/>
      </c>
      <c r="AJ53" s="55">
        <f>IF($AJ$5="InstPerCSM",$AJ$6,INDEX(Assumptions!$D$63:$F$63,$AJ$4))</f>
        <v/>
      </c>
      <c r="AK53" s="55">
        <f>IF($AK$5="InstPerCSM",$AK$6,INDEX(Assumptions!$D$63:$F$63,$AK$4))</f>
        <v/>
      </c>
      <c r="AL53" s="55">
        <f>IF($AL$5="InstPerCSM",$AL$6,INDEX(Assumptions!$D$63:$F$63,$AL$4))</f>
        <v/>
      </c>
      <c r="AM53" s="55">
        <f>IF($AM$5="InstPerCSM",$AM$6,INDEX(Assumptions!$D$63:$F$63,$AM$4))</f>
        <v/>
      </c>
      <c r="AN53" s="55">
        <f>IF($AN$5="InstPerCSM",$AN$6,INDEX(Assumptions!$D$63:$F$63,$AN$4))</f>
        <v/>
      </c>
      <c r="AO53" s="55">
        <f>IF($AO$5="InstPerCSM",$AO$6,INDEX(Assumptions!$D$63:$F$63,$AO$4))</f>
        <v/>
      </c>
      <c r="AP53" s="55">
        <f>IF($AP$5="InstPerCSM",$AP$6,INDEX(Assumptions!$D$63:$F$63,$AP$4))</f>
        <v/>
      </c>
      <c r="AQ53" s="55">
        <f>IF($AQ$5="InstPerCSM",$AQ$6,INDEX(Assumptions!$D$63:$F$63,$AQ$4))</f>
        <v/>
      </c>
      <c r="AR53" s="55">
        <f>IF($AR$5="InstPerCSM",$AR$6,INDEX(Assumptions!$D$63:$F$63,$AR$4))</f>
        <v/>
      </c>
      <c r="AS53" s="55">
        <f>IF($AS$5="InstPerCSM",$AS$6,INDEX(Assumptions!$D$63:$F$63,$AS$4))</f>
        <v/>
      </c>
      <c r="AT53" s="55">
        <f>IF($AT$5="InstPerCSM",$AT$6,INDEX(Assumptions!$D$63:$F$63,$AT$4))</f>
        <v/>
      </c>
      <c r="AU53" s="55">
        <f>IF($AU$5="InstPerCSM",$AU$6,INDEX(Assumptions!$D$63:$F$63,$AU$4))</f>
        <v/>
      </c>
      <c r="AV53" s="55">
        <f>IF($AV$5="InstPerCSM",$AV$6,INDEX(Assumptions!$D$63:$F$63,$AV$4))</f>
        <v/>
      </c>
    </row>
    <row r="54">
      <c r="B54" s="5" t="inlineStr">
        <is>
          <t>RepCTC</t>
        </is>
      </c>
      <c r="D54" s="48">
        <f>IF($D$5="RepCTC",$D$6,INDEX(Assumptions!$D$64:$F$64,$D$4))</f>
        <v/>
      </c>
      <c r="E54" s="48">
        <f>IF($E$5="RepCTC",$E$6,INDEX(Assumptions!$D$64:$F$64,$E$4))</f>
        <v/>
      </c>
      <c r="F54" s="48">
        <f>IF($F$5="RepCTC",$F$6,INDEX(Assumptions!$D$64:$F$64,$F$4))</f>
        <v/>
      </c>
      <c r="G54" s="48">
        <f>IF($G$5="RepCTC",$G$6,INDEX(Assumptions!$D$64:$F$64,$G$4))</f>
        <v/>
      </c>
      <c r="H54" s="48">
        <f>IF($H$5="RepCTC",$H$6,INDEX(Assumptions!$D$64:$F$64,$H$4))</f>
        <v/>
      </c>
      <c r="I54" s="48">
        <f>IF($I$5="RepCTC",$I$6,INDEX(Assumptions!$D$64:$F$64,$I$4))</f>
        <v/>
      </c>
      <c r="J54" s="48">
        <f>IF($J$5="RepCTC",$J$6,INDEX(Assumptions!$D$64:$F$64,$J$4))</f>
        <v/>
      </c>
      <c r="K54" s="48">
        <f>IF($K$5="RepCTC",$K$6,INDEX(Assumptions!$D$64:$F$64,$K$4))</f>
        <v/>
      </c>
      <c r="L54" s="48">
        <f>IF($L$5="RepCTC",$L$6,INDEX(Assumptions!$D$64:$F$64,$L$4))</f>
        <v/>
      </c>
      <c r="M54" s="48">
        <f>IF($M$5="RepCTC",$M$6,INDEX(Assumptions!$D$64:$F$64,$M$4))</f>
        <v/>
      </c>
      <c r="N54" s="48">
        <f>IF($N$5="RepCTC",$N$6,INDEX(Assumptions!$D$64:$F$64,$N$4))</f>
        <v/>
      </c>
      <c r="O54" s="48">
        <f>IF($O$5="RepCTC",$O$6,INDEX(Assumptions!$D$64:$F$64,$O$4))</f>
        <v/>
      </c>
      <c r="P54" s="48">
        <f>IF($P$5="RepCTC",$P$6,INDEX(Assumptions!$D$64:$F$64,$P$4))</f>
        <v/>
      </c>
      <c r="Q54" s="48">
        <f>IF($Q$5="RepCTC",$Q$6,INDEX(Assumptions!$D$64:$F$64,$Q$4))</f>
        <v/>
      </c>
      <c r="R54" s="48">
        <f>IF($R$5="RepCTC",$R$6,INDEX(Assumptions!$D$64:$F$64,$R$4))</f>
        <v/>
      </c>
      <c r="S54" s="48">
        <f>IF($S$5="RepCTC",$S$6,INDEX(Assumptions!$D$64:$F$64,$S$4))</f>
        <v/>
      </c>
      <c r="T54" s="48">
        <f>IF($T$5="RepCTC",$T$6,INDEX(Assumptions!$D$64:$F$64,$T$4))</f>
        <v/>
      </c>
      <c r="U54" s="48">
        <f>IF($U$5="RepCTC",$U$6,INDEX(Assumptions!$D$64:$F$64,$U$4))</f>
        <v/>
      </c>
      <c r="V54" s="48">
        <f>IF($V$5="RepCTC",$V$6,INDEX(Assumptions!$D$64:$F$64,$V$4))</f>
        <v/>
      </c>
      <c r="W54" s="48">
        <f>IF($W$5="RepCTC",$W$6,INDEX(Assumptions!$D$64:$F$64,$W$4))</f>
        <v/>
      </c>
      <c r="X54" s="48">
        <f>IF($X$5="RepCTC",$X$6,INDEX(Assumptions!$D$64:$F$64,$X$4))</f>
        <v/>
      </c>
      <c r="Y54" s="48">
        <f>IF($Y$5="RepCTC",$Y$6,INDEX(Assumptions!$D$64:$F$64,$Y$4))</f>
        <v/>
      </c>
      <c r="Z54" s="48">
        <f>IF($Z$5="RepCTC",$Z$6,INDEX(Assumptions!$D$64:$F$64,$Z$4))</f>
        <v/>
      </c>
      <c r="AA54" s="48">
        <f>IF($AA$5="RepCTC",$AA$6,INDEX(Assumptions!$D$64:$F$64,$AA$4))</f>
        <v/>
      </c>
      <c r="AB54" s="48">
        <f>IF($AB$5="RepCTC",$AB$6,INDEX(Assumptions!$D$64:$F$64,$AB$4))</f>
        <v/>
      </c>
      <c r="AC54" s="48">
        <f>IF($AC$5="RepCTC",$AC$6,INDEX(Assumptions!$D$64:$F$64,$AC$4))</f>
        <v/>
      </c>
      <c r="AD54" s="48">
        <f>IF($AD$5="RepCTC",$AD$6,INDEX(Assumptions!$D$64:$F$64,$AD$4))</f>
        <v/>
      </c>
      <c r="AE54" s="48">
        <f>IF($AE$5="RepCTC",$AE$6,INDEX(Assumptions!$D$64:$F$64,$AE$4))</f>
        <v/>
      </c>
      <c r="AF54" s="48">
        <f>IF($AF$5="RepCTC",$AF$6,INDEX(Assumptions!$D$64:$F$64,$AF$4))</f>
        <v/>
      </c>
      <c r="AG54" s="48">
        <f>IF($AG$5="RepCTC",$AG$6,INDEX(Assumptions!$D$64:$F$64,$AG$4))</f>
        <v/>
      </c>
      <c r="AH54" s="48">
        <f>IF($AH$5="RepCTC",$AH$6,INDEX(Assumptions!$D$64:$F$64,$AH$4))</f>
        <v/>
      </c>
      <c r="AI54" s="48">
        <f>IF($AI$5="RepCTC",$AI$6,INDEX(Assumptions!$D$64:$F$64,$AI$4))</f>
        <v/>
      </c>
      <c r="AJ54" s="48">
        <f>IF($AJ$5="RepCTC",$AJ$6,INDEX(Assumptions!$D$64:$F$64,$AJ$4))</f>
        <v/>
      </c>
      <c r="AK54" s="48">
        <f>IF($AK$5="RepCTC",$AK$6,INDEX(Assumptions!$D$64:$F$64,$AK$4))</f>
        <v/>
      </c>
      <c r="AL54" s="48">
        <f>IF($AL$5="RepCTC",$AL$6,INDEX(Assumptions!$D$64:$F$64,$AL$4))</f>
        <v/>
      </c>
      <c r="AM54" s="48">
        <f>IF($AM$5="RepCTC",$AM$6,INDEX(Assumptions!$D$64:$F$64,$AM$4))</f>
        <v/>
      </c>
      <c r="AN54" s="48">
        <f>IF($AN$5="RepCTC",$AN$6,INDEX(Assumptions!$D$64:$F$64,$AN$4))</f>
        <v/>
      </c>
      <c r="AO54" s="48">
        <f>IF($AO$5="RepCTC",$AO$6,INDEX(Assumptions!$D$64:$F$64,$AO$4))</f>
        <v/>
      </c>
      <c r="AP54" s="48">
        <f>IF($AP$5="RepCTC",$AP$6,INDEX(Assumptions!$D$64:$F$64,$AP$4))</f>
        <v/>
      </c>
      <c r="AQ54" s="48">
        <f>IF($AQ$5="RepCTC",$AQ$6,INDEX(Assumptions!$D$64:$F$64,$AQ$4))</f>
        <v/>
      </c>
      <c r="AR54" s="48">
        <f>IF($AR$5="RepCTC",$AR$6,INDEX(Assumptions!$D$64:$F$64,$AR$4))</f>
        <v/>
      </c>
      <c r="AS54" s="48">
        <f>IF($AS$5="RepCTC",$AS$6,INDEX(Assumptions!$D$64:$F$64,$AS$4))</f>
        <v/>
      </c>
      <c r="AT54" s="48">
        <f>IF($AT$5="RepCTC",$AT$6,INDEX(Assumptions!$D$64:$F$64,$AT$4))</f>
        <v/>
      </c>
      <c r="AU54" s="48">
        <f>IF($AU$5="RepCTC",$AU$6,INDEX(Assumptions!$D$64:$F$64,$AU$4))</f>
        <v/>
      </c>
      <c r="AV54" s="48">
        <f>IF($AV$5="RepCTC",$AV$6,INDEX(Assumptions!$D$64:$F$64,$AV$4))</f>
        <v/>
      </c>
    </row>
    <row r="55">
      <c r="B55" s="5" t="inlineStr">
        <is>
          <t>RepTravel</t>
        </is>
      </c>
      <c r="D55" s="48">
        <f>IF($D$5="RepTravel",$D$6,INDEX(Assumptions!$D$65:$F$65,$D$4))</f>
        <v/>
      </c>
      <c r="E55" s="48">
        <f>IF($E$5="RepTravel",$E$6,INDEX(Assumptions!$D$65:$F$65,$E$4))</f>
        <v/>
      </c>
      <c r="F55" s="48">
        <f>IF($F$5="RepTravel",$F$6,INDEX(Assumptions!$D$65:$F$65,$F$4))</f>
        <v/>
      </c>
      <c r="G55" s="48">
        <f>IF($G$5="RepTravel",$G$6,INDEX(Assumptions!$D$65:$F$65,$G$4))</f>
        <v/>
      </c>
      <c r="H55" s="48">
        <f>IF($H$5="RepTravel",$H$6,INDEX(Assumptions!$D$65:$F$65,$H$4))</f>
        <v/>
      </c>
      <c r="I55" s="48">
        <f>IF($I$5="RepTravel",$I$6,INDEX(Assumptions!$D$65:$F$65,$I$4))</f>
        <v/>
      </c>
      <c r="J55" s="48">
        <f>IF($J$5="RepTravel",$J$6,INDEX(Assumptions!$D$65:$F$65,$J$4))</f>
        <v/>
      </c>
      <c r="K55" s="48">
        <f>IF($K$5="RepTravel",$K$6,INDEX(Assumptions!$D$65:$F$65,$K$4))</f>
        <v/>
      </c>
      <c r="L55" s="48">
        <f>IF($L$5="RepTravel",$L$6,INDEX(Assumptions!$D$65:$F$65,$L$4))</f>
        <v/>
      </c>
      <c r="M55" s="48">
        <f>IF($M$5="RepTravel",$M$6,INDEX(Assumptions!$D$65:$F$65,$M$4))</f>
        <v/>
      </c>
      <c r="N55" s="48">
        <f>IF($N$5="RepTravel",$N$6,INDEX(Assumptions!$D$65:$F$65,$N$4))</f>
        <v/>
      </c>
      <c r="O55" s="48">
        <f>IF($O$5="RepTravel",$O$6,INDEX(Assumptions!$D$65:$F$65,$O$4))</f>
        <v/>
      </c>
      <c r="P55" s="48">
        <f>IF($P$5="RepTravel",$P$6,INDEX(Assumptions!$D$65:$F$65,$P$4))</f>
        <v/>
      </c>
      <c r="Q55" s="48">
        <f>IF($Q$5="RepTravel",$Q$6,INDEX(Assumptions!$D$65:$F$65,$Q$4))</f>
        <v/>
      </c>
      <c r="R55" s="48">
        <f>IF($R$5="RepTravel",$R$6,INDEX(Assumptions!$D$65:$F$65,$R$4))</f>
        <v/>
      </c>
      <c r="S55" s="48">
        <f>IF($S$5="RepTravel",$S$6,INDEX(Assumptions!$D$65:$F$65,$S$4))</f>
        <v/>
      </c>
      <c r="T55" s="48">
        <f>IF($T$5="RepTravel",$T$6,INDEX(Assumptions!$D$65:$F$65,$T$4))</f>
        <v/>
      </c>
      <c r="U55" s="48">
        <f>IF($U$5="RepTravel",$U$6,INDEX(Assumptions!$D$65:$F$65,$U$4))</f>
        <v/>
      </c>
      <c r="V55" s="48">
        <f>IF($V$5="RepTravel",$V$6,INDEX(Assumptions!$D$65:$F$65,$V$4))</f>
        <v/>
      </c>
      <c r="W55" s="48">
        <f>IF($W$5="RepTravel",$W$6,INDEX(Assumptions!$D$65:$F$65,$W$4))</f>
        <v/>
      </c>
      <c r="X55" s="48">
        <f>IF($X$5="RepTravel",$X$6,INDEX(Assumptions!$D$65:$F$65,$X$4))</f>
        <v/>
      </c>
      <c r="Y55" s="48">
        <f>IF($Y$5="RepTravel",$Y$6,INDEX(Assumptions!$D$65:$F$65,$Y$4))</f>
        <v/>
      </c>
      <c r="Z55" s="48">
        <f>IF($Z$5="RepTravel",$Z$6,INDEX(Assumptions!$D$65:$F$65,$Z$4))</f>
        <v/>
      </c>
      <c r="AA55" s="48">
        <f>IF($AA$5="RepTravel",$AA$6,INDEX(Assumptions!$D$65:$F$65,$AA$4))</f>
        <v/>
      </c>
      <c r="AB55" s="48">
        <f>IF($AB$5="RepTravel",$AB$6,INDEX(Assumptions!$D$65:$F$65,$AB$4))</f>
        <v/>
      </c>
      <c r="AC55" s="48">
        <f>IF($AC$5="RepTravel",$AC$6,INDEX(Assumptions!$D$65:$F$65,$AC$4))</f>
        <v/>
      </c>
      <c r="AD55" s="48">
        <f>IF($AD$5="RepTravel",$AD$6,INDEX(Assumptions!$D$65:$F$65,$AD$4))</f>
        <v/>
      </c>
      <c r="AE55" s="48">
        <f>IF($AE$5="RepTravel",$AE$6,INDEX(Assumptions!$D$65:$F$65,$AE$4))</f>
        <v/>
      </c>
      <c r="AF55" s="48">
        <f>IF($AF$5="RepTravel",$AF$6,INDEX(Assumptions!$D$65:$F$65,$AF$4))</f>
        <v/>
      </c>
      <c r="AG55" s="48">
        <f>IF($AG$5="RepTravel",$AG$6,INDEX(Assumptions!$D$65:$F$65,$AG$4))</f>
        <v/>
      </c>
      <c r="AH55" s="48">
        <f>IF($AH$5="RepTravel",$AH$6,INDEX(Assumptions!$D$65:$F$65,$AH$4))</f>
        <v/>
      </c>
      <c r="AI55" s="48">
        <f>IF($AI$5="RepTravel",$AI$6,INDEX(Assumptions!$D$65:$F$65,$AI$4))</f>
        <v/>
      </c>
      <c r="AJ55" s="48">
        <f>IF($AJ$5="RepTravel",$AJ$6,INDEX(Assumptions!$D$65:$F$65,$AJ$4))</f>
        <v/>
      </c>
      <c r="AK55" s="48">
        <f>IF($AK$5="RepTravel",$AK$6,INDEX(Assumptions!$D$65:$F$65,$AK$4))</f>
        <v/>
      </c>
      <c r="AL55" s="48">
        <f>IF($AL$5="RepTravel",$AL$6,INDEX(Assumptions!$D$65:$F$65,$AL$4))</f>
        <v/>
      </c>
      <c r="AM55" s="48">
        <f>IF($AM$5="RepTravel",$AM$6,INDEX(Assumptions!$D$65:$F$65,$AM$4))</f>
        <v/>
      </c>
      <c r="AN55" s="48">
        <f>IF($AN$5="RepTravel",$AN$6,INDEX(Assumptions!$D$65:$F$65,$AN$4))</f>
        <v/>
      </c>
      <c r="AO55" s="48">
        <f>IF($AO$5="RepTravel",$AO$6,INDEX(Assumptions!$D$65:$F$65,$AO$4))</f>
        <v/>
      </c>
      <c r="AP55" s="48">
        <f>IF($AP$5="RepTravel",$AP$6,INDEX(Assumptions!$D$65:$F$65,$AP$4))</f>
        <v/>
      </c>
      <c r="AQ55" s="48">
        <f>IF($AQ$5="RepTravel",$AQ$6,INDEX(Assumptions!$D$65:$F$65,$AQ$4))</f>
        <v/>
      </c>
      <c r="AR55" s="48">
        <f>IF($AR$5="RepTravel",$AR$6,INDEX(Assumptions!$D$65:$F$65,$AR$4))</f>
        <v/>
      </c>
      <c r="AS55" s="48">
        <f>IF($AS$5="RepTravel",$AS$6,INDEX(Assumptions!$D$65:$F$65,$AS$4))</f>
        <v/>
      </c>
      <c r="AT55" s="48">
        <f>IF($AT$5="RepTravel",$AT$6,INDEX(Assumptions!$D$65:$F$65,$AT$4))</f>
        <v/>
      </c>
      <c r="AU55" s="48">
        <f>IF($AU$5="RepTravel",$AU$6,INDEX(Assumptions!$D$65:$F$65,$AU$4))</f>
        <v/>
      </c>
      <c r="AV55" s="48">
        <f>IF($AV$5="RepTravel",$AV$6,INDEX(Assumptions!$D$65:$F$65,$AV$4))</f>
        <v/>
      </c>
    </row>
    <row r="56">
      <c r="B56" s="5" t="inlineStr">
        <is>
          <t>PilotsPerRepMonth</t>
        </is>
      </c>
      <c r="D56" s="51">
        <f>IF($D$5="PilotsPerRepMonth",$D$6,INDEX(Assumptions!$D$66:$F$66,$D$4))</f>
        <v/>
      </c>
      <c r="E56" s="51">
        <f>IF($E$5="PilotsPerRepMonth",$E$6,INDEX(Assumptions!$D$66:$F$66,$E$4))</f>
        <v/>
      </c>
      <c r="F56" s="51">
        <f>IF($F$5="PilotsPerRepMonth",$F$6,INDEX(Assumptions!$D$66:$F$66,$F$4))</f>
        <v/>
      </c>
      <c r="G56" s="51">
        <f>IF($G$5="PilotsPerRepMonth",$G$6,INDEX(Assumptions!$D$66:$F$66,$G$4))</f>
        <v/>
      </c>
      <c r="H56" s="51">
        <f>IF($H$5="PilotsPerRepMonth",$H$6,INDEX(Assumptions!$D$66:$F$66,$H$4))</f>
        <v/>
      </c>
      <c r="I56" s="51">
        <f>IF($I$5="PilotsPerRepMonth",$I$6,INDEX(Assumptions!$D$66:$F$66,$I$4))</f>
        <v/>
      </c>
      <c r="J56" s="51">
        <f>IF($J$5="PilotsPerRepMonth",$J$6,INDEX(Assumptions!$D$66:$F$66,$J$4))</f>
        <v/>
      </c>
      <c r="K56" s="51">
        <f>IF($K$5="PilotsPerRepMonth",$K$6,INDEX(Assumptions!$D$66:$F$66,$K$4))</f>
        <v/>
      </c>
      <c r="L56" s="51">
        <f>IF($L$5="PilotsPerRepMonth",$L$6,INDEX(Assumptions!$D$66:$F$66,$L$4))</f>
        <v/>
      </c>
      <c r="M56" s="51">
        <f>IF($M$5="PilotsPerRepMonth",$M$6,INDEX(Assumptions!$D$66:$F$66,$M$4))</f>
        <v/>
      </c>
      <c r="N56" s="51">
        <f>IF($N$5="PilotsPerRepMonth",$N$6,INDEX(Assumptions!$D$66:$F$66,$N$4))</f>
        <v/>
      </c>
      <c r="O56" s="51">
        <f>IF($O$5="PilotsPerRepMonth",$O$6,INDEX(Assumptions!$D$66:$F$66,$O$4))</f>
        <v/>
      </c>
      <c r="P56" s="51">
        <f>IF($P$5="PilotsPerRepMonth",$P$6,INDEX(Assumptions!$D$66:$F$66,$P$4))</f>
        <v/>
      </c>
      <c r="Q56" s="51">
        <f>IF($Q$5="PilotsPerRepMonth",$Q$6,INDEX(Assumptions!$D$66:$F$66,$Q$4))</f>
        <v/>
      </c>
      <c r="R56" s="51">
        <f>IF($R$5="PilotsPerRepMonth",$R$6,INDEX(Assumptions!$D$66:$F$66,$R$4))</f>
        <v/>
      </c>
      <c r="S56" s="51">
        <f>IF($S$5="PilotsPerRepMonth",$S$6,INDEX(Assumptions!$D$66:$F$66,$S$4))</f>
        <v/>
      </c>
      <c r="T56" s="51">
        <f>IF($T$5="PilotsPerRepMonth",$T$6,INDEX(Assumptions!$D$66:$F$66,$T$4))</f>
        <v/>
      </c>
      <c r="U56" s="51">
        <f>IF($U$5="PilotsPerRepMonth",$U$6,INDEX(Assumptions!$D$66:$F$66,$U$4))</f>
        <v/>
      </c>
      <c r="V56" s="51">
        <f>IF($V$5="PilotsPerRepMonth",$V$6,INDEX(Assumptions!$D$66:$F$66,$V$4))</f>
        <v/>
      </c>
      <c r="W56" s="51">
        <f>IF($W$5="PilotsPerRepMonth",$W$6,INDEX(Assumptions!$D$66:$F$66,$W$4))</f>
        <v/>
      </c>
      <c r="X56" s="51">
        <f>IF($X$5="PilotsPerRepMonth",$X$6,INDEX(Assumptions!$D$66:$F$66,$X$4))</f>
        <v/>
      </c>
      <c r="Y56" s="51">
        <f>IF($Y$5="PilotsPerRepMonth",$Y$6,INDEX(Assumptions!$D$66:$F$66,$Y$4))</f>
        <v/>
      </c>
      <c r="Z56" s="51">
        <f>IF($Z$5="PilotsPerRepMonth",$Z$6,INDEX(Assumptions!$D$66:$F$66,$Z$4))</f>
        <v/>
      </c>
      <c r="AA56" s="51">
        <f>IF($AA$5="PilotsPerRepMonth",$AA$6,INDEX(Assumptions!$D$66:$F$66,$AA$4))</f>
        <v/>
      </c>
      <c r="AB56" s="51">
        <f>IF($AB$5="PilotsPerRepMonth",$AB$6,INDEX(Assumptions!$D$66:$F$66,$AB$4))</f>
        <v/>
      </c>
      <c r="AC56" s="51">
        <f>IF($AC$5="PilotsPerRepMonth",$AC$6,INDEX(Assumptions!$D$66:$F$66,$AC$4))</f>
        <v/>
      </c>
      <c r="AD56" s="51">
        <f>IF($AD$5="PilotsPerRepMonth",$AD$6,INDEX(Assumptions!$D$66:$F$66,$AD$4))</f>
        <v/>
      </c>
      <c r="AE56" s="51">
        <f>IF($AE$5="PilotsPerRepMonth",$AE$6,INDEX(Assumptions!$D$66:$F$66,$AE$4))</f>
        <v/>
      </c>
      <c r="AF56" s="51">
        <f>IF($AF$5="PilotsPerRepMonth",$AF$6,INDEX(Assumptions!$D$66:$F$66,$AF$4))</f>
        <v/>
      </c>
      <c r="AG56" s="51">
        <f>IF($AG$5="PilotsPerRepMonth",$AG$6,INDEX(Assumptions!$D$66:$F$66,$AG$4))</f>
        <v/>
      </c>
      <c r="AH56" s="51">
        <f>IF($AH$5="PilotsPerRepMonth",$AH$6,INDEX(Assumptions!$D$66:$F$66,$AH$4))</f>
        <v/>
      </c>
      <c r="AI56" s="51">
        <f>IF($AI$5="PilotsPerRepMonth",$AI$6,INDEX(Assumptions!$D$66:$F$66,$AI$4))</f>
        <v/>
      </c>
      <c r="AJ56" s="51">
        <f>IF($AJ$5="PilotsPerRepMonth",$AJ$6,INDEX(Assumptions!$D$66:$F$66,$AJ$4))</f>
        <v/>
      </c>
      <c r="AK56" s="51">
        <f>IF($AK$5="PilotsPerRepMonth",$AK$6,INDEX(Assumptions!$D$66:$F$66,$AK$4))</f>
        <v/>
      </c>
      <c r="AL56" s="51">
        <f>IF($AL$5="PilotsPerRepMonth",$AL$6,INDEX(Assumptions!$D$66:$F$66,$AL$4))</f>
        <v/>
      </c>
      <c r="AM56" s="51">
        <f>IF($AM$5="PilotsPerRepMonth",$AM$6,INDEX(Assumptions!$D$66:$F$66,$AM$4))</f>
        <v/>
      </c>
      <c r="AN56" s="51">
        <f>IF($AN$5="PilotsPerRepMonth",$AN$6,INDEX(Assumptions!$D$66:$F$66,$AN$4))</f>
        <v/>
      </c>
      <c r="AO56" s="51">
        <f>IF($AO$5="PilotsPerRepMonth",$AO$6,INDEX(Assumptions!$D$66:$F$66,$AO$4))</f>
        <v/>
      </c>
      <c r="AP56" s="51">
        <f>IF($AP$5="PilotsPerRepMonth",$AP$6,INDEX(Assumptions!$D$66:$F$66,$AP$4))</f>
        <v/>
      </c>
      <c r="AQ56" s="51">
        <f>IF($AQ$5="PilotsPerRepMonth",$AQ$6,INDEX(Assumptions!$D$66:$F$66,$AQ$4))</f>
        <v/>
      </c>
      <c r="AR56" s="51">
        <f>IF($AR$5="PilotsPerRepMonth",$AR$6,INDEX(Assumptions!$D$66:$F$66,$AR$4))</f>
        <v/>
      </c>
      <c r="AS56" s="51">
        <f>IF($AS$5="PilotsPerRepMonth",$AS$6,INDEX(Assumptions!$D$66:$F$66,$AS$4))</f>
        <v/>
      </c>
      <c r="AT56" s="51">
        <f>IF($AT$5="PilotsPerRepMonth",$AT$6,INDEX(Assumptions!$D$66:$F$66,$AT$4))</f>
        <v/>
      </c>
      <c r="AU56" s="51">
        <f>IF($AU$5="PilotsPerRepMonth",$AU$6,INDEX(Assumptions!$D$66:$F$66,$AU$4))</f>
        <v/>
      </c>
      <c r="AV56" s="51">
        <f>IF($AV$5="PilotsPerRepMonth",$AV$6,INDEX(Assumptions!$D$66:$F$66,$AV$4))</f>
        <v/>
      </c>
    </row>
    <row r="57">
      <c r="B57" s="5" t="inlineStr">
        <is>
          <t>PilotConv</t>
        </is>
      </c>
      <c r="D57" s="37">
        <f>IF($D$5="PilotConv",$D$6,INDEX(Assumptions!$D$67:$F$67,$D$4))</f>
        <v/>
      </c>
      <c r="E57" s="37">
        <f>IF($E$5="PilotConv",$E$6,INDEX(Assumptions!$D$67:$F$67,$E$4))</f>
        <v/>
      </c>
      <c r="F57" s="37">
        <f>IF($F$5="PilotConv",$F$6,INDEX(Assumptions!$D$67:$F$67,$F$4))</f>
        <v/>
      </c>
      <c r="G57" s="37">
        <f>IF($G$5="PilotConv",$G$6,INDEX(Assumptions!$D$67:$F$67,$G$4))</f>
        <v/>
      </c>
      <c r="H57" s="37">
        <f>IF($H$5="PilotConv",$H$6,INDEX(Assumptions!$D$67:$F$67,$H$4))</f>
        <v/>
      </c>
      <c r="I57" s="37">
        <f>IF($I$5="PilotConv",$I$6,INDEX(Assumptions!$D$67:$F$67,$I$4))</f>
        <v/>
      </c>
      <c r="J57" s="37">
        <f>IF($J$5="PilotConv",$J$6,INDEX(Assumptions!$D$67:$F$67,$J$4))</f>
        <v/>
      </c>
      <c r="K57" s="37">
        <f>IF($K$5="PilotConv",$K$6,INDEX(Assumptions!$D$67:$F$67,$K$4))</f>
        <v/>
      </c>
      <c r="L57" s="37">
        <f>IF($L$5="PilotConv",$L$6,INDEX(Assumptions!$D$67:$F$67,$L$4))</f>
        <v/>
      </c>
      <c r="M57" s="37">
        <f>IF($M$5="PilotConv",$M$6,INDEX(Assumptions!$D$67:$F$67,$M$4))</f>
        <v/>
      </c>
      <c r="N57" s="37">
        <f>IF($N$5="PilotConv",$N$6,INDEX(Assumptions!$D$67:$F$67,$N$4))</f>
        <v/>
      </c>
      <c r="O57" s="37">
        <f>IF($O$5="PilotConv",$O$6,INDEX(Assumptions!$D$67:$F$67,$O$4))</f>
        <v/>
      </c>
      <c r="P57" s="37">
        <f>IF($P$5="PilotConv",$P$6,INDEX(Assumptions!$D$67:$F$67,$P$4))</f>
        <v/>
      </c>
      <c r="Q57" s="37">
        <f>IF($Q$5="PilotConv",$Q$6,INDEX(Assumptions!$D$67:$F$67,$Q$4))</f>
        <v/>
      </c>
      <c r="R57" s="37">
        <f>IF($R$5="PilotConv",$R$6,INDEX(Assumptions!$D$67:$F$67,$R$4))</f>
        <v/>
      </c>
      <c r="S57" s="37">
        <f>IF($S$5="PilotConv",$S$6,INDEX(Assumptions!$D$67:$F$67,$S$4))</f>
        <v/>
      </c>
      <c r="T57" s="37">
        <f>IF($T$5="PilotConv",$T$6,INDEX(Assumptions!$D$67:$F$67,$T$4))</f>
        <v/>
      </c>
      <c r="U57" s="37">
        <f>IF($U$5="PilotConv",$U$6,INDEX(Assumptions!$D$67:$F$67,$U$4))</f>
        <v/>
      </c>
      <c r="V57" s="37">
        <f>IF($V$5="PilotConv",$V$6,INDEX(Assumptions!$D$67:$F$67,$V$4))</f>
        <v/>
      </c>
      <c r="W57" s="37">
        <f>IF($W$5="PilotConv",$W$6,INDEX(Assumptions!$D$67:$F$67,$W$4))</f>
        <v/>
      </c>
      <c r="X57" s="37">
        <f>IF($X$5="PilotConv",$X$6,INDEX(Assumptions!$D$67:$F$67,$X$4))</f>
        <v/>
      </c>
      <c r="Y57" s="37">
        <f>IF($Y$5="PilotConv",$Y$6,INDEX(Assumptions!$D$67:$F$67,$Y$4))</f>
        <v/>
      </c>
      <c r="Z57" s="37">
        <f>IF($Z$5="PilotConv",$Z$6,INDEX(Assumptions!$D$67:$F$67,$Z$4))</f>
        <v/>
      </c>
      <c r="AA57" s="37">
        <f>IF($AA$5="PilotConv",$AA$6,INDEX(Assumptions!$D$67:$F$67,$AA$4))</f>
        <v/>
      </c>
      <c r="AB57" s="37">
        <f>IF($AB$5="PilotConv",$AB$6,INDEX(Assumptions!$D$67:$F$67,$AB$4))</f>
        <v/>
      </c>
      <c r="AC57" s="37">
        <f>IF($AC$5="PilotConv",$AC$6,INDEX(Assumptions!$D$67:$F$67,$AC$4))</f>
        <v/>
      </c>
      <c r="AD57" s="37">
        <f>IF($AD$5="PilotConv",$AD$6,INDEX(Assumptions!$D$67:$F$67,$AD$4))</f>
        <v/>
      </c>
      <c r="AE57" s="37">
        <f>IF($AE$5="PilotConv",$AE$6,INDEX(Assumptions!$D$67:$F$67,$AE$4))</f>
        <v/>
      </c>
      <c r="AF57" s="37">
        <f>IF($AF$5="PilotConv",$AF$6,INDEX(Assumptions!$D$67:$F$67,$AF$4))</f>
        <v/>
      </c>
      <c r="AG57" s="37">
        <f>IF($AG$5="PilotConv",$AG$6,INDEX(Assumptions!$D$67:$F$67,$AG$4))</f>
        <v/>
      </c>
      <c r="AH57" s="37">
        <f>IF($AH$5="PilotConv",$AH$6,INDEX(Assumptions!$D$67:$F$67,$AH$4))</f>
        <v/>
      </c>
      <c r="AI57" s="37">
        <f>IF($AI$5="PilotConv",$AI$6,INDEX(Assumptions!$D$67:$F$67,$AI$4))</f>
        <v/>
      </c>
      <c r="AJ57" s="37">
        <f>IF($AJ$5="PilotConv",$AJ$6,INDEX(Assumptions!$D$67:$F$67,$AJ$4))</f>
        <v/>
      </c>
      <c r="AK57" s="37">
        <f>IF($AK$5="PilotConv",$AK$6,INDEX(Assumptions!$D$67:$F$67,$AK$4))</f>
        <v/>
      </c>
      <c r="AL57" s="37">
        <f>IF($AL$5="PilotConv",$AL$6,INDEX(Assumptions!$D$67:$F$67,$AL$4))</f>
        <v/>
      </c>
      <c r="AM57" s="37">
        <f>IF($AM$5="PilotConv",$AM$6,INDEX(Assumptions!$D$67:$F$67,$AM$4))</f>
        <v/>
      </c>
      <c r="AN57" s="37">
        <f>IF($AN$5="PilotConv",$AN$6,INDEX(Assumptions!$D$67:$F$67,$AN$4))</f>
        <v/>
      </c>
      <c r="AO57" s="37">
        <f>IF($AO$5="PilotConv",$AO$6,INDEX(Assumptions!$D$67:$F$67,$AO$4))</f>
        <v/>
      </c>
      <c r="AP57" s="37">
        <f>IF($AP$5="PilotConv",$AP$6,INDEX(Assumptions!$D$67:$F$67,$AP$4))</f>
        <v/>
      </c>
      <c r="AQ57" s="37">
        <f>IF($AQ$5="PilotConv",$AQ$6,INDEX(Assumptions!$D$67:$F$67,$AQ$4))</f>
        <v/>
      </c>
      <c r="AR57" s="37">
        <f>IF($AR$5="PilotConv",$AR$6,INDEX(Assumptions!$D$67:$F$67,$AR$4))</f>
        <v/>
      </c>
      <c r="AS57" s="37">
        <f>IF($AS$5="PilotConv",$AS$6,INDEX(Assumptions!$D$67:$F$67,$AS$4))</f>
        <v/>
      </c>
      <c r="AT57" s="37">
        <f>IF($AT$5="PilotConv",$AT$6,INDEX(Assumptions!$D$67:$F$67,$AT$4))</f>
        <v/>
      </c>
      <c r="AU57" s="37">
        <f>IF($AU$5="PilotConv",$AU$6,INDEX(Assumptions!$D$67:$F$67,$AU$4))</f>
        <v/>
      </c>
      <c r="AV57" s="37">
        <f>IF($AV$5="PilotConv",$AV$6,INDEX(Assumptions!$D$67:$F$67,$AV$4))</f>
        <v/>
      </c>
    </row>
    <row r="58">
      <c r="B58" s="5" t="inlineStr">
        <is>
          <t>PilotMonths</t>
        </is>
      </c>
      <c r="D58" s="55">
        <f>IF($D$5="PilotMonths",$D$6,INDEX(Assumptions!$D$68:$F$68,$D$4))</f>
        <v/>
      </c>
      <c r="E58" s="55">
        <f>IF($E$5="PilotMonths",$E$6,INDEX(Assumptions!$D$68:$F$68,$E$4))</f>
        <v/>
      </c>
      <c r="F58" s="55">
        <f>IF($F$5="PilotMonths",$F$6,INDEX(Assumptions!$D$68:$F$68,$F$4))</f>
        <v/>
      </c>
      <c r="G58" s="55">
        <f>IF($G$5="PilotMonths",$G$6,INDEX(Assumptions!$D$68:$F$68,$G$4))</f>
        <v/>
      </c>
      <c r="H58" s="55">
        <f>IF($H$5="PilotMonths",$H$6,INDEX(Assumptions!$D$68:$F$68,$H$4))</f>
        <v/>
      </c>
      <c r="I58" s="55">
        <f>IF($I$5="PilotMonths",$I$6,INDEX(Assumptions!$D$68:$F$68,$I$4))</f>
        <v/>
      </c>
      <c r="J58" s="55">
        <f>IF($J$5="PilotMonths",$J$6,INDEX(Assumptions!$D$68:$F$68,$J$4))</f>
        <v/>
      </c>
      <c r="K58" s="55">
        <f>IF($K$5="PilotMonths",$K$6,INDEX(Assumptions!$D$68:$F$68,$K$4))</f>
        <v/>
      </c>
      <c r="L58" s="55">
        <f>IF($L$5="PilotMonths",$L$6,INDEX(Assumptions!$D$68:$F$68,$L$4))</f>
        <v/>
      </c>
      <c r="M58" s="55">
        <f>IF($M$5="PilotMonths",$M$6,INDEX(Assumptions!$D$68:$F$68,$M$4))</f>
        <v/>
      </c>
      <c r="N58" s="55">
        <f>IF($N$5="PilotMonths",$N$6,INDEX(Assumptions!$D$68:$F$68,$N$4))</f>
        <v/>
      </c>
      <c r="O58" s="55">
        <f>IF($O$5="PilotMonths",$O$6,INDEX(Assumptions!$D$68:$F$68,$O$4))</f>
        <v/>
      </c>
      <c r="P58" s="55">
        <f>IF($P$5="PilotMonths",$P$6,INDEX(Assumptions!$D$68:$F$68,$P$4))</f>
        <v/>
      </c>
      <c r="Q58" s="55">
        <f>IF($Q$5="PilotMonths",$Q$6,INDEX(Assumptions!$D$68:$F$68,$Q$4))</f>
        <v/>
      </c>
      <c r="R58" s="55">
        <f>IF($R$5="PilotMonths",$R$6,INDEX(Assumptions!$D$68:$F$68,$R$4))</f>
        <v/>
      </c>
      <c r="S58" s="55">
        <f>IF($S$5="PilotMonths",$S$6,INDEX(Assumptions!$D$68:$F$68,$S$4))</f>
        <v/>
      </c>
      <c r="T58" s="55">
        <f>IF($T$5="PilotMonths",$T$6,INDEX(Assumptions!$D$68:$F$68,$T$4))</f>
        <v/>
      </c>
      <c r="U58" s="55">
        <f>IF($U$5="PilotMonths",$U$6,INDEX(Assumptions!$D$68:$F$68,$U$4))</f>
        <v/>
      </c>
      <c r="V58" s="55">
        <f>IF($V$5="PilotMonths",$V$6,INDEX(Assumptions!$D$68:$F$68,$V$4))</f>
        <v/>
      </c>
      <c r="W58" s="55">
        <f>IF($W$5="PilotMonths",$W$6,INDEX(Assumptions!$D$68:$F$68,$W$4))</f>
        <v/>
      </c>
      <c r="X58" s="55">
        <f>IF($X$5="PilotMonths",$X$6,INDEX(Assumptions!$D$68:$F$68,$X$4))</f>
        <v/>
      </c>
      <c r="Y58" s="55">
        <f>IF($Y$5="PilotMonths",$Y$6,INDEX(Assumptions!$D$68:$F$68,$Y$4))</f>
        <v/>
      </c>
      <c r="Z58" s="55">
        <f>IF($Z$5="PilotMonths",$Z$6,INDEX(Assumptions!$D$68:$F$68,$Z$4))</f>
        <v/>
      </c>
      <c r="AA58" s="55">
        <f>IF($AA$5="PilotMonths",$AA$6,INDEX(Assumptions!$D$68:$F$68,$AA$4))</f>
        <v/>
      </c>
      <c r="AB58" s="55">
        <f>IF($AB$5="PilotMonths",$AB$6,INDEX(Assumptions!$D$68:$F$68,$AB$4))</f>
        <v/>
      </c>
      <c r="AC58" s="55">
        <f>IF($AC$5="PilotMonths",$AC$6,INDEX(Assumptions!$D$68:$F$68,$AC$4))</f>
        <v/>
      </c>
      <c r="AD58" s="55">
        <f>IF($AD$5="PilotMonths",$AD$6,INDEX(Assumptions!$D$68:$F$68,$AD$4))</f>
        <v/>
      </c>
      <c r="AE58" s="55">
        <f>IF($AE$5="PilotMonths",$AE$6,INDEX(Assumptions!$D$68:$F$68,$AE$4))</f>
        <v/>
      </c>
      <c r="AF58" s="55">
        <f>IF($AF$5="PilotMonths",$AF$6,INDEX(Assumptions!$D$68:$F$68,$AF$4))</f>
        <v/>
      </c>
      <c r="AG58" s="55">
        <f>IF($AG$5="PilotMonths",$AG$6,INDEX(Assumptions!$D$68:$F$68,$AG$4))</f>
        <v/>
      </c>
      <c r="AH58" s="55">
        <f>IF($AH$5="PilotMonths",$AH$6,INDEX(Assumptions!$D$68:$F$68,$AH$4))</f>
        <v/>
      </c>
      <c r="AI58" s="55">
        <f>IF($AI$5="PilotMonths",$AI$6,INDEX(Assumptions!$D$68:$F$68,$AI$4))</f>
        <v/>
      </c>
      <c r="AJ58" s="55">
        <f>IF($AJ$5="PilotMonths",$AJ$6,INDEX(Assumptions!$D$68:$F$68,$AJ$4))</f>
        <v/>
      </c>
      <c r="AK58" s="55">
        <f>IF($AK$5="PilotMonths",$AK$6,INDEX(Assumptions!$D$68:$F$68,$AK$4))</f>
        <v/>
      </c>
      <c r="AL58" s="55">
        <f>IF($AL$5="PilotMonths",$AL$6,INDEX(Assumptions!$D$68:$F$68,$AL$4))</f>
        <v/>
      </c>
      <c r="AM58" s="55">
        <f>IF($AM$5="PilotMonths",$AM$6,INDEX(Assumptions!$D$68:$F$68,$AM$4))</f>
        <v/>
      </c>
      <c r="AN58" s="55">
        <f>IF($AN$5="PilotMonths",$AN$6,INDEX(Assumptions!$D$68:$F$68,$AN$4))</f>
        <v/>
      </c>
      <c r="AO58" s="55">
        <f>IF($AO$5="PilotMonths",$AO$6,INDEX(Assumptions!$D$68:$F$68,$AO$4))</f>
        <v/>
      </c>
      <c r="AP58" s="55">
        <f>IF($AP$5="PilotMonths",$AP$6,INDEX(Assumptions!$D$68:$F$68,$AP$4))</f>
        <v/>
      </c>
      <c r="AQ58" s="55">
        <f>IF($AQ$5="PilotMonths",$AQ$6,INDEX(Assumptions!$D$68:$F$68,$AQ$4))</f>
        <v/>
      </c>
      <c r="AR58" s="55">
        <f>IF($AR$5="PilotMonths",$AR$6,INDEX(Assumptions!$D$68:$F$68,$AR$4))</f>
        <v/>
      </c>
      <c r="AS58" s="55">
        <f>IF($AS$5="PilotMonths",$AS$6,INDEX(Assumptions!$D$68:$F$68,$AS$4))</f>
        <v/>
      </c>
      <c r="AT58" s="55">
        <f>IF($AT$5="PilotMonths",$AT$6,INDEX(Assumptions!$D$68:$F$68,$AT$4))</f>
        <v/>
      </c>
      <c r="AU58" s="55">
        <f>IF($AU$5="PilotMonths",$AU$6,INDEX(Assumptions!$D$68:$F$68,$AU$4))</f>
        <v/>
      </c>
      <c r="AV58" s="55">
        <f>IF($AV$5="PilotMonths",$AV$6,INDEX(Assumptions!$D$68:$F$68,$AV$4))</f>
        <v/>
      </c>
    </row>
    <row r="59">
      <c r="B59" s="5" t="inlineStr">
        <is>
          <t>PilotSetupCost</t>
        </is>
      </c>
      <c r="D59" s="48">
        <f>IF($D$5="PilotSetupCost",$D$6,INDEX(Assumptions!$D$69:$F$69,$D$4))</f>
        <v/>
      </c>
      <c r="E59" s="48">
        <f>IF($E$5="PilotSetupCost",$E$6,INDEX(Assumptions!$D$69:$F$69,$E$4))</f>
        <v/>
      </c>
      <c r="F59" s="48">
        <f>IF($F$5="PilotSetupCost",$F$6,INDEX(Assumptions!$D$69:$F$69,$F$4))</f>
        <v/>
      </c>
      <c r="G59" s="48">
        <f>IF($G$5="PilotSetupCost",$G$6,INDEX(Assumptions!$D$69:$F$69,$G$4))</f>
        <v/>
      </c>
      <c r="H59" s="48">
        <f>IF($H$5="PilotSetupCost",$H$6,INDEX(Assumptions!$D$69:$F$69,$H$4))</f>
        <v/>
      </c>
      <c r="I59" s="48">
        <f>IF($I$5="PilotSetupCost",$I$6,INDEX(Assumptions!$D$69:$F$69,$I$4))</f>
        <v/>
      </c>
      <c r="J59" s="48">
        <f>IF($J$5="PilotSetupCost",$J$6,INDEX(Assumptions!$D$69:$F$69,$J$4))</f>
        <v/>
      </c>
      <c r="K59" s="48">
        <f>IF($K$5="PilotSetupCost",$K$6,INDEX(Assumptions!$D$69:$F$69,$K$4))</f>
        <v/>
      </c>
      <c r="L59" s="48">
        <f>IF($L$5="PilotSetupCost",$L$6,INDEX(Assumptions!$D$69:$F$69,$L$4))</f>
        <v/>
      </c>
      <c r="M59" s="48">
        <f>IF($M$5="PilotSetupCost",$M$6,INDEX(Assumptions!$D$69:$F$69,$M$4))</f>
        <v/>
      </c>
      <c r="N59" s="48">
        <f>IF($N$5="PilotSetupCost",$N$6,INDEX(Assumptions!$D$69:$F$69,$N$4))</f>
        <v/>
      </c>
      <c r="O59" s="48">
        <f>IF($O$5="PilotSetupCost",$O$6,INDEX(Assumptions!$D$69:$F$69,$O$4))</f>
        <v/>
      </c>
      <c r="P59" s="48">
        <f>IF($P$5="PilotSetupCost",$P$6,INDEX(Assumptions!$D$69:$F$69,$P$4))</f>
        <v/>
      </c>
      <c r="Q59" s="48">
        <f>IF($Q$5="PilotSetupCost",$Q$6,INDEX(Assumptions!$D$69:$F$69,$Q$4))</f>
        <v/>
      </c>
      <c r="R59" s="48">
        <f>IF($R$5="PilotSetupCost",$R$6,INDEX(Assumptions!$D$69:$F$69,$R$4))</f>
        <v/>
      </c>
      <c r="S59" s="48">
        <f>IF($S$5="PilotSetupCost",$S$6,INDEX(Assumptions!$D$69:$F$69,$S$4))</f>
        <v/>
      </c>
      <c r="T59" s="48">
        <f>IF($T$5="PilotSetupCost",$T$6,INDEX(Assumptions!$D$69:$F$69,$T$4))</f>
        <v/>
      </c>
      <c r="U59" s="48">
        <f>IF($U$5="PilotSetupCost",$U$6,INDEX(Assumptions!$D$69:$F$69,$U$4))</f>
        <v/>
      </c>
      <c r="V59" s="48">
        <f>IF($V$5="PilotSetupCost",$V$6,INDEX(Assumptions!$D$69:$F$69,$V$4))</f>
        <v/>
      </c>
      <c r="W59" s="48">
        <f>IF($W$5="PilotSetupCost",$W$6,INDEX(Assumptions!$D$69:$F$69,$W$4))</f>
        <v/>
      </c>
      <c r="X59" s="48">
        <f>IF($X$5="PilotSetupCost",$X$6,INDEX(Assumptions!$D$69:$F$69,$X$4))</f>
        <v/>
      </c>
      <c r="Y59" s="48">
        <f>IF($Y$5="PilotSetupCost",$Y$6,INDEX(Assumptions!$D$69:$F$69,$Y$4))</f>
        <v/>
      </c>
      <c r="Z59" s="48">
        <f>IF($Z$5="PilotSetupCost",$Z$6,INDEX(Assumptions!$D$69:$F$69,$Z$4))</f>
        <v/>
      </c>
      <c r="AA59" s="48">
        <f>IF($AA$5="PilotSetupCost",$AA$6,INDEX(Assumptions!$D$69:$F$69,$AA$4))</f>
        <v/>
      </c>
      <c r="AB59" s="48">
        <f>IF($AB$5="PilotSetupCost",$AB$6,INDEX(Assumptions!$D$69:$F$69,$AB$4))</f>
        <v/>
      </c>
      <c r="AC59" s="48">
        <f>IF($AC$5="PilotSetupCost",$AC$6,INDEX(Assumptions!$D$69:$F$69,$AC$4))</f>
        <v/>
      </c>
      <c r="AD59" s="48">
        <f>IF($AD$5="PilotSetupCost",$AD$6,INDEX(Assumptions!$D$69:$F$69,$AD$4))</f>
        <v/>
      </c>
      <c r="AE59" s="48">
        <f>IF($AE$5="PilotSetupCost",$AE$6,INDEX(Assumptions!$D$69:$F$69,$AE$4))</f>
        <v/>
      </c>
      <c r="AF59" s="48">
        <f>IF($AF$5="PilotSetupCost",$AF$6,INDEX(Assumptions!$D$69:$F$69,$AF$4))</f>
        <v/>
      </c>
      <c r="AG59" s="48">
        <f>IF($AG$5="PilotSetupCost",$AG$6,INDEX(Assumptions!$D$69:$F$69,$AG$4))</f>
        <v/>
      </c>
      <c r="AH59" s="48">
        <f>IF($AH$5="PilotSetupCost",$AH$6,INDEX(Assumptions!$D$69:$F$69,$AH$4))</f>
        <v/>
      </c>
      <c r="AI59" s="48">
        <f>IF($AI$5="PilotSetupCost",$AI$6,INDEX(Assumptions!$D$69:$F$69,$AI$4))</f>
        <v/>
      </c>
      <c r="AJ59" s="48">
        <f>IF($AJ$5="PilotSetupCost",$AJ$6,INDEX(Assumptions!$D$69:$F$69,$AJ$4))</f>
        <v/>
      </c>
      <c r="AK59" s="48">
        <f>IF($AK$5="PilotSetupCost",$AK$6,INDEX(Assumptions!$D$69:$F$69,$AK$4))</f>
        <v/>
      </c>
      <c r="AL59" s="48">
        <f>IF($AL$5="PilotSetupCost",$AL$6,INDEX(Assumptions!$D$69:$F$69,$AL$4))</f>
        <v/>
      </c>
      <c r="AM59" s="48">
        <f>IF($AM$5="PilotSetupCost",$AM$6,INDEX(Assumptions!$D$69:$F$69,$AM$4))</f>
        <v/>
      </c>
      <c r="AN59" s="48">
        <f>IF($AN$5="PilotSetupCost",$AN$6,INDEX(Assumptions!$D$69:$F$69,$AN$4))</f>
        <v/>
      </c>
      <c r="AO59" s="48">
        <f>IF($AO$5="PilotSetupCost",$AO$6,INDEX(Assumptions!$D$69:$F$69,$AO$4))</f>
        <v/>
      </c>
      <c r="AP59" s="48">
        <f>IF($AP$5="PilotSetupCost",$AP$6,INDEX(Assumptions!$D$69:$F$69,$AP$4))</f>
        <v/>
      </c>
      <c r="AQ59" s="48">
        <f>IF($AQ$5="PilotSetupCost",$AQ$6,INDEX(Assumptions!$D$69:$F$69,$AQ$4))</f>
        <v/>
      </c>
      <c r="AR59" s="48">
        <f>IF($AR$5="PilotSetupCost",$AR$6,INDEX(Assumptions!$D$69:$F$69,$AR$4))</f>
        <v/>
      </c>
      <c r="AS59" s="48">
        <f>IF($AS$5="PilotSetupCost",$AS$6,INDEX(Assumptions!$D$69:$F$69,$AS$4))</f>
        <v/>
      </c>
      <c r="AT59" s="48">
        <f>IF($AT$5="PilotSetupCost",$AT$6,INDEX(Assumptions!$D$69:$F$69,$AT$4))</f>
        <v/>
      </c>
      <c r="AU59" s="48">
        <f>IF($AU$5="PilotSetupCost",$AU$6,INDEX(Assumptions!$D$69:$F$69,$AU$4))</f>
        <v/>
      </c>
      <c r="AV59" s="48">
        <f>IF($AV$5="PilotSetupCost",$AV$6,INDEX(Assumptions!$D$69:$F$69,$AV$4))</f>
        <v/>
      </c>
    </row>
    <row r="60">
      <c r="B60" s="5" t="inlineStr">
        <is>
          <t>OnboardBase</t>
        </is>
      </c>
      <c r="D60" s="48">
        <f>IF($D$5="OnboardBase",$D$6,INDEX(Assumptions!$D$70:$F$70,$D$4))</f>
        <v/>
      </c>
      <c r="E60" s="48">
        <f>IF($E$5="OnboardBase",$E$6,INDEX(Assumptions!$D$70:$F$70,$E$4))</f>
        <v/>
      </c>
      <c r="F60" s="48">
        <f>IF($F$5="OnboardBase",$F$6,INDEX(Assumptions!$D$70:$F$70,$F$4))</f>
        <v/>
      </c>
      <c r="G60" s="48">
        <f>IF($G$5="OnboardBase",$G$6,INDEX(Assumptions!$D$70:$F$70,$G$4))</f>
        <v/>
      </c>
      <c r="H60" s="48">
        <f>IF($H$5="OnboardBase",$H$6,INDEX(Assumptions!$D$70:$F$70,$H$4))</f>
        <v/>
      </c>
      <c r="I60" s="48">
        <f>IF($I$5="OnboardBase",$I$6,INDEX(Assumptions!$D$70:$F$70,$I$4))</f>
        <v/>
      </c>
      <c r="J60" s="48">
        <f>IF($J$5="OnboardBase",$J$6,INDEX(Assumptions!$D$70:$F$70,$J$4))</f>
        <v/>
      </c>
      <c r="K60" s="48">
        <f>IF($K$5="OnboardBase",$K$6,INDEX(Assumptions!$D$70:$F$70,$K$4))</f>
        <v/>
      </c>
      <c r="L60" s="48">
        <f>IF($L$5="OnboardBase",$L$6,INDEX(Assumptions!$D$70:$F$70,$L$4))</f>
        <v/>
      </c>
      <c r="M60" s="48">
        <f>IF($M$5="OnboardBase",$M$6,INDEX(Assumptions!$D$70:$F$70,$M$4))</f>
        <v/>
      </c>
      <c r="N60" s="48">
        <f>IF($N$5="OnboardBase",$N$6,INDEX(Assumptions!$D$70:$F$70,$N$4))</f>
        <v/>
      </c>
      <c r="O60" s="48">
        <f>IF($O$5="OnboardBase",$O$6,INDEX(Assumptions!$D$70:$F$70,$O$4))</f>
        <v/>
      </c>
      <c r="P60" s="48">
        <f>IF($P$5="OnboardBase",$P$6,INDEX(Assumptions!$D$70:$F$70,$P$4))</f>
        <v/>
      </c>
      <c r="Q60" s="48">
        <f>IF($Q$5="OnboardBase",$Q$6,INDEX(Assumptions!$D$70:$F$70,$Q$4))</f>
        <v/>
      </c>
      <c r="R60" s="48">
        <f>IF($R$5="OnboardBase",$R$6,INDEX(Assumptions!$D$70:$F$70,$R$4))</f>
        <v/>
      </c>
      <c r="S60" s="48">
        <f>IF($S$5="OnboardBase",$S$6,INDEX(Assumptions!$D$70:$F$70,$S$4))</f>
        <v/>
      </c>
      <c r="T60" s="48">
        <f>IF($T$5="OnboardBase",$T$6,INDEX(Assumptions!$D$70:$F$70,$T$4))</f>
        <v/>
      </c>
      <c r="U60" s="48">
        <f>IF($U$5="OnboardBase",$U$6,INDEX(Assumptions!$D$70:$F$70,$U$4))</f>
        <v/>
      </c>
      <c r="V60" s="48">
        <f>IF($V$5="OnboardBase",$V$6,INDEX(Assumptions!$D$70:$F$70,$V$4))</f>
        <v/>
      </c>
      <c r="W60" s="48">
        <f>IF($W$5="OnboardBase",$W$6,INDEX(Assumptions!$D$70:$F$70,$W$4))</f>
        <v/>
      </c>
      <c r="X60" s="48">
        <f>IF($X$5="OnboardBase",$X$6,INDEX(Assumptions!$D$70:$F$70,$X$4))</f>
        <v/>
      </c>
      <c r="Y60" s="48">
        <f>IF($Y$5="OnboardBase",$Y$6,INDEX(Assumptions!$D$70:$F$70,$Y$4))</f>
        <v/>
      </c>
      <c r="Z60" s="48">
        <f>IF($Z$5="OnboardBase",$Z$6,INDEX(Assumptions!$D$70:$F$70,$Z$4))</f>
        <v/>
      </c>
      <c r="AA60" s="48">
        <f>IF($AA$5="OnboardBase",$AA$6,INDEX(Assumptions!$D$70:$F$70,$AA$4))</f>
        <v/>
      </c>
      <c r="AB60" s="48">
        <f>IF($AB$5="OnboardBase",$AB$6,INDEX(Assumptions!$D$70:$F$70,$AB$4))</f>
        <v/>
      </c>
      <c r="AC60" s="48">
        <f>IF($AC$5="OnboardBase",$AC$6,INDEX(Assumptions!$D$70:$F$70,$AC$4))</f>
        <v/>
      </c>
      <c r="AD60" s="48">
        <f>IF($AD$5="OnboardBase",$AD$6,INDEX(Assumptions!$D$70:$F$70,$AD$4))</f>
        <v/>
      </c>
      <c r="AE60" s="48">
        <f>IF($AE$5="OnboardBase",$AE$6,INDEX(Assumptions!$D$70:$F$70,$AE$4))</f>
        <v/>
      </c>
      <c r="AF60" s="48">
        <f>IF($AF$5="OnboardBase",$AF$6,INDEX(Assumptions!$D$70:$F$70,$AF$4))</f>
        <v/>
      </c>
      <c r="AG60" s="48">
        <f>IF($AG$5="OnboardBase",$AG$6,INDEX(Assumptions!$D$70:$F$70,$AG$4))</f>
        <v/>
      </c>
      <c r="AH60" s="48">
        <f>IF($AH$5="OnboardBase",$AH$6,INDEX(Assumptions!$D$70:$F$70,$AH$4))</f>
        <v/>
      </c>
      <c r="AI60" s="48">
        <f>IF($AI$5="OnboardBase",$AI$6,INDEX(Assumptions!$D$70:$F$70,$AI$4))</f>
        <v/>
      </c>
      <c r="AJ60" s="48">
        <f>IF($AJ$5="OnboardBase",$AJ$6,INDEX(Assumptions!$D$70:$F$70,$AJ$4))</f>
        <v/>
      </c>
      <c r="AK60" s="48">
        <f>IF($AK$5="OnboardBase",$AK$6,INDEX(Assumptions!$D$70:$F$70,$AK$4))</f>
        <v/>
      </c>
      <c r="AL60" s="48">
        <f>IF($AL$5="OnboardBase",$AL$6,INDEX(Assumptions!$D$70:$F$70,$AL$4))</f>
        <v/>
      </c>
      <c r="AM60" s="48">
        <f>IF($AM$5="OnboardBase",$AM$6,INDEX(Assumptions!$D$70:$F$70,$AM$4))</f>
        <v/>
      </c>
      <c r="AN60" s="48">
        <f>IF($AN$5="OnboardBase",$AN$6,INDEX(Assumptions!$D$70:$F$70,$AN$4))</f>
        <v/>
      </c>
      <c r="AO60" s="48">
        <f>IF($AO$5="OnboardBase",$AO$6,INDEX(Assumptions!$D$70:$F$70,$AO$4))</f>
        <v/>
      </c>
      <c r="AP60" s="48">
        <f>IF($AP$5="OnboardBase",$AP$6,INDEX(Assumptions!$D$70:$F$70,$AP$4))</f>
        <v/>
      </c>
      <c r="AQ60" s="48">
        <f>IF($AQ$5="OnboardBase",$AQ$6,INDEX(Assumptions!$D$70:$F$70,$AQ$4))</f>
        <v/>
      </c>
      <c r="AR60" s="48">
        <f>IF($AR$5="OnboardBase",$AR$6,INDEX(Assumptions!$D$70:$F$70,$AR$4))</f>
        <v/>
      </c>
      <c r="AS60" s="48">
        <f>IF($AS$5="OnboardBase",$AS$6,INDEX(Assumptions!$D$70:$F$70,$AS$4))</f>
        <v/>
      </c>
      <c r="AT60" s="48">
        <f>IF($AT$5="OnboardBase",$AT$6,INDEX(Assumptions!$D$70:$F$70,$AT$4))</f>
        <v/>
      </c>
      <c r="AU60" s="48">
        <f>IF($AU$5="OnboardBase",$AU$6,INDEX(Assumptions!$D$70:$F$70,$AU$4))</f>
        <v/>
      </c>
      <c r="AV60" s="48">
        <f>IF($AV$5="OnboardBase",$AV$6,INDEX(Assumptions!$D$70:$F$70,$AV$4))</f>
        <v/>
      </c>
    </row>
    <row r="61">
      <c r="B61" s="5" t="inlineStr">
        <is>
          <t>OnboardMult</t>
        </is>
      </c>
      <c r="D61" s="39">
        <f>IF($D$5="OnboardMult",$D$6,INDEX(Assumptions!$D$12:$F$12,$D$4))</f>
        <v/>
      </c>
      <c r="E61" s="39">
        <f>IF($E$5="OnboardMult",$E$6,INDEX(Assumptions!$D$13:$F$13,$E$4))</f>
        <v/>
      </c>
      <c r="F61" s="39">
        <f>IF($F$5="OnboardMult",$F$6,INDEX(Assumptions!$D$14:$F$14,$F$4))</f>
        <v/>
      </c>
      <c r="G61" s="39">
        <f>IF($G$5="OnboardMult",$G$6,INDEX(Assumptions!$D$12:$F$12,$G$4))</f>
        <v/>
      </c>
      <c r="H61" s="39">
        <f>IF($H$5="OnboardMult",$H$6,INDEX(Assumptions!$D$13:$F$13,$H$4))</f>
        <v/>
      </c>
      <c r="I61" s="39">
        <f>IF($I$5="OnboardMult",$I$6,INDEX(Assumptions!$D$14:$F$14,$I$4))</f>
        <v/>
      </c>
      <c r="J61" s="39">
        <f>IF($J$5="OnboardMult",$J$6,INDEX(Assumptions!$D$12:$F$12,$J$4))</f>
        <v/>
      </c>
      <c r="K61" s="39">
        <f>IF($K$5="OnboardMult",$K$6,INDEX(Assumptions!$D$13:$F$13,$K$4))</f>
        <v/>
      </c>
      <c r="L61" s="39">
        <f>IF($L$5="OnboardMult",$L$6,INDEX(Assumptions!$D$14:$F$14,$L$4))</f>
        <v/>
      </c>
      <c r="M61" s="39">
        <f>IF($M$5="OnboardMult",$M$6,INDEX(Assumptions!$D$12:$F$12,$M$4))</f>
        <v/>
      </c>
      <c r="N61" s="39">
        <f>IF($N$5="OnboardMult",$N$6,INDEX(Assumptions!$D$13:$F$13,$N$4))</f>
        <v/>
      </c>
      <c r="O61" s="39">
        <f>IF($O$5="OnboardMult",$O$6,INDEX(Assumptions!$D$14:$F$14,$O$4))</f>
        <v/>
      </c>
      <c r="P61" s="39">
        <f>IF($P$5="OnboardMult",$P$6,INDEX(Assumptions!$D$13:$F$13,$P$4))</f>
        <v/>
      </c>
      <c r="Q61" s="39">
        <f>IF($Q$5="OnboardMult",$Q$6,INDEX(Assumptions!$D$13:$F$13,$Q$4))</f>
        <v/>
      </c>
      <c r="R61" s="39">
        <f>IF($R$5="OnboardMult",$R$6,INDEX(Assumptions!$D$13:$F$13,$R$4))</f>
        <v/>
      </c>
      <c r="S61" s="39">
        <f>IF($S$5="OnboardMult",$S$6,INDEX(Assumptions!$D$13:$F$13,$S$4))</f>
        <v/>
      </c>
      <c r="T61" s="39">
        <f>IF($T$5="OnboardMult",$T$6,INDEX(Assumptions!$D$13:$F$13,$T$4))</f>
        <v/>
      </c>
      <c r="U61" s="39">
        <f>IF($U$5="OnboardMult",$U$6,INDEX(Assumptions!$D$13:$F$13,$U$4))</f>
        <v/>
      </c>
      <c r="V61" s="39">
        <f>IF($V$5="OnboardMult",$V$6,INDEX(Assumptions!$D$13:$F$13,$V$4))</f>
        <v/>
      </c>
      <c r="W61" s="39">
        <f>IF($W$5="OnboardMult",$W$6,INDEX(Assumptions!$D$13:$F$13,$W$4))</f>
        <v/>
      </c>
      <c r="X61" s="39">
        <f>IF($X$5="OnboardMult",$X$6,INDEX(Assumptions!$D$13:$F$13,$X$4))</f>
        <v/>
      </c>
      <c r="Y61" s="39">
        <f>IF($Y$5="OnboardMult",$Y$6,INDEX(Assumptions!$D$13:$F$13,$Y$4))</f>
        <v/>
      </c>
      <c r="Z61" s="39">
        <f>IF($Z$5="OnboardMult",$Z$6,INDEX(Assumptions!$D$13:$F$13,$Z$4))</f>
        <v/>
      </c>
      <c r="AA61" s="39">
        <f>IF($AA$5="OnboardMult",$AA$6,INDEX(Assumptions!$D$13:$F$13,$AA$4))</f>
        <v/>
      </c>
      <c r="AB61" s="39">
        <f>IF($AB$5="OnboardMult",$AB$6,INDEX(Assumptions!$D$13:$F$13,$AB$4))</f>
        <v/>
      </c>
      <c r="AC61" s="39">
        <f>IF($AC$5="OnboardMult",$AC$6,INDEX(Assumptions!$D$13:$F$13,$AC$4))</f>
        <v/>
      </c>
      <c r="AD61" s="39">
        <f>IF($AD$5="OnboardMult",$AD$6,INDEX(Assumptions!$D$13:$F$13,$AD$4))</f>
        <v/>
      </c>
      <c r="AE61" s="39">
        <f>IF($AE$5="OnboardMult",$AE$6,INDEX(Assumptions!$D$13:$F$13,$AE$4))</f>
        <v/>
      </c>
      <c r="AF61" s="39">
        <f>IF($AF$5="OnboardMult",$AF$6,INDEX(Assumptions!$D$13:$F$13,$AF$4))</f>
        <v/>
      </c>
      <c r="AG61" s="39">
        <f>IF($AG$5="OnboardMult",$AG$6,INDEX(Assumptions!$D$13:$F$13,$AG$4))</f>
        <v/>
      </c>
      <c r="AH61" s="39">
        <f>IF($AH$5="OnboardMult",$AH$6,INDEX(Assumptions!$D$13:$F$13,$AH$4))</f>
        <v/>
      </c>
      <c r="AI61" s="39">
        <f>IF($AI$5="OnboardMult",$AI$6,INDEX(Assumptions!$D$13:$F$13,$AI$4))</f>
        <v/>
      </c>
      <c r="AJ61" s="39">
        <f>IF($AJ$5="OnboardMult",$AJ$6,INDEX(Assumptions!$D$13:$F$13,$AJ$4))</f>
        <v/>
      </c>
      <c r="AK61" s="39">
        <f>IF($AK$5="OnboardMult",$AK$6,INDEX(Assumptions!$D$13:$F$13,$AK$4))</f>
        <v/>
      </c>
      <c r="AL61" s="39">
        <f>IF($AL$5="OnboardMult",$AL$6,INDEX(Assumptions!$D$13:$F$13,$AL$4))</f>
        <v/>
      </c>
      <c r="AM61" s="39">
        <f>IF($AM$5="OnboardMult",$AM$6,INDEX(Assumptions!$D$13:$F$13,$AM$4))</f>
        <v/>
      </c>
      <c r="AN61" s="39">
        <f>IF($AN$5="OnboardMult",$AN$6,INDEX(Assumptions!$D$13:$F$13,$AN$4))</f>
        <v/>
      </c>
      <c r="AO61" s="39">
        <f>IF($AO$5="OnboardMult",$AO$6,INDEX(Assumptions!$D$13:$F$13,$AO$4))</f>
        <v/>
      </c>
      <c r="AP61" s="39">
        <f>IF($AP$5="OnboardMult",$AP$6,INDEX(Assumptions!$D$13:$F$13,$AP$4))</f>
        <v/>
      </c>
      <c r="AQ61" s="39">
        <f>IF($AQ$5="OnboardMult",$AQ$6,INDEX(Assumptions!$D$13:$F$13,$AQ$4))</f>
        <v/>
      </c>
      <c r="AR61" s="39">
        <f>IF($AR$5="OnboardMult",$AR$6,INDEX(Assumptions!$D$13:$F$13,$AR$4))</f>
        <v/>
      </c>
      <c r="AS61" s="39">
        <f>IF($AS$5="OnboardMult",$AS$6,INDEX(Assumptions!$D$13:$F$13,$AS$4))</f>
        <v/>
      </c>
      <c r="AT61" s="39">
        <f>IF($AT$5="OnboardMult",$AT$6,INDEX(Assumptions!$D$13:$F$13,$AT$4))</f>
        <v/>
      </c>
      <c r="AU61" s="39">
        <f>IF($AU$5="OnboardMult",$AU$6,INDEX(Assumptions!$D$13:$F$13,$AU$4))</f>
        <v/>
      </c>
      <c r="AV61" s="39">
        <f>IF($AV$5="OnboardMult",$AV$6,INDEX(Assumptions!$D$13:$F$13,$AV$4))</f>
        <v/>
      </c>
    </row>
    <row r="62">
      <c r="B62" s="5" t="inlineStr">
        <is>
          <t>MarketingPerPaid</t>
        </is>
      </c>
      <c r="D62" s="48">
        <f>IF($D$5="MarketingPerPaid",$D$6,INDEX(Assumptions!$D$71:$F$71,$D$4))</f>
        <v/>
      </c>
      <c r="E62" s="48">
        <f>IF($E$5="MarketingPerPaid",$E$6,INDEX(Assumptions!$D$71:$F$71,$E$4))</f>
        <v/>
      </c>
      <c r="F62" s="48">
        <f>IF($F$5="MarketingPerPaid",$F$6,INDEX(Assumptions!$D$71:$F$71,$F$4))</f>
        <v/>
      </c>
      <c r="G62" s="48">
        <f>IF($G$5="MarketingPerPaid",$G$6,INDEX(Assumptions!$D$71:$F$71,$G$4))</f>
        <v/>
      </c>
      <c r="H62" s="48">
        <f>IF($H$5="MarketingPerPaid",$H$6,INDEX(Assumptions!$D$71:$F$71,$H$4))</f>
        <v/>
      </c>
      <c r="I62" s="48">
        <f>IF($I$5="MarketingPerPaid",$I$6,INDEX(Assumptions!$D$71:$F$71,$I$4))</f>
        <v/>
      </c>
      <c r="J62" s="48">
        <f>IF($J$5="MarketingPerPaid",$J$6,INDEX(Assumptions!$D$71:$F$71,$J$4))</f>
        <v/>
      </c>
      <c r="K62" s="48">
        <f>IF($K$5="MarketingPerPaid",$K$6,INDEX(Assumptions!$D$71:$F$71,$K$4))</f>
        <v/>
      </c>
      <c r="L62" s="48">
        <f>IF($L$5="MarketingPerPaid",$L$6,INDEX(Assumptions!$D$71:$F$71,$L$4))</f>
        <v/>
      </c>
      <c r="M62" s="48">
        <f>IF($M$5="MarketingPerPaid",$M$6,INDEX(Assumptions!$D$71:$F$71,$M$4))</f>
        <v/>
      </c>
      <c r="N62" s="48">
        <f>IF($N$5="MarketingPerPaid",$N$6,INDEX(Assumptions!$D$71:$F$71,$N$4))</f>
        <v/>
      </c>
      <c r="O62" s="48">
        <f>IF($O$5="MarketingPerPaid",$O$6,INDEX(Assumptions!$D$71:$F$71,$O$4))</f>
        <v/>
      </c>
      <c r="P62" s="48">
        <f>IF($P$5="MarketingPerPaid",$P$6,INDEX(Assumptions!$D$71:$F$71,$P$4))</f>
        <v/>
      </c>
      <c r="Q62" s="48">
        <f>IF($Q$5="MarketingPerPaid",$Q$6,INDEX(Assumptions!$D$71:$F$71,$Q$4))</f>
        <v/>
      </c>
      <c r="R62" s="48">
        <f>IF($R$5="MarketingPerPaid",$R$6,INDEX(Assumptions!$D$71:$F$71,$R$4))</f>
        <v/>
      </c>
      <c r="S62" s="48">
        <f>IF($S$5="MarketingPerPaid",$S$6,INDEX(Assumptions!$D$71:$F$71,$S$4))</f>
        <v/>
      </c>
      <c r="T62" s="48">
        <f>IF($T$5="MarketingPerPaid",$T$6,INDEX(Assumptions!$D$71:$F$71,$T$4))</f>
        <v/>
      </c>
      <c r="U62" s="48">
        <f>IF($U$5="MarketingPerPaid",$U$6,INDEX(Assumptions!$D$71:$F$71,$U$4))</f>
        <v/>
      </c>
      <c r="V62" s="48">
        <f>IF($V$5="MarketingPerPaid",$V$6,INDEX(Assumptions!$D$71:$F$71,$V$4))</f>
        <v/>
      </c>
      <c r="W62" s="48">
        <f>IF($W$5="MarketingPerPaid",$W$6,INDEX(Assumptions!$D$71:$F$71,$W$4))</f>
        <v/>
      </c>
      <c r="X62" s="48">
        <f>IF($X$5="MarketingPerPaid",$X$6,INDEX(Assumptions!$D$71:$F$71,$X$4))</f>
        <v/>
      </c>
      <c r="Y62" s="48">
        <f>IF($Y$5="MarketingPerPaid",$Y$6,INDEX(Assumptions!$D$71:$F$71,$Y$4))</f>
        <v/>
      </c>
      <c r="Z62" s="48">
        <f>IF($Z$5="MarketingPerPaid",$Z$6,INDEX(Assumptions!$D$71:$F$71,$Z$4))</f>
        <v/>
      </c>
      <c r="AA62" s="48">
        <f>IF($AA$5="MarketingPerPaid",$AA$6,INDEX(Assumptions!$D$71:$F$71,$AA$4))</f>
        <v/>
      </c>
      <c r="AB62" s="48">
        <f>IF($AB$5="MarketingPerPaid",$AB$6,INDEX(Assumptions!$D$71:$F$71,$AB$4))</f>
        <v/>
      </c>
      <c r="AC62" s="48">
        <f>IF($AC$5="MarketingPerPaid",$AC$6,INDEX(Assumptions!$D$71:$F$71,$AC$4))</f>
        <v/>
      </c>
      <c r="AD62" s="48">
        <f>IF($AD$5="MarketingPerPaid",$AD$6,INDEX(Assumptions!$D$71:$F$71,$AD$4))</f>
        <v/>
      </c>
      <c r="AE62" s="48">
        <f>IF($AE$5="MarketingPerPaid",$AE$6,INDEX(Assumptions!$D$71:$F$71,$AE$4))</f>
        <v/>
      </c>
      <c r="AF62" s="48">
        <f>IF($AF$5="MarketingPerPaid",$AF$6,INDEX(Assumptions!$D$71:$F$71,$AF$4))</f>
        <v/>
      </c>
      <c r="AG62" s="48">
        <f>IF($AG$5="MarketingPerPaid",$AG$6,INDEX(Assumptions!$D$71:$F$71,$AG$4))</f>
        <v/>
      </c>
      <c r="AH62" s="48">
        <f>IF($AH$5="MarketingPerPaid",$AH$6,INDEX(Assumptions!$D$71:$F$71,$AH$4))</f>
        <v/>
      </c>
      <c r="AI62" s="48">
        <f>IF($AI$5="MarketingPerPaid",$AI$6,INDEX(Assumptions!$D$71:$F$71,$AI$4))</f>
        <v/>
      </c>
      <c r="AJ62" s="48">
        <f>IF($AJ$5="MarketingPerPaid",$AJ$6,INDEX(Assumptions!$D$71:$F$71,$AJ$4))</f>
        <v/>
      </c>
      <c r="AK62" s="48">
        <f>IF($AK$5="MarketingPerPaid",$AK$6,INDEX(Assumptions!$D$71:$F$71,$AK$4))</f>
        <v/>
      </c>
      <c r="AL62" s="48">
        <f>IF($AL$5="MarketingPerPaid",$AL$6,INDEX(Assumptions!$D$71:$F$71,$AL$4))</f>
        <v/>
      </c>
      <c r="AM62" s="48">
        <f>IF($AM$5="MarketingPerPaid",$AM$6,INDEX(Assumptions!$D$71:$F$71,$AM$4))</f>
        <v/>
      </c>
      <c r="AN62" s="48">
        <f>IF($AN$5="MarketingPerPaid",$AN$6,INDEX(Assumptions!$D$71:$F$71,$AN$4))</f>
        <v/>
      </c>
      <c r="AO62" s="48">
        <f>IF($AO$5="MarketingPerPaid",$AO$6,INDEX(Assumptions!$D$71:$F$71,$AO$4))</f>
        <v/>
      </c>
      <c r="AP62" s="48">
        <f>IF($AP$5="MarketingPerPaid",$AP$6,INDEX(Assumptions!$D$71:$F$71,$AP$4))</f>
        <v/>
      </c>
      <c r="AQ62" s="48">
        <f>IF($AQ$5="MarketingPerPaid",$AQ$6,INDEX(Assumptions!$D$71:$F$71,$AQ$4))</f>
        <v/>
      </c>
      <c r="AR62" s="48">
        <f>IF($AR$5="MarketingPerPaid",$AR$6,INDEX(Assumptions!$D$71:$F$71,$AR$4))</f>
        <v/>
      </c>
      <c r="AS62" s="48">
        <f>IF($AS$5="MarketingPerPaid",$AS$6,INDEX(Assumptions!$D$71:$F$71,$AS$4))</f>
        <v/>
      </c>
      <c r="AT62" s="48">
        <f>IF($AT$5="MarketingPerPaid",$AT$6,INDEX(Assumptions!$D$71:$F$71,$AT$4))</f>
        <v/>
      </c>
      <c r="AU62" s="48">
        <f>IF($AU$5="MarketingPerPaid",$AU$6,INDEX(Assumptions!$D$71:$F$71,$AU$4))</f>
        <v/>
      </c>
      <c r="AV62" s="48">
        <f>IF($AV$5="MarketingPerPaid",$AV$6,INDEX(Assumptions!$D$71:$F$71,$AV$4))</f>
        <v/>
      </c>
    </row>
    <row r="64">
      <c r="B64" s="7" t="inlineStr">
        <is>
          <t>LLM (AI parent reports, hosted model)</t>
        </is>
      </c>
      <c r="C64" s="5" t="inlineStr">
        <is>
          <t>₹/student/month</t>
        </is>
      </c>
      <c r="D64" s="45">
        <f>D8*(D9*D11+D10*D12)/1000000</f>
        <v/>
      </c>
      <c r="E64" s="45">
        <f>E8*(E9*E11+E10*E12)/1000000</f>
        <v/>
      </c>
      <c r="F64" s="45">
        <f>F8*(F9*F11+F10*F12)/1000000</f>
        <v/>
      </c>
      <c r="G64" s="45">
        <f>G8*(G9*G11+G10*G12)/1000000</f>
        <v/>
      </c>
      <c r="H64" s="45">
        <f>H8*(H9*H11+H10*H12)/1000000</f>
        <v/>
      </c>
      <c r="I64" s="45">
        <f>I8*(I9*I11+I10*I12)/1000000</f>
        <v/>
      </c>
      <c r="J64" s="45">
        <f>J8*(J9*J11+J10*J12)/1000000</f>
        <v/>
      </c>
      <c r="K64" s="45">
        <f>K8*(K9*K11+K10*K12)/1000000</f>
        <v/>
      </c>
      <c r="L64" s="45">
        <f>L8*(L9*L11+L10*L12)/1000000</f>
        <v/>
      </c>
      <c r="M64" s="45">
        <f>M8*(M9*M11+M10*M12)/1000000</f>
        <v/>
      </c>
      <c r="N64" s="45">
        <f>N8*(N9*N11+N10*N12)/1000000</f>
        <v/>
      </c>
      <c r="O64" s="45">
        <f>O8*(O9*O11+O10*O12)/1000000</f>
        <v/>
      </c>
      <c r="P64" s="45">
        <f>P8*(P9*P11+P10*P12)/1000000</f>
        <v/>
      </c>
      <c r="Q64" s="45">
        <f>Q8*(Q9*Q11+Q10*Q12)/1000000</f>
        <v/>
      </c>
      <c r="R64" s="45">
        <f>R8*(R9*R11+R10*R12)/1000000</f>
        <v/>
      </c>
      <c r="S64" s="45">
        <f>S8*(S9*S11+S10*S12)/1000000</f>
        <v/>
      </c>
      <c r="T64" s="45">
        <f>T8*(T9*T11+T10*T12)/1000000</f>
        <v/>
      </c>
      <c r="U64" s="45">
        <f>U8*(U9*U11+U10*U12)/1000000</f>
        <v/>
      </c>
      <c r="V64" s="45">
        <f>V8*(V9*V11+V10*V12)/1000000</f>
        <v/>
      </c>
      <c r="W64" s="45">
        <f>W8*(W9*W11+W10*W12)/1000000</f>
        <v/>
      </c>
      <c r="X64" s="45">
        <f>X8*(X9*X11+X10*X12)/1000000</f>
        <v/>
      </c>
      <c r="Y64" s="45">
        <f>Y8*(Y9*Y11+Y10*Y12)/1000000</f>
        <v/>
      </c>
      <c r="Z64" s="45">
        <f>Z8*(Z9*Z11+Z10*Z12)/1000000</f>
        <v/>
      </c>
      <c r="AA64" s="45">
        <f>AA8*(AA9*AA11+AA10*AA12)/1000000</f>
        <v/>
      </c>
      <c r="AB64" s="45">
        <f>AB8*(AB9*AB11+AB10*AB12)/1000000</f>
        <v/>
      </c>
      <c r="AC64" s="45">
        <f>AC8*(AC9*AC11+AC10*AC12)/1000000</f>
        <v/>
      </c>
      <c r="AD64" s="45">
        <f>AD8*(AD9*AD11+AD10*AD12)/1000000</f>
        <v/>
      </c>
      <c r="AE64" s="45">
        <f>AE8*(AE9*AE11+AE10*AE12)/1000000</f>
        <v/>
      </c>
      <c r="AF64" s="45">
        <f>AF8*(AF9*AF11+AF10*AF12)/1000000</f>
        <v/>
      </c>
      <c r="AG64" s="45">
        <f>AG8*(AG9*AG11+AG10*AG12)/1000000</f>
        <v/>
      </c>
      <c r="AH64" s="45">
        <f>AH8*(AH9*AH11+AH10*AH12)/1000000</f>
        <v/>
      </c>
      <c r="AI64" s="45">
        <f>AI8*(AI9*AI11+AI10*AI12)/1000000</f>
        <v/>
      </c>
      <c r="AJ64" s="45">
        <f>AJ8*(AJ9*AJ11+AJ10*AJ12)/1000000</f>
        <v/>
      </c>
      <c r="AK64" s="45">
        <f>AK8*(AK9*AK11+AK10*AK12)/1000000</f>
        <v/>
      </c>
      <c r="AL64" s="45">
        <f>AL8*(AL9*AL11+AL10*AL12)/1000000</f>
        <v/>
      </c>
      <c r="AM64" s="45">
        <f>AM8*(AM9*AM11+AM10*AM12)/1000000</f>
        <v/>
      </c>
      <c r="AN64" s="45">
        <f>AN8*(AN9*AN11+AN10*AN12)/1000000</f>
        <v/>
      </c>
      <c r="AO64" s="45">
        <f>AO8*(AO9*AO11+AO10*AO12)/1000000</f>
        <v/>
      </c>
      <c r="AP64" s="45">
        <f>AP8*(AP9*AP11+AP10*AP12)/1000000</f>
        <v/>
      </c>
      <c r="AQ64" s="45">
        <f>AQ8*(AQ9*AQ11+AQ10*AQ12)/1000000</f>
        <v/>
      </c>
      <c r="AR64" s="45">
        <f>AR8*(AR9*AR11+AR10*AR12)/1000000</f>
        <v/>
      </c>
      <c r="AS64" s="45">
        <f>AS8*(AS9*AS11+AS10*AS12)/1000000</f>
        <v/>
      </c>
      <c r="AT64" s="45">
        <f>AT8*(AT9*AT11+AT10*AT12)/1000000</f>
        <v/>
      </c>
      <c r="AU64" s="45">
        <f>AU8*(AU9*AU11+AU10*AU12)/1000000</f>
        <v/>
      </c>
      <c r="AV64" s="45">
        <f>AV8*(AV9*AV11+AV10*AV12)/1000000</f>
        <v/>
      </c>
    </row>
    <row r="65">
      <c r="B65" s="7" t="inlineStr">
        <is>
          <t>WhatsApp utility messages</t>
        </is>
      </c>
      <c r="C65" s="5" t="inlineStr">
        <is>
          <t>₹/student/month</t>
        </is>
      </c>
      <c r="D65" s="45">
        <f>D13*D14</f>
        <v/>
      </c>
      <c r="E65" s="45">
        <f>E13*E14</f>
        <v/>
      </c>
      <c r="F65" s="45">
        <f>F13*F14</f>
        <v/>
      </c>
      <c r="G65" s="45">
        <f>G13*G14</f>
        <v/>
      </c>
      <c r="H65" s="45">
        <f>H13*H14</f>
        <v/>
      </c>
      <c r="I65" s="45">
        <f>I13*I14</f>
        <v/>
      </c>
      <c r="J65" s="45">
        <f>J13*J14</f>
        <v/>
      </c>
      <c r="K65" s="45">
        <f>K13*K14</f>
        <v/>
      </c>
      <c r="L65" s="45">
        <f>L13*L14</f>
        <v/>
      </c>
      <c r="M65" s="45">
        <f>M13*M14</f>
        <v/>
      </c>
      <c r="N65" s="45">
        <f>N13*N14</f>
        <v/>
      </c>
      <c r="O65" s="45">
        <f>O13*O14</f>
        <v/>
      </c>
      <c r="P65" s="45">
        <f>P13*P14</f>
        <v/>
      </c>
      <c r="Q65" s="45">
        <f>Q13*Q14</f>
        <v/>
      </c>
      <c r="R65" s="45">
        <f>R13*R14</f>
        <v/>
      </c>
      <c r="S65" s="45">
        <f>S13*S14</f>
        <v/>
      </c>
      <c r="T65" s="45">
        <f>T13*T14</f>
        <v/>
      </c>
      <c r="U65" s="45">
        <f>U13*U14</f>
        <v/>
      </c>
      <c r="V65" s="45">
        <f>V13*V14</f>
        <v/>
      </c>
      <c r="W65" s="45">
        <f>W13*W14</f>
        <v/>
      </c>
      <c r="X65" s="45">
        <f>X13*X14</f>
        <v/>
      </c>
      <c r="Y65" s="45">
        <f>Y13*Y14</f>
        <v/>
      </c>
      <c r="Z65" s="45">
        <f>Z13*Z14</f>
        <v/>
      </c>
      <c r="AA65" s="45">
        <f>AA13*AA14</f>
        <v/>
      </c>
      <c r="AB65" s="45">
        <f>AB13*AB14</f>
        <v/>
      </c>
      <c r="AC65" s="45">
        <f>AC13*AC14</f>
        <v/>
      </c>
      <c r="AD65" s="45">
        <f>AD13*AD14</f>
        <v/>
      </c>
      <c r="AE65" s="45">
        <f>AE13*AE14</f>
        <v/>
      </c>
      <c r="AF65" s="45">
        <f>AF13*AF14</f>
        <v/>
      </c>
      <c r="AG65" s="45">
        <f>AG13*AG14</f>
        <v/>
      </c>
      <c r="AH65" s="45">
        <f>AH13*AH14</f>
        <v/>
      </c>
      <c r="AI65" s="45">
        <f>AI13*AI14</f>
        <v/>
      </c>
      <c r="AJ65" s="45">
        <f>AJ13*AJ14</f>
        <v/>
      </c>
      <c r="AK65" s="45">
        <f>AK13*AK14</f>
        <v/>
      </c>
      <c r="AL65" s="45">
        <f>AL13*AL14</f>
        <v/>
      </c>
      <c r="AM65" s="45">
        <f>AM13*AM14</f>
        <v/>
      </c>
      <c r="AN65" s="45">
        <f>AN13*AN14</f>
        <v/>
      </c>
      <c r="AO65" s="45">
        <f>AO13*AO14</f>
        <v/>
      </c>
      <c r="AP65" s="45">
        <f>AP13*AP14</f>
        <v/>
      </c>
      <c r="AQ65" s="45">
        <f>AQ13*AQ14</f>
        <v/>
      </c>
      <c r="AR65" s="45">
        <f>AR13*AR14</f>
        <v/>
      </c>
      <c r="AS65" s="45">
        <f>AS13*AS14</f>
        <v/>
      </c>
      <c r="AT65" s="45">
        <f>AT13*AT14</f>
        <v/>
      </c>
      <c r="AU65" s="45">
        <f>AU13*AU14</f>
        <v/>
      </c>
      <c r="AV65" s="45">
        <f>AV13*AV14</f>
        <v/>
      </c>
    </row>
    <row r="66">
      <c r="B66" s="7" t="inlineStr">
        <is>
          <t>Compute + storage + backups</t>
        </is>
      </c>
      <c r="C66" s="5" t="inlineStr">
        <is>
          <t>₹/student/month</t>
        </is>
      </c>
      <c r="D66" s="45">
        <f>D15</f>
        <v/>
      </c>
      <c r="E66" s="45">
        <f>E15</f>
        <v/>
      </c>
      <c r="F66" s="45">
        <f>F15</f>
        <v/>
      </c>
      <c r="G66" s="45">
        <f>G15</f>
        <v/>
      </c>
      <c r="H66" s="45">
        <f>H15</f>
        <v/>
      </c>
      <c r="I66" s="45">
        <f>I15</f>
        <v/>
      </c>
      <c r="J66" s="45">
        <f>J15</f>
        <v/>
      </c>
      <c r="K66" s="45">
        <f>K15</f>
        <v/>
      </c>
      <c r="L66" s="45">
        <f>L15</f>
        <v/>
      </c>
      <c r="M66" s="45">
        <f>M15</f>
        <v/>
      </c>
      <c r="N66" s="45">
        <f>N15</f>
        <v/>
      </c>
      <c r="O66" s="45">
        <f>O15</f>
        <v/>
      </c>
      <c r="P66" s="45">
        <f>P15</f>
        <v/>
      </c>
      <c r="Q66" s="45">
        <f>Q15</f>
        <v/>
      </c>
      <c r="R66" s="45">
        <f>R15</f>
        <v/>
      </c>
      <c r="S66" s="45">
        <f>S15</f>
        <v/>
      </c>
      <c r="T66" s="45">
        <f>T15</f>
        <v/>
      </c>
      <c r="U66" s="45">
        <f>U15</f>
        <v/>
      </c>
      <c r="V66" s="45">
        <f>V15</f>
        <v/>
      </c>
      <c r="W66" s="45">
        <f>W15</f>
        <v/>
      </c>
      <c r="X66" s="45">
        <f>X15</f>
        <v/>
      </c>
      <c r="Y66" s="45">
        <f>Y15</f>
        <v/>
      </c>
      <c r="Z66" s="45">
        <f>Z15</f>
        <v/>
      </c>
      <c r="AA66" s="45">
        <f>AA15</f>
        <v/>
      </c>
      <c r="AB66" s="45">
        <f>AB15</f>
        <v/>
      </c>
      <c r="AC66" s="45">
        <f>AC15</f>
        <v/>
      </c>
      <c r="AD66" s="45">
        <f>AD15</f>
        <v/>
      </c>
      <c r="AE66" s="45">
        <f>AE15</f>
        <v/>
      </c>
      <c r="AF66" s="45">
        <f>AF15</f>
        <v/>
      </c>
      <c r="AG66" s="45">
        <f>AG15</f>
        <v/>
      </c>
      <c r="AH66" s="45">
        <f>AH15</f>
        <v/>
      </c>
      <c r="AI66" s="45">
        <f>AI15</f>
        <v/>
      </c>
      <c r="AJ66" s="45">
        <f>AJ15</f>
        <v/>
      </c>
      <c r="AK66" s="45">
        <f>AK15</f>
        <v/>
      </c>
      <c r="AL66" s="45">
        <f>AL15</f>
        <v/>
      </c>
      <c r="AM66" s="45">
        <f>AM15</f>
        <v/>
      </c>
      <c r="AN66" s="45">
        <f>AN15</f>
        <v/>
      </c>
      <c r="AO66" s="45">
        <f>AO15</f>
        <v/>
      </c>
      <c r="AP66" s="45">
        <f>AP15</f>
        <v/>
      </c>
      <c r="AQ66" s="45">
        <f>AQ15</f>
        <v/>
      </c>
      <c r="AR66" s="45">
        <f>AR15</f>
        <v/>
      </c>
      <c r="AS66" s="45">
        <f>AS15</f>
        <v/>
      </c>
      <c r="AT66" s="45">
        <f>AT15</f>
        <v/>
      </c>
      <c r="AU66" s="45">
        <f>AU15</f>
        <v/>
      </c>
      <c r="AV66" s="45">
        <f>AV15</f>
        <v/>
      </c>
    </row>
    <row r="67">
      <c r="B67" s="7" t="inlineStr">
        <is>
          <t>Consent OTP / verification (annual ÷ 12)</t>
        </is>
      </c>
      <c r="C67" s="5" t="inlineStr">
        <is>
          <t>₹/student/month</t>
        </is>
      </c>
      <c r="D67" s="45">
        <f>D16/12</f>
        <v/>
      </c>
      <c r="E67" s="45">
        <f>E16/12</f>
        <v/>
      </c>
      <c r="F67" s="45">
        <f>F16/12</f>
        <v/>
      </c>
      <c r="G67" s="45">
        <f>G16/12</f>
        <v/>
      </c>
      <c r="H67" s="45">
        <f>H16/12</f>
        <v/>
      </c>
      <c r="I67" s="45">
        <f>I16/12</f>
        <v/>
      </c>
      <c r="J67" s="45">
        <f>J16/12</f>
        <v/>
      </c>
      <c r="K67" s="45">
        <f>K16/12</f>
        <v/>
      </c>
      <c r="L67" s="45">
        <f>L16/12</f>
        <v/>
      </c>
      <c r="M67" s="45">
        <f>M16/12</f>
        <v/>
      </c>
      <c r="N67" s="45">
        <f>N16/12</f>
        <v/>
      </c>
      <c r="O67" s="45">
        <f>O16/12</f>
        <v/>
      </c>
      <c r="P67" s="45">
        <f>P16/12</f>
        <v/>
      </c>
      <c r="Q67" s="45">
        <f>Q16/12</f>
        <v/>
      </c>
      <c r="R67" s="45">
        <f>R16/12</f>
        <v/>
      </c>
      <c r="S67" s="45">
        <f>S16/12</f>
        <v/>
      </c>
      <c r="T67" s="45">
        <f>T16/12</f>
        <v/>
      </c>
      <c r="U67" s="45">
        <f>U16/12</f>
        <v/>
      </c>
      <c r="V67" s="45">
        <f>V16/12</f>
        <v/>
      </c>
      <c r="W67" s="45">
        <f>W16/12</f>
        <v/>
      </c>
      <c r="X67" s="45">
        <f>X16/12</f>
        <v/>
      </c>
      <c r="Y67" s="45">
        <f>Y16/12</f>
        <v/>
      </c>
      <c r="Z67" s="45">
        <f>Z16/12</f>
        <v/>
      </c>
      <c r="AA67" s="45">
        <f>AA16/12</f>
        <v/>
      </c>
      <c r="AB67" s="45">
        <f>AB16/12</f>
        <v/>
      </c>
      <c r="AC67" s="45">
        <f>AC16/12</f>
        <v/>
      </c>
      <c r="AD67" s="45">
        <f>AD16/12</f>
        <v/>
      </c>
      <c r="AE67" s="45">
        <f>AE16/12</f>
        <v/>
      </c>
      <c r="AF67" s="45">
        <f>AF16/12</f>
        <v/>
      </c>
      <c r="AG67" s="45">
        <f>AG16/12</f>
        <v/>
      </c>
      <c r="AH67" s="45">
        <f>AH16/12</f>
        <v/>
      </c>
      <c r="AI67" s="45">
        <f>AI16/12</f>
        <v/>
      </c>
      <c r="AJ67" s="45">
        <f>AJ16/12</f>
        <v/>
      </c>
      <c r="AK67" s="45">
        <f>AK16/12</f>
        <v/>
      </c>
      <c r="AL67" s="45">
        <f>AL16/12</f>
        <v/>
      </c>
      <c r="AM67" s="45">
        <f>AM16/12</f>
        <v/>
      </c>
      <c r="AN67" s="45">
        <f>AN16/12</f>
        <v/>
      </c>
      <c r="AO67" s="45">
        <f>AO16/12</f>
        <v/>
      </c>
      <c r="AP67" s="45">
        <f>AP16/12</f>
        <v/>
      </c>
      <c r="AQ67" s="45">
        <f>AQ16/12</f>
        <v/>
      </c>
      <c r="AR67" s="45">
        <f>AR16/12</f>
        <v/>
      </c>
      <c r="AS67" s="45">
        <f>AS16/12</f>
        <v/>
      </c>
      <c r="AT67" s="45">
        <f>AT16/12</f>
        <v/>
      </c>
      <c r="AU67" s="45">
        <f>AU16/12</f>
        <v/>
      </c>
      <c r="AV67" s="45">
        <f>AV16/12</f>
        <v/>
      </c>
    </row>
    <row r="68">
      <c r="B68" s="7" t="inlineStr">
        <is>
          <t>Total variable COGS per student-month</t>
        </is>
      </c>
      <c r="C68" s="5" t="inlineStr">
        <is>
          <t>₹/student/month</t>
        </is>
      </c>
      <c r="D68" s="44">
        <f>SUM(D64:D67)</f>
        <v/>
      </c>
      <c r="E68" s="44">
        <f>SUM(E64:E67)</f>
        <v/>
      </c>
      <c r="F68" s="44">
        <f>SUM(F64:F67)</f>
        <v/>
      </c>
      <c r="G68" s="44">
        <f>SUM(G64:G67)</f>
        <v/>
      </c>
      <c r="H68" s="44">
        <f>SUM(H64:H67)</f>
        <v/>
      </c>
      <c r="I68" s="44">
        <f>SUM(I64:I67)</f>
        <v/>
      </c>
      <c r="J68" s="44">
        <f>SUM(J64:J67)</f>
        <v/>
      </c>
      <c r="K68" s="44">
        <f>SUM(K64:K67)</f>
        <v/>
      </c>
      <c r="L68" s="44">
        <f>SUM(L64:L67)</f>
        <v/>
      </c>
      <c r="M68" s="44">
        <f>SUM(M64:M67)</f>
        <v/>
      </c>
      <c r="N68" s="44">
        <f>SUM(N64:N67)</f>
        <v/>
      </c>
      <c r="O68" s="44">
        <f>SUM(O64:O67)</f>
        <v/>
      </c>
      <c r="P68" s="44">
        <f>SUM(P64:P67)</f>
        <v/>
      </c>
      <c r="Q68" s="44">
        <f>SUM(Q64:Q67)</f>
        <v/>
      </c>
      <c r="R68" s="44">
        <f>SUM(R64:R67)</f>
        <v/>
      </c>
      <c r="S68" s="44">
        <f>SUM(S64:S67)</f>
        <v/>
      </c>
      <c r="T68" s="44">
        <f>SUM(T64:T67)</f>
        <v/>
      </c>
      <c r="U68" s="44">
        <f>SUM(U64:U67)</f>
        <v/>
      </c>
      <c r="V68" s="44">
        <f>SUM(V64:V67)</f>
        <v/>
      </c>
      <c r="W68" s="44">
        <f>SUM(W64:W67)</f>
        <v/>
      </c>
      <c r="X68" s="44">
        <f>SUM(X64:X67)</f>
        <v/>
      </c>
      <c r="Y68" s="44">
        <f>SUM(Y64:Y67)</f>
        <v/>
      </c>
      <c r="Z68" s="44">
        <f>SUM(Z64:Z67)</f>
        <v/>
      </c>
      <c r="AA68" s="44">
        <f>SUM(AA64:AA67)</f>
        <v/>
      </c>
      <c r="AB68" s="44">
        <f>SUM(AB64:AB67)</f>
        <v/>
      </c>
      <c r="AC68" s="44">
        <f>SUM(AC64:AC67)</f>
        <v/>
      </c>
      <c r="AD68" s="44">
        <f>SUM(AD64:AD67)</f>
        <v/>
      </c>
      <c r="AE68" s="44">
        <f>SUM(AE64:AE67)</f>
        <v/>
      </c>
      <c r="AF68" s="44">
        <f>SUM(AF64:AF67)</f>
        <v/>
      </c>
      <c r="AG68" s="44">
        <f>SUM(AG64:AG67)</f>
        <v/>
      </c>
      <c r="AH68" s="44">
        <f>SUM(AH64:AH67)</f>
        <v/>
      </c>
      <c r="AI68" s="44">
        <f>SUM(AI64:AI67)</f>
        <v/>
      </c>
      <c r="AJ68" s="44">
        <f>SUM(AJ64:AJ67)</f>
        <v/>
      </c>
      <c r="AK68" s="44">
        <f>SUM(AK64:AK67)</f>
        <v/>
      </c>
      <c r="AL68" s="44">
        <f>SUM(AL64:AL67)</f>
        <v/>
      </c>
      <c r="AM68" s="44">
        <f>SUM(AM64:AM67)</f>
        <v/>
      </c>
      <c r="AN68" s="44">
        <f>SUM(AN64:AN67)</f>
        <v/>
      </c>
      <c r="AO68" s="44">
        <f>SUM(AO64:AO67)</f>
        <v/>
      </c>
      <c r="AP68" s="44">
        <f>SUM(AP64:AP67)</f>
        <v/>
      </c>
      <c r="AQ68" s="44">
        <f>SUM(AQ64:AQ67)</f>
        <v/>
      </c>
      <c r="AR68" s="44">
        <f>SUM(AR64:AR67)</f>
        <v/>
      </c>
      <c r="AS68" s="44">
        <f>SUM(AS64:AS67)</f>
        <v/>
      </c>
      <c r="AT68" s="44">
        <f>SUM(AT64:AT67)</f>
        <v/>
      </c>
      <c r="AU68" s="44">
        <f>SUM(AU64:AU67)</f>
        <v/>
      </c>
      <c r="AV68" s="44">
        <f>SUM(AV64:AV67)</f>
        <v/>
      </c>
    </row>
    <row r="69">
      <c r="B69" s="7" t="inlineStr">
        <is>
          <t>Hosting share = (server + DB + WhatsApp BSP fee) ÷ institutes per stack</t>
        </is>
      </c>
      <c r="C69" s="5" t="inlineStr">
        <is>
          <t>₹/institute/month</t>
        </is>
      </c>
      <c r="D69" s="48">
        <f>(D17+D18)/D19</f>
        <v/>
      </c>
      <c r="E69" s="48">
        <f>(E17+E18)/E19</f>
        <v/>
      </c>
      <c r="F69" s="48">
        <f>(F17+F18)/F19</f>
        <v/>
      </c>
      <c r="G69" s="48">
        <f>(G17+G18)/G19</f>
        <v/>
      </c>
      <c r="H69" s="48">
        <f>(H17+H18)/H19</f>
        <v/>
      </c>
      <c r="I69" s="48">
        <f>(I17+I18)/I19</f>
        <v/>
      </c>
      <c r="J69" s="48">
        <f>(J17+J18)/J19</f>
        <v/>
      </c>
      <c r="K69" s="48">
        <f>(K17+K18)/K19</f>
        <v/>
      </c>
      <c r="L69" s="48">
        <f>(L17+L18)/L19</f>
        <v/>
      </c>
      <c r="M69" s="48">
        <f>(M17+M18)/M19</f>
        <v/>
      </c>
      <c r="N69" s="48">
        <f>(N17+N18)/N19</f>
        <v/>
      </c>
      <c r="O69" s="48">
        <f>(O17+O18)/O19</f>
        <v/>
      </c>
      <c r="P69" s="48">
        <f>(P17+P18)/P19</f>
        <v/>
      </c>
      <c r="Q69" s="48">
        <f>(Q17+Q18)/Q19</f>
        <v/>
      </c>
      <c r="R69" s="48">
        <f>(R17+R18)/R19</f>
        <v/>
      </c>
      <c r="S69" s="48">
        <f>(S17+S18)/S19</f>
        <v/>
      </c>
      <c r="T69" s="48">
        <f>(T17+T18)/T19</f>
        <v/>
      </c>
      <c r="U69" s="48">
        <f>(U17+U18)/U19</f>
        <v/>
      </c>
      <c r="V69" s="48">
        <f>(V17+V18)/V19</f>
        <v/>
      </c>
      <c r="W69" s="48">
        <f>(W17+W18)/W19</f>
        <v/>
      </c>
      <c r="X69" s="48">
        <f>(X17+X18)/X19</f>
        <v/>
      </c>
      <c r="Y69" s="48">
        <f>(Y17+Y18)/Y19</f>
        <v/>
      </c>
      <c r="Z69" s="48">
        <f>(Z17+Z18)/Z19</f>
        <v/>
      </c>
      <c r="AA69" s="48">
        <f>(AA17+AA18)/AA19</f>
        <v/>
      </c>
      <c r="AB69" s="48">
        <f>(AB17+AB18)/AB19</f>
        <v/>
      </c>
      <c r="AC69" s="48">
        <f>(AC17+AC18)/AC19</f>
        <v/>
      </c>
      <c r="AD69" s="48">
        <f>(AD17+AD18)/AD19</f>
        <v/>
      </c>
      <c r="AE69" s="48">
        <f>(AE17+AE18)/AE19</f>
        <v/>
      </c>
      <c r="AF69" s="48">
        <f>(AF17+AF18)/AF19</f>
        <v/>
      </c>
      <c r="AG69" s="48">
        <f>(AG17+AG18)/AG19</f>
        <v/>
      </c>
      <c r="AH69" s="48">
        <f>(AH17+AH18)/AH19</f>
        <v/>
      </c>
      <c r="AI69" s="48">
        <f>(AI17+AI18)/AI19</f>
        <v/>
      </c>
      <c r="AJ69" s="48">
        <f>(AJ17+AJ18)/AJ19</f>
        <v/>
      </c>
      <c r="AK69" s="48">
        <f>(AK17+AK18)/AK19</f>
        <v/>
      </c>
      <c r="AL69" s="48">
        <f>(AL17+AL18)/AL19</f>
        <v/>
      </c>
      <c r="AM69" s="48">
        <f>(AM17+AM18)/AM19</f>
        <v/>
      </c>
      <c r="AN69" s="48">
        <f>(AN17+AN18)/AN19</f>
        <v/>
      </c>
      <c r="AO69" s="48">
        <f>(AO17+AO18)/AO19</f>
        <v/>
      </c>
      <c r="AP69" s="48">
        <f>(AP17+AP18)/AP19</f>
        <v/>
      </c>
      <c r="AQ69" s="48">
        <f>(AQ17+AQ18)/AQ19</f>
        <v/>
      </c>
      <c r="AR69" s="48">
        <f>(AR17+AR18)/AR19</f>
        <v/>
      </c>
      <c r="AS69" s="48">
        <f>(AS17+AS18)/AS19</f>
        <v/>
      </c>
      <c r="AT69" s="48">
        <f>(AT17+AT18)/AT19</f>
        <v/>
      </c>
      <c r="AU69" s="48">
        <f>(AU17+AU18)/AU19</f>
        <v/>
      </c>
      <c r="AV69" s="48">
        <f>(AV17+AV18)/AV19</f>
        <v/>
      </c>
    </row>
    <row r="70">
      <c r="B70" s="7" t="inlineStr">
        <is>
          <t>Hosting share + DPDP compliance</t>
        </is>
      </c>
      <c r="C70" s="5" t="inlineStr">
        <is>
          <t>₹/institute/month</t>
        </is>
      </c>
      <c r="D70" s="50">
        <f>D69+D20</f>
        <v/>
      </c>
      <c r="E70" s="50">
        <f>E69+E20</f>
        <v/>
      </c>
      <c r="F70" s="50">
        <f>F69+F20</f>
        <v/>
      </c>
      <c r="G70" s="50">
        <f>G69+G20</f>
        <v/>
      </c>
      <c r="H70" s="50">
        <f>H69+H20</f>
        <v/>
      </c>
      <c r="I70" s="50">
        <f>I69+I20</f>
        <v/>
      </c>
      <c r="J70" s="50">
        <f>J69+J20</f>
        <v/>
      </c>
      <c r="K70" s="50">
        <f>K69+K20</f>
        <v/>
      </c>
      <c r="L70" s="50">
        <f>L69+L20</f>
        <v/>
      </c>
      <c r="M70" s="50">
        <f>M69+M20</f>
        <v/>
      </c>
      <c r="N70" s="50">
        <f>N69+N20</f>
        <v/>
      </c>
      <c r="O70" s="50">
        <f>O69+O20</f>
        <v/>
      </c>
      <c r="P70" s="50">
        <f>P69+P20</f>
        <v/>
      </c>
      <c r="Q70" s="50">
        <f>Q69+Q20</f>
        <v/>
      </c>
      <c r="R70" s="50">
        <f>R69+R20</f>
        <v/>
      </c>
      <c r="S70" s="50">
        <f>S69+S20</f>
        <v/>
      </c>
      <c r="T70" s="50">
        <f>T69+T20</f>
        <v/>
      </c>
      <c r="U70" s="50">
        <f>U69+U20</f>
        <v/>
      </c>
      <c r="V70" s="50">
        <f>V69+V20</f>
        <v/>
      </c>
      <c r="W70" s="50">
        <f>W69+W20</f>
        <v/>
      </c>
      <c r="X70" s="50">
        <f>X69+X20</f>
        <v/>
      </c>
      <c r="Y70" s="50">
        <f>Y69+Y20</f>
        <v/>
      </c>
      <c r="Z70" s="50">
        <f>Z69+Z20</f>
        <v/>
      </c>
      <c r="AA70" s="50">
        <f>AA69+AA20</f>
        <v/>
      </c>
      <c r="AB70" s="50">
        <f>AB69+AB20</f>
        <v/>
      </c>
      <c r="AC70" s="50">
        <f>AC69+AC20</f>
        <v/>
      </c>
      <c r="AD70" s="50">
        <f>AD69+AD20</f>
        <v/>
      </c>
      <c r="AE70" s="50">
        <f>AE69+AE20</f>
        <v/>
      </c>
      <c r="AF70" s="50">
        <f>AF69+AF20</f>
        <v/>
      </c>
      <c r="AG70" s="50">
        <f>AG69+AG20</f>
        <v/>
      </c>
      <c r="AH70" s="50">
        <f>AH69+AH20</f>
        <v/>
      </c>
      <c r="AI70" s="50">
        <f>AI69+AI20</f>
        <v/>
      </c>
      <c r="AJ70" s="50">
        <f>AJ69+AJ20</f>
        <v/>
      </c>
      <c r="AK70" s="50">
        <f>AK69+AK20</f>
        <v/>
      </c>
      <c r="AL70" s="50">
        <f>AL69+AL20</f>
        <v/>
      </c>
      <c r="AM70" s="50">
        <f>AM69+AM20</f>
        <v/>
      </c>
      <c r="AN70" s="50">
        <f>AN69+AN20</f>
        <v/>
      </c>
      <c r="AO70" s="50">
        <f>AO69+AO20</f>
        <v/>
      </c>
      <c r="AP70" s="50">
        <f>AP69+AP20</f>
        <v/>
      </c>
      <c r="AQ70" s="50">
        <f>AQ69+AQ20</f>
        <v/>
      </c>
      <c r="AR70" s="50">
        <f>AR69+AR20</f>
        <v/>
      </c>
      <c r="AS70" s="50">
        <f>AS69+AS20</f>
        <v/>
      </c>
      <c r="AT70" s="50">
        <f>AT69+AT20</f>
        <v/>
      </c>
      <c r="AU70" s="50">
        <f>AU69+AU20</f>
        <v/>
      </c>
      <c r="AV70" s="50">
        <f>AV69+AV20</f>
        <v/>
      </c>
    </row>
    <row r="71">
      <c r="B71" s="7" t="inlineStr">
        <is>
          <t>All-in COGS per student-month at this size</t>
        </is>
      </c>
      <c r="C71" s="5" t="inlineStr">
        <is>
          <t>₹/student/month</t>
        </is>
      </c>
      <c r="D71" s="44">
        <f>D68+D70/D21</f>
        <v/>
      </c>
      <c r="E71" s="44">
        <f>E68+E70/E21</f>
        <v/>
      </c>
      <c r="F71" s="44">
        <f>F68+F70/F21</f>
        <v/>
      </c>
      <c r="G71" s="44">
        <f>G68+G70/G21</f>
        <v/>
      </c>
      <c r="H71" s="44">
        <f>H68+H70/H21</f>
        <v/>
      </c>
      <c r="I71" s="44">
        <f>I68+I70/I21</f>
        <v/>
      </c>
      <c r="J71" s="44">
        <f>J68+J70/J21</f>
        <v/>
      </c>
      <c r="K71" s="44">
        <f>K68+K70/K21</f>
        <v/>
      </c>
      <c r="L71" s="44">
        <f>L68+L70/L21</f>
        <v/>
      </c>
      <c r="M71" s="44">
        <f>M68+M70/M21</f>
        <v/>
      </c>
      <c r="N71" s="44">
        <f>N68+N70/N21</f>
        <v/>
      </c>
      <c r="O71" s="44">
        <f>O68+O70/O21</f>
        <v/>
      </c>
      <c r="P71" s="44">
        <f>P68+P70/P21</f>
        <v/>
      </c>
      <c r="Q71" s="44">
        <f>Q68+Q70/Q21</f>
        <v/>
      </c>
      <c r="R71" s="44">
        <f>R68+R70/R21</f>
        <v/>
      </c>
      <c r="S71" s="44">
        <f>S68+S70/S21</f>
        <v/>
      </c>
      <c r="T71" s="44">
        <f>T68+T70/T21</f>
        <v/>
      </c>
      <c r="U71" s="44">
        <f>U68+U70/U21</f>
        <v/>
      </c>
      <c r="V71" s="44">
        <f>V68+V70/V21</f>
        <v/>
      </c>
      <c r="W71" s="44">
        <f>W68+W70/W21</f>
        <v/>
      </c>
      <c r="X71" s="44">
        <f>X68+X70/X21</f>
        <v/>
      </c>
      <c r="Y71" s="44">
        <f>Y68+Y70/Y21</f>
        <v/>
      </c>
      <c r="Z71" s="44">
        <f>Z68+Z70/Z21</f>
        <v/>
      </c>
      <c r="AA71" s="44">
        <f>AA68+AA70/AA21</f>
        <v/>
      </c>
      <c r="AB71" s="44">
        <f>AB68+AB70/AB21</f>
        <v/>
      </c>
      <c r="AC71" s="44">
        <f>AC68+AC70/AC21</f>
        <v/>
      </c>
      <c r="AD71" s="44">
        <f>AD68+AD70/AD21</f>
        <v/>
      </c>
      <c r="AE71" s="44">
        <f>AE68+AE70/AE21</f>
        <v/>
      </c>
      <c r="AF71" s="44">
        <f>AF68+AF70/AF21</f>
        <v/>
      </c>
      <c r="AG71" s="44">
        <f>AG68+AG70/AG21</f>
        <v/>
      </c>
      <c r="AH71" s="44">
        <f>AH68+AH70/AH21</f>
        <v/>
      </c>
      <c r="AI71" s="44">
        <f>AI68+AI70/AI21</f>
        <v/>
      </c>
      <c r="AJ71" s="44">
        <f>AJ68+AJ70/AJ21</f>
        <v/>
      </c>
      <c r="AK71" s="44">
        <f>AK68+AK70/AK21</f>
        <v/>
      </c>
      <c r="AL71" s="44">
        <f>AL68+AL70/AL21</f>
        <v/>
      </c>
      <c r="AM71" s="44">
        <f>AM68+AM70/AM21</f>
        <v/>
      </c>
      <c r="AN71" s="44">
        <f>AN68+AN70/AN21</f>
        <v/>
      </c>
      <c r="AO71" s="44">
        <f>AO68+AO70/AO21</f>
        <v/>
      </c>
      <c r="AP71" s="44">
        <f>AP68+AP70/AP21</f>
        <v/>
      </c>
      <c r="AQ71" s="44">
        <f>AQ68+AQ70/AQ21</f>
        <v/>
      </c>
      <c r="AR71" s="44">
        <f>AR68+AR70/AR21</f>
        <v/>
      </c>
      <c r="AS71" s="44">
        <f>AS68+AS70/AS21</f>
        <v/>
      </c>
      <c r="AT71" s="44">
        <f>AT68+AT70/AT21</f>
        <v/>
      </c>
      <c r="AU71" s="44">
        <f>AU68+AU70/AU21</f>
        <v/>
      </c>
      <c r="AV71" s="44">
        <f>AV68+AV70/AV21</f>
        <v/>
      </c>
    </row>
    <row r="72">
      <c r="B72" s="7" t="inlineStr">
        <is>
          <t>Effective discount = negotiation + prepay uptake × prepay discount</t>
        </is>
      </c>
      <c r="C72" s="5" t="inlineStr">
        <is>
          <t>%</t>
        </is>
      </c>
      <c r="D72" s="38">
        <f>D24+D25*D26</f>
        <v/>
      </c>
      <c r="E72" s="38">
        <f>E24+E25*E26</f>
        <v/>
      </c>
      <c r="F72" s="38">
        <f>F24+F25*F26</f>
        <v/>
      </c>
      <c r="G72" s="38">
        <f>G24+G25*G26</f>
        <v/>
      </c>
      <c r="H72" s="38">
        <f>H24+H25*H26</f>
        <v/>
      </c>
      <c r="I72" s="38">
        <f>I24+I25*I26</f>
        <v/>
      </c>
      <c r="J72" s="38">
        <f>J24+J25*J26</f>
        <v/>
      </c>
      <c r="K72" s="38">
        <f>K24+K25*K26</f>
        <v/>
      </c>
      <c r="L72" s="38">
        <f>L24+L25*L26</f>
        <v/>
      </c>
      <c r="M72" s="38">
        <f>M24+M25*M26</f>
        <v/>
      </c>
      <c r="N72" s="38">
        <f>N24+N25*N26</f>
        <v/>
      </c>
      <c r="O72" s="38">
        <f>O24+O25*O26</f>
        <v/>
      </c>
      <c r="P72" s="38">
        <f>P24+P25*P26</f>
        <v/>
      </c>
      <c r="Q72" s="38">
        <f>Q24+Q25*Q26</f>
        <v/>
      </c>
      <c r="R72" s="38">
        <f>R24+R25*R26</f>
        <v/>
      </c>
      <c r="S72" s="38">
        <f>S24+S25*S26</f>
        <v/>
      </c>
      <c r="T72" s="38">
        <f>T24+T25*T26</f>
        <v/>
      </c>
      <c r="U72" s="38">
        <f>U24+U25*U26</f>
        <v/>
      </c>
      <c r="V72" s="38">
        <f>V24+V25*V26</f>
        <v/>
      </c>
      <c r="W72" s="38">
        <f>W24+W25*W26</f>
        <v/>
      </c>
      <c r="X72" s="38">
        <f>X24+X25*X26</f>
        <v/>
      </c>
      <c r="Y72" s="38">
        <f>Y24+Y25*Y26</f>
        <v/>
      </c>
      <c r="Z72" s="38">
        <f>Z24+Z25*Z26</f>
        <v/>
      </c>
      <c r="AA72" s="38">
        <f>AA24+AA25*AA26</f>
        <v/>
      </c>
      <c r="AB72" s="38">
        <f>AB24+AB25*AB26</f>
        <v/>
      </c>
      <c r="AC72" s="38">
        <f>AC24+AC25*AC26</f>
        <v/>
      </c>
      <c r="AD72" s="38">
        <f>AD24+AD25*AD26</f>
        <v/>
      </c>
      <c r="AE72" s="38">
        <f>AE24+AE25*AE26</f>
        <v/>
      </c>
      <c r="AF72" s="38">
        <f>AF24+AF25*AF26</f>
        <v/>
      </c>
      <c r="AG72" s="38">
        <f>AG24+AG25*AG26</f>
        <v/>
      </c>
      <c r="AH72" s="38">
        <f>AH24+AH25*AH26</f>
        <v/>
      </c>
      <c r="AI72" s="38">
        <f>AI24+AI25*AI26</f>
        <v/>
      </c>
      <c r="AJ72" s="38">
        <f>AJ24+AJ25*AJ26</f>
        <v/>
      </c>
      <c r="AK72" s="38">
        <f>AK24+AK25*AK26</f>
        <v/>
      </c>
      <c r="AL72" s="38">
        <f>AL24+AL25*AL26</f>
        <v/>
      </c>
      <c r="AM72" s="38">
        <f>AM24+AM25*AM26</f>
        <v/>
      </c>
      <c r="AN72" s="38">
        <f>AN24+AN25*AN26</f>
        <v/>
      </c>
      <c r="AO72" s="38">
        <f>AO24+AO25*AO26</f>
        <v/>
      </c>
      <c r="AP72" s="38">
        <f>AP24+AP25*AP26</f>
        <v/>
      </c>
      <c r="AQ72" s="38">
        <f>AQ24+AQ25*AQ26</f>
        <v/>
      </c>
      <c r="AR72" s="38">
        <f>AR24+AR25*AR26</f>
        <v/>
      </c>
      <c r="AS72" s="38">
        <f>AS24+AS25*AS26</f>
        <v/>
      </c>
      <c r="AT72" s="38">
        <f>AT24+AT25*AT26</f>
        <v/>
      </c>
      <c r="AU72" s="38">
        <f>AU24+AU25*AU26</f>
        <v/>
      </c>
      <c r="AV72" s="38">
        <f>AV24+AV25*AV26</f>
        <v/>
      </c>
    </row>
    <row r="73">
      <c r="B73" s="7" t="inlineStr">
        <is>
          <t>Realised price per student-month (ex-GST)</t>
        </is>
      </c>
      <c r="C73" s="5" t="inlineStr">
        <is>
          <t>₹/student/month</t>
        </is>
      </c>
      <c r="D73" s="44">
        <f>D22*(1-D72)</f>
        <v/>
      </c>
      <c r="E73" s="44">
        <f>E22*(1-E72)</f>
        <v/>
      </c>
      <c r="F73" s="44">
        <f>F22*(1-F72)</f>
        <v/>
      </c>
      <c r="G73" s="44">
        <f>G22*(1-G72)</f>
        <v/>
      </c>
      <c r="H73" s="44">
        <f>H22*(1-H72)</f>
        <v/>
      </c>
      <c r="I73" s="44">
        <f>I22*(1-I72)</f>
        <v/>
      </c>
      <c r="J73" s="44">
        <f>J22*(1-J72)</f>
        <v/>
      </c>
      <c r="K73" s="44">
        <f>K22*(1-K72)</f>
        <v/>
      </c>
      <c r="L73" s="44">
        <f>L22*(1-L72)</f>
        <v/>
      </c>
      <c r="M73" s="44">
        <f>M22*(1-M72)</f>
        <v/>
      </c>
      <c r="N73" s="44">
        <f>N22*(1-N72)</f>
        <v/>
      </c>
      <c r="O73" s="44">
        <f>O22*(1-O72)</f>
        <v/>
      </c>
      <c r="P73" s="44">
        <f>P22*(1-P72)</f>
        <v/>
      </c>
      <c r="Q73" s="44">
        <f>Q22*(1-Q72)</f>
        <v/>
      </c>
      <c r="R73" s="44">
        <f>R22*(1-R72)</f>
        <v/>
      </c>
      <c r="S73" s="44">
        <f>S22*(1-S72)</f>
        <v/>
      </c>
      <c r="T73" s="44">
        <f>T22*(1-T72)</f>
        <v/>
      </c>
      <c r="U73" s="44">
        <f>U22*(1-U72)</f>
        <v/>
      </c>
      <c r="V73" s="44">
        <f>V22*(1-V72)</f>
        <v/>
      </c>
      <c r="W73" s="44">
        <f>W22*(1-W72)</f>
        <v/>
      </c>
      <c r="X73" s="44">
        <f>X22*(1-X72)</f>
        <v/>
      </c>
      <c r="Y73" s="44">
        <f>Y22*(1-Y72)</f>
        <v/>
      </c>
      <c r="Z73" s="44">
        <f>Z22*(1-Z72)</f>
        <v/>
      </c>
      <c r="AA73" s="44">
        <f>AA22*(1-AA72)</f>
        <v/>
      </c>
      <c r="AB73" s="44">
        <f>AB22*(1-AB72)</f>
        <v/>
      </c>
      <c r="AC73" s="44">
        <f>AC22*(1-AC72)</f>
        <v/>
      </c>
      <c r="AD73" s="44">
        <f>AD22*(1-AD72)</f>
        <v/>
      </c>
      <c r="AE73" s="44">
        <f>AE22*(1-AE72)</f>
        <v/>
      </c>
      <c r="AF73" s="44">
        <f>AF22*(1-AF72)</f>
        <v/>
      </c>
      <c r="AG73" s="44">
        <f>AG22*(1-AG72)</f>
        <v/>
      </c>
      <c r="AH73" s="44">
        <f>AH22*(1-AH72)</f>
        <v/>
      </c>
      <c r="AI73" s="44">
        <f>AI22*(1-AI72)</f>
        <v/>
      </c>
      <c r="AJ73" s="44">
        <f>AJ22*(1-AJ72)</f>
        <v/>
      </c>
      <c r="AK73" s="44">
        <f>AK22*(1-AK72)</f>
        <v/>
      </c>
      <c r="AL73" s="44">
        <f>AL22*(1-AL72)</f>
        <v/>
      </c>
      <c r="AM73" s="44">
        <f>AM22*(1-AM72)</f>
        <v/>
      </c>
      <c r="AN73" s="44">
        <f>AN22*(1-AN72)</f>
        <v/>
      </c>
      <c r="AO73" s="44">
        <f>AO22*(1-AO72)</f>
        <v/>
      </c>
      <c r="AP73" s="44">
        <f>AP22*(1-AP72)</f>
        <v/>
      </c>
      <c r="AQ73" s="44">
        <f>AQ22*(1-AQ72)</f>
        <v/>
      </c>
      <c r="AR73" s="44">
        <f>AR22*(1-AR72)</f>
        <v/>
      </c>
      <c r="AS73" s="44">
        <f>AS22*(1-AS72)</f>
        <v/>
      </c>
      <c r="AT73" s="44">
        <f>AT22*(1-AT72)</f>
        <v/>
      </c>
      <c r="AU73" s="44">
        <f>AU22*(1-AU72)</f>
        <v/>
      </c>
      <c r="AV73" s="44">
        <f>AV22*(1-AV72)</f>
        <v/>
      </c>
    </row>
    <row r="74">
      <c r="B74" s="7" t="inlineStr">
        <is>
          <t>Price the owner feels (incl. GST)</t>
        </is>
      </c>
      <c r="C74" s="5" t="inlineStr">
        <is>
          <t>₹/student/month</t>
        </is>
      </c>
      <c r="D74" s="45">
        <f>D73*(1+D27)</f>
        <v/>
      </c>
      <c r="E74" s="45">
        <f>E73*(1+E27)</f>
        <v/>
      </c>
      <c r="F74" s="45">
        <f>F73*(1+F27)</f>
        <v/>
      </c>
      <c r="G74" s="45">
        <f>G73*(1+G27)</f>
        <v/>
      </c>
      <c r="H74" s="45">
        <f>H73*(1+H27)</f>
        <v/>
      </c>
      <c r="I74" s="45">
        <f>I73*(1+I27)</f>
        <v/>
      </c>
      <c r="J74" s="45">
        <f>J73*(1+J27)</f>
        <v/>
      </c>
      <c r="K74" s="45">
        <f>K73*(1+K27)</f>
        <v/>
      </c>
      <c r="L74" s="45">
        <f>L73*(1+L27)</f>
        <v/>
      </c>
      <c r="M74" s="45">
        <f>M73*(1+M27)</f>
        <v/>
      </c>
      <c r="N74" s="45">
        <f>N73*(1+N27)</f>
        <v/>
      </c>
      <c r="O74" s="45">
        <f>O73*(1+O27)</f>
        <v/>
      </c>
      <c r="P74" s="45">
        <f>P73*(1+P27)</f>
        <v/>
      </c>
      <c r="Q74" s="45">
        <f>Q73*(1+Q27)</f>
        <v/>
      </c>
      <c r="R74" s="45">
        <f>R73*(1+R27)</f>
        <v/>
      </c>
      <c r="S74" s="45">
        <f>S73*(1+S27)</f>
        <v/>
      </c>
      <c r="T74" s="45">
        <f>T73*(1+T27)</f>
        <v/>
      </c>
      <c r="U74" s="45">
        <f>U73*(1+U27)</f>
        <v/>
      </c>
      <c r="V74" s="45">
        <f>V73*(1+V27)</f>
        <v/>
      </c>
      <c r="W74" s="45">
        <f>W73*(1+W27)</f>
        <v/>
      </c>
      <c r="X74" s="45">
        <f>X73*(1+X27)</f>
        <v/>
      </c>
      <c r="Y74" s="45">
        <f>Y73*(1+Y27)</f>
        <v/>
      </c>
      <c r="Z74" s="45">
        <f>Z73*(1+Z27)</f>
        <v/>
      </c>
      <c r="AA74" s="45">
        <f>AA73*(1+AA27)</f>
        <v/>
      </c>
      <c r="AB74" s="45">
        <f>AB73*(1+AB27)</f>
        <v/>
      </c>
      <c r="AC74" s="45">
        <f>AC73*(1+AC27)</f>
        <v/>
      </c>
      <c r="AD74" s="45">
        <f>AD73*(1+AD27)</f>
        <v/>
      </c>
      <c r="AE74" s="45">
        <f>AE73*(1+AE27)</f>
        <v/>
      </c>
      <c r="AF74" s="45">
        <f>AF73*(1+AF27)</f>
        <v/>
      </c>
      <c r="AG74" s="45">
        <f>AG73*(1+AG27)</f>
        <v/>
      </c>
      <c r="AH74" s="45">
        <f>AH73*(1+AH27)</f>
        <v/>
      </c>
      <c r="AI74" s="45">
        <f>AI73*(1+AI27)</f>
        <v/>
      </c>
      <c r="AJ74" s="45">
        <f>AJ73*(1+AJ27)</f>
        <v/>
      </c>
      <c r="AK74" s="45">
        <f>AK73*(1+AK27)</f>
        <v/>
      </c>
      <c r="AL74" s="45">
        <f>AL73*(1+AL27)</f>
        <v/>
      </c>
      <c r="AM74" s="45">
        <f>AM73*(1+AM27)</f>
        <v/>
      </c>
      <c r="AN74" s="45">
        <f>AN73*(1+AN27)</f>
        <v/>
      </c>
      <c r="AO74" s="45">
        <f>AO73*(1+AO27)</f>
        <v/>
      </c>
      <c r="AP74" s="45">
        <f>AP73*(1+AP27)</f>
        <v/>
      </c>
      <c r="AQ74" s="45">
        <f>AQ73*(1+AQ27)</f>
        <v/>
      </c>
      <c r="AR74" s="45">
        <f>AR73*(1+AR27)</f>
        <v/>
      </c>
      <c r="AS74" s="45">
        <f>AS73*(1+AS27)</f>
        <v/>
      </c>
      <c r="AT74" s="45">
        <f>AT73*(1+AT27)</f>
        <v/>
      </c>
      <c r="AU74" s="45">
        <f>AU73*(1+AU27)</f>
        <v/>
      </c>
      <c r="AV74" s="45">
        <f>AV73*(1+AV27)</f>
        <v/>
      </c>
    </row>
    <row r="75">
      <c r="B75" s="7" t="inlineStr">
        <is>
          <t>Our realised price ÷ what institutes already pay for an ERP/LMS</t>
        </is>
      </c>
      <c r="C75" s="5" t="inlineStr">
        <is>
          <t>x</t>
        </is>
      </c>
      <c r="D75" s="47">
        <f>IF(D28&gt;0,D73/D28,0)</f>
        <v/>
      </c>
      <c r="E75" s="47">
        <f>IF(E28&gt;0,E73/E28,0)</f>
        <v/>
      </c>
      <c r="F75" s="47">
        <f>IF(F28&gt;0,F73/F28,0)</f>
        <v/>
      </c>
      <c r="G75" s="47">
        <f>IF(G28&gt;0,G73/G28,0)</f>
        <v/>
      </c>
      <c r="H75" s="47">
        <f>IF(H28&gt;0,H73/H28,0)</f>
        <v/>
      </c>
      <c r="I75" s="47">
        <f>IF(I28&gt;0,I73/I28,0)</f>
        <v/>
      </c>
      <c r="J75" s="47">
        <f>IF(J28&gt;0,J73/J28,0)</f>
        <v/>
      </c>
      <c r="K75" s="47">
        <f>IF(K28&gt;0,K73/K28,0)</f>
        <v/>
      </c>
      <c r="L75" s="47">
        <f>IF(L28&gt;0,L73/L28,0)</f>
        <v/>
      </c>
      <c r="M75" s="47">
        <f>IF(M28&gt;0,M73/M28,0)</f>
        <v/>
      </c>
      <c r="N75" s="47">
        <f>IF(N28&gt;0,N73/N28,0)</f>
        <v/>
      </c>
      <c r="O75" s="47">
        <f>IF(O28&gt;0,O73/O28,0)</f>
        <v/>
      </c>
      <c r="P75" s="47">
        <f>IF(P28&gt;0,P73/P28,0)</f>
        <v/>
      </c>
      <c r="Q75" s="47">
        <f>IF(Q28&gt;0,Q73/Q28,0)</f>
        <v/>
      </c>
      <c r="R75" s="47">
        <f>IF(R28&gt;0,R73/R28,0)</f>
        <v/>
      </c>
      <c r="S75" s="47">
        <f>IF(S28&gt;0,S73/S28,0)</f>
        <v/>
      </c>
      <c r="T75" s="47">
        <f>IF(T28&gt;0,T73/T28,0)</f>
        <v/>
      </c>
      <c r="U75" s="47">
        <f>IF(U28&gt;0,U73/U28,0)</f>
        <v/>
      </c>
      <c r="V75" s="47">
        <f>IF(V28&gt;0,V73/V28,0)</f>
        <v/>
      </c>
      <c r="W75" s="47">
        <f>IF(W28&gt;0,W73/W28,0)</f>
        <v/>
      </c>
      <c r="X75" s="47">
        <f>IF(X28&gt;0,X73/X28,0)</f>
        <v/>
      </c>
      <c r="Y75" s="47">
        <f>IF(Y28&gt;0,Y73/Y28,0)</f>
        <v/>
      </c>
      <c r="Z75" s="47">
        <f>IF(Z28&gt;0,Z73/Z28,0)</f>
        <v/>
      </c>
      <c r="AA75" s="47">
        <f>IF(AA28&gt;0,AA73/AA28,0)</f>
        <v/>
      </c>
      <c r="AB75" s="47">
        <f>IF(AB28&gt;0,AB73/AB28,0)</f>
        <v/>
      </c>
      <c r="AC75" s="47">
        <f>IF(AC28&gt;0,AC73/AC28,0)</f>
        <v/>
      </c>
      <c r="AD75" s="47">
        <f>IF(AD28&gt;0,AD73/AD28,0)</f>
        <v/>
      </c>
      <c r="AE75" s="47">
        <f>IF(AE28&gt;0,AE73/AE28,0)</f>
        <v/>
      </c>
      <c r="AF75" s="47">
        <f>IF(AF28&gt;0,AF73/AF28,0)</f>
        <v/>
      </c>
      <c r="AG75" s="47">
        <f>IF(AG28&gt;0,AG73/AG28,0)</f>
        <v/>
      </c>
      <c r="AH75" s="47">
        <f>IF(AH28&gt;0,AH73/AH28,0)</f>
        <v/>
      </c>
      <c r="AI75" s="47">
        <f>IF(AI28&gt;0,AI73/AI28,0)</f>
        <v/>
      </c>
      <c r="AJ75" s="47">
        <f>IF(AJ28&gt;0,AJ73/AJ28,0)</f>
        <v/>
      </c>
      <c r="AK75" s="47">
        <f>IF(AK28&gt;0,AK73/AK28,0)</f>
        <v/>
      </c>
      <c r="AL75" s="47">
        <f>IF(AL28&gt;0,AL73/AL28,0)</f>
        <v/>
      </c>
      <c r="AM75" s="47">
        <f>IF(AM28&gt;0,AM73/AM28,0)</f>
        <v/>
      </c>
      <c r="AN75" s="47">
        <f>IF(AN28&gt;0,AN73/AN28,0)</f>
        <v/>
      </c>
      <c r="AO75" s="47">
        <f>IF(AO28&gt;0,AO73/AO28,0)</f>
        <v/>
      </c>
      <c r="AP75" s="47">
        <f>IF(AP28&gt;0,AP73/AP28,0)</f>
        <v/>
      </c>
      <c r="AQ75" s="47">
        <f>IF(AQ28&gt;0,AQ73/AQ28,0)</f>
        <v/>
      </c>
      <c r="AR75" s="47">
        <f>IF(AR28&gt;0,AR73/AR28,0)</f>
        <v/>
      </c>
      <c r="AS75" s="47">
        <f>IF(AS28&gt;0,AS73/AS28,0)</f>
        <v/>
      </c>
      <c r="AT75" s="47">
        <f>IF(AT28&gt;0,AT73/AT28,0)</f>
        <v/>
      </c>
      <c r="AU75" s="47">
        <f>IF(AU28&gt;0,AU73/AU28,0)</f>
        <v/>
      </c>
      <c r="AV75" s="47">
        <f>IF(AV28&gt;0,AV73/AV28,0)</f>
        <v/>
      </c>
    </row>
    <row r="76">
      <c r="B76" s="7" t="inlineStr">
        <is>
          <t>Dropouts per year</t>
        </is>
      </c>
      <c r="C76" s="5" t="inlineStr">
        <is>
          <t>students/yr</t>
        </is>
      </c>
      <c r="D76" s="51">
        <f>D21*D30</f>
        <v/>
      </c>
      <c r="E76" s="51">
        <f>E21*E30</f>
        <v/>
      </c>
      <c r="F76" s="51">
        <f>F21*F30</f>
        <v/>
      </c>
      <c r="G76" s="51">
        <f>G21*G30</f>
        <v/>
      </c>
      <c r="H76" s="51">
        <f>H21*H30</f>
        <v/>
      </c>
      <c r="I76" s="51">
        <f>I21*I30</f>
        <v/>
      </c>
      <c r="J76" s="51">
        <f>J21*J30</f>
        <v/>
      </c>
      <c r="K76" s="51">
        <f>K21*K30</f>
        <v/>
      </c>
      <c r="L76" s="51">
        <f>L21*L30</f>
        <v/>
      </c>
      <c r="M76" s="51">
        <f>M21*M30</f>
        <v/>
      </c>
      <c r="N76" s="51">
        <f>N21*N30</f>
        <v/>
      </c>
      <c r="O76" s="51">
        <f>O21*O30</f>
        <v/>
      </c>
      <c r="P76" s="51">
        <f>P21*P30</f>
        <v/>
      </c>
      <c r="Q76" s="51">
        <f>Q21*Q30</f>
        <v/>
      </c>
      <c r="R76" s="51">
        <f>R21*R30</f>
        <v/>
      </c>
      <c r="S76" s="51">
        <f>S21*S30</f>
        <v/>
      </c>
      <c r="T76" s="51">
        <f>T21*T30</f>
        <v/>
      </c>
      <c r="U76" s="51">
        <f>U21*U30</f>
        <v/>
      </c>
      <c r="V76" s="51">
        <f>V21*V30</f>
        <v/>
      </c>
      <c r="W76" s="51">
        <f>W21*W30</f>
        <v/>
      </c>
      <c r="X76" s="51">
        <f>X21*X30</f>
        <v/>
      </c>
      <c r="Y76" s="51">
        <f>Y21*Y30</f>
        <v/>
      </c>
      <c r="Z76" s="51">
        <f>Z21*Z30</f>
        <v/>
      </c>
      <c r="AA76" s="51">
        <f>AA21*AA30</f>
        <v/>
      </c>
      <c r="AB76" s="51">
        <f>AB21*AB30</f>
        <v/>
      </c>
      <c r="AC76" s="51">
        <f>AC21*AC30</f>
        <v/>
      </c>
      <c r="AD76" s="51">
        <f>AD21*AD30</f>
        <v/>
      </c>
      <c r="AE76" s="51">
        <f>AE21*AE30</f>
        <v/>
      </c>
      <c r="AF76" s="51">
        <f>AF21*AF30</f>
        <v/>
      </c>
      <c r="AG76" s="51">
        <f>AG21*AG30</f>
        <v/>
      </c>
      <c r="AH76" s="51">
        <f>AH21*AH30</f>
        <v/>
      </c>
      <c r="AI76" s="51">
        <f>AI21*AI30</f>
        <v/>
      </c>
      <c r="AJ76" s="51">
        <f>AJ21*AJ30</f>
        <v/>
      </c>
      <c r="AK76" s="51">
        <f>AK21*AK30</f>
        <v/>
      </c>
      <c r="AL76" s="51">
        <f>AL21*AL30</f>
        <v/>
      </c>
      <c r="AM76" s="51">
        <f>AM21*AM30</f>
        <v/>
      </c>
      <c r="AN76" s="51">
        <f>AN21*AN30</f>
        <v/>
      </c>
      <c r="AO76" s="51">
        <f>AO21*AO30</f>
        <v/>
      </c>
      <c r="AP76" s="51">
        <f>AP21*AP30</f>
        <v/>
      </c>
      <c r="AQ76" s="51">
        <f>AQ21*AQ30</f>
        <v/>
      </c>
      <c r="AR76" s="51">
        <f>AR21*AR30</f>
        <v/>
      </c>
      <c r="AS76" s="51">
        <f>AS21*AS30</f>
        <v/>
      </c>
      <c r="AT76" s="51">
        <f>AT21*AT30</f>
        <v/>
      </c>
      <c r="AU76" s="51">
        <f>AU21*AU30</f>
        <v/>
      </c>
      <c r="AV76" s="51">
        <f>AV21*AV30</f>
        <v/>
      </c>
    </row>
    <row r="77">
      <c r="B77" s="7" t="inlineStr">
        <is>
          <t>Avg fee lost per dropout (timing curve × unpaid instalments / pro-rata refund)</t>
        </is>
      </c>
      <c r="C77" s="5" t="inlineStr">
        <is>
          <t>₹/dropout</t>
        </is>
      </c>
      <c r="D77" s="50">
        <f>SUMPRODUCT(DropTiming,D29*((1-D31)*(1-(INT((DropMonth-1)*D32/CourseMonths)+1)/D32)+D31*D33*DropRemain))</f>
        <v/>
      </c>
      <c r="E77" s="50">
        <f>SUMPRODUCT(DropTiming,E29*((1-E31)*(1-(INT((DropMonth-1)*E32/CourseMonths)+1)/E32)+E31*E33*DropRemain))</f>
        <v/>
      </c>
      <c r="F77" s="50">
        <f>SUMPRODUCT(DropTiming,F29*((1-F31)*(1-(INT((DropMonth-1)*F32/CourseMonths)+1)/F32)+F31*F33*DropRemain))</f>
        <v/>
      </c>
      <c r="G77" s="50">
        <f>SUMPRODUCT(DropTiming,G29*((1-G31)*(1-(INT((DropMonth-1)*G32/CourseMonths)+1)/G32)+G31*G33*DropRemain))</f>
        <v/>
      </c>
      <c r="H77" s="50">
        <f>SUMPRODUCT(DropTiming,H29*((1-H31)*(1-(INT((DropMonth-1)*H32/CourseMonths)+1)/H32)+H31*H33*DropRemain))</f>
        <v/>
      </c>
      <c r="I77" s="50">
        <f>SUMPRODUCT(DropTiming,I29*((1-I31)*(1-(INT((DropMonth-1)*I32/CourseMonths)+1)/I32)+I31*I33*DropRemain))</f>
        <v/>
      </c>
      <c r="J77" s="50">
        <f>SUMPRODUCT(DropTiming,J29*((1-J31)*(1-(INT((DropMonth-1)*J32/CourseMonths)+1)/J32)+J31*J33*DropRemain))</f>
        <v/>
      </c>
      <c r="K77" s="50">
        <f>SUMPRODUCT(DropTiming,K29*((1-K31)*(1-(INT((DropMonth-1)*K32/CourseMonths)+1)/K32)+K31*K33*DropRemain))</f>
        <v/>
      </c>
      <c r="L77" s="50">
        <f>SUMPRODUCT(DropTiming,L29*((1-L31)*(1-(INT((DropMonth-1)*L32/CourseMonths)+1)/L32)+L31*L33*DropRemain))</f>
        <v/>
      </c>
      <c r="M77" s="50">
        <f>SUMPRODUCT(DropTiming,M29*((1-M31)*(1-(INT((DropMonth-1)*M32/CourseMonths)+1)/M32)+M31*M33*DropRemain))</f>
        <v/>
      </c>
      <c r="N77" s="50">
        <f>SUMPRODUCT(DropTiming,N29*((1-N31)*(1-(INT((DropMonth-1)*N32/CourseMonths)+1)/N32)+N31*N33*DropRemain))</f>
        <v/>
      </c>
      <c r="O77" s="50">
        <f>SUMPRODUCT(DropTiming,O29*((1-O31)*(1-(INT((DropMonth-1)*O32/CourseMonths)+1)/O32)+O31*O33*DropRemain))</f>
        <v/>
      </c>
      <c r="P77" s="50">
        <f>SUMPRODUCT(DropTiming,P29*((1-P31)*(1-(INT((DropMonth-1)*P32/CourseMonths)+1)/P32)+P31*P33*DropRemain))</f>
        <v/>
      </c>
      <c r="Q77" s="50">
        <f>SUMPRODUCT(DropTiming,Q29*((1-Q31)*(1-(INT((DropMonth-1)*Q32/CourseMonths)+1)/Q32)+Q31*Q33*DropRemain))</f>
        <v/>
      </c>
      <c r="R77" s="50">
        <f>SUMPRODUCT(DropTiming,R29*((1-R31)*(1-(INT((DropMonth-1)*R32/CourseMonths)+1)/R32)+R31*R33*DropRemain))</f>
        <v/>
      </c>
      <c r="S77" s="50">
        <f>SUMPRODUCT(DropTiming,S29*((1-S31)*(1-(INT((DropMonth-1)*S32/CourseMonths)+1)/S32)+S31*S33*DropRemain))</f>
        <v/>
      </c>
      <c r="T77" s="50">
        <f>SUMPRODUCT(DropTiming,T29*((1-T31)*(1-(INT((DropMonth-1)*T32/CourseMonths)+1)/T32)+T31*T33*DropRemain))</f>
        <v/>
      </c>
      <c r="U77" s="50">
        <f>SUMPRODUCT(DropTiming,U29*((1-U31)*(1-(INT((DropMonth-1)*U32/CourseMonths)+1)/U32)+U31*U33*DropRemain))</f>
        <v/>
      </c>
      <c r="V77" s="50">
        <f>SUMPRODUCT(DropTiming,V29*((1-V31)*(1-(INT((DropMonth-1)*V32/CourseMonths)+1)/V32)+V31*V33*DropRemain))</f>
        <v/>
      </c>
      <c r="W77" s="50">
        <f>SUMPRODUCT(DropTiming,W29*((1-W31)*(1-(INT((DropMonth-1)*W32/CourseMonths)+1)/W32)+W31*W33*DropRemain))</f>
        <v/>
      </c>
      <c r="X77" s="50">
        <f>SUMPRODUCT(DropTiming,X29*((1-X31)*(1-(INT((DropMonth-1)*X32/CourseMonths)+1)/X32)+X31*X33*DropRemain))</f>
        <v/>
      </c>
      <c r="Y77" s="50">
        <f>SUMPRODUCT(DropTiming,Y29*((1-Y31)*(1-(INT((DropMonth-1)*Y32/CourseMonths)+1)/Y32)+Y31*Y33*DropRemain))</f>
        <v/>
      </c>
      <c r="Z77" s="50">
        <f>SUMPRODUCT(DropTiming,Z29*((1-Z31)*(1-(INT((DropMonth-1)*Z32/CourseMonths)+1)/Z32)+Z31*Z33*DropRemain))</f>
        <v/>
      </c>
      <c r="AA77" s="50">
        <f>SUMPRODUCT(DropTiming,AA29*((1-AA31)*(1-(INT((DropMonth-1)*AA32/CourseMonths)+1)/AA32)+AA31*AA33*DropRemain))</f>
        <v/>
      </c>
      <c r="AB77" s="50">
        <f>SUMPRODUCT(DropTiming,AB29*((1-AB31)*(1-(INT((DropMonth-1)*AB32/CourseMonths)+1)/AB32)+AB31*AB33*DropRemain))</f>
        <v/>
      </c>
      <c r="AC77" s="50">
        <f>SUMPRODUCT(DropTiming,AC29*((1-AC31)*(1-(INT((DropMonth-1)*AC32/CourseMonths)+1)/AC32)+AC31*AC33*DropRemain))</f>
        <v/>
      </c>
      <c r="AD77" s="50">
        <f>SUMPRODUCT(DropTiming,AD29*((1-AD31)*(1-(INT((DropMonth-1)*AD32/CourseMonths)+1)/AD32)+AD31*AD33*DropRemain))</f>
        <v/>
      </c>
      <c r="AE77" s="50">
        <f>SUMPRODUCT(DropTiming,AE29*((1-AE31)*(1-(INT((DropMonth-1)*AE32/CourseMonths)+1)/AE32)+AE31*AE33*DropRemain))</f>
        <v/>
      </c>
      <c r="AF77" s="50">
        <f>SUMPRODUCT(DropTiming,AF29*((1-AF31)*(1-(INT((DropMonth-1)*AF32/CourseMonths)+1)/AF32)+AF31*AF33*DropRemain))</f>
        <v/>
      </c>
      <c r="AG77" s="50">
        <f>SUMPRODUCT(DropTiming,AG29*((1-AG31)*(1-(INT((DropMonth-1)*AG32/CourseMonths)+1)/AG32)+AG31*AG33*DropRemain))</f>
        <v/>
      </c>
      <c r="AH77" s="50">
        <f>SUMPRODUCT(DropTiming,AH29*((1-AH31)*(1-(INT((DropMonth-1)*AH32/CourseMonths)+1)/AH32)+AH31*AH33*DropRemain))</f>
        <v/>
      </c>
      <c r="AI77" s="50">
        <f>SUMPRODUCT(DropTiming,AI29*((1-AI31)*(1-(INT((DropMonth-1)*AI32/CourseMonths)+1)/AI32)+AI31*AI33*DropRemain))</f>
        <v/>
      </c>
      <c r="AJ77" s="50">
        <f>SUMPRODUCT(DropTiming,AJ29*((1-AJ31)*(1-(INT((DropMonth-1)*AJ32/CourseMonths)+1)/AJ32)+AJ31*AJ33*DropRemain))</f>
        <v/>
      </c>
      <c r="AK77" s="50">
        <f>SUMPRODUCT(DropTiming,AK29*((1-AK31)*(1-(INT((DropMonth-1)*AK32/CourseMonths)+1)/AK32)+AK31*AK33*DropRemain))</f>
        <v/>
      </c>
      <c r="AL77" s="50">
        <f>SUMPRODUCT(DropTiming,AL29*((1-AL31)*(1-(INT((DropMonth-1)*AL32/CourseMonths)+1)/AL32)+AL31*AL33*DropRemain))</f>
        <v/>
      </c>
      <c r="AM77" s="50">
        <f>SUMPRODUCT(DropTiming,AM29*((1-AM31)*(1-(INT((DropMonth-1)*AM32/CourseMonths)+1)/AM32)+AM31*AM33*DropRemain))</f>
        <v/>
      </c>
      <c r="AN77" s="50">
        <f>SUMPRODUCT(DropTiming,AN29*((1-AN31)*(1-(INT((DropMonth-1)*AN32/CourseMonths)+1)/AN32)+AN31*AN33*DropRemain))</f>
        <v/>
      </c>
      <c r="AO77" s="50">
        <f>SUMPRODUCT(DropTiming,AO29*((1-AO31)*(1-(INT((DropMonth-1)*AO32/CourseMonths)+1)/AO32)+AO31*AO33*DropRemain))</f>
        <v/>
      </c>
      <c r="AP77" s="50">
        <f>SUMPRODUCT(DropTiming,AP29*((1-AP31)*(1-(INT((DropMonth-1)*AP32/CourseMonths)+1)/AP32)+AP31*AP33*DropRemain))</f>
        <v/>
      </c>
      <c r="AQ77" s="50">
        <f>SUMPRODUCT(DropTiming,AQ29*((1-AQ31)*(1-(INT((DropMonth-1)*AQ32/CourseMonths)+1)/AQ32)+AQ31*AQ33*DropRemain))</f>
        <v/>
      </c>
      <c r="AR77" s="50">
        <f>SUMPRODUCT(DropTiming,AR29*((1-AR31)*(1-(INT((DropMonth-1)*AR32/CourseMonths)+1)/AR32)+AR31*AR33*DropRemain))</f>
        <v/>
      </c>
      <c r="AS77" s="50">
        <f>SUMPRODUCT(DropTiming,AS29*((1-AS31)*(1-(INT((DropMonth-1)*AS32/CourseMonths)+1)/AS32)+AS31*AS33*DropRemain))</f>
        <v/>
      </c>
      <c r="AT77" s="50">
        <f>SUMPRODUCT(DropTiming,AT29*((1-AT31)*(1-(INT((DropMonth-1)*AT32/CourseMonths)+1)/AT32)+AT31*AT33*DropRemain))</f>
        <v/>
      </c>
      <c r="AU77" s="50">
        <f>SUMPRODUCT(DropTiming,AU29*((1-AU31)*(1-(INT((DropMonth-1)*AU32/CourseMonths)+1)/AU32)+AU31*AU33*DropRemain))</f>
        <v/>
      </c>
      <c r="AV77" s="50">
        <f>SUMPRODUCT(DropTiming,AV29*((1-AV31)*(1-(INT((DropMonth-1)*AV32/CourseMonths)+1)/AV32)+AV31*AV33*DropRemain))</f>
        <v/>
      </c>
    </row>
    <row r="78">
      <c r="B78" s="7" t="inlineStr">
        <is>
          <t>Fee lost to dropouts per year (no platform)</t>
        </is>
      </c>
      <c r="C78" s="5" t="inlineStr">
        <is>
          <t>₹/yr</t>
        </is>
      </c>
      <c r="D78" s="48">
        <f>D76*D77</f>
        <v/>
      </c>
      <c r="E78" s="48">
        <f>E76*E77</f>
        <v/>
      </c>
      <c r="F78" s="48">
        <f>F76*F77</f>
        <v/>
      </c>
      <c r="G78" s="48">
        <f>G76*G77</f>
        <v/>
      </c>
      <c r="H78" s="48">
        <f>H76*H77</f>
        <v/>
      </c>
      <c r="I78" s="48">
        <f>I76*I77</f>
        <v/>
      </c>
      <c r="J78" s="48">
        <f>J76*J77</f>
        <v/>
      </c>
      <c r="K78" s="48">
        <f>K76*K77</f>
        <v/>
      </c>
      <c r="L78" s="48">
        <f>L76*L77</f>
        <v/>
      </c>
      <c r="M78" s="48">
        <f>M76*M77</f>
        <v/>
      </c>
      <c r="N78" s="48">
        <f>N76*N77</f>
        <v/>
      </c>
      <c r="O78" s="48">
        <f>O76*O77</f>
        <v/>
      </c>
      <c r="P78" s="48">
        <f>P76*P77</f>
        <v/>
      </c>
      <c r="Q78" s="48">
        <f>Q76*Q77</f>
        <v/>
      </c>
      <c r="R78" s="48">
        <f>R76*R77</f>
        <v/>
      </c>
      <c r="S78" s="48">
        <f>S76*S77</f>
        <v/>
      </c>
      <c r="T78" s="48">
        <f>T76*T77</f>
        <v/>
      </c>
      <c r="U78" s="48">
        <f>U76*U77</f>
        <v/>
      </c>
      <c r="V78" s="48">
        <f>V76*V77</f>
        <v/>
      </c>
      <c r="W78" s="48">
        <f>W76*W77</f>
        <v/>
      </c>
      <c r="X78" s="48">
        <f>X76*X77</f>
        <v/>
      </c>
      <c r="Y78" s="48">
        <f>Y76*Y77</f>
        <v/>
      </c>
      <c r="Z78" s="48">
        <f>Z76*Z77</f>
        <v/>
      </c>
      <c r="AA78" s="48">
        <f>AA76*AA77</f>
        <v/>
      </c>
      <c r="AB78" s="48">
        <f>AB76*AB77</f>
        <v/>
      </c>
      <c r="AC78" s="48">
        <f>AC76*AC77</f>
        <v/>
      </c>
      <c r="AD78" s="48">
        <f>AD76*AD77</f>
        <v/>
      </c>
      <c r="AE78" s="48">
        <f>AE76*AE77</f>
        <v/>
      </c>
      <c r="AF78" s="48">
        <f>AF76*AF77</f>
        <v/>
      </c>
      <c r="AG78" s="48">
        <f>AG76*AG77</f>
        <v/>
      </c>
      <c r="AH78" s="48">
        <f>AH76*AH77</f>
        <v/>
      </c>
      <c r="AI78" s="48">
        <f>AI76*AI77</f>
        <v/>
      </c>
      <c r="AJ78" s="48">
        <f>AJ76*AJ77</f>
        <v/>
      </c>
      <c r="AK78" s="48">
        <f>AK76*AK77</f>
        <v/>
      </c>
      <c r="AL78" s="48">
        <f>AL76*AL77</f>
        <v/>
      </c>
      <c r="AM78" s="48">
        <f>AM76*AM77</f>
        <v/>
      </c>
      <c r="AN78" s="48">
        <f>AN76*AN77</f>
        <v/>
      </c>
      <c r="AO78" s="48">
        <f>AO76*AO77</f>
        <v/>
      </c>
      <c r="AP78" s="48">
        <f>AP76*AP77</f>
        <v/>
      </c>
      <c r="AQ78" s="48">
        <f>AQ76*AQ77</f>
        <v/>
      </c>
      <c r="AR78" s="48">
        <f>AR76*AR77</f>
        <v/>
      </c>
      <c r="AS78" s="48">
        <f>AS76*AS77</f>
        <v/>
      </c>
      <c r="AT78" s="48">
        <f>AT76*AT77</f>
        <v/>
      </c>
      <c r="AU78" s="48">
        <f>AU76*AU77</f>
        <v/>
      </c>
      <c r="AV78" s="48">
        <f>AV76*AV77</f>
        <v/>
      </c>
    </row>
    <row r="79">
      <c r="B79" s="7" t="inlineStr">
        <is>
          <t>Blended recall (minors: academic model + rules; 18+: full ML)</t>
        </is>
      </c>
      <c r="C79" s="5" t="inlineStr">
        <is>
          <t>%</t>
        </is>
      </c>
      <c r="D79" s="37">
        <f>D35*D36+(1-D35)*D37</f>
        <v/>
      </c>
      <c r="E79" s="37">
        <f>E35*E36+(1-E35)*E37</f>
        <v/>
      </c>
      <c r="F79" s="37">
        <f>F35*F36+(1-F35)*F37</f>
        <v/>
      </c>
      <c r="G79" s="37">
        <f>G35*G36+(1-G35)*G37</f>
        <v/>
      </c>
      <c r="H79" s="37">
        <f>H35*H36+(1-H35)*H37</f>
        <v/>
      </c>
      <c r="I79" s="37">
        <f>I35*I36+(1-I35)*I37</f>
        <v/>
      </c>
      <c r="J79" s="37">
        <f>J35*J36+(1-J35)*J37</f>
        <v/>
      </c>
      <c r="K79" s="37">
        <f>K35*K36+(1-K35)*K37</f>
        <v/>
      </c>
      <c r="L79" s="37">
        <f>L35*L36+(1-L35)*L37</f>
        <v/>
      </c>
      <c r="M79" s="37">
        <f>M35*M36+(1-M35)*M37</f>
        <v/>
      </c>
      <c r="N79" s="37">
        <f>N35*N36+(1-N35)*N37</f>
        <v/>
      </c>
      <c r="O79" s="37">
        <f>O35*O36+(1-O35)*O37</f>
        <v/>
      </c>
      <c r="P79" s="37">
        <f>P35*P36+(1-P35)*P37</f>
        <v/>
      </c>
      <c r="Q79" s="37">
        <f>Q35*Q36+(1-Q35)*Q37</f>
        <v/>
      </c>
      <c r="R79" s="37">
        <f>R35*R36+(1-R35)*R37</f>
        <v/>
      </c>
      <c r="S79" s="37">
        <f>S35*S36+(1-S35)*S37</f>
        <v/>
      </c>
      <c r="T79" s="37">
        <f>T35*T36+(1-T35)*T37</f>
        <v/>
      </c>
      <c r="U79" s="37">
        <f>U35*U36+(1-U35)*U37</f>
        <v/>
      </c>
      <c r="V79" s="37">
        <f>V35*V36+(1-V35)*V37</f>
        <v/>
      </c>
      <c r="W79" s="37">
        <f>W35*W36+(1-W35)*W37</f>
        <v/>
      </c>
      <c r="X79" s="37">
        <f>X35*X36+(1-X35)*X37</f>
        <v/>
      </c>
      <c r="Y79" s="37">
        <f>Y35*Y36+(1-Y35)*Y37</f>
        <v/>
      </c>
      <c r="Z79" s="37">
        <f>Z35*Z36+(1-Z35)*Z37</f>
        <v/>
      </c>
      <c r="AA79" s="37">
        <f>AA35*AA36+(1-AA35)*AA37</f>
        <v/>
      </c>
      <c r="AB79" s="37">
        <f>AB35*AB36+(1-AB35)*AB37</f>
        <v/>
      </c>
      <c r="AC79" s="37">
        <f>AC35*AC36+(1-AC35)*AC37</f>
        <v/>
      </c>
      <c r="AD79" s="37">
        <f>AD35*AD36+(1-AD35)*AD37</f>
        <v/>
      </c>
      <c r="AE79" s="37">
        <f>AE35*AE36+(1-AE35)*AE37</f>
        <v/>
      </c>
      <c r="AF79" s="37">
        <f>AF35*AF36+(1-AF35)*AF37</f>
        <v/>
      </c>
      <c r="AG79" s="37">
        <f>AG35*AG36+(1-AG35)*AG37</f>
        <v/>
      </c>
      <c r="AH79" s="37">
        <f>AH35*AH36+(1-AH35)*AH37</f>
        <v/>
      </c>
      <c r="AI79" s="37">
        <f>AI35*AI36+(1-AI35)*AI37</f>
        <v/>
      </c>
      <c r="AJ79" s="37">
        <f>AJ35*AJ36+(1-AJ35)*AJ37</f>
        <v/>
      </c>
      <c r="AK79" s="37">
        <f>AK35*AK36+(1-AK35)*AK37</f>
        <v/>
      </c>
      <c r="AL79" s="37">
        <f>AL35*AL36+(1-AL35)*AL37</f>
        <v/>
      </c>
      <c r="AM79" s="37">
        <f>AM35*AM36+(1-AM35)*AM37</f>
        <v/>
      </c>
      <c r="AN79" s="37">
        <f>AN35*AN36+(1-AN35)*AN37</f>
        <v/>
      </c>
      <c r="AO79" s="37">
        <f>AO35*AO36+(1-AO35)*AO37</f>
        <v/>
      </c>
      <c r="AP79" s="37">
        <f>AP35*AP36+(1-AP35)*AP37</f>
        <v/>
      </c>
      <c r="AQ79" s="37">
        <f>AQ35*AQ36+(1-AQ35)*AQ37</f>
        <v/>
      </c>
      <c r="AR79" s="37">
        <f>AR35*AR36+(1-AR35)*AR37</f>
        <v/>
      </c>
      <c r="AS79" s="37">
        <f>AS35*AS36+(1-AS35)*AS37</f>
        <v/>
      </c>
      <c r="AT79" s="37">
        <f>AT35*AT36+(1-AT35)*AT37</f>
        <v/>
      </c>
      <c r="AU79" s="37">
        <f>AU35*AU36+(1-AU35)*AU37</f>
        <v/>
      </c>
      <c r="AV79" s="37">
        <f>AV35*AV36+(1-AV35)*AV37</f>
        <v/>
      </c>
    </row>
    <row r="80">
      <c r="B80" s="7" t="inlineStr">
        <is>
          <t>Share of dropouts after the 'blind' months (enough test data to flag)</t>
        </is>
      </c>
      <c r="C80" s="5" t="inlineStr">
        <is>
          <t>%</t>
        </is>
      </c>
      <c r="D80" s="37">
        <f>SUMPRODUCT(DropTiming*(DropMonth&gt;D34))</f>
        <v/>
      </c>
      <c r="E80" s="37">
        <f>SUMPRODUCT(DropTiming*(DropMonth&gt;E34))</f>
        <v/>
      </c>
      <c r="F80" s="37">
        <f>SUMPRODUCT(DropTiming*(DropMonth&gt;F34))</f>
        <v/>
      </c>
      <c r="G80" s="37">
        <f>SUMPRODUCT(DropTiming*(DropMonth&gt;G34))</f>
        <v/>
      </c>
      <c r="H80" s="37">
        <f>SUMPRODUCT(DropTiming*(DropMonth&gt;H34))</f>
        <v/>
      </c>
      <c r="I80" s="37">
        <f>SUMPRODUCT(DropTiming*(DropMonth&gt;I34))</f>
        <v/>
      </c>
      <c r="J80" s="37">
        <f>SUMPRODUCT(DropTiming*(DropMonth&gt;J34))</f>
        <v/>
      </c>
      <c r="K80" s="37">
        <f>SUMPRODUCT(DropTiming*(DropMonth&gt;K34))</f>
        <v/>
      </c>
      <c r="L80" s="37">
        <f>SUMPRODUCT(DropTiming*(DropMonth&gt;L34))</f>
        <v/>
      </c>
      <c r="M80" s="37">
        <f>SUMPRODUCT(DropTiming*(DropMonth&gt;M34))</f>
        <v/>
      </c>
      <c r="N80" s="37">
        <f>SUMPRODUCT(DropTiming*(DropMonth&gt;N34))</f>
        <v/>
      </c>
      <c r="O80" s="37">
        <f>SUMPRODUCT(DropTiming*(DropMonth&gt;O34))</f>
        <v/>
      </c>
      <c r="P80" s="37">
        <f>SUMPRODUCT(DropTiming*(DropMonth&gt;P34))</f>
        <v/>
      </c>
      <c r="Q80" s="37">
        <f>SUMPRODUCT(DropTiming*(DropMonth&gt;Q34))</f>
        <v/>
      </c>
      <c r="R80" s="37">
        <f>SUMPRODUCT(DropTiming*(DropMonth&gt;R34))</f>
        <v/>
      </c>
      <c r="S80" s="37">
        <f>SUMPRODUCT(DropTiming*(DropMonth&gt;S34))</f>
        <v/>
      </c>
      <c r="T80" s="37">
        <f>SUMPRODUCT(DropTiming*(DropMonth&gt;T34))</f>
        <v/>
      </c>
      <c r="U80" s="37">
        <f>SUMPRODUCT(DropTiming*(DropMonth&gt;U34))</f>
        <v/>
      </c>
      <c r="V80" s="37">
        <f>SUMPRODUCT(DropTiming*(DropMonth&gt;V34))</f>
        <v/>
      </c>
      <c r="W80" s="37">
        <f>SUMPRODUCT(DropTiming*(DropMonth&gt;W34))</f>
        <v/>
      </c>
      <c r="X80" s="37">
        <f>SUMPRODUCT(DropTiming*(DropMonth&gt;X34))</f>
        <v/>
      </c>
      <c r="Y80" s="37">
        <f>SUMPRODUCT(DropTiming*(DropMonth&gt;Y34))</f>
        <v/>
      </c>
      <c r="Z80" s="37">
        <f>SUMPRODUCT(DropTiming*(DropMonth&gt;Z34))</f>
        <v/>
      </c>
      <c r="AA80" s="37">
        <f>SUMPRODUCT(DropTiming*(DropMonth&gt;AA34))</f>
        <v/>
      </c>
      <c r="AB80" s="37">
        <f>SUMPRODUCT(DropTiming*(DropMonth&gt;AB34))</f>
        <v/>
      </c>
      <c r="AC80" s="37">
        <f>SUMPRODUCT(DropTiming*(DropMonth&gt;AC34))</f>
        <v/>
      </c>
      <c r="AD80" s="37">
        <f>SUMPRODUCT(DropTiming*(DropMonth&gt;AD34))</f>
        <v/>
      </c>
      <c r="AE80" s="37">
        <f>SUMPRODUCT(DropTiming*(DropMonth&gt;AE34))</f>
        <v/>
      </c>
      <c r="AF80" s="37">
        <f>SUMPRODUCT(DropTiming*(DropMonth&gt;AF34))</f>
        <v/>
      </c>
      <c r="AG80" s="37">
        <f>SUMPRODUCT(DropTiming*(DropMonth&gt;AG34))</f>
        <v/>
      </c>
      <c r="AH80" s="37">
        <f>SUMPRODUCT(DropTiming*(DropMonth&gt;AH34))</f>
        <v/>
      </c>
      <c r="AI80" s="37">
        <f>SUMPRODUCT(DropTiming*(DropMonth&gt;AI34))</f>
        <v/>
      </c>
      <c r="AJ80" s="37">
        <f>SUMPRODUCT(DropTiming*(DropMonth&gt;AJ34))</f>
        <v/>
      </c>
      <c r="AK80" s="37">
        <f>SUMPRODUCT(DropTiming*(DropMonth&gt;AK34))</f>
        <v/>
      </c>
      <c r="AL80" s="37">
        <f>SUMPRODUCT(DropTiming*(DropMonth&gt;AL34))</f>
        <v/>
      </c>
      <c r="AM80" s="37">
        <f>SUMPRODUCT(DropTiming*(DropMonth&gt;AM34))</f>
        <v/>
      </c>
      <c r="AN80" s="37">
        <f>SUMPRODUCT(DropTiming*(DropMonth&gt;AN34))</f>
        <v/>
      </c>
      <c r="AO80" s="37">
        <f>SUMPRODUCT(DropTiming*(DropMonth&gt;AO34))</f>
        <v/>
      </c>
      <c r="AP80" s="37">
        <f>SUMPRODUCT(DropTiming*(DropMonth&gt;AP34))</f>
        <v/>
      </c>
      <c r="AQ80" s="37">
        <f>SUMPRODUCT(DropTiming*(DropMonth&gt;AQ34))</f>
        <v/>
      </c>
      <c r="AR80" s="37">
        <f>SUMPRODUCT(DropTiming*(DropMonth&gt;AR34))</f>
        <v/>
      </c>
      <c r="AS80" s="37">
        <f>SUMPRODUCT(DropTiming*(DropMonth&gt;AS34))</f>
        <v/>
      </c>
      <c r="AT80" s="37">
        <f>SUMPRODUCT(DropTiming*(DropMonth&gt;AT34))</f>
        <v/>
      </c>
      <c r="AU80" s="37">
        <f>SUMPRODUCT(DropTiming*(DropMonth&gt;AU34))</f>
        <v/>
      </c>
      <c r="AV80" s="37">
        <f>SUMPRODUCT(DropTiming*(DropMonth&gt;AV34))</f>
        <v/>
      </c>
    </row>
    <row r="81">
      <c r="B81" s="7" t="inlineStr">
        <is>
          <t>Effective dropout reduction = recall × action × RCT effect × catchable</t>
        </is>
      </c>
      <c r="C81" s="5" t="inlineStr">
        <is>
          <t>%</t>
        </is>
      </c>
      <c r="D81" s="38">
        <f>D79*D39*D40*D80</f>
        <v/>
      </c>
      <c r="E81" s="38">
        <f>E79*E39*E40*E80</f>
        <v/>
      </c>
      <c r="F81" s="38">
        <f>F79*F39*F40*F80</f>
        <v/>
      </c>
      <c r="G81" s="38">
        <f>G79*G39*G40*G80</f>
        <v/>
      </c>
      <c r="H81" s="38">
        <f>H79*H39*H40*H80</f>
        <v/>
      </c>
      <c r="I81" s="38">
        <f>I79*I39*I40*I80</f>
        <v/>
      </c>
      <c r="J81" s="38">
        <f>J79*J39*J40*J80</f>
        <v/>
      </c>
      <c r="K81" s="38">
        <f>K79*K39*K40*K80</f>
        <v/>
      </c>
      <c r="L81" s="38">
        <f>L79*L39*L40*L80</f>
        <v/>
      </c>
      <c r="M81" s="38">
        <f>M79*M39*M40*M80</f>
        <v/>
      </c>
      <c r="N81" s="38">
        <f>N79*N39*N40*N80</f>
        <v/>
      </c>
      <c r="O81" s="38">
        <f>O79*O39*O40*O80</f>
        <v/>
      </c>
      <c r="P81" s="38">
        <f>P79*P39*P40*P80</f>
        <v/>
      </c>
      <c r="Q81" s="38">
        <f>Q79*Q39*Q40*Q80</f>
        <v/>
      </c>
      <c r="R81" s="38">
        <f>R79*R39*R40*R80</f>
        <v/>
      </c>
      <c r="S81" s="38">
        <f>S79*S39*S40*S80</f>
        <v/>
      </c>
      <c r="T81" s="38">
        <f>T79*T39*T40*T80</f>
        <v/>
      </c>
      <c r="U81" s="38">
        <f>U79*U39*U40*U80</f>
        <v/>
      </c>
      <c r="V81" s="38">
        <f>V79*V39*V40*V80</f>
        <v/>
      </c>
      <c r="W81" s="38">
        <f>W79*W39*W40*W80</f>
        <v/>
      </c>
      <c r="X81" s="38">
        <f>X79*X39*X40*X80</f>
        <v/>
      </c>
      <c r="Y81" s="38">
        <f>Y79*Y39*Y40*Y80</f>
        <v/>
      </c>
      <c r="Z81" s="38">
        <f>Z79*Z39*Z40*Z80</f>
        <v/>
      </c>
      <c r="AA81" s="38">
        <f>AA79*AA39*AA40*AA80</f>
        <v/>
      </c>
      <c r="AB81" s="38">
        <f>AB79*AB39*AB40*AB80</f>
        <v/>
      </c>
      <c r="AC81" s="38">
        <f>AC79*AC39*AC40*AC80</f>
        <v/>
      </c>
      <c r="AD81" s="38">
        <f>AD79*AD39*AD40*AD80</f>
        <v/>
      </c>
      <c r="AE81" s="38">
        <f>AE79*AE39*AE40*AE80</f>
        <v/>
      </c>
      <c r="AF81" s="38">
        <f>AF79*AF39*AF40*AF80</f>
        <v/>
      </c>
      <c r="AG81" s="38">
        <f>AG79*AG39*AG40*AG80</f>
        <v/>
      </c>
      <c r="AH81" s="38">
        <f>AH79*AH39*AH40*AH80</f>
        <v/>
      </c>
      <c r="AI81" s="38">
        <f>AI79*AI39*AI40*AI80</f>
        <v/>
      </c>
      <c r="AJ81" s="38">
        <f>AJ79*AJ39*AJ40*AJ80</f>
        <v/>
      </c>
      <c r="AK81" s="38">
        <f>AK79*AK39*AK40*AK80</f>
        <v/>
      </c>
      <c r="AL81" s="38">
        <f>AL79*AL39*AL40*AL80</f>
        <v/>
      </c>
      <c r="AM81" s="38">
        <f>AM79*AM39*AM40*AM80</f>
        <v/>
      </c>
      <c r="AN81" s="38">
        <f>AN79*AN39*AN40*AN80</f>
        <v/>
      </c>
      <c r="AO81" s="38">
        <f>AO79*AO39*AO40*AO80</f>
        <v/>
      </c>
      <c r="AP81" s="38">
        <f>AP79*AP39*AP40*AP80</f>
        <v/>
      </c>
      <c r="AQ81" s="38">
        <f>AQ79*AQ39*AQ40*AQ80</f>
        <v/>
      </c>
      <c r="AR81" s="38">
        <f>AR79*AR39*AR40*AR80</f>
        <v/>
      </c>
      <c r="AS81" s="38">
        <f>AS79*AS39*AS40*AS80</f>
        <v/>
      </c>
      <c r="AT81" s="38">
        <f>AT79*AT39*AT40*AT80</f>
        <v/>
      </c>
      <c r="AU81" s="38">
        <f>AU79*AU39*AU40*AU80</f>
        <v/>
      </c>
      <c r="AV81" s="38">
        <f>AV79*AV39*AV40*AV80</f>
        <v/>
      </c>
    </row>
    <row r="82">
      <c r="B82" s="7" t="inlineStr">
        <is>
          <t>Dropouts prevented per year</t>
        </is>
      </c>
      <c r="C82" s="5" t="inlineStr">
        <is>
          <t>students/yr</t>
        </is>
      </c>
      <c r="D82" s="52">
        <f>D76*D81</f>
        <v/>
      </c>
      <c r="E82" s="52">
        <f>E76*E81</f>
        <v/>
      </c>
      <c r="F82" s="52">
        <f>F76*F81</f>
        <v/>
      </c>
      <c r="G82" s="52">
        <f>G76*G81</f>
        <v/>
      </c>
      <c r="H82" s="52">
        <f>H76*H81</f>
        <v/>
      </c>
      <c r="I82" s="52">
        <f>I76*I81</f>
        <v/>
      </c>
      <c r="J82" s="52">
        <f>J76*J81</f>
        <v/>
      </c>
      <c r="K82" s="52">
        <f>K76*K81</f>
        <v/>
      </c>
      <c r="L82" s="52">
        <f>L76*L81</f>
        <v/>
      </c>
      <c r="M82" s="52">
        <f>M76*M81</f>
        <v/>
      </c>
      <c r="N82" s="52">
        <f>N76*N81</f>
        <v/>
      </c>
      <c r="O82" s="52">
        <f>O76*O81</f>
        <v/>
      </c>
      <c r="P82" s="52">
        <f>P76*P81</f>
        <v/>
      </c>
      <c r="Q82" s="52">
        <f>Q76*Q81</f>
        <v/>
      </c>
      <c r="R82" s="52">
        <f>R76*R81</f>
        <v/>
      </c>
      <c r="S82" s="52">
        <f>S76*S81</f>
        <v/>
      </c>
      <c r="T82" s="52">
        <f>T76*T81</f>
        <v/>
      </c>
      <c r="U82" s="52">
        <f>U76*U81</f>
        <v/>
      </c>
      <c r="V82" s="52">
        <f>V76*V81</f>
        <v/>
      </c>
      <c r="W82" s="52">
        <f>W76*W81</f>
        <v/>
      </c>
      <c r="X82" s="52">
        <f>X76*X81</f>
        <v/>
      </c>
      <c r="Y82" s="52">
        <f>Y76*Y81</f>
        <v/>
      </c>
      <c r="Z82" s="52">
        <f>Z76*Z81</f>
        <v/>
      </c>
      <c r="AA82" s="52">
        <f>AA76*AA81</f>
        <v/>
      </c>
      <c r="AB82" s="52">
        <f>AB76*AB81</f>
        <v/>
      </c>
      <c r="AC82" s="52">
        <f>AC76*AC81</f>
        <v/>
      </c>
      <c r="AD82" s="52">
        <f>AD76*AD81</f>
        <v/>
      </c>
      <c r="AE82" s="52">
        <f>AE76*AE81</f>
        <v/>
      </c>
      <c r="AF82" s="52">
        <f>AF76*AF81</f>
        <v/>
      </c>
      <c r="AG82" s="52">
        <f>AG76*AG81</f>
        <v/>
      </c>
      <c r="AH82" s="52">
        <f>AH76*AH81</f>
        <v/>
      </c>
      <c r="AI82" s="52">
        <f>AI76*AI81</f>
        <v/>
      </c>
      <c r="AJ82" s="52">
        <f>AJ76*AJ81</f>
        <v/>
      </c>
      <c r="AK82" s="52">
        <f>AK76*AK81</f>
        <v/>
      </c>
      <c r="AL82" s="52">
        <f>AL76*AL81</f>
        <v/>
      </c>
      <c r="AM82" s="52">
        <f>AM76*AM81</f>
        <v/>
      </c>
      <c r="AN82" s="52">
        <f>AN76*AN81</f>
        <v/>
      </c>
      <c r="AO82" s="52">
        <f>AO76*AO81</f>
        <v/>
      </c>
      <c r="AP82" s="52">
        <f>AP76*AP81</f>
        <v/>
      </c>
      <c r="AQ82" s="52">
        <f>AQ76*AQ81</f>
        <v/>
      </c>
      <c r="AR82" s="52">
        <f>AR76*AR81</f>
        <v/>
      </c>
      <c r="AS82" s="52">
        <f>AS76*AS81</f>
        <v/>
      </c>
      <c r="AT82" s="52">
        <f>AT76*AT81</f>
        <v/>
      </c>
      <c r="AU82" s="52">
        <f>AU76*AU81</f>
        <v/>
      </c>
      <c r="AV82" s="52">
        <f>AV76*AV81</f>
        <v/>
      </c>
    </row>
    <row r="83">
      <c r="B83" s="7" t="inlineStr">
        <is>
          <t>Fee saved per prevented dropout (catchable months only)</t>
        </is>
      </c>
      <c r="C83" s="5" t="inlineStr">
        <is>
          <t>₹/student</t>
        </is>
      </c>
      <c r="D83" s="50">
        <f>IF(D80&gt;0,SUMPRODUCT(DropTiming*(DropMonth&gt;D34)*D29*((1-D31)*(1-(INT((DropMonth-1)*D32/CourseMonths)+1)/D32)+D31*D33*DropRemain))/D80,0)</f>
        <v/>
      </c>
      <c r="E83" s="50">
        <f>IF(E80&gt;0,SUMPRODUCT(DropTiming*(DropMonth&gt;E34)*E29*((1-E31)*(1-(INT((DropMonth-1)*E32/CourseMonths)+1)/E32)+E31*E33*DropRemain))/E80,0)</f>
        <v/>
      </c>
      <c r="F83" s="50">
        <f>IF(F80&gt;0,SUMPRODUCT(DropTiming*(DropMonth&gt;F34)*F29*((1-F31)*(1-(INT((DropMonth-1)*F32/CourseMonths)+1)/F32)+F31*F33*DropRemain))/F80,0)</f>
        <v/>
      </c>
      <c r="G83" s="50">
        <f>IF(G80&gt;0,SUMPRODUCT(DropTiming*(DropMonth&gt;G34)*G29*((1-G31)*(1-(INT((DropMonth-1)*G32/CourseMonths)+1)/G32)+G31*G33*DropRemain))/G80,0)</f>
        <v/>
      </c>
      <c r="H83" s="50">
        <f>IF(H80&gt;0,SUMPRODUCT(DropTiming*(DropMonth&gt;H34)*H29*((1-H31)*(1-(INT((DropMonth-1)*H32/CourseMonths)+1)/H32)+H31*H33*DropRemain))/H80,0)</f>
        <v/>
      </c>
      <c r="I83" s="50">
        <f>IF(I80&gt;0,SUMPRODUCT(DropTiming*(DropMonth&gt;I34)*I29*((1-I31)*(1-(INT((DropMonth-1)*I32/CourseMonths)+1)/I32)+I31*I33*DropRemain))/I80,0)</f>
        <v/>
      </c>
      <c r="J83" s="50">
        <f>IF(J80&gt;0,SUMPRODUCT(DropTiming*(DropMonth&gt;J34)*J29*((1-J31)*(1-(INT((DropMonth-1)*J32/CourseMonths)+1)/J32)+J31*J33*DropRemain))/J80,0)</f>
        <v/>
      </c>
      <c r="K83" s="50">
        <f>IF(K80&gt;0,SUMPRODUCT(DropTiming*(DropMonth&gt;K34)*K29*((1-K31)*(1-(INT((DropMonth-1)*K32/CourseMonths)+1)/K32)+K31*K33*DropRemain))/K80,0)</f>
        <v/>
      </c>
      <c r="L83" s="50">
        <f>IF(L80&gt;0,SUMPRODUCT(DropTiming*(DropMonth&gt;L34)*L29*((1-L31)*(1-(INT((DropMonth-1)*L32/CourseMonths)+1)/L32)+L31*L33*DropRemain))/L80,0)</f>
        <v/>
      </c>
      <c r="M83" s="50">
        <f>IF(M80&gt;0,SUMPRODUCT(DropTiming*(DropMonth&gt;M34)*M29*((1-M31)*(1-(INT((DropMonth-1)*M32/CourseMonths)+1)/M32)+M31*M33*DropRemain))/M80,0)</f>
        <v/>
      </c>
      <c r="N83" s="50">
        <f>IF(N80&gt;0,SUMPRODUCT(DropTiming*(DropMonth&gt;N34)*N29*((1-N31)*(1-(INT((DropMonth-1)*N32/CourseMonths)+1)/N32)+N31*N33*DropRemain))/N80,0)</f>
        <v/>
      </c>
      <c r="O83" s="50">
        <f>IF(O80&gt;0,SUMPRODUCT(DropTiming*(DropMonth&gt;O34)*O29*((1-O31)*(1-(INT((DropMonth-1)*O32/CourseMonths)+1)/O32)+O31*O33*DropRemain))/O80,0)</f>
        <v/>
      </c>
      <c r="P83" s="50">
        <f>IF(P80&gt;0,SUMPRODUCT(DropTiming*(DropMonth&gt;P34)*P29*((1-P31)*(1-(INT((DropMonth-1)*P32/CourseMonths)+1)/P32)+P31*P33*DropRemain))/P80,0)</f>
        <v/>
      </c>
      <c r="Q83" s="50">
        <f>IF(Q80&gt;0,SUMPRODUCT(DropTiming*(DropMonth&gt;Q34)*Q29*((1-Q31)*(1-(INT((DropMonth-1)*Q32/CourseMonths)+1)/Q32)+Q31*Q33*DropRemain))/Q80,0)</f>
        <v/>
      </c>
      <c r="R83" s="50">
        <f>IF(R80&gt;0,SUMPRODUCT(DropTiming*(DropMonth&gt;R34)*R29*((1-R31)*(1-(INT((DropMonth-1)*R32/CourseMonths)+1)/R32)+R31*R33*DropRemain))/R80,0)</f>
        <v/>
      </c>
      <c r="S83" s="50">
        <f>IF(S80&gt;0,SUMPRODUCT(DropTiming*(DropMonth&gt;S34)*S29*((1-S31)*(1-(INT((DropMonth-1)*S32/CourseMonths)+1)/S32)+S31*S33*DropRemain))/S80,0)</f>
        <v/>
      </c>
      <c r="T83" s="50">
        <f>IF(T80&gt;0,SUMPRODUCT(DropTiming*(DropMonth&gt;T34)*T29*((1-T31)*(1-(INT((DropMonth-1)*T32/CourseMonths)+1)/T32)+T31*T33*DropRemain))/T80,0)</f>
        <v/>
      </c>
      <c r="U83" s="50">
        <f>IF(U80&gt;0,SUMPRODUCT(DropTiming*(DropMonth&gt;U34)*U29*((1-U31)*(1-(INT((DropMonth-1)*U32/CourseMonths)+1)/U32)+U31*U33*DropRemain))/U80,0)</f>
        <v/>
      </c>
      <c r="V83" s="50">
        <f>IF(V80&gt;0,SUMPRODUCT(DropTiming*(DropMonth&gt;V34)*V29*((1-V31)*(1-(INT((DropMonth-1)*V32/CourseMonths)+1)/V32)+V31*V33*DropRemain))/V80,0)</f>
        <v/>
      </c>
      <c r="W83" s="50">
        <f>IF(W80&gt;0,SUMPRODUCT(DropTiming*(DropMonth&gt;W34)*W29*((1-W31)*(1-(INT((DropMonth-1)*W32/CourseMonths)+1)/W32)+W31*W33*DropRemain))/W80,0)</f>
        <v/>
      </c>
      <c r="X83" s="50">
        <f>IF(X80&gt;0,SUMPRODUCT(DropTiming*(DropMonth&gt;X34)*X29*((1-X31)*(1-(INT((DropMonth-1)*X32/CourseMonths)+1)/X32)+X31*X33*DropRemain))/X80,0)</f>
        <v/>
      </c>
      <c r="Y83" s="50">
        <f>IF(Y80&gt;0,SUMPRODUCT(DropTiming*(DropMonth&gt;Y34)*Y29*((1-Y31)*(1-(INT((DropMonth-1)*Y32/CourseMonths)+1)/Y32)+Y31*Y33*DropRemain))/Y80,0)</f>
        <v/>
      </c>
      <c r="Z83" s="50">
        <f>IF(Z80&gt;0,SUMPRODUCT(DropTiming*(DropMonth&gt;Z34)*Z29*((1-Z31)*(1-(INT((DropMonth-1)*Z32/CourseMonths)+1)/Z32)+Z31*Z33*DropRemain))/Z80,0)</f>
        <v/>
      </c>
      <c r="AA83" s="50">
        <f>IF(AA80&gt;0,SUMPRODUCT(DropTiming*(DropMonth&gt;AA34)*AA29*((1-AA31)*(1-(INT((DropMonth-1)*AA32/CourseMonths)+1)/AA32)+AA31*AA33*DropRemain))/AA80,0)</f>
        <v/>
      </c>
      <c r="AB83" s="50">
        <f>IF(AB80&gt;0,SUMPRODUCT(DropTiming*(DropMonth&gt;AB34)*AB29*((1-AB31)*(1-(INT((DropMonth-1)*AB32/CourseMonths)+1)/AB32)+AB31*AB33*DropRemain))/AB80,0)</f>
        <v/>
      </c>
      <c r="AC83" s="50">
        <f>IF(AC80&gt;0,SUMPRODUCT(DropTiming*(DropMonth&gt;AC34)*AC29*((1-AC31)*(1-(INT((DropMonth-1)*AC32/CourseMonths)+1)/AC32)+AC31*AC33*DropRemain))/AC80,0)</f>
        <v/>
      </c>
      <c r="AD83" s="50">
        <f>IF(AD80&gt;0,SUMPRODUCT(DropTiming*(DropMonth&gt;AD34)*AD29*((1-AD31)*(1-(INT((DropMonth-1)*AD32/CourseMonths)+1)/AD32)+AD31*AD33*DropRemain))/AD80,0)</f>
        <v/>
      </c>
      <c r="AE83" s="50">
        <f>IF(AE80&gt;0,SUMPRODUCT(DropTiming*(DropMonth&gt;AE34)*AE29*((1-AE31)*(1-(INT((DropMonth-1)*AE32/CourseMonths)+1)/AE32)+AE31*AE33*DropRemain))/AE80,0)</f>
        <v/>
      </c>
      <c r="AF83" s="50">
        <f>IF(AF80&gt;0,SUMPRODUCT(DropTiming*(DropMonth&gt;AF34)*AF29*((1-AF31)*(1-(INT((DropMonth-1)*AF32/CourseMonths)+1)/AF32)+AF31*AF33*DropRemain))/AF80,0)</f>
        <v/>
      </c>
      <c r="AG83" s="50">
        <f>IF(AG80&gt;0,SUMPRODUCT(DropTiming*(DropMonth&gt;AG34)*AG29*((1-AG31)*(1-(INT((DropMonth-1)*AG32/CourseMonths)+1)/AG32)+AG31*AG33*DropRemain))/AG80,0)</f>
        <v/>
      </c>
      <c r="AH83" s="50">
        <f>IF(AH80&gt;0,SUMPRODUCT(DropTiming*(DropMonth&gt;AH34)*AH29*((1-AH31)*(1-(INT((DropMonth-1)*AH32/CourseMonths)+1)/AH32)+AH31*AH33*DropRemain))/AH80,0)</f>
        <v/>
      </c>
      <c r="AI83" s="50">
        <f>IF(AI80&gt;0,SUMPRODUCT(DropTiming*(DropMonth&gt;AI34)*AI29*((1-AI31)*(1-(INT((DropMonth-1)*AI32/CourseMonths)+1)/AI32)+AI31*AI33*DropRemain))/AI80,0)</f>
        <v/>
      </c>
      <c r="AJ83" s="50">
        <f>IF(AJ80&gt;0,SUMPRODUCT(DropTiming*(DropMonth&gt;AJ34)*AJ29*((1-AJ31)*(1-(INT((DropMonth-1)*AJ32/CourseMonths)+1)/AJ32)+AJ31*AJ33*DropRemain))/AJ80,0)</f>
        <v/>
      </c>
      <c r="AK83" s="50">
        <f>IF(AK80&gt;0,SUMPRODUCT(DropTiming*(DropMonth&gt;AK34)*AK29*((1-AK31)*(1-(INT((DropMonth-1)*AK32/CourseMonths)+1)/AK32)+AK31*AK33*DropRemain))/AK80,0)</f>
        <v/>
      </c>
      <c r="AL83" s="50">
        <f>IF(AL80&gt;0,SUMPRODUCT(DropTiming*(DropMonth&gt;AL34)*AL29*((1-AL31)*(1-(INT((DropMonth-1)*AL32/CourseMonths)+1)/AL32)+AL31*AL33*DropRemain))/AL80,0)</f>
        <v/>
      </c>
      <c r="AM83" s="50">
        <f>IF(AM80&gt;0,SUMPRODUCT(DropTiming*(DropMonth&gt;AM34)*AM29*((1-AM31)*(1-(INT((DropMonth-1)*AM32/CourseMonths)+1)/AM32)+AM31*AM33*DropRemain))/AM80,0)</f>
        <v/>
      </c>
      <c r="AN83" s="50">
        <f>IF(AN80&gt;0,SUMPRODUCT(DropTiming*(DropMonth&gt;AN34)*AN29*((1-AN31)*(1-(INT((DropMonth-1)*AN32/CourseMonths)+1)/AN32)+AN31*AN33*DropRemain))/AN80,0)</f>
        <v/>
      </c>
      <c r="AO83" s="50">
        <f>IF(AO80&gt;0,SUMPRODUCT(DropTiming*(DropMonth&gt;AO34)*AO29*((1-AO31)*(1-(INT((DropMonth-1)*AO32/CourseMonths)+1)/AO32)+AO31*AO33*DropRemain))/AO80,0)</f>
        <v/>
      </c>
      <c r="AP83" s="50">
        <f>IF(AP80&gt;0,SUMPRODUCT(DropTiming*(DropMonth&gt;AP34)*AP29*((1-AP31)*(1-(INT((DropMonth-1)*AP32/CourseMonths)+1)/AP32)+AP31*AP33*DropRemain))/AP80,0)</f>
        <v/>
      </c>
      <c r="AQ83" s="50">
        <f>IF(AQ80&gt;0,SUMPRODUCT(DropTiming*(DropMonth&gt;AQ34)*AQ29*((1-AQ31)*(1-(INT((DropMonth-1)*AQ32/CourseMonths)+1)/AQ32)+AQ31*AQ33*DropRemain))/AQ80,0)</f>
        <v/>
      </c>
      <c r="AR83" s="50">
        <f>IF(AR80&gt;0,SUMPRODUCT(DropTiming*(DropMonth&gt;AR34)*AR29*((1-AR31)*(1-(INT((DropMonth-1)*AR32/CourseMonths)+1)/AR32)+AR31*AR33*DropRemain))/AR80,0)</f>
        <v/>
      </c>
      <c r="AS83" s="50">
        <f>IF(AS80&gt;0,SUMPRODUCT(DropTiming*(DropMonth&gt;AS34)*AS29*((1-AS31)*(1-(INT((DropMonth-1)*AS32/CourseMonths)+1)/AS32)+AS31*AS33*DropRemain))/AS80,0)</f>
        <v/>
      </c>
      <c r="AT83" s="50">
        <f>IF(AT80&gt;0,SUMPRODUCT(DropTiming*(DropMonth&gt;AT34)*AT29*((1-AT31)*(1-(INT((DropMonth-1)*AT32/CourseMonths)+1)/AT32)+AT31*AT33*DropRemain))/AT80,0)</f>
        <v/>
      </c>
      <c r="AU83" s="50">
        <f>IF(AU80&gt;0,SUMPRODUCT(DropTiming*(DropMonth&gt;AU34)*AU29*((1-AU31)*(1-(INT((DropMonth-1)*AU32/CourseMonths)+1)/AU32)+AU31*AU33*DropRemain))/AU80,0)</f>
        <v/>
      </c>
      <c r="AV83" s="50">
        <f>IF(AV80&gt;0,SUMPRODUCT(DropTiming*(DropMonth&gt;AV34)*AV29*((1-AV31)*(1-(INT((DropMonth-1)*AV32/CourseMonths)+1)/AV32)+AV31*AV33*DropRemain))/AV80,0)</f>
        <v/>
      </c>
    </row>
    <row r="84">
      <c r="B84" s="7" t="inlineStr">
        <is>
          <t>Fees retained</t>
        </is>
      </c>
      <c r="C84" s="5" t="inlineStr">
        <is>
          <t>₹/yr</t>
        </is>
      </c>
      <c r="D84" s="48">
        <f>D82*D83</f>
        <v/>
      </c>
      <c r="E84" s="48">
        <f>E82*E83</f>
        <v/>
      </c>
      <c r="F84" s="48">
        <f>F82*F83</f>
        <v/>
      </c>
      <c r="G84" s="48">
        <f>G82*G83</f>
        <v/>
      </c>
      <c r="H84" s="48">
        <f>H82*H83</f>
        <v/>
      </c>
      <c r="I84" s="48">
        <f>I82*I83</f>
        <v/>
      </c>
      <c r="J84" s="48">
        <f>J82*J83</f>
        <v/>
      </c>
      <c r="K84" s="48">
        <f>K82*K83</f>
        <v/>
      </c>
      <c r="L84" s="48">
        <f>L82*L83</f>
        <v/>
      </c>
      <c r="M84" s="48">
        <f>M82*M83</f>
        <v/>
      </c>
      <c r="N84" s="48">
        <f>N82*N83</f>
        <v/>
      </c>
      <c r="O84" s="48">
        <f>O82*O83</f>
        <v/>
      </c>
      <c r="P84" s="48">
        <f>P82*P83</f>
        <v/>
      </c>
      <c r="Q84" s="48">
        <f>Q82*Q83</f>
        <v/>
      </c>
      <c r="R84" s="48">
        <f>R82*R83</f>
        <v/>
      </c>
      <c r="S84" s="48">
        <f>S82*S83</f>
        <v/>
      </c>
      <c r="T84" s="48">
        <f>T82*T83</f>
        <v/>
      </c>
      <c r="U84" s="48">
        <f>U82*U83</f>
        <v/>
      </c>
      <c r="V84" s="48">
        <f>V82*V83</f>
        <v/>
      </c>
      <c r="W84" s="48">
        <f>W82*W83</f>
        <v/>
      </c>
      <c r="X84" s="48">
        <f>X82*X83</f>
        <v/>
      </c>
      <c r="Y84" s="48">
        <f>Y82*Y83</f>
        <v/>
      </c>
      <c r="Z84" s="48">
        <f>Z82*Z83</f>
        <v/>
      </c>
      <c r="AA84" s="48">
        <f>AA82*AA83</f>
        <v/>
      </c>
      <c r="AB84" s="48">
        <f>AB82*AB83</f>
        <v/>
      </c>
      <c r="AC84" s="48">
        <f>AC82*AC83</f>
        <v/>
      </c>
      <c r="AD84" s="48">
        <f>AD82*AD83</f>
        <v/>
      </c>
      <c r="AE84" s="48">
        <f>AE82*AE83</f>
        <v/>
      </c>
      <c r="AF84" s="48">
        <f>AF82*AF83</f>
        <v/>
      </c>
      <c r="AG84" s="48">
        <f>AG82*AG83</f>
        <v/>
      </c>
      <c r="AH84" s="48">
        <f>AH82*AH83</f>
        <v/>
      </c>
      <c r="AI84" s="48">
        <f>AI82*AI83</f>
        <v/>
      </c>
      <c r="AJ84" s="48">
        <f>AJ82*AJ83</f>
        <v/>
      </c>
      <c r="AK84" s="48">
        <f>AK82*AK83</f>
        <v/>
      </c>
      <c r="AL84" s="48">
        <f>AL82*AL83</f>
        <v/>
      </c>
      <c r="AM84" s="48">
        <f>AM82*AM83</f>
        <v/>
      </c>
      <c r="AN84" s="48">
        <f>AN82*AN83</f>
        <v/>
      </c>
      <c r="AO84" s="48">
        <f>AO82*AO83</f>
        <v/>
      </c>
      <c r="AP84" s="48">
        <f>AP82*AP83</f>
        <v/>
      </c>
      <c r="AQ84" s="48">
        <f>AQ82*AQ83</f>
        <v/>
      </c>
      <c r="AR84" s="48">
        <f>AR82*AR83</f>
        <v/>
      </c>
      <c r="AS84" s="48">
        <f>AS82*AS83</f>
        <v/>
      </c>
      <c r="AT84" s="48">
        <f>AT82*AT83</f>
        <v/>
      </c>
      <c r="AU84" s="48">
        <f>AU82*AU83</f>
        <v/>
      </c>
      <c r="AV84" s="48">
        <f>AV82*AV83</f>
        <v/>
      </c>
    </row>
    <row r="85">
      <c r="B85" s="7" t="inlineStr">
        <is>
          <t>Margin on extra admissions (results / parent trust)</t>
        </is>
      </c>
      <c r="C85" s="5" t="inlineStr">
        <is>
          <t>₹/yr</t>
        </is>
      </c>
      <c r="D85" s="48">
        <f>D21*D41*D29*D42</f>
        <v/>
      </c>
      <c r="E85" s="48">
        <f>E21*E41*E29*E42</f>
        <v/>
      </c>
      <c r="F85" s="48">
        <f>F21*F41*F29*F42</f>
        <v/>
      </c>
      <c r="G85" s="48">
        <f>G21*G41*G29*G42</f>
        <v/>
      </c>
      <c r="H85" s="48">
        <f>H21*H41*H29*H42</f>
        <v/>
      </c>
      <c r="I85" s="48">
        <f>I21*I41*I29*I42</f>
        <v/>
      </c>
      <c r="J85" s="48">
        <f>J21*J41*J29*J42</f>
        <v/>
      </c>
      <c r="K85" s="48">
        <f>K21*K41*K29*K42</f>
        <v/>
      </c>
      <c r="L85" s="48">
        <f>L21*L41*L29*L42</f>
        <v/>
      </c>
      <c r="M85" s="48">
        <f>M21*M41*M29*M42</f>
        <v/>
      </c>
      <c r="N85" s="48">
        <f>N21*N41*N29*N42</f>
        <v/>
      </c>
      <c r="O85" s="48">
        <f>O21*O41*O29*O42</f>
        <v/>
      </c>
      <c r="P85" s="48">
        <f>P21*P41*P29*P42</f>
        <v/>
      </c>
      <c r="Q85" s="48">
        <f>Q21*Q41*Q29*Q42</f>
        <v/>
      </c>
      <c r="R85" s="48">
        <f>R21*R41*R29*R42</f>
        <v/>
      </c>
      <c r="S85" s="48">
        <f>S21*S41*S29*S42</f>
        <v/>
      </c>
      <c r="T85" s="48">
        <f>T21*T41*T29*T42</f>
        <v/>
      </c>
      <c r="U85" s="48">
        <f>U21*U41*U29*U42</f>
        <v/>
      </c>
      <c r="V85" s="48">
        <f>V21*V41*V29*V42</f>
        <v/>
      </c>
      <c r="W85" s="48">
        <f>W21*W41*W29*W42</f>
        <v/>
      </c>
      <c r="X85" s="48">
        <f>X21*X41*X29*X42</f>
        <v/>
      </c>
      <c r="Y85" s="48">
        <f>Y21*Y41*Y29*Y42</f>
        <v/>
      </c>
      <c r="Z85" s="48">
        <f>Z21*Z41*Z29*Z42</f>
        <v/>
      </c>
      <c r="AA85" s="48">
        <f>AA21*AA41*AA29*AA42</f>
        <v/>
      </c>
      <c r="AB85" s="48">
        <f>AB21*AB41*AB29*AB42</f>
        <v/>
      </c>
      <c r="AC85" s="48">
        <f>AC21*AC41*AC29*AC42</f>
        <v/>
      </c>
      <c r="AD85" s="48">
        <f>AD21*AD41*AD29*AD42</f>
        <v/>
      </c>
      <c r="AE85" s="48">
        <f>AE21*AE41*AE29*AE42</f>
        <v/>
      </c>
      <c r="AF85" s="48">
        <f>AF21*AF41*AF29*AF42</f>
        <v/>
      </c>
      <c r="AG85" s="48">
        <f>AG21*AG41*AG29*AG42</f>
        <v/>
      </c>
      <c r="AH85" s="48">
        <f>AH21*AH41*AH29*AH42</f>
        <v/>
      </c>
      <c r="AI85" s="48">
        <f>AI21*AI41*AI29*AI42</f>
        <v/>
      </c>
      <c r="AJ85" s="48">
        <f>AJ21*AJ41*AJ29*AJ42</f>
        <v/>
      </c>
      <c r="AK85" s="48">
        <f>AK21*AK41*AK29*AK42</f>
        <v/>
      </c>
      <c r="AL85" s="48">
        <f>AL21*AL41*AL29*AL42</f>
        <v/>
      </c>
      <c r="AM85" s="48">
        <f>AM21*AM41*AM29*AM42</f>
        <v/>
      </c>
      <c r="AN85" s="48">
        <f>AN21*AN41*AN29*AN42</f>
        <v/>
      </c>
      <c r="AO85" s="48">
        <f>AO21*AO41*AO29*AO42</f>
        <v/>
      </c>
      <c r="AP85" s="48">
        <f>AP21*AP41*AP29*AP42</f>
        <v/>
      </c>
      <c r="AQ85" s="48">
        <f>AQ21*AQ41*AQ29*AQ42</f>
        <v/>
      </c>
      <c r="AR85" s="48">
        <f>AR21*AR41*AR29*AR42</f>
        <v/>
      </c>
      <c r="AS85" s="48">
        <f>AS21*AS41*AS29*AS42</f>
        <v/>
      </c>
      <c r="AT85" s="48">
        <f>AT21*AT41*AT29*AT42</f>
        <v/>
      </c>
      <c r="AU85" s="48">
        <f>AU21*AU41*AU29*AU42</f>
        <v/>
      </c>
      <c r="AV85" s="48">
        <f>AV21*AV41*AV29*AV42</f>
        <v/>
      </c>
    </row>
    <row r="86">
      <c r="B86" s="7" t="inlineStr">
        <is>
          <t>Staff time saved</t>
        </is>
      </c>
      <c r="C86" s="5" t="inlineStr">
        <is>
          <t>₹/yr</t>
        </is>
      </c>
      <c r="D86" s="48">
        <f>D43*D44*12</f>
        <v/>
      </c>
      <c r="E86" s="48">
        <f>E43*E44*12</f>
        <v/>
      </c>
      <c r="F86" s="48">
        <f>F43*F44*12</f>
        <v/>
      </c>
      <c r="G86" s="48">
        <f>G43*G44*12</f>
        <v/>
      </c>
      <c r="H86" s="48">
        <f>H43*H44*12</f>
        <v/>
      </c>
      <c r="I86" s="48">
        <f>I43*I44*12</f>
        <v/>
      </c>
      <c r="J86" s="48">
        <f>J43*J44*12</f>
        <v/>
      </c>
      <c r="K86" s="48">
        <f>K43*K44*12</f>
        <v/>
      </c>
      <c r="L86" s="48">
        <f>L43*L44*12</f>
        <v/>
      </c>
      <c r="M86" s="48">
        <f>M43*M44*12</f>
        <v/>
      </c>
      <c r="N86" s="48">
        <f>N43*N44*12</f>
        <v/>
      </c>
      <c r="O86" s="48">
        <f>O43*O44*12</f>
        <v/>
      </c>
      <c r="P86" s="48">
        <f>P43*P44*12</f>
        <v/>
      </c>
      <c r="Q86" s="48">
        <f>Q43*Q44*12</f>
        <v/>
      </c>
      <c r="R86" s="48">
        <f>R43*R44*12</f>
        <v/>
      </c>
      <c r="S86" s="48">
        <f>S43*S44*12</f>
        <v/>
      </c>
      <c r="T86" s="48">
        <f>T43*T44*12</f>
        <v/>
      </c>
      <c r="U86" s="48">
        <f>U43*U44*12</f>
        <v/>
      </c>
      <c r="V86" s="48">
        <f>V43*V44*12</f>
        <v/>
      </c>
      <c r="W86" s="48">
        <f>W43*W44*12</f>
        <v/>
      </c>
      <c r="X86" s="48">
        <f>X43*X44*12</f>
        <v/>
      </c>
      <c r="Y86" s="48">
        <f>Y43*Y44*12</f>
        <v/>
      </c>
      <c r="Z86" s="48">
        <f>Z43*Z44*12</f>
        <v/>
      </c>
      <c r="AA86" s="48">
        <f>AA43*AA44*12</f>
        <v/>
      </c>
      <c r="AB86" s="48">
        <f>AB43*AB44*12</f>
        <v/>
      </c>
      <c r="AC86" s="48">
        <f>AC43*AC44*12</f>
        <v/>
      </c>
      <c r="AD86" s="48">
        <f>AD43*AD44*12</f>
        <v/>
      </c>
      <c r="AE86" s="48">
        <f>AE43*AE44*12</f>
        <v/>
      </c>
      <c r="AF86" s="48">
        <f>AF43*AF44*12</f>
        <v/>
      </c>
      <c r="AG86" s="48">
        <f>AG43*AG44*12</f>
        <v/>
      </c>
      <c r="AH86" s="48">
        <f>AH43*AH44*12</f>
        <v/>
      </c>
      <c r="AI86" s="48">
        <f>AI43*AI44*12</f>
        <v/>
      </c>
      <c r="AJ86" s="48">
        <f>AJ43*AJ44*12</f>
        <v/>
      </c>
      <c r="AK86" s="48">
        <f>AK43*AK44*12</f>
        <v/>
      </c>
      <c r="AL86" s="48">
        <f>AL43*AL44*12</f>
        <v/>
      </c>
      <c r="AM86" s="48">
        <f>AM43*AM44*12</f>
        <v/>
      </c>
      <c r="AN86" s="48">
        <f>AN43*AN44*12</f>
        <v/>
      </c>
      <c r="AO86" s="48">
        <f>AO43*AO44*12</f>
        <v/>
      </c>
      <c r="AP86" s="48">
        <f>AP43*AP44*12</f>
        <v/>
      </c>
      <c r="AQ86" s="48">
        <f>AQ43*AQ44*12</f>
        <v/>
      </c>
      <c r="AR86" s="48">
        <f>AR43*AR44*12</f>
        <v/>
      </c>
      <c r="AS86" s="48">
        <f>AS43*AS44*12</f>
        <v/>
      </c>
      <c r="AT86" s="48">
        <f>AT43*AT44*12</f>
        <v/>
      </c>
      <c r="AU86" s="48">
        <f>AU43*AU44*12</f>
        <v/>
      </c>
      <c r="AV86" s="48">
        <f>AV43*AV44*12</f>
        <v/>
      </c>
    </row>
    <row r="87">
      <c r="B87" s="7" t="inlineStr">
        <is>
          <t>Total value</t>
        </is>
      </c>
      <c r="C87" s="5" t="inlineStr">
        <is>
          <t>₹/yr</t>
        </is>
      </c>
      <c r="D87" s="50">
        <f>D84+D85+D86</f>
        <v/>
      </c>
      <c r="E87" s="50">
        <f>E84+E85+E86</f>
        <v/>
      </c>
      <c r="F87" s="50">
        <f>F84+F85+F86</f>
        <v/>
      </c>
      <c r="G87" s="50">
        <f>G84+G85+G86</f>
        <v/>
      </c>
      <c r="H87" s="50">
        <f>H84+H85+H86</f>
        <v/>
      </c>
      <c r="I87" s="50">
        <f>I84+I85+I86</f>
        <v/>
      </c>
      <c r="J87" s="50">
        <f>J84+J85+J86</f>
        <v/>
      </c>
      <c r="K87" s="50">
        <f>K84+K85+K86</f>
        <v/>
      </c>
      <c r="L87" s="50">
        <f>L84+L85+L86</f>
        <v/>
      </c>
      <c r="M87" s="50">
        <f>M84+M85+M86</f>
        <v/>
      </c>
      <c r="N87" s="50">
        <f>N84+N85+N86</f>
        <v/>
      </c>
      <c r="O87" s="50">
        <f>O84+O85+O86</f>
        <v/>
      </c>
      <c r="P87" s="50">
        <f>P84+P85+P86</f>
        <v/>
      </c>
      <c r="Q87" s="50">
        <f>Q84+Q85+Q86</f>
        <v/>
      </c>
      <c r="R87" s="50">
        <f>R84+R85+R86</f>
        <v/>
      </c>
      <c r="S87" s="50">
        <f>S84+S85+S86</f>
        <v/>
      </c>
      <c r="T87" s="50">
        <f>T84+T85+T86</f>
        <v/>
      </c>
      <c r="U87" s="50">
        <f>U84+U85+U86</f>
        <v/>
      </c>
      <c r="V87" s="50">
        <f>V84+V85+V86</f>
        <v/>
      </c>
      <c r="W87" s="50">
        <f>W84+W85+W86</f>
        <v/>
      </c>
      <c r="X87" s="50">
        <f>X84+X85+X86</f>
        <v/>
      </c>
      <c r="Y87" s="50">
        <f>Y84+Y85+Y86</f>
        <v/>
      </c>
      <c r="Z87" s="50">
        <f>Z84+Z85+Z86</f>
        <v/>
      </c>
      <c r="AA87" s="50">
        <f>AA84+AA85+AA86</f>
        <v/>
      </c>
      <c r="AB87" s="50">
        <f>AB84+AB85+AB86</f>
        <v/>
      </c>
      <c r="AC87" s="50">
        <f>AC84+AC85+AC86</f>
        <v/>
      </c>
      <c r="AD87" s="50">
        <f>AD84+AD85+AD86</f>
        <v/>
      </c>
      <c r="AE87" s="50">
        <f>AE84+AE85+AE86</f>
        <v/>
      </c>
      <c r="AF87" s="50">
        <f>AF84+AF85+AF86</f>
        <v/>
      </c>
      <c r="AG87" s="50">
        <f>AG84+AG85+AG86</f>
        <v/>
      </c>
      <c r="AH87" s="50">
        <f>AH84+AH85+AH86</f>
        <v/>
      </c>
      <c r="AI87" s="50">
        <f>AI84+AI85+AI86</f>
        <v/>
      </c>
      <c r="AJ87" s="50">
        <f>AJ84+AJ85+AJ86</f>
        <v/>
      </c>
      <c r="AK87" s="50">
        <f>AK84+AK85+AK86</f>
        <v/>
      </c>
      <c r="AL87" s="50">
        <f>AL84+AL85+AL86</f>
        <v/>
      </c>
      <c r="AM87" s="50">
        <f>AM84+AM85+AM86</f>
        <v/>
      </c>
      <c r="AN87" s="50">
        <f>AN84+AN85+AN86</f>
        <v/>
      </c>
      <c r="AO87" s="50">
        <f>AO84+AO85+AO86</f>
        <v/>
      </c>
      <c r="AP87" s="50">
        <f>AP84+AP85+AP86</f>
        <v/>
      </c>
      <c r="AQ87" s="50">
        <f>AQ84+AQ85+AQ86</f>
        <v/>
      </c>
      <c r="AR87" s="50">
        <f>AR84+AR85+AR86</f>
        <v/>
      </c>
      <c r="AS87" s="50">
        <f>AS84+AS85+AS86</f>
        <v/>
      </c>
      <c r="AT87" s="50">
        <f>AT84+AT85+AT86</f>
        <v/>
      </c>
      <c r="AU87" s="50">
        <f>AU84+AU85+AU86</f>
        <v/>
      </c>
      <c r="AV87" s="50">
        <f>AV84+AV85+AV86</f>
        <v/>
      </c>
    </row>
    <row r="88">
      <c r="B88" s="7" t="inlineStr">
        <is>
          <t>Platform fee (seasonal active students, min fee, discounts; ex-GST)</t>
        </is>
      </c>
      <c r="C88" s="5" t="inlineStr">
        <is>
          <t>₹/yr</t>
        </is>
      </c>
      <c r="D88" s="48">
        <f>SUMPRODUCT((D21*Season_Idx*D22&gt;D23)*(D21*Season_Idx*D22)+(D21*Season_Idx*D22&lt;=D23)*D23)*(1-D72)</f>
        <v/>
      </c>
      <c r="E88" s="48">
        <f>SUMPRODUCT((E21*Season_Idx*E22&gt;E23)*(E21*Season_Idx*E22)+(E21*Season_Idx*E22&lt;=E23)*E23)*(1-E72)</f>
        <v/>
      </c>
      <c r="F88" s="48">
        <f>SUMPRODUCT((F21*Season_Idx*F22&gt;F23)*(F21*Season_Idx*F22)+(F21*Season_Idx*F22&lt;=F23)*F23)*(1-F72)</f>
        <v/>
      </c>
      <c r="G88" s="48">
        <f>SUMPRODUCT((G21*Season_Idx*G22&gt;G23)*(G21*Season_Idx*G22)+(G21*Season_Idx*G22&lt;=G23)*G23)*(1-G72)</f>
        <v/>
      </c>
      <c r="H88" s="48">
        <f>SUMPRODUCT((H21*Season_Idx*H22&gt;H23)*(H21*Season_Idx*H22)+(H21*Season_Idx*H22&lt;=H23)*H23)*(1-H72)</f>
        <v/>
      </c>
      <c r="I88" s="48">
        <f>SUMPRODUCT((I21*Season_Idx*I22&gt;I23)*(I21*Season_Idx*I22)+(I21*Season_Idx*I22&lt;=I23)*I23)*(1-I72)</f>
        <v/>
      </c>
      <c r="J88" s="48">
        <f>SUMPRODUCT((J21*Season_Idx*J22&gt;J23)*(J21*Season_Idx*J22)+(J21*Season_Idx*J22&lt;=J23)*J23)*(1-J72)</f>
        <v/>
      </c>
      <c r="K88" s="48">
        <f>SUMPRODUCT((K21*Season_Idx*K22&gt;K23)*(K21*Season_Idx*K22)+(K21*Season_Idx*K22&lt;=K23)*K23)*(1-K72)</f>
        <v/>
      </c>
      <c r="L88" s="48">
        <f>SUMPRODUCT((L21*Season_Idx*L22&gt;L23)*(L21*Season_Idx*L22)+(L21*Season_Idx*L22&lt;=L23)*L23)*(1-L72)</f>
        <v/>
      </c>
      <c r="M88" s="48">
        <f>SUMPRODUCT((M21*Season_Idx*M22&gt;M23)*(M21*Season_Idx*M22)+(M21*Season_Idx*M22&lt;=M23)*M23)*(1-M72)</f>
        <v/>
      </c>
      <c r="N88" s="48">
        <f>SUMPRODUCT((N21*Season_Idx*N22&gt;N23)*(N21*Season_Idx*N22)+(N21*Season_Idx*N22&lt;=N23)*N23)*(1-N72)</f>
        <v/>
      </c>
      <c r="O88" s="48">
        <f>SUMPRODUCT((O21*Season_Idx*O22&gt;O23)*(O21*Season_Idx*O22)+(O21*Season_Idx*O22&lt;=O23)*O23)*(1-O72)</f>
        <v/>
      </c>
      <c r="P88" s="48">
        <f>SUMPRODUCT((P21*Season_Idx*P22&gt;P23)*(P21*Season_Idx*P22)+(P21*Season_Idx*P22&lt;=P23)*P23)*(1-P72)</f>
        <v/>
      </c>
      <c r="Q88" s="48">
        <f>SUMPRODUCT((Q21*Season_Idx*Q22&gt;Q23)*(Q21*Season_Idx*Q22)+(Q21*Season_Idx*Q22&lt;=Q23)*Q23)*(1-Q72)</f>
        <v/>
      </c>
      <c r="R88" s="48">
        <f>SUMPRODUCT((R21*Season_Idx*R22&gt;R23)*(R21*Season_Idx*R22)+(R21*Season_Idx*R22&lt;=R23)*R23)*(1-R72)</f>
        <v/>
      </c>
      <c r="S88" s="48">
        <f>SUMPRODUCT((S21*Season_Idx*S22&gt;S23)*(S21*Season_Idx*S22)+(S21*Season_Idx*S22&lt;=S23)*S23)*(1-S72)</f>
        <v/>
      </c>
      <c r="T88" s="48">
        <f>SUMPRODUCT((T21*Season_Idx*T22&gt;T23)*(T21*Season_Idx*T22)+(T21*Season_Idx*T22&lt;=T23)*T23)*(1-T72)</f>
        <v/>
      </c>
      <c r="U88" s="48">
        <f>SUMPRODUCT((U21*Season_Idx*U22&gt;U23)*(U21*Season_Idx*U22)+(U21*Season_Idx*U22&lt;=U23)*U23)*(1-U72)</f>
        <v/>
      </c>
      <c r="V88" s="48">
        <f>SUMPRODUCT((V21*Season_Idx*V22&gt;V23)*(V21*Season_Idx*V22)+(V21*Season_Idx*V22&lt;=V23)*V23)*(1-V72)</f>
        <v/>
      </c>
      <c r="W88" s="48">
        <f>SUMPRODUCT((W21*Season_Idx*W22&gt;W23)*(W21*Season_Idx*W22)+(W21*Season_Idx*W22&lt;=W23)*W23)*(1-W72)</f>
        <v/>
      </c>
      <c r="X88" s="48">
        <f>SUMPRODUCT((X21*Season_Idx*X22&gt;X23)*(X21*Season_Idx*X22)+(X21*Season_Idx*X22&lt;=X23)*X23)*(1-X72)</f>
        <v/>
      </c>
      <c r="Y88" s="48">
        <f>SUMPRODUCT((Y21*Season_Idx*Y22&gt;Y23)*(Y21*Season_Idx*Y22)+(Y21*Season_Idx*Y22&lt;=Y23)*Y23)*(1-Y72)</f>
        <v/>
      </c>
      <c r="Z88" s="48">
        <f>SUMPRODUCT((Z21*Season_Idx*Z22&gt;Z23)*(Z21*Season_Idx*Z22)+(Z21*Season_Idx*Z22&lt;=Z23)*Z23)*(1-Z72)</f>
        <v/>
      </c>
      <c r="AA88" s="48">
        <f>SUMPRODUCT((AA21*Season_Idx*AA22&gt;AA23)*(AA21*Season_Idx*AA22)+(AA21*Season_Idx*AA22&lt;=AA23)*AA23)*(1-AA72)</f>
        <v/>
      </c>
      <c r="AB88" s="48">
        <f>SUMPRODUCT((AB21*Season_Idx*AB22&gt;AB23)*(AB21*Season_Idx*AB22)+(AB21*Season_Idx*AB22&lt;=AB23)*AB23)*(1-AB72)</f>
        <v/>
      </c>
      <c r="AC88" s="48">
        <f>SUMPRODUCT((AC21*Season_Idx*AC22&gt;AC23)*(AC21*Season_Idx*AC22)+(AC21*Season_Idx*AC22&lt;=AC23)*AC23)*(1-AC72)</f>
        <v/>
      </c>
      <c r="AD88" s="48">
        <f>SUMPRODUCT((AD21*Season_Idx*AD22&gt;AD23)*(AD21*Season_Idx*AD22)+(AD21*Season_Idx*AD22&lt;=AD23)*AD23)*(1-AD72)</f>
        <v/>
      </c>
      <c r="AE88" s="48">
        <f>SUMPRODUCT((AE21*Season_Idx*AE22&gt;AE23)*(AE21*Season_Idx*AE22)+(AE21*Season_Idx*AE22&lt;=AE23)*AE23)*(1-AE72)</f>
        <v/>
      </c>
      <c r="AF88" s="48">
        <f>SUMPRODUCT((AF21*Season_Idx*AF22&gt;AF23)*(AF21*Season_Idx*AF22)+(AF21*Season_Idx*AF22&lt;=AF23)*AF23)*(1-AF72)</f>
        <v/>
      </c>
      <c r="AG88" s="48">
        <f>SUMPRODUCT((AG21*Season_Idx*AG22&gt;AG23)*(AG21*Season_Idx*AG22)+(AG21*Season_Idx*AG22&lt;=AG23)*AG23)*(1-AG72)</f>
        <v/>
      </c>
      <c r="AH88" s="48">
        <f>SUMPRODUCT((AH21*Season_Idx*AH22&gt;AH23)*(AH21*Season_Idx*AH22)+(AH21*Season_Idx*AH22&lt;=AH23)*AH23)*(1-AH72)</f>
        <v/>
      </c>
      <c r="AI88" s="48">
        <f>SUMPRODUCT((AI21*Season_Idx*AI22&gt;AI23)*(AI21*Season_Idx*AI22)+(AI21*Season_Idx*AI22&lt;=AI23)*AI23)*(1-AI72)</f>
        <v/>
      </c>
      <c r="AJ88" s="48">
        <f>SUMPRODUCT((AJ21*Season_Idx*AJ22&gt;AJ23)*(AJ21*Season_Idx*AJ22)+(AJ21*Season_Idx*AJ22&lt;=AJ23)*AJ23)*(1-AJ72)</f>
        <v/>
      </c>
      <c r="AK88" s="48">
        <f>SUMPRODUCT((AK21*Season_Idx*AK22&gt;AK23)*(AK21*Season_Idx*AK22)+(AK21*Season_Idx*AK22&lt;=AK23)*AK23)*(1-AK72)</f>
        <v/>
      </c>
      <c r="AL88" s="48">
        <f>SUMPRODUCT((AL21*Season_Idx*AL22&gt;AL23)*(AL21*Season_Idx*AL22)+(AL21*Season_Idx*AL22&lt;=AL23)*AL23)*(1-AL72)</f>
        <v/>
      </c>
      <c r="AM88" s="48">
        <f>SUMPRODUCT((AM21*Season_Idx*AM22&gt;AM23)*(AM21*Season_Idx*AM22)+(AM21*Season_Idx*AM22&lt;=AM23)*AM23)*(1-AM72)</f>
        <v/>
      </c>
      <c r="AN88" s="48">
        <f>SUMPRODUCT((AN21*Season_Idx*AN22&gt;AN23)*(AN21*Season_Idx*AN22)+(AN21*Season_Idx*AN22&lt;=AN23)*AN23)*(1-AN72)</f>
        <v/>
      </c>
      <c r="AO88" s="48">
        <f>SUMPRODUCT((AO21*Season_Idx*AO22&gt;AO23)*(AO21*Season_Idx*AO22)+(AO21*Season_Idx*AO22&lt;=AO23)*AO23)*(1-AO72)</f>
        <v/>
      </c>
      <c r="AP88" s="48">
        <f>SUMPRODUCT((AP21*Season_Idx*AP22&gt;AP23)*(AP21*Season_Idx*AP22)+(AP21*Season_Idx*AP22&lt;=AP23)*AP23)*(1-AP72)</f>
        <v/>
      </c>
      <c r="AQ88" s="48">
        <f>SUMPRODUCT((AQ21*Season_Idx*AQ22&gt;AQ23)*(AQ21*Season_Idx*AQ22)+(AQ21*Season_Idx*AQ22&lt;=AQ23)*AQ23)*(1-AQ72)</f>
        <v/>
      </c>
      <c r="AR88" s="48">
        <f>SUMPRODUCT((AR21*Season_Idx*AR22&gt;AR23)*(AR21*Season_Idx*AR22)+(AR21*Season_Idx*AR22&lt;=AR23)*AR23)*(1-AR72)</f>
        <v/>
      </c>
      <c r="AS88" s="48">
        <f>SUMPRODUCT((AS21*Season_Idx*AS22&gt;AS23)*(AS21*Season_Idx*AS22)+(AS21*Season_Idx*AS22&lt;=AS23)*AS23)*(1-AS72)</f>
        <v/>
      </c>
      <c r="AT88" s="48">
        <f>SUMPRODUCT((AT21*Season_Idx*AT22&gt;AT23)*(AT21*Season_Idx*AT22)+(AT21*Season_Idx*AT22&lt;=AT23)*AT23)*(1-AT72)</f>
        <v/>
      </c>
      <c r="AU88" s="48">
        <f>SUMPRODUCT((AU21*Season_Idx*AU22&gt;AU23)*(AU21*Season_Idx*AU22)+(AU21*Season_Idx*AU22&lt;=AU23)*AU23)*(1-AU72)</f>
        <v/>
      </c>
      <c r="AV88" s="48">
        <f>SUMPRODUCT((AV21*Season_Idx*AV22&gt;AV23)*(AV21*Season_Idx*AV22)+(AV21*Season_Idx*AV22&lt;=AV23)*AV23)*(1-AV72)</f>
        <v/>
      </c>
    </row>
    <row r="89">
      <c r="B89" s="7" t="inlineStr">
        <is>
          <t>GST the institute cannot reclaim</t>
        </is>
      </c>
      <c r="C89" s="5" t="inlineStr">
        <is>
          <t>₹/yr</t>
        </is>
      </c>
      <c r="D89" s="48">
        <f>D88*D27*(1-D47)</f>
        <v/>
      </c>
      <c r="E89" s="48">
        <f>E88*E27*(1-E47)</f>
        <v/>
      </c>
      <c r="F89" s="48">
        <f>F88*F27*(1-F47)</f>
        <v/>
      </c>
      <c r="G89" s="48">
        <f>G88*G27*(1-G47)</f>
        <v/>
      </c>
      <c r="H89" s="48">
        <f>H88*H27*(1-H47)</f>
        <v/>
      </c>
      <c r="I89" s="48">
        <f>I88*I27*(1-I47)</f>
        <v/>
      </c>
      <c r="J89" s="48">
        <f>J88*J27*(1-J47)</f>
        <v/>
      </c>
      <c r="K89" s="48">
        <f>K88*K27*(1-K47)</f>
        <v/>
      </c>
      <c r="L89" s="48">
        <f>L88*L27*(1-L47)</f>
        <v/>
      </c>
      <c r="M89" s="48">
        <f>M88*M27*(1-M47)</f>
        <v/>
      </c>
      <c r="N89" s="48">
        <f>N88*N27*(1-N47)</f>
        <v/>
      </c>
      <c r="O89" s="48">
        <f>O88*O27*(1-O47)</f>
        <v/>
      </c>
      <c r="P89" s="48">
        <f>P88*P27*(1-P47)</f>
        <v/>
      </c>
      <c r="Q89" s="48">
        <f>Q88*Q27*(1-Q47)</f>
        <v/>
      </c>
      <c r="R89" s="48">
        <f>R88*R27*(1-R47)</f>
        <v/>
      </c>
      <c r="S89" s="48">
        <f>S88*S27*(1-S47)</f>
        <v/>
      </c>
      <c r="T89" s="48">
        <f>T88*T27*(1-T47)</f>
        <v/>
      </c>
      <c r="U89" s="48">
        <f>U88*U27*(1-U47)</f>
        <v/>
      </c>
      <c r="V89" s="48">
        <f>V88*V27*(1-V47)</f>
        <v/>
      </c>
      <c r="W89" s="48">
        <f>W88*W27*(1-W47)</f>
        <v/>
      </c>
      <c r="X89" s="48">
        <f>X88*X27*(1-X47)</f>
        <v/>
      </c>
      <c r="Y89" s="48">
        <f>Y88*Y27*(1-Y47)</f>
        <v/>
      </c>
      <c r="Z89" s="48">
        <f>Z88*Z27*(1-Z47)</f>
        <v/>
      </c>
      <c r="AA89" s="48">
        <f>AA88*AA27*(1-AA47)</f>
        <v/>
      </c>
      <c r="AB89" s="48">
        <f>AB88*AB27*(1-AB47)</f>
        <v/>
      </c>
      <c r="AC89" s="48">
        <f>AC88*AC27*(1-AC47)</f>
        <v/>
      </c>
      <c r="AD89" s="48">
        <f>AD88*AD27*(1-AD47)</f>
        <v/>
      </c>
      <c r="AE89" s="48">
        <f>AE88*AE27*(1-AE47)</f>
        <v/>
      </c>
      <c r="AF89" s="48">
        <f>AF88*AF27*(1-AF47)</f>
        <v/>
      </c>
      <c r="AG89" s="48">
        <f>AG88*AG27*(1-AG47)</f>
        <v/>
      </c>
      <c r="AH89" s="48">
        <f>AH88*AH27*(1-AH47)</f>
        <v/>
      </c>
      <c r="AI89" s="48">
        <f>AI88*AI27*(1-AI47)</f>
        <v/>
      </c>
      <c r="AJ89" s="48">
        <f>AJ88*AJ27*(1-AJ47)</f>
        <v/>
      </c>
      <c r="AK89" s="48">
        <f>AK88*AK27*(1-AK47)</f>
        <v/>
      </c>
      <c r="AL89" s="48">
        <f>AL88*AL27*(1-AL47)</f>
        <v/>
      </c>
      <c r="AM89" s="48">
        <f>AM88*AM27*(1-AM47)</f>
        <v/>
      </c>
      <c r="AN89" s="48">
        <f>AN88*AN27*(1-AN47)</f>
        <v/>
      </c>
      <c r="AO89" s="48">
        <f>AO88*AO27*(1-AO47)</f>
        <v/>
      </c>
      <c r="AP89" s="48">
        <f>AP88*AP27*(1-AP47)</f>
        <v/>
      </c>
      <c r="AQ89" s="48">
        <f>AQ88*AQ27*(1-AQ47)</f>
        <v/>
      </c>
      <c r="AR89" s="48">
        <f>AR88*AR27*(1-AR47)</f>
        <v/>
      </c>
      <c r="AS89" s="48">
        <f>AS88*AS27*(1-AS47)</f>
        <v/>
      </c>
      <c r="AT89" s="48">
        <f>AT88*AT27*(1-AT47)</f>
        <v/>
      </c>
      <c r="AU89" s="48">
        <f>AU88*AU27*(1-AU47)</f>
        <v/>
      </c>
      <c r="AV89" s="48">
        <f>AV88*AV27*(1-AV47)</f>
        <v/>
      </c>
    </row>
    <row r="90">
      <c r="B90" s="7" t="inlineStr">
        <is>
          <t>Students flagged per year (true + false alarms)</t>
        </is>
      </c>
      <c r="C90" s="5" t="inlineStr">
        <is>
          <t>students/yr</t>
        </is>
      </c>
      <c r="D90" s="51">
        <f>IF(D38&gt;0,D76*D79/D38,0)</f>
        <v/>
      </c>
      <c r="E90" s="51">
        <f>IF(E38&gt;0,E76*E79/E38,0)</f>
        <v/>
      </c>
      <c r="F90" s="51">
        <f>IF(F38&gt;0,F76*F79/F38,0)</f>
        <v/>
      </c>
      <c r="G90" s="51">
        <f>IF(G38&gt;0,G76*G79/G38,0)</f>
        <v/>
      </c>
      <c r="H90" s="51">
        <f>IF(H38&gt;0,H76*H79/H38,0)</f>
        <v/>
      </c>
      <c r="I90" s="51">
        <f>IF(I38&gt;0,I76*I79/I38,0)</f>
        <v/>
      </c>
      <c r="J90" s="51">
        <f>IF(J38&gt;0,J76*J79/J38,0)</f>
        <v/>
      </c>
      <c r="K90" s="51">
        <f>IF(K38&gt;0,K76*K79/K38,0)</f>
        <v/>
      </c>
      <c r="L90" s="51">
        <f>IF(L38&gt;0,L76*L79/L38,0)</f>
        <v/>
      </c>
      <c r="M90" s="51">
        <f>IF(M38&gt;0,M76*M79/M38,0)</f>
        <v/>
      </c>
      <c r="N90" s="51">
        <f>IF(N38&gt;0,N76*N79/N38,0)</f>
        <v/>
      </c>
      <c r="O90" s="51">
        <f>IF(O38&gt;0,O76*O79/O38,0)</f>
        <v/>
      </c>
      <c r="P90" s="51">
        <f>IF(P38&gt;0,P76*P79/P38,0)</f>
        <v/>
      </c>
      <c r="Q90" s="51">
        <f>IF(Q38&gt;0,Q76*Q79/Q38,0)</f>
        <v/>
      </c>
      <c r="R90" s="51">
        <f>IF(R38&gt;0,R76*R79/R38,0)</f>
        <v/>
      </c>
      <c r="S90" s="51">
        <f>IF(S38&gt;0,S76*S79/S38,0)</f>
        <v/>
      </c>
      <c r="T90" s="51">
        <f>IF(T38&gt;0,T76*T79/T38,0)</f>
        <v/>
      </c>
      <c r="U90" s="51">
        <f>IF(U38&gt;0,U76*U79/U38,0)</f>
        <v/>
      </c>
      <c r="V90" s="51">
        <f>IF(V38&gt;0,V76*V79/V38,0)</f>
        <v/>
      </c>
      <c r="W90" s="51">
        <f>IF(W38&gt;0,W76*W79/W38,0)</f>
        <v/>
      </c>
      <c r="X90" s="51">
        <f>IF(X38&gt;0,X76*X79/X38,0)</f>
        <v/>
      </c>
      <c r="Y90" s="51">
        <f>IF(Y38&gt;0,Y76*Y79/Y38,0)</f>
        <v/>
      </c>
      <c r="Z90" s="51">
        <f>IF(Z38&gt;0,Z76*Z79/Z38,0)</f>
        <v/>
      </c>
      <c r="AA90" s="51">
        <f>IF(AA38&gt;0,AA76*AA79/AA38,0)</f>
        <v/>
      </c>
      <c r="AB90" s="51">
        <f>IF(AB38&gt;0,AB76*AB79/AB38,0)</f>
        <v/>
      </c>
      <c r="AC90" s="51">
        <f>IF(AC38&gt;0,AC76*AC79/AC38,0)</f>
        <v/>
      </c>
      <c r="AD90" s="51">
        <f>IF(AD38&gt;0,AD76*AD79/AD38,0)</f>
        <v/>
      </c>
      <c r="AE90" s="51">
        <f>IF(AE38&gt;0,AE76*AE79/AE38,0)</f>
        <v/>
      </c>
      <c r="AF90" s="51">
        <f>IF(AF38&gt;0,AF76*AF79/AF38,0)</f>
        <v/>
      </c>
      <c r="AG90" s="51">
        <f>IF(AG38&gt;0,AG76*AG79/AG38,0)</f>
        <v/>
      </c>
      <c r="AH90" s="51">
        <f>IF(AH38&gt;0,AH76*AH79/AH38,0)</f>
        <v/>
      </c>
      <c r="AI90" s="51">
        <f>IF(AI38&gt;0,AI76*AI79/AI38,0)</f>
        <v/>
      </c>
      <c r="AJ90" s="51">
        <f>IF(AJ38&gt;0,AJ76*AJ79/AJ38,0)</f>
        <v/>
      </c>
      <c r="AK90" s="51">
        <f>IF(AK38&gt;0,AK76*AK79/AK38,0)</f>
        <v/>
      </c>
      <c r="AL90" s="51">
        <f>IF(AL38&gt;0,AL76*AL79/AL38,0)</f>
        <v/>
      </c>
      <c r="AM90" s="51">
        <f>IF(AM38&gt;0,AM76*AM79/AM38,0)</f>
        <v/>
      </c>
      <c r="AN90" s="51">
        <f>IF(AN38&gt;0,AN76*AN79/AN38,0)</f>
        <v/>
      </c>
      <c r="AO90" s="51">
        <f>IF(AO38&gt;0,AO76*AO79/AO38,0)</f>
        <v/>
      </c>
      <c r="AP90" s="51">
        <f>IF(AP38&gt;0,AP76*AP79/AP38,0)</f>
        <v/>
      </c>
      <c r="AQ90" s="51">
        <f>IF(AQ38&gt;0,AQ76*AQ79/AQ38,0)</f>
        <v/>
      </c>
      <c r="AR90" s="51">
        <f>IF(AR38&gt;0,AR76*AR79/AR38,0)</f>
        <v/>
      </c>
      <c r="AS90" s="51">
        <f>IF(AS38&gt;0,AS76*AS79/AS38,0)</f>
        <v/>
      </c>
      <c r="AT90" s="51">
        <f>IF(AT38&gt;0,AT76*AT79/AT38,0)</f>
        <v/>
      </c>
      <c r="AU90" s="51">
        <f>IF(AU38&gt;0,AU76*AU79/AU38,0)</f>
        <v/>
      </c>
      <c r="AV90" s="51">
        <f>IF(AV38&gt;0,AV76*AV79/AV38,0)</f>
        <v/>
      </c>
    </row>
    <row r="91">
      <c r="B91" s="7" t="inlineStr">
        <is>
          <t>Mentor time spent acting on flags</t>
        </is>
      </c>
      <c r="C91" s="5" t="inlineStr">
        <is>
          <t>₹/yr</t>
        </is>
      </c>
      <c r="D91" s="48">
        <f>D90*D39*D45/60*D46</f>
        <v/>
      </c>
      <c r="E91" s="48">
        <f>E90*E39*E45/60*E46</f>
        <v/>
      </c>
      <c r="F91" s="48">
        <f>F90*F39*F45/60*F46</f>
        <v/>
      </c>
      <c r="G91" s="48">
        <f>G90*G39*G45/60*G46</f>
        <v/>
      </c>
      <c r="H91" s="48">
        <f>H90*H39*H45/60*H46</f>
        <v/>
      </c>
      <c r="I91" s="48">
        <f>I90*I39*I45/60*I46</f>
        <v/>
      </c>
      <c r="J91" s="48">
        <f>J90*J39*J45/60*J46</f>
        <v/>
      </c>
      <c r="K91" s="48">
        <f>K90*K39*K45/60*K46</f>
        <v/>
      </c>
      <c r="L91" s="48">
        <f>L90*L39*L45/60*L46</f>
        <v/>
      </c>
      <c r="M91" s="48">
        <f>M90*M39*M45/60*M46</f>
        <v/>
      </c>
      <c r="N91" s="48">
        <f>N90*N39*N45/60*N46</f>
        <v/>
      </c>
      <c r="O91" s="48">
        <f>O90*O39*O45/60*O46</f>
        <v/>
      </c>
      <c r="P91" s="48">
        <f>P90*P39*P45/60*P46</f>
        <v/>
      </c>
      <c r="Q91" s="48">
        <f>Q90*Q39*Q45/60*Q46</f>
        <v/>
      </c>
      <c r="R91" s="48">
        <f>R90*R39*R45/60*R46</f>
        <v/>
      </c>
      <c r="S91" s="48">
        <f>S90*S39*S45/60*S46</f>
        <v/>
      </c>
      <c r="T91" s="48">
        <f>T90*T39*T45/60*T46</f>
        <v/>
      </c>
      <c r="U91" s="48">
        <f>U90*U39*U45/60*U46</f>
        <v/>
      </c>
      <c r="V91" s="48">
        <f>V90*V39*V45/60*V46</f>
        <v/>
      </c>
      <c r="W91" s="48">
        <f>W90*W39*W45/60*W46</f>
        <v/>
      </c>
      <c r="X91" s="48">
        <f>X90*X39*X45/60*X46</f>
        <v/>
      </c>
      <c r="Y91" s="48">
        <f>Y90*Y39*Y45/60*Y46</f>
        <v/>
      </c>
      <c r="Z91" s="48">
        <f>Z90*Z39*Z45/60*Z46</f>
        <v/>
      </c>
      <c r="AA91" s="48">
        <f>AA90*AA39*AA45/60*AA46</f>
        <v/>
      </c>
      <c r="AB91" s="48">
        <f>AB90*AB39*AB45/60*AB46</f>
        <v/>
      </c>
      <c r="AC91" s="48">
        <f>AC90*AC39*AC45/60*AC46</f>
        <v/>
      </c>
      <c r="AD91" s="48">
        <f>AD90*AD39*AD45/60*AD46</f>
        <v/>
      </c>
      <c r="AE91" s="48">
        <f>AE90*AE39*AE45/60*AE46</f>
        <v/>
      </c>
      <c r="AF91" s="48">
        <f>AF90*AF39*AF45/60*AF46</f>
        <v/>
      </c>
      <c r="AG91" s="48">
        <f>AG90*AG39*AG45/60*AG46</f>
        <v/>
      </c>
      <c r="AH91" s="48">
        <f>AH90*AH39*AH45/60*AH46</f>
        <v/>
      </c>
      <c r="AI91" s="48">
        <f>AI90*AI39*AI45/60*AI46</f>
        <v/>
      </c>
      <c r="AJ91" s="48">
        <f>AJ90*AJ39*AJ45/60*AJ46</f>
        <v/>
      </c>
      <c r="AK91" s="48">
        <f>AK90*AK39*AK45/60*AK46</f>
        <v/>
      </c>
      <c r="AL91" s="48">
        <f>AL90*AL39*AL45/60*AL46</f>
        <v/>
      </c>
      <c r="AM91" s="48">
        <f>AM90*AM39*AM45/60*AM46</f>
        <v/>
      </c>
      <c r="AN91" s="48">
        <f>AN90*AN39*AN45/60*AN46</f>
        <v/>
      </c>
      <c r="AO91" s="48">
        <f>AO90*AO39*AO45/60*AO46</f>
        <v/>
      </c>
      <c r="AP91" s="48">
        <f>AP90*AP39*AP45/60*AP46</f>
        <v/>
      </c>
      <c r="AQ91" s="48">
        <f>AQ90*AQ39*AQ45/60*AQ46</f>
        <v/>
      </c>
      <c r="AR91" s="48">
        <f>AR90*AR39*AR45/60*AR46</f>
        <v/>
      </c>
      <c r="AS91" s="48">
        <f>AS90*AS39*AS45/60*AS46</f>
        <v/>
      </c>
      <c r="AT91" s="48">
        <f>AT90*AT39*AT45/60*AT46</f>
        <v/>
      </c>
      <c r="AU91" s="48">
        <f>AU90*AU39*AU45/60*AU46</f>
        <v/>
      </c>
      <c r="AV91" s="48">
        <f>AV90*AV39*AV45/60*AV46</f>
        <v/>
      </c>
    </row>
    <row r="92">
      <c r="B92" s="7" t="inlineStr">
        <is>
          <t>Total cost</t>
        </is>
      </c>
      <c r="C92" s="5" t="inlineStr">
        <is>
          <t>₹/yr</t>
        </is>
      </c>
      <c r="D92" s="50">
        <f>D88+D89+D91</f>
        <v/>
      </c>
      <c r="E92" s="50">
        <f>E88+E89+E91</f>
        <v/>
      </c>
      <c r="F92" s="50">
        <f>F88+F89+F91</f>
        <v/>
      </c>
      <c r="G92" s="50">
        <f>G88+G89+G91</f>
        <v/>
      </c>
      <c r="H92" s="50">
        <f>H88+H89+H91</f>
        <v/>
      </c>
      <c r="I92" s="50">
        <f>I88+I89+I91</f>
        <v/>
      </c>
      <c r="J92" s="50">
        <f>J88+J89+J91</f>
        <v/>
      </c>
      <c r="K92" s="50">
        <f>K88+K89+K91</f>
        <v/>
      </c>
      <c r="L92" s="50">
        <f>L88+L89+L91</f>
        <v/>
      </c>
      <c r="M92" s="50">
        <f>M88+M89+M91</f>
        <v/>
      </c>
      <c r="N92" s="50">
        <f>N88+N89+N91</f>
        <v/>
      </c>
      <c r="O92" s="50">
        <f>O88+O89+O91</f>
        <v/>
      </c>
      <c r="P92" s="50">
        <f>P88+P89+P91</f>
        <v/>
      </c>
      <c r="Q92" s="50">
        <f>Q88+Q89+Q91</f>
        <v/>
      </c>
      <c r="R92" s="50">
        <f>R88+R89+R91</f>
        <v/>
      </c>
      <c r="S92" s="50">
        <f>S88+S89+S91</f>
        <v/>
      </c>
      <c r="T92" s="50">
        <f>T88+T89+T91</f>
        <v/>
      </c>
      <c r="U92" s="50">
        <f>U88+U89+U91</f>
        <v/>
      </c>
      <c r="V92" s="50">
        <f>V88+V89+V91</f>
        <v/>
      </c>
      <c r="W92" s="50">
        <f>W88+W89+W91</f>
        <v/>
      </c>
      <c r="X92" s="50">
        <f>X88+X89+X91</f>
        <v/>
      </c>
      <c r="Y92" s="50">
        <f>Y88+Y89+Y91</f>
        <v/>
      </c>
      <c r="Z92" s="50">
        <f>Z88+Z89+Z91</f>
        <v/>
      </c>
      <c r="AA92" s="50">
        <f>AA88+AA89+AA91</f>
        <v/>
      </c>
      <c r="AB92" s="50">
        <f>AB88+AB89+AB91</f>
        <v/>
      </c>
      <c r="AC92" s="50">
        <f>AC88+AC89+AC91</f>
        <v/>
      </c>
      <c r="AD92" s="50">
        <f>AD88+AD89+AD91</f>
        <v/>
      </c>
      <c r="AE92" s="50">
        <f>AE88+AE89+AE91</f>
        <v/>
      </c>
      <c r="AF92" s="50">
        <f>AF88+AF89+AF91</f>
        <v/>
      </c>
      <c r="AG92" s="50">
        <f>AG88+AG89+AG91</f>
        <v/>
      </c>
      <c r="AH92" s="50">
        <f>AH88+AH89+AH91</f>
        <v/>
      </c>
      <c r="AI92" s="50">
        <f>AI88+AI89+AI91</f>
        <v/>
      </c>
      <c r="AJ92" s="50">
        <f>AJ88+AJ89+AJ91</f>
        <v/>
      </c>
      <c r="AK92" s="50">
        <f>AK88+AK89+AK91</f>
        <v/>
      </c>
      <c r="AL92" s="50">
        <f>AL88+AL89+AL91</f>
        <v/>
      </c>
      <c r="AM92" s="50">
        <f>AM88+AM89+AM91</f>
        <v/>
      </c>
      <c r="AN92" s="50">
        <f>AN88+AN89+AN91</f>
        <v/>
      </c>
      <c r="AO92" s="50">
        <f>AO88+AO89+AO91</f>
        <v/>
      </c>
      <c r="AP92" s="50">
        <f>AP88+AP89+AP91</f>
        <v/>
      </c>
      <c r="AQ92" s="50">
        <f>AQ88+AQ89+AQ91</f>
        <v/>
      </c>
      <c r="AR92" s="50">
        <f>AR88+AR89+AR91</f>
        <v/>
      </c>
      <c r="AS92" s="50">
        <f>AS88+AS89+AS91</f>
        <v/>
      </c>
      <c r="AT92" s="50">
        <f>AT88+AT89+AT91</f>
        <v/>
      </c>
      <c r="AU92" s="50">
        <f>AU88+AU89+AU91</f>
        <v/>
      </c>
      <c r="AV92" s="50">
        <f>AV88+AV89+AV91</f>
        <v/>
      </c>
    </row>
    <row r="93">
      <c r="B93" s="7" t="inlineStr">
        <is>
          <t>Net benefit to institute</t>
        </is>
      </c>
      <c r="C93" s="5" t="inlineStr">
        <is>
          <t>₹/yr</t>
        </is>
      </c>
      <c r="D93" s="50">
        <f>D87-D92</f>
        <v/>
      </c>
      <c r="E93" s="50">
        <f>E87-E92</f>
        <v/>
      </c>
      <c r="F93" s="50">
        <f>F87-F92</f>
        <v/>
      </c>
      <c r="G93" s="50">
        <f>G87-G92</f>
        <v/>
      </c>
      <c r="H93" s="50">
        <f>H87-H92</f>
        <v/>
      </c>
      <c r="I93" s="50">
        <f>I87-I92</f>
        <v/>
      </c>
      <c r="J93" s="50">
        <f>J87-J92</f>
        <v/>
      </c>
      <c r="K93" s="50">
        <f>K87-K92</f>
        <v/>
      </c>
      <c r="L93" s="50">
        <f>L87-L92</f>
        <v/>
      </c>
      <c r="M93" s="50">
        <f>M87-M92</f>
        <v/>
      </c>
      <c r="N93" s="50">
        <f>N87-N92</f>
        <v/>
      </c>
      <c r="O93" s="50">
        <f>O87-O92</f>
        <v/>
      </c>
      <c r="P93" s="50">
        <f>P87-P92</f>
        <v/>
      </c>
      <c r="Q93" s="50">
        <f>Q87-Q92</f>
        <v/>
      </c>
      <c r="R93" s="50">
        <f>R87-R92</f>
        <v/>
      </c>
      <c r="S93" s="50">
        <f>S87-S92</f>
        <v/>
      </c>
      <c r="T93" s="50">
        <f>T87-T92</f>
        <v/>
      </c>
      <c r="U93" s="50">
        <f>U87-U92</f>
        <v/>
      </c>
      <c r="V93" s="50">
        <f>V87-V92</f>
        <v/>
      </c>
      <c r="W93" s="50">
        <f>W87-W92</f>
        <v/>
      </c>
      <c r="X93" s="50">
        <f>X87-X92</f>
        <v/>
      </c>
      <c r="Y93" s="50">
        <f>Y87-Y92</f>
        <v/>
      </c>
      <c r="Z93" s="50">
        <f>Z87-Z92</f>
        <v/>
      </c>
      <c r="AA93" s="50">
        <f>AA87-AA92</f>
        <v/>
      </c>
      <c r="AB93" s="50">
        <f>AB87-AB92</f>
        <v/>
      </c>
      <c r="AC93" s="50">
        <f>AC87-AC92</f>
        <v/>
      </c>
      <c r="AD93" s="50">
        <f>AD87-AD92</f>
        <v/>
      </c>
      <c r="AE93" s="50">
        <f>AE87-AE92</f>
        <v/>
      </c>
      <c r="AF93" s="50">
        <f>AF87-AF92</f>
        <v/>
      </c>
      <c r="AG93" s="50">
        <f>AG87-AG92</f>
        <v/>
      </c>
      <c r="AH93" s="50">
        <f>AH87-AH92</f>
        <v/>
      </c>
      <c r="AI93" s="50">
        <f>AI87-AI92</f>
        <v/>
      </c>
      <c r="AJ93" s="50">
        <f>AJ87-AJ92</f>
        <v/>
      </c>
      <c r="AK93" s="50">
        <f>AK87-AK92</f>
        <v/>
      </c>
      <c r="AL93" s="50">
        <f>AL87-AL92</f>
        <v/>
      </c>
      <c r="AM93" s="50">
        <f>AM87-AM92</f>
        <v/>
      </c>
      <c r="AN93" s="50">
        <f>AN87-AN92</f>
        <v/>
      </c>
      <c r="AO93" s="50">
        <f>AO87-AO92</f>
        <v/>
      </c>
      <c r="AP93" s="50">
        <f>AP87-AP92</f>
        <v/>
      </c>
      <c r="AQ93" s="50">
        <f>AQ87-AQ92</f>
        <v/>
      </c>
      <c r="AR93" s="50">
        <f>AR87-AR92</f>
        <v/>
      </c>
      <c r="AS93" s="50">
        <f>AS87-AS92</f>
        <v/>
      </c>
      <c r="AT93" s="50">
        <f>AT87-AT92</f>
        <v/>
      </c>
      <c r="AU93" s="50">
        <f>AU87-AU92</f>
        <v/>
      </c>
      <c r="AV93" s="50">
        <f>AV87-AV92</f>
        <v/>
      </c>
    </row>
    <row r="94">
      <c r="B94" s="7" t="inlineStr">
        <is>
          <t>Institute ROI (value ÷ cost)</t>
        </is>
      </c>
      <c r="C94" s="5" t="inlineStr">
        <is>
          <t>x</t>
        </is>
      </c>
      <c r="D94" s="53">
        <f>IF(D92&gt;0,D87/D92,0)</f>
        <v/>
      </c>
      <c r="E94" s="53">
        <f>IF(E92&gt;0,E87/E92,0)</f>
        <v/>
      </c>
      <c r="F94" s="53">
        <f>IF(F92&gt;0,F87/F92,0)</f>
        <v/>
      </c>
      <c r="G94" s="53">
        <f>IF(G92&gt;0,G87/G92,0)</f>
        <v/>
      </c>
      <c r="H94" s="53">
        <f>IF(H92&gt;0,H87/H92,0)</f>
        <v/>
      </c>
      <c r="I94" s="53">
        <f>IF(I92&gt;0,I87/I92,0)</f>
        <v/>
      </c>
      <c r="J94" s="53">
        <f>IF(J92&gt;0,J87/J92,0)</f>
        <v/>
      </c>
      <c r="K94" s="53">
        <f>IF(K92&gt;0,K87/K92,0)</f>
        <v/>
      </c>
      <c r="L94" s="53">
        <f>IF(L92&gt;0,L87/L92,0)</f>
        <v/>
      </c>
      <c r="M94" s="53">
        <f>IF(M92&gt;0,M87/M92,0)</f>
        <v/>
      </c>
      <c r="N94" s="53">
        <f>IF(N92&gt;0,N87/N92,0)</f>
        <v/>
      </c>
      <c r="O94" s="53">
        <f>IF(O92&gt;0,O87/O92,0)</f>
        <v/>
      </c>
      <c r="P94" s="53">
        <f>IF(P92&gt;0,P87/P92,0)</f>
        <v/>
      </c>
      <c r="Q94" s="53">
        <f>IF(Q92&gt;0,Q87/Q92,0)</f>
        <v/>
      </c>
      <c r="R94" s="53">
        <f>IF(R92&gt;0,R87/R92,0)</f>
        <v/>
      </c>
      <c r="S94" s="53">
        <f>IF(S92&gt;0,S87/S92,0)</f>
        <v/>
      </c>
      <c r="T94" s="53">
        <f>IF(T92&gt;0,T87/T92,0)</f>
        <v/>
      </c>
      <c r="U94" s="53">
        <f>IF(U92&gt;0,U87/U92,0)</f>
        <v/>
      </c>
      <c r="V94" s="53">
        <f>IF(V92&gt;0,V87/V92,0)</f>
        <v/>
      </c>
      <c r="W94" s="53">
        <f>IF(W92&gt;0,W87/W92,0)</f>
        <v/>
      </c>
      <c r="X94" s="53">
        <f>IF(X92&gt;0,X87/X92,0)</f>
        <v/>
      </c>
      <c r="Y94" s="53">
        <f>IF(Y92&gt;0,Y87/Y92,0)</f>
        <v/>
      </c>
      <c r="Z94" s="53">
        <f>IF(Z92&gt;0,Z87/Z92,0)</f>
        <v/>
      </c>
      <c r="AA94" s="53">
        <f>IF(AA92&gt;0,AA87/AA92,0)</f>
        <v/>
      </c>
      <c r="AB94" s="53">
        <f>IF(AB92&gt;0,AB87/AB92,0)</f>
        <v/>
      </c>
      <c r="AC94" s="53">
        <f>IF(AC92&gt;0,AC87/AC92,0)</f>
        <v/>
      </c>
      <c r="AD94" s="53">
        <f>IF(AD92&gt;0,AD87/AD92,0)</f>
        <v/>
      </c>
      <c r="AE94" s="53">
        <f>IF(AE92&gt;0,AE87/AE92,0)</f>
        <v/>
      </c>
      <c r="AF94" s="53">
        <f>IF(AF92&gt;0,AF87/AF92,0)</f>
        <v/>
      </c>
      <c r="AG94" s="53">
        <f>IF(AG92&gt;0,AG87/AG92,0)</f>
        <v/>
      </c>
      <c r="AH94" s="53">
        <f>IF(AH92&gt;0,AH87/AH92,0)</f>
        <v/>
      </c>
      <c r="AI94" s="53">
        <f>IF(AI92&gt;0,AI87/AI92,0)</f>
        <v/>
      </c>
      <c r="AJ94" s="53">
        <f>IF(AJ92&gt;0,AJ87/AJ92,0)</f>
        <v/>
      </c>
      <c r="AK94" s="53">
        <f>IF(AK92&gt;0,AK87/AK92,0)</f>
        <v/>
      </c>
      <c r="AL94" s="53">
        <f>IF(AL92&gt;0,AL87/AL92,0)</f>
        <v/>
      </c>
      <c r="AM94" s="53">
        <f>IF(AM92&gt;0,AM87/AM92,0)</f>
        <v/>
      </c>
      <c r="AN94" s="53">
        <f>IF(AN92&gt;0,AN87/AN92,0)</f>
        <v/>
      </c>
      <c r="AO94" s="53">
        <f>IF(AO92&gt;0,AO87/AO92,0)</f>
        <v/>
      </c>
      <c r="AP94" s="53">
        <f>IF(AP92&gt;0,AP87/AP92,0)</f>
        <v/>
      </c>
      <c r="AQ94" s="53">
        <f>IF(AQ92&gt;0,AQ87/AQ92,0)</f>
        <v/>
      </c>
      <c r="AR94" s="53">
        <f>IF(AR92&gt;0,AR87/AR92,0)</f>
        <v/>
      </c>
      <c r="AS94" s="53">
        <f>IF(AS92&gt;0,AS87/AS92,0)</f>
        <v/>
      </c>
      <c r="AT94" s="53">
        <f>IF(AT92&gt;0,AT87/AT92,0)</f>
        <v/>
      </c>
      <c r="AU94" s="53">
        <f>IF(AU92&gt;0,AU87/AU92,0)</f>
        <v/>
      </c>
      <c r="AV94" s="53">
        <f>IF(AV92&gt;0,AV87/AV92,0)</f>
        <v/>
      </c>
    </row>
    <row r="95">
      <c r="B95" s="7" t="inlineStr">
        <is>
          <t>Fees-only ROI (no soft benefits)</t>
        </is>
      </c>
      <c r="C95" s="5" t="inlineStr">
        <is>
          <t>x</t>
        </is>
      </c>
      <c r="D95" s="53">
        <f>IF(D92&gt;0,D84/D92,0)</f>
        <v/>
      </c>
      <c r="E95" s="53">
        <f>IF(E92&gt;0,E84/E92,0)</f>
        <v/>
      </c>
      <c r="F95" s="53">
        <f>IF(F92&gt;0,F84/F92,0)</f>
        <v/>
      </c>
      <c r="G95" s="53">
        <f>IF(G92&gt;0,G84/G92,0)</f>
        <v/>
      </c>
      <c r="H95" s="53">
        <f>IF(H92&gt;0,H84/H92,0)</f>
        <v/>
      </c>
      <c r="I95" s="53">
        <f>IF(I92&gt;0,I84/I92,0)</f>
        <v/>
      </c>
      <c r="J95" s="53">
        <f>IF(J92&gt;0,J84/J92,0)</f>
        <v/>
      </c>
      <c r="K95" s="53">
        <f>IF(K92&gt;0,K84/K92,0)</f>
        <v/>
      </c>
      <c r="L95" s="53">
        <f>IF(L92&gt;0,L84/L92,0)</f>
        <v/>
      </c>
      <c r="M95" s="53">
        <f>IF(M92&gt;0,M84/M92,0)</f>
        <v/>
      </c>
      <c r="N95" s="53">
        <f>IF(N92&gt;0,N84/N92,0)</f>
        <v/>
      </c>
      <c r="O95" s="53">
        <f>IF(O92&gt;0,O84/O92,0)</f>
        <v/>
      </c>
      <c r="P95" s="53">
        <f>IF(P92&gt;0,P84/P92,0)</f>
        <v/>
      </c>
      <c r="Q95" s="53">
        <f>IF(Q92&gt;0,Q84/Q92,0)</f>
        <v/>
      </c>
      <c r="R95" s="53">
        <f>IF(R92&gt;0,R84/R92,0)</f>
        <v/>
      </c>
      <c r="S95" s="53">
        <f>IF(S92&gt;0,S84/S92,0)</f>
        <v/>
      </c>
      <c r="T95" s="53">
        <f>IF(T92&gt;0,T84/T92,0)</f>
        <v/>
      </c>
      <c r="U95" s="53">
        <f>IF(U92&gt;0,U84/U92,0)</f>
        <v/>
      </c>
      <c r="V95" s="53">
        <f>IF(V92&gt;0,V84/V92,0)</f>
        <v/>
      </c>
      <c r="W95" s="53">
        <f>IF(W92&gt;0,W84/W92,0)</f>
        <v/>
      </c>
      <c r="X95" s="53">
        <f>IF(X92&gt;0,X84/X92,0)</f>
        <v/>
      </c>
      <c r="Y95" s="53">
        <f>IF(Y92&gt;0,Y84/Y92,0)</f>
        <v/>
      </c>
      <c r="Z95" s="53">
        <f>IF(Z92&gt;0,Z84/Z92,0)</f>
        <v/>
      </c>
      <c r="AA95" s="53">
        <f>IF(AA92&gt;0,AA84/AA92,0)</f>
        <v/>
      </c>
      <c r="AB95" s="53">
        <f>IF(AB92&gt;0,AB84/AB92,0)</f>
        <v/>
      </c>
      <c r="AC95" s="53">
        <f>IF(AC92&gt;0,AC84/AC92,0)</f>
        <v/>
      </c>
      <c r="AD95" s="53">
        <f>IF(AD92&gt;0,AD84/AD92,0)</f>
        <v/>
      </c>
      <c r="AE95" s="53">
        <f>IF(AE92&gt;0,AE84/AE92,0)</f>
        <v/>
      </c>
      <c r="AF95" s="53">
        <f>IF(AF92&gt;0,AF84/AF92,0)</f>
        <v/>
      </c>
      <c r="AG95" s="53">
        <f>IF(AG92&gt;0,AG84/AG92,0)</f>
        <v/>
      </c>
      <c r="AH95" s="53">
        <f>IF(AH92&gt;0,AH84/AH92,0)</f>
        <v/>
      </c>
      <c r="AI95" s="53">
        <f>IF(AI92&gt;0,AI84/AI92,0)</f>
        <v/>
      </c>
      <c r="AJ95" s="53">
        <f>IF(AJ92&gt;0,AJ84/AJ92,0)</f>
        <v/>
      </c>
      <c r="AK95" s="53">
        <f>IF(AK92&gt;0,AK84/AK92,0)</f>
        <v/>
      </c>
      <c r="AL95" s="53">
        <f>IF(AL92&gt;0,AL84/AL92,0)</f>
        <v/>
      </c>
      <c r="AM95" s="53">
        <f>IF(AM92&gt;0,AM84/AM92,0)</f>
        <v/>
      </c>
      <c r="AN95" s="53">
        <f>IF(AN92&gt;0,AN84/AN92,0)</f>
        <v/>
      </c>
      <c r="AO95" s="53">
        <f>IF(AO92&gt;0,AO84/AO92,0)</f>
        <v/>
      </c>
      <c r="AP95" s="53">
        <f>IF(AP92&gt;0,AP84/AP92,0)</f>
        <v/>
      </c>
      <c r="AQ95" s="53">
        <f>IF(AQ92&gt;0,AQ84/AQ92,0)</f>
        <v/>
      </c>
      <c r="AR95" s="53">
        <f>IF(AR92&gt;0,AR84/AR92,0)</f>
        <v/>
      </c>
      <c r="AS95" s="53">
        <f>IF(AS92&gt;0,AS84/AS92,0)</f>
        <v/>
      </c>
      <c r="AT95" s="53">
        <f>IF(AT92&gt;0,AT84/AT92,0)</f>
        <v/>
      </c>
      <c r="AU95" s="53">
        <f>IF(AU92&gt;0,AU84/AU92,0)</f>
        <v/>
      </c>
      <c r="AV95" s="53">
        <f>IF(AV92&gt;0,AV84/AV92,0)</f>
        <v/>
      </c>
    </row>
    <row r="96">
      <c r="B96" s="7" t="inlineStr">
        <is>
          <t>Break-even: students to save per year (fees only)</t>
        </is>
      </c>
      <c r="C96" s="5" t="inlineStr">
        <is>
          <t>students/yr</t>
        </is>
      </c>
      <c r="D96" s="52">
        <f>IF(D83&gt;0,D92/D83,0)</f>
        <v/>
      </c>
      <c r="E96" s="52">
        <f>IF(E83&gt;0,E92/E83,0)</f>
        <v/>
      </c>
      <c r="F96" s="52">
        <f>IF(F83&gt;0,F92/F83,0)</f>
        <v/>
      </c>
      <c r="G96" s="52">
        <f>IF(G83&gt;0,G92/G83,0)</f>
        <v/>
      </c>
      <c r="H96" s="52">
        <f>IF(H83&gt;0,H92/H83,0)</f>
        <v/>
      </c>
      <c r="I96" s="52">
        <f>IF(I83&gt;0,I92/I83,0)</f>
        <v/>
      </c>
      <c r="J96" s="52">
        <f>IF(J83&gt;0,J92/J83,0)</f>
        <v/>
      </c>
      <c r="K96" s="52">
        <f>IF(K83&gt;0,K92/K83,0)</f>
        <v/>
      </c>
      <c r="L96" s="52">
        <f>IF(L83&gt;0,L92/L83,0)</f>
        <v/>
      </c>
      <c r="M96" s="52">
        <f>IF(M83&gt;0,M92/M83,0)</f>
        <v/>
      </c>
      <c r="N96" s="52">
        <f>IF(N83&gt;0,N92/N83,0)</f>
        <v/>
      </c>
      <c r="O96" s="52">
        <f>IF(O83&gt;0,O92/O83,0)</f>
        <v/>
      </c>
      <c r="P96" s="52">
        <f>IF(P83&gt;0,P92/P83,0)</f>
        <v/>
      </c>
      <c r="Q96" s="52">
        <f>IF(Q83&gt;0,Q92/Q83,0)</f>
        <v/>
      </c>
      <c r="R96" s="52">
        <f>IF(R83&gt;0,R92/R83,0)</f>
        <v/>
      </c>
      <c r="S96" s="52">
        <f>IF(S83&gt;0,S92/S83,0)</f>
        <v/>
      </c>
      <c r="T96" s="52">
        <f>IF(T83&gt;0,T92/T83,0)</f>
        <v/>
      </c>
      <c r="U96" s="52">
        <f>IF(U83&gt;0,U92/U83,0)</f>
        <v/>
      </c>
      <c r="V96" s="52">
        <f>IF(V83&gt;0,V92/V83,0)</f>
        <v/>
      </c>
      <c r="W96" s="52">
        <f>IF(W83&gt;0,W92/W83,0)</f>
        <v/>
      </c>
      <c r="X96" s="52">
        <f>IF(X83&gt;0,X92/X83,0)</f>
        <v/>
      </c>
      <c r="Y96" s="52">
        <f>IF(Y83&gt;0,Y92/Y83,0)</f>
        <v/>
      </c>
      <c r="Z96" s="52">
        <f>IF(Z83&gt;0,Z92/Z83,0)</f>
        <v/>
      </c>
      <c r="AA96" s="52">
        <f>IF(AA83&gt;0,AA92/AA83,0)</f>
        <v/>
      </c>
      <c r="AB96" s="52">
        <f>IF(AB83&gt;0,AB92/AB83,0)</f>
        <v/>
      </c>
      <c r="AC96" s="52">
        <f>IF(AC83&gt;0,AC92/AC83,0)</f>
        <v/>
      </c>
      <c r="AD96" s="52">
        <f>IF(AD83&gt;0,AD92/AD83,0)</f>
        <v/>
      </c>
      <c r="AE96" s="52">
        <f>IF(AE83&gt;0,AE92/AE83,0)</f>
        <v/>
      </c>
      <c r="AF96" s="52">
        <f>IF(AF83&gt;0,AF92/AF83,0)</f>
        <v/>
      </c>
      <c r="AG96" s="52">
        <f>IF(AG83&gt;0,AG92/AG83,0)</f>
        <v/>
      </c>
      <c r="AH96" s="52">
        <f>IF(AH83&gt;0,AH92/AH83,0)</f>
        <v/>
      </c>
      <c r="AI96" s="52">
        <f>IF(AI83&gt;0,AI92/AI83,0)</f>
        <v/>
      </c>
      <c r="AJ96" s="52">
        <f>IF(AJ83&gt;0,AJ92/AJ83,0)</f>
        <v/>
      </c>
      <c r="AK96" s="52">
        <f>IF(AK83&gt;0,AK92/AK83,0)</f>
        <v/>
      </c>
      <c r="AL96" s="52">
        <f>IF(AL83&gt;0,AL92/AL83,0)</f>
        <v/>
      </c>
      <c r="AM96" s="52">
        <f>IF(AM83&gt;0,AM92/AM83,0)</f>
        <v/>
      </c>
      <c r="AN96" s="52">
        <f>IF(AN83&gt;0,AN92/AN83,0)</f>
        <v/>
      </c>
      <c r="AO96" s="52">
        <f>IF(AO83&gt;0,AO92/AO83,0)</f>
        <v/>
      </c>
      <c r="AP96" s="52">
        <f>IF(AP83&gt;0,AP92/AP83,0)</f>
        <v/>
      </c>
      <c r="AQ96" s="52">
        <f>IF(AQ83&gt;0,AQ92/AQ83,0)</f>
        <v/>
      </c>
      <c r="AR96" s="52">
        <f>IF(AR83&gt;0,AR92/AR83,0)</f>
        <v/>
      </c>
      <c r="AS96" s="52">
        <f>IF(AS83&gt;0,AS92/AS83,0)</f>
        <v/>
      </c>
      <c r="AT96" s="52">
        <f>IF(AT83&gt;0,AT92/AT83,0)</f>
        <v/>
      </c>
      <c r="AU96" s="52">
        <f>IF(AU83&gt;0,AU92/AU83,0)</f>
        <v/>
      </c>
      <c r="AV96" s="52">
        <f>IF(AV83&gt;0,AV92/AV83,0)</f>
        <v/>
      </c>
    </row>
    <row r="97">
      <c r="B97" s="7" t="inlineStr">
        <is>
          <t>Break-even dropout reduction needed</t>
        </is>
      </c>
      <c r="C97" s="5" t="inlineStr">
        <is>
          <t>%</t>
        </is>
      </c>
      <c r="D97" s="38">
        <f>IF(D76&gt;0,D96/D76,0)</f>
        <v/>
      </c>
      <c r="E97" s="38">
        <f>IF(E76&gt;0,E96/E76,0)</f>
        <v/>
      </c>
      <c r="F97" s="38">
        <f>IF(F76&gt;0,F96/F76,0)</f>
        <v/>
      </c>
      <c r="G97" s="38">
        <f>IF(G76&gt;0,G96/G76,0)</f>
        <v/>
      </c>
      <c r="H97" s="38">
        <f>IF(H76&gt;0,H96/H76,0)</f>
        <v/>
      </c>
      <c r="I97" s="38">
        <f>IF(I76&gt;0,I96/I76,0)</f>
        <v/>
      </c>
      <c r="J97" s="38">
        <f>IF(J76&gt;0,J96/J76,0)</f>
        <v/>
      </c>
      <c r="K97" s="38">
        <f>IF(K76&gt;0,K96/K76,0)</f>
        <v/>
      </c>
      <c r="L97" s="38">
        <f>IF(L76&gt;0,L96/L76,0)</f>
        <v/>
      </c>
      <c r="M97" s="38">
        <f>IF(M76&gt;0,M96/M76,0)</f>
        <v/>
      </c>
      <c r="N97" s="38">
        <f>IF(N76&gt;0,N96/N76,0)</f>
        <v/>
      </c>
      <c r="O97" s="38">
        <f>IF(O76&gt;0,O96/O76,0)</f>
        <v/>
      </c>
      <c r="P97" s="38">
        <f>IF(P76&gt;0,P96/P76,0)</f>
        <v/>
      </c>
      <c r="Q97" s="38">
        <f>IF(Q76&gt;0,Q96/Q76,0)</f>
        <v/>
      </c>
      <c r="R97" s="38">
        <f>IF(R76&gt;0,R96/R76,0)</f>
        <v/>
      </c>
      <c r="S97" s="38">
        <f>IF(S76&gt;0,S96/S76,0)</f>
        <v/>
      </c>
      <c r="T97" s="38">
        <f>IF(T76&gt;0,T96/T76,0)</f>
        <v/>
      </c>
      <c r="U97" s="38">
        <f>IF(U76&gt;0,U96/U76,0)</f>
        <v/>
      </c>
      <c r="V97" s="38">
        <f>IF(V76&gt;0,V96/V76,0)</f>
        <v/>
      </c>
      <c r="W97" s="38">
        <f>IF(W76&gt;0,W96/W76,0)</f>
        <v/>
      </c>
      <c r="X97" s="38">
        <f>IF(X76&gt;0,X96/X76,0)</f>
        <v/>
      </c>
      <c r="Y97" s="38">
        <f>IF(Y76&gt;0,Y96/Y76,0)</f>
        <v/>
      </c>
      <c r="Z97" s="38">
        <f>IF(Z76&gt;0,Z96/Z76,0)</f>
        <v/>
      </c>
      <c r="AA97" s="38">
        <f>IF(AA76&gt;0,AA96/AA76,0)</f>
        <v/>
      </c>
      <c r="AB97" s="38">
        <f>IF(AB76&gt;0,AB96/AB76,0)</f>
        <v/>
      </c>
      <c r="AC97" s="38">
        <f>IF(AC76&gt;0,AC96/AC76,0)</f>
        <v/>
      </c>
      <c r="AD97" s="38">
        <f>IF(AD76&gt;0,AD96/AD76,0)</f>
        <v/>
      </c>
      <c r="AE97" s="38">
        <f>IF(AE76&gt;0,AE96/AE76,0)</f>
        <v/>
      </c>
      <c r="AF97" s="38">
        <f>IF(AF76&gt;0,AF96/AF76,0)</f>
        <v/>
      </c>
      <c r="AG97" s="38">
        <f>IF(AG76&gt;0,AG96/AG76,0)</f>
        <v/>
      </c>
      <c r="AH97" s="38">
        <f>IF(AH76&gt;0,AH96/AH76,0)</f>
        <v/>
      </c>
      <c r="AI97" s="38">
        <f>IF(AI76&gt;0,AI96/AI76,0)</f>
        <v/>
      </c>
      <c r="AJ97" s="38">
        <f>IF(AJ76&gt;0,AJ96/AJ76,0)</f>
        <v/>
      </c>
      <c r="AK97" s="38">
        <f>IF(AK76&gt;0,AK96/AK76,0)</f>
        <v/>
      </c>
      <c r="AL97" s="38">
        <f>IF(AL76&gt;0,AL96/AL76,0)</f>
        <v/>
      </c>
      <c r="AM97" s="38">
        <f>IF(AM76&gt;0,AM96/AM76,0)</f>
        <v/>
      </c>
      <c r="AN97" s="38">
        <f>IF(AN76&gt;0,AN96/AN76,0)</f>
        <v/>
      </c>
      <c r="AO97" s="38">
        <f>IF(AO76&gt;0,AO96/AO76,0)</f>
        <v/>
      </c>
      <c r="AP97" s="38">
        <f>IF(AP76&gt;0,AP96/AP76,0)</f>
        <v/>
      </c>
      <c r="AQ97" s="38">
        <f>IF(AQ76&gt;0,AQ96/AQ76,0)</f>
        <v/>
      </c>
      <c r="AR97" s="38">
        <f>IF(AR76&gt;0,AR96/AR76,0)</f>
        <v/>
      </c>
      <c r="AS97" s="38">
        <f>IF(AS76&gt;0,AS96/AS76,0)</f>
        <v/>
      </c>
      <c r="AT97" s="38">
        <f>IF(AT76&gt;0,AT96/AT76,0)</f>
        <v/>
      </c>
      <c r="AU97" s="38">
        <f>IF(AU76&gt;0,AU96/AU76,0)</f>
        <v/>
      </c>
      <c r="AV97" s="38">
        <f>IF(AV76&gt;0,AV96/AV76,0)</f>
        <v/>
      </c>
    </row>
    <row r="98">
      <c r="B98" s="7" t="inlineStr">
        <is>
          <t>Admissions uplift needed to break even, after fees + staff time</t>
        </is>
      </c>
      <c r="C98" s="5" t="inlineStr">
        <is>
          <t>% of students</t>
        </is>
      </c>
      <c r="D98" s="38">
        <f>IF(D21*D29*D42&gt;0,MAX(0,D92-D84-D86)/(D21*D29*D42),0)</f>
        <v/>
      </c>
      <c r="E98" s="38">
        <f>IF(E21*E29*E42&gt;0,MAX(0,E92-E84-E86)/(E21*E29*E42),0)</f>
        <v/>
      </c>
      <c r="F98" s="38">
        <f>IF(F21*F29*F42&gt;0,MAX(0,F92-F84-F86)/(F21*F29*F42),0)</f>
        <v/>
      </c>
      <c r="G98" s="38">
        <f>IF(G21*G29*G42&gt;0,MAX(0,G92-G84-G86)/(G21*G29*G42),0)</f>
        <v/>
      </c>
      <c r="H98" s="38">
        <f>IF(H21*H29*H42&gt;0,MAX(0,H92-H84-H86)/(H21*H29*H42),0)</f>
        <v/>
      </c>
      <c r="I98" s="38">
        <f>IF(I21*I29*I42&gt;0,MAX(0,I92-I84-I86)/(I21*I29*I42),0)</f>
        <v/>
      </c>
      <c r="J98" s="38">
        <f>IF(J21*J29*J42&gt;0,MAX(0,J92-J84-J86)/(J21*J29*J42),0)</f>
        <v/>
      </c>
      <c r="K98" s="38">
        <f>IF(K21*K29*K42&gt;0,MAX(0,K92-K84-K86)/(K21*K29*K42),0)</f>
        <v/>
      </c>
      <c r="L98" s="38">
        <f>IF(L21*L29*L42&gt;0,MAX(0,L92-L84-L86)/(L21*L29*L42),0)</f>
        <v/>
      </c>
      <c r="M98" s="38">
        <f>IF(M21*M29*M42&gt;0,MAX(0,M92-M84-M86)/(M21*M29*M42),0)</f>
        <v/>
      </c>
      <c r="N98" s="38">
        <f>IF(N21*N29*N42&gt;0,MAX(0,N92-N84-N86)/(N21*N29*N42),0)</f>
        <v/>
      </c>
      <c r="O98" s="38">
        <f>IF(O21*O29*O42&gt;0,MAX(0,O92-O84-O86)/(O21*O29*O42),0)</f>
        <v/>
      </c>
      <c r="P98" s="38">
        <f>IF(P21*P29*P42&gt;0,MAX(0,P92-P84-P86)/(P21*P29*P42),0)</f>
        <v/>
      </c>
      <c r="Q98" s="38">
        <f>IF(Q21*Q29*Q42&gt;0,MAX(0,Q92-Q84-Q86)/(Q21*Q29*Q42),0)</f>
        <v/>
      </c>
      <c r="R98" s="38">
        <f>IF(R21*R29*R42&gt;0,MAX(0,R92-R84-R86)/(R21*R29*R42),0)</f>
        <v/>
      </c>
      <c r="S98" s="38">
        <f>IF(S21*S29*S42&gt;0,MAX(0,S92-S84-S86)/(S21*S29*S42),0)</f>
        <v/>
      </c>
      <c r="T98" s="38">
        <f>IF(T21*T29*T42&gt;0,MAX(0,T92-T84-T86)/(T21*T29*T42),0)</f>
        <v/>
      </c>
      <c r="U98" s="38">
        <f>IF(U21*U29*U42&gt;0,MAX(0,U92-U84-U86)/(U21*U29*U42),0)</f>
        <v/>
      </c>
      <c r="V98" s="38">
        <f>IF(V21*V29*V42&gt;0,MAX(0,V92-V84-V86)/(V21*V29*V42),0)</f>
        <v/>
      </c>
      <c r="W98" s="38">
        <f>IF(W21*W29*W42&gt;0,MAX(0,W92-W84-W86)/(W21*W29*W42),0)</f>
        <v/>
      </c>
      <c r="X98" s="38">
        <f>IF(X21*X29*X42&gt;0,MAX(0,X92-X84-X86)/(X21*X29*X42),0)</f>
        <v/>
      </c>
      <c r="Y98" s="38">
        <f>IF(Y21*Y29*Y42&gt;0,MAX(0,Y92-Y84-Y86)/(Y21*Y29*Y42),0)</f>
        <v/>
      </c>
      <c r="Z98" s="38">
        <f>IF(Z21*Z29*Z42&gt;0,MAX(0,Z92-Z84-Z86)/(Z21*Z29*Z42),0)</f>
        <v/>
      </c>
      <c r="AA98" s="38">
        <f>IF(AA21*AA29*AA42&gt;0,MAX(0,AA92-AA84-AA86)/(AA21*AA29*AA42),0)</f>
        <v/>
      </c>
      <c r="AB98" s="38">
        <f>IF(AB21*AB29*AB42&gt;0,MAX(0,AB92-AB84-AB86)/(AB21*AB29*AB42),0)</f>
        <v/>
      </c>
      <c r="AC98" s="38">
        <f>IF(AC21*AC29*AC42&gt;0,MAX(0,AC92-AC84-AC86)/(AC21*AC29*AC42),0)</f>
        <v/>
      </c>
      <c r="AD98" s="38">
        <f>IF(AD21*AD29*AD42&gt;0,MAX(0,AD92-AD84-AD86)/(AD21*AD29*AD42),0)</f>
        <v/>
      </c>
      <c r="AE98" s="38">
        <f>IF(AE21*AE29*AE42&gt;0,MAX(0,AE92-AE84-AE86)/(AE21*AE29*AE42),0)</f>
        <v/>
      </c>
      <c r="AF98" s="38">
        <f>IF(AF21*AF29*AF42&gt;0,MAX(0,AF92-AF84-AF86)/(AF21*AF29*AF42),0)</f>
        <v/>
      </c>
      <c r="AG98" s="38">
        <f>IF(AG21*AG29*AG42&gt;0,MAX(0,AG92-AG84-AG86)/(AG21*AG29*AG42),0)</f>
        <v/>
      </c>
      <c r="AH98" s="38">
        <f>IF(AH21*AH29*AH42&gt;0,MAX(0,AH92-AH84-AH86)/(AH21*AH29*AH42),0)</f>
        <v/>
      </c>
      <c r="AI98" s="38">
        <f>IF(AI21*AI29*AI42&gt;0,MAX(0,AI92-AI84-AI86)/(AI21*AI29*AI42),0)</f>
        <v/>
      </c>
      <c r="AJ98" s="38">
        <f>IF(AJ21*AJ29*AJ42&gt;0,MAX(0,AJ92-AJ84-AJ86)/(AJ21*AJ29*AJ42),0)</f>
        <v/>
      </c>
      <c r="AK98" s="38">
        <f>IF(AK21*AK29*AK42&gt;0,MAX(0,AK92-AK84-AK86)/(AK21*AK29*AK42),0)</f>
        <v/>
      </c>
      <c r="AL98" s="38">
        <f>IF(AL21*AL29*AL42&gt;0,MAX(0,AL92-AL84-AL86)/(AL21*AL29*AL42),0)</f>
        <v/>
      </c>
      <c r="AM98" s="38">
        <f>IF(AM21*AM29*AM42&gt;0,MAX(0,AM92-AM84-AM86)/(AM21*AM29*AM42),0)</f>
        <v/>
      </c>
      <c r="AN98" s="38">
        <f>IF(AN21*AN29*AN42&gt;0,MAX(0,AN92-AN84-AN86)/(AN21*AN29*AN42),0)</f>
        <v/>
      </c>
      <c r="AO98" s="38">
        <f>IF(AO21*AO29*AO42&gt;0,MAX(0,AO92-AO84-AO86)/(AO21*AO29*AO42),0)</f>
        <v/>
      </c>
      <c r="AP98" s="38">
        <f>IF(AP21*AP29*AP42&gt;0,MAX(0,AP92-AP84-AP86)/(AP21*AP29*AP42),0)</f>
        <v/>
      </c>
      <c r="AQ98" s="38">
        <f>IF(AQ21*AQ29*AQ42&gt;0,MAX(0,AQ92-AQ84-AQ86)/(AQ21*AQ29*AQ42),0)</f>
        <v/>
      </c>
      <c r="AR98" s="38">
        <f>IF(AR21*AR29*AR42&gt;0,MAX(0,AR92-AR84-AR86)/(AR21*AR29*AR42),0)</f>
        <v/>
      </c>
      <c r="AS98" s="38">
        <f>IF(AS21*AS29*AS42&gt;0,MAX(0,AS92-AS84-AS86)/(AS21*AS29*AS42),0)</f>
        <v/>
      </c>
      <c r="AT98" s="38">
        <f>IF(AT21*AT29*AT42&gt;0,MAX(0,AT92-AT84-AT86)/(AT21*AT29*AT42),0)</f>
        <v/>
      </c>
      <c r="AU98" s="38">
        <f>IF(AU21*AU29*AU42&gt;0,MAX(0,AU92-AU84-AU86)/(AU21*AU29*AU42),0)</f>
        <v/>
      </c>
      <c r="AV98" s="38">
        <f>IF(AV21*AV29*AV42&gt;0,MAX(0,AV92-AV84-AV86)/(AV21*AV29*AV42),0)</f>
        <v/>
      </c>
    </row>
    <row r="99">
      <c r="B99" s="7" t="inlineStr">
        <is>
          <t>…in extra admissions per year</t>
        </is>
      </c>
      <c r="C99" s="5" t="inlineStr">
        <is>
          <t>students/yr</t>
        </is>
      </c>
      <c r="D99" s="52">
        <f>D98*D21</f>
        <v/>
      </c>
      <c r="E99" s="52">
        <f>E98*E21</f>
        <v/>
      </c>
      <c r="F99" s="52">
        <f>F98*F21</f>
        <v/>
      </c>
      <c r="G99" s="52">
        <f>G98*G21</f>
        <v/>
      </c>
      <c r="H99" s="52">
        <f>H98*H21</f>
        <v/>
      </c>
      <c r="I99" s="52">
        <f>I98*I21</f>
        <v/>
      </c>
      <c r="J99" s="52">
        <f>J98*J21</f>
        <v/>
      </c>
      <c r="K99" s="52">
        <f>K98*K21</f>
        <v/>
      </c>
      <c r="L99" s="52">
        <f>L98*L21</f>
        <v/>
      </c>
      <c r="M99" s="52">
        <f>M98*M21</f>
        <v/>
      </c>
      <c r="N99" s="52">
        <f>N98*N21</f>
        <v/>
      </c>
      <c r="O99" s="52">
        <f>O98*O21</f>
        <v/>
      </c>
      <c r="P99" s="52">
        <f>P98*P21</f>
        <v/>
      </c>
      <c r="Q99" s="52">
        <f>Q98*Q21</f>
        <v/>
      </c>
      <c r="R99" s="52">
        <f>R98*R21</f>
        <v/>
      </c>
      <c r="S99" s="52">
        <f>S98*S21</f>
        <v/>
      </c>
      <c r="T99" s="52">
        <f>T98*T21</f>
        <v/>
      </c>
      <c r="U99" s="52">
        <f>U98*U21</f>
        <v/>
      </c>
      <c r="V99" s="52">
        <f>V98*V21</f>
        <v/>
      </c>
      <c r="W99" s="52">
        <f>W98*W21</f>
        <v/>
      </c>
      <c r="X99" s="52">
        <f>X98*X21</f>
        <v/>
      </c>
      <c r="Y99" s="52">
        <f>Y98*Y21</f>
        <v/>
      </c>
      <c r="Z99" s="52">
        <f>Z98*Z21</f>
        <v/>
      </c>
      <c r="AA99" s="52">
        <f>AA98*AA21</f>
        <v/>
      </c>
      <c r="AB99" s="52">
        <f>AB98*AB21</f>
        <v/>
      </c>
      <c r="AC99" s="52">
        <f>AC98*AC21</f>
        <v/>
      </c>
      <c r="AD99" s="52">
        <f>AD98*AD21</f>
        <v/>
      </c>
      <c r="AE99" s="52">
        <f>AE98*AE21</f>
        <v/>
      </c>
      <c r="AF99" s="52">
        <f>AF98*AF21</f>
        <v/>
      </c>
      <c r="AG99" s="52">
        <f>AG98*AG21</f>
        <v/>
      </c>
      <c r="AH99" s="52">
        <f>AH98*AH21</f>
        <v/>
      </c>
      <c r="AI99" s="52">
        <f>AI98*AI21</f>
        <v/>
      </c>
      <c r="AJ99" s="52">
        <f>AJ98*AJ21</f>
        <v/>
      </c>
      <c r="AK99" s="52">
        <f>AK98*AK21</f>
        <v/>
      </c>
      <c r="AL99" s="52">
        <f>AL98*AL21</f>
        <v/>
      </c>
      <c r="AM99" s="52">
        <f>AM98*AM21</f>
        <v/>
      </c>
      <c r="AN99" s="52">
        <f>AN98*AN21</f>
        <v/>
      </c>
      <c r="AO99" s="52">
        <f>AO98*AO21</f>
        <v/>
      </c>
      <c r="AP99" s="52">
        <f>AP98*AP21</f>
        <v/>
      </c>
      <c r="AQ99" s="52">
        <f>AQ98*AQ21</f>
        <v/>
      </c>
      <c r="AR99" s="52">
        <f>AR98*AR21</f>
        <v/>
      </c>
      <c r="AS99" s="52">
        <f>AS98*AS21</f>
        <v/>
      </c>
      <c r="AT99" s="52">
        <f>AT98*AT21</f>
        <v/>
      </c>
      <c r="AU99" s="52">
        <f>AU98*AU21</f>
        <v/>
      </c>
      <c r="AV99" s="52">
        <f>AV98*AV21</f>
        <v/>
      </c>
    </row>
    <row r="100">
      <c r="B100" s="7" t="inlineStr">
        <is>
          <t>Platform cost per student per year (incl. unreclaimed GST)</t>
        </is>
      </c>
      <c r="C100" s="5" t="inlineStr">
        <is>
          <t>₹/student/yr</t>
        </is>
      </c>
      <c r="D100" s="50">
        <f>(D88+D89)/D21</f>
        <v/>
      </c>
      <c r="E100" s="50">
        <f>(E88+E89)/E21</f>
        <v/>
      </c>
      <c r="F100" s="50">
        <f>(F88+F89)/F21</f>
        <v/>
      </c>
      <c r="G100" s="50">
        <f>(G88+G89)/G21</f>
        <v/>
      </c>
      <c r="H100" s="50">
        <f>(H88+H89)/H21</f>
        <v/>
      </c>
      <c r="I100" s="50">
        <f>(I88+I89)/I21</f>
        <v/>
      </c>
      <c r="J100" s="50">
        <f>(J88+J89)/J21</f>
        <v/>
      </c>
      <c r="K100" s="50">
        <f>(K88+K89)/K21</f>
        <v/>
      </c>
      <c r="L100" s="50">
        <f>(L88+L89)/L21</f>
        <v/>
      </c>
      <c r="M100" s="50">
        <f>(M88+M89)/M21</f>
        <v/>
      </c>
      <c r="N100" s="50">
        <f>(N88+N89)/N21</f>
        <v/>
      </c>
      <c r="O100" s="50">
        <f>(O88+O89)/O21</f>
        <v/>
      </c>
      <c r="P100" s="50">
        <f>(P88+P89)/P21</f>
        <v/>
      </c>
      <c r="Q100" s="50">
        <f>(Q88+Q89)/Q21</f>
        <v/>
      </c>
      <c r="R100" s="50">
        <f>(R88+R89)/R21</f>
        <v/>
      </c>
      <c r="S100" s="50">
        <f>(S88+S89)/S21</f>
        <v/>
      </c>
      <c r="T100" s="50">
        <f>(T88+T89)/T21</f>
        <v/>
      </c>
      <c r="U100" s="50">
        <f>(U88+U89)/U21</f>
        <v/>
      </c>
      <c r="V100" s="50">
        <f>(V88+V89)/V21</f>
        <v/>
      </c>
      <c r="W100" s="50">
        <f>(W88+W89)/W21</f>
        <v/>
      </c>
      <c r="X100" s="50">
        <f>(X88+X89)/X21</f>
        <v/>
      </c>
      <c r="Y100" s="50">
        <f>(Y88+Y89)/Y21</f>
        <v/>
      </c>
      <c r="Z100" s="50">
        <f>(Z88+Z89)/Z21</f>
        <v/>
      </c>
      <c r="AA100" s="50">
        <f>(AA88+AA89)/AA21</f>
        <v/>
      </c>
      <c r="AB100" s="50">
        <f>(AB88+AB89)/AB21</f>
        <v/>
      </c>
      <c r="AC100" s="50">
        <f>(AC88+AC89)/AC21</f>
        <v/>
      </c>
      <c r="AD100" s="50">
        <f>(AD88+AD89)/AD21</f>
        <v/>
      </c>
      <c r="AE100" s="50">
        <f>(AE88+AE89)/AE21</f>
        <v/>
      </c>
      <c r="AF100" s="50">
        <f>(AF88+AF89)/AF21</f>
        <v/>
      </c>
      <c r="AG100" s="50">
        <f>(AG88+AG89)/AG21</f>
        <v/>
      </c>
      <c r="AH100" s="50">
        <f>(AH88+AH89)/AH21</f>
        <v/>
      </c>
      <c r="AI100" s="50">
        <f>(AI88+AI89)/AI21</f>
        <v/>
      </c>
      <c r="AJ100" s="50">
        <f>(AJ88+AJ89)/AJ21</f>
        <v/>
      </c>
      <c r="AK100" s="50">
        <f>(AK88+AK89)/AK21</f>
        <v/>
      </c>
      <c r="AL100" s="50">
        <f>(AL88+AL89)/AL21</f>
        <v/>
      </c>
      <c r="AM100" s="50">
        <f>(AM88+AM89)/AM21</f>
        <v/>
      </c>
      <c r="AN100" s="50">
        <f>(AN88+AN89)/AN21</f>
        <v/>
      </c>
      <c r="AO100" s="50">
        <f>(AO88+AO89)/AO21</f>
        <v/>
      </c>
      <c r="AP100" s="50">
        <f>(AP88+AP89)/AP21</f>
        <v/>
      </c>
      <c r="AQ100" s="50">
        <f>(AQ88+AQ89)/AQ21</f>
        <v/>
      </c>
      <c r="AR100" s="50">
        <f>(AR88+AR89)/AR21</f>
        <v/>
      </c>
      <c r="AS100" s="50">
        <f>(AS88+AS89)/AS21</f>
        <v/>
      </c>
      <c r="AT100" s="50">
        <f>(AT88+AT89)/AT21</f>
        <v/>
      </c>
      <c r="AU100" s="50">
        <f>(AU88+AU89)/AU21</f>
        <v/>
      </c>
      <c r="AV100" s="50">
        <f>(AV88+AV89)/AV21</f>
        <v/>
      </c>
    </row>
    <row r="101">
      <c r="B101" s="7" t="inlineStr">
        <is>
          <t>Platform cost as % of the student's fee</t>
        </is>
      </c>
      <c r="C101" s="5" t="inlineStr">
        <is>
          <t>%</t>
        </is>
      </c>
      <c r="D101" s="38">
        <f>D100/D29</f>
        <v/>
      </c>
      <c r="E101" s="38">
        <f>E100/E29</f>
        <v/>
      </c>
      <c r="F101" s="38">
        <f>F100/F29</f>
        <v/>
      </c>
      <c r="G101" s="38">
        <f>G100/G29</f>
        <v/>
      </c>
      <c r="H101" s="38">
        <f>H100/H29</f>
        <v/>
      </c>
      <c r="I101" s="38">
        <f>I100/I29</f>
        <v/>
      </c>
      <c r="J101" s="38">
        <f>J100/J29</f>
        <v/>
      </c>
      <c r="K101" s="38">
        <f>K100/K29</f>
        <v/>
      </c>
      <c r="L101" s="38">
        <f>L100/L29</f>
        <v/>
      </c>
      <c r="M101" s="38">
        <f>M100/M29</f>
        <v/>
      </c>
      <c r="N101" s="38">
        <f>N100/N29</f>
        <v/>
      </c>
      <c r="O101" s="38">
        <f>O100/O29</f>
        <v/>
      </c>
      <c r="P101" s="38">
        <f>P100/P29</f>
        <v/>
      </c>
      <c r="Q101" s="38">
        <f>Q100/Q29</f>
        <v/>
      </c>
      <c r="R101" s="38">
        <f>R100/R29</f>
        <v/>
      </c>
      <c r="S101" s="38">
        <f>S100/S29</f>
        <v/>
      </c>
      <c r="T101" s="38">
        <f>T100/T29</f>
        <v/>
      </c>
      <c r="U101" s="38">
        <f>U100/U29</f>
        <v/>
      </c>
      <c r="V101" s="38">
        <f>V100/V29</f>
        <v/>
      </c>
      <c r="W101" s="38">
        <f>W100/W29</f>
        <v/>
      </c>
      <c r="X101" s="38">
        <f>X100/X29</f>
        <v/>
      </c>
      <c r="Y101" s="38">
        <f>Y100/Y29</f>
        <v/>
      </c>
      <c r="Z101" s="38">
        <f>Z100/Z29</f>
        <v/>
      </c>
      <c r="AA101" s="38">
        <f>AA100/AA29</f>
        <v/>
      </c>
      <c r="AB101" s="38">
        <f>AB100/AB29</f>
        <v/>
      </c>
      <c r="AC101" s="38">
        <f>AC100/AC29</f>
        <v/>
      </c>
      <c r="AD101" s="38">
        <f>AD100/AD29</f>
        <v/>
      </c>
      <c r="AE101" s="38">
        <f>AE100/AE29</f>
        <v/>
      </c>
      <c r="AF101" s="38">
        <f>AF100/AF29</f>
        <v/>
      </c>
      <c r="AG101" s="38">
        <f>AG100/AG29</f>
        <v/>
      </c>
      <c r="AH101" s="38">
        <f>AH100/AH29</f>
        <v/>
      </c>
      <c r="AI101" s="38">
        <f>AI100/AI29</f>
        <v/>
      </c>
      <c r="AJ101" s="38">
        <f>AJ100/AJ29</f>
        <v/>
      </c>
      <c r="AK101" s="38">
        <f>AK100/AK29</f>
        <v/>
      </c>
      <c r="AL101" s="38">
        <f>AL100/AL29</f>
        <v/>
      </c>
      <c r="AM101" s="38">
        <f>AM100/AM29</f>
        <v/>
      </c>
      <c r="AN101" s="38">
        <f>AN100/AN29</f>
        <v/>
      </c>
      <c r="AO101" s="38">
        <f>AO100/AO29</f>
        <v/>
      </c>
      <c r="AP101" s="38">
        <f>AP100/AP29</f>
        <v/>
      </c>
      <c r="AQ101" s="38">
        <f>AQ100/AQ29</f>
        <v/>
      </c>
      <c r="AR101" s="38">
        <f>AR100/AR29</f>
        <v/>
      </c>
      <c r="AS101" s="38">
        <f>AS100/AS29</f>
        <v/>
      </c>
      <c r="AT101" s="38">
        <f>AT100/AT29</f>
        <v/>
      </c>
      <c r="AU101" s="38">
        <f>AU100/AU29</f>
        <v/>
      </c>
      <c r="AV101" s="38">
        <f>AV100/AV29</f>
        <v/>
      </c>
    </row>
    <row r="102">
      <c r="B102" s="7" t="inlineStr">
        <is>
          <t>Collected revenue, first 12 paid months (ex-GST, after bad debt)</t>
        </is>
      </c>
      <c r="C102" s="5" t="inlineStr">
        <is>
          <t>₹/yr</t>
        </is>
      </c>
      <c r="D102" s="50">
        <f>SUM(D121:D132)</f>
        <v/>
      </c>
      <c r="E102" s="50">
        <f>SUM(E121:E132)</f>
        <v/>
      </c>
      <c r="F102" s="50">
        <f>SUM(F121:F132)</f>
        <v/>
      </c>
      <c r="G102" s="50">
        <f>SUM(G121:G132)</f>
        <v/>
      </c>
      <c r="H102" s="50">
        <f>SUM(H121:H132)</f>
        <v/>
      </c>
      <c r="I102" s="50">
        <f>SUM(I121:I132)</f>
        <v/>
      </c>
      <c r="J102" s="50">
        <f>SUM(J121:J132)</f>
        <v/>
      </c>
      <c r="K102" s="50">
        <f>SUM(K121:K132)</f>
        <v/>
      </c>
      <c r="L102" s="50">
        <f>SUM(L121:L132)</f>
        <v/>
      </c>
      <c r="M102" s="50">
        <f>SUM(M121:M132)</f>
        <v/>
      </c>
      <c r="N102" s="50">
        <f>SUM(N121:N132)</f>
        <v/>
      </c>
      <c r="O102" s="50">
        <f>SUM(O121:O132)</f>
        <v/>
      </c>
      <c r="P102" s="50">
        <f>SUM(P121:P132)</f>
        <v/>
      </c>
      <c r="Q102" s="50">
        <f>SUM(Q121:Q132)</f>
        <v/>
      </c>
      <c r="R102" s="50">
        <f>SUM(R121:R132)</f>
        <v/>
      </c>
      <c r="S102" s="50">
        <f>SUM(S121:S132)</f>
        <v/>
      </c>
      <c r="T102" s="50">
        <f>SUM(T121:T132)</f>
        <v/>
      </c>
      <c r="U102" s="50">
        <f>SUM(U121:U132)</f>
        <v/>
      </c>
      <c r="V102" s="50">
        <f>SUM(V121:V132)</f>
        <v/>
      </c>
      <c r="W102" s="50">
        <f>SUM(W121:W132)</f>
        <v/>
      </c>
      <c r="X102" s="50">
        <f>SUM(X121:X132)</f>
        <v/>
      </c>
      <c r="Y102" s="50">
        <f>SUM(Y121:Y132)</f>
        <v/>
      </c>
      <c r="Z102" s="50">
        <f>SUM(Z121:Z132)</f>
        <v/>
      </c>
      <c r="AA102" s="50">
        <f>SUM(AA121:AA132)</f>
        <v/>
      </c>
      <c r="AB102" s="50">
        <f>SUM(AB121:AB132)</f>
        <v/>
      </c>
      <c r="AC102" s="50">
        <f>SUM(AC121:AC132)</f>
        <v/>
      </c>
      <c r="AD102" s="50">
        <f>SUM(AD121:AD132)</f>
        <v/>
      </c>
      <c r="AE102" s="50">
        <f>SUM(AE121:AE132)</f>
        <v/>
      </c>
      <c r="AF102" s="50">
        <f>SUM(AF121:AF132)</f>
        <v/>
      </c>
      <c r="AG102" s="50">
        <f>SUM(AG121:AG132)</f>
        <v/>
      </c>
      <c r="AH102" s="50">
        <f>SUM(AH121:AH132)</f>
        <v/>
      </c>
      <c r="AI102" s="50">
        <f>SUM(AI121:AI132)</f>
        <v/>
      </c>
      <c r="AJ102" s="50">
        <f>SUM(AJ121:AJ132)</f>
        <v/>
      </c>
      <c r="AK102" s="50">
        <f>SUM(AK121:AK132)</f>
        <v/>
      </c>
      <c r="AL102" s="50">
        <f>SUM(AL121:AL132)</f>
        <v/>
      </c>
      <c r="AM102" s="50">
        <f>SUM(AM121:AM132)</f>
        <v/>
      </c>
      <c r="AN102" s="50">
        <f>SUM(AN121:AN132)</f>
        <v/>
      </c>
      <c r="AO102" s="50">
        <f>SUM(AO121:AO132)</f>
        <v/>
      </c>
      <c r="AP102" s="50">
        <f>SUM(AP121:AP132)</f>
        <v/>
      </c>
      <c r="AQ102" s="50">
        <f>SUM(AQ121:AQ132)</f>
        <v/>
      </c>
      <c r="AR102" s="50">
        <f>SUM(AR121:AR132)</f>
        <v/>
      </c>
      <c r="AS102" s="50">
        <f>SUM(AS121:AS132)</f>
        <v/>
      </c>
      <c r="AT102" s="50">
        <f>SUM(AT121:AT132)</f>
        <v/>
      </c>
      <c r="AU102" s="50">
        <f>SUM(AU121:AU132)</f>
        <v/>
      </c>
      <c r="AV102" s="50">
        <f>SUM(AV121:AV132)</f>
        <v/>
      </c>
    </row>
    <row r="103">
      <c r="B103" s="7" t="inlineStr">
        <is>
          <t>Average monthly revenue</t>
        </is>
      </c>
      <c r="C103" s="5" t="inlineStr">
        <is>
          <t>₹/month</t>
        </is>
      </c>
      <c r="D103" s="50">
        <f>D102/12</f>
        <v/>
      </c>
      <c r="E103" s="50">
        <f>E102/12</f>
        <v/>
      </c>
      <c r="F103" s="50">
        <f>F102/12</f>
        <v/>
      </c>
      <c r="G103" s="50">
        <f>G102/12</f>
        <v/>
      </c>
      <c r="H103" s="50">
        <f>H102/12</f>
        <v/>
      </c>
      <c r="I103" s="50">
        <f>I102/12</f>
        <v/>
      </c>
      <c r="J103" s="50">
        <f>J102/12</f>
        <v/>
      </c>
      <c r="K103" s="50">
        <f>K102/12</f>
        <v/>
      </c>
      <c r="L103" s="50">
        <f>L102/12</f>
        <v/>
      </c>
      <c r="M103" s="50">
        <f>M102/12</f>
        <v/>
      </c>
      <c r="N103" s="50">
        <f>N102/12</f>
        <v/>
      </c>
      <c r="O103" s="50">
        <f>O102/12</f>
        <v/>
      </c>
      <c r="P103" s="50">
        <f>P102/12</f>
        <v/>
      </c>
      <c r="Q103" s="50">
        <f>Q102/12</f>
        <v/>
      </c>
      <c r="R103" s="50">
        <f>R102/12</f>
        <v/>
      </c>
      <c r="S103" s="50">
        <f>S102/12</f>
        <v/>
      </c>
      <c r="T103" s="50">
        <f>T102/12</f>
        <v/>
      </c>
      <c r="U103" s="50">
        <f>U102/12</f>
        <v/>
      </c>
      <c r="V103" s="50">
        <f>V102/12</f>
        <v/>
      </c>
      <c r="W103" s="50">
        <f>W102/12</f>
        <v/>
      </c>
      <c r="X103" s="50">
        <f>X102/12</f>
        <v/>
      </c>
      <c r="Y103" s="50">
        <f>Y102/12</f>
        <v/>
      </c>
      <c r="Z103" s="50">
        <f>Z102/12</f>
        <v/>
      </c>
      <c r="AA103" s="50">
        <f>AA102/12</f>
        <v/>
      </c>
      <c r="AB103" s="50">
        <f>AB102/12</f>
        <v/>
      </c>
      <c r="AC103" s="50">
        <f>AC102/12</f>
        <v/>
      </c>
      <c r="AD103" s="50">
        <f>AD102/12</f>
        <v/>
      </c>
      <c r="AE103" s="50">
        <f>AE102/12</f>
        <v/>
      </c>
      <c r="AF103" s="50">
        <f>AF102/12</f>
        <v/>
      </c>
      <c r="AG103" s="50">
        <f>AG102/12</f>
        <v/>
      </c>
      <c r="AH103" s="50">
        <f>AH102/12</f>
        <v/>
      </c>
      <c r="AI103" s="50">
        <f>AI102/12</f>
        <v/>
      </c>
      <c r="AJ103" s="50">
        <f>AJ102/12</f>
        <v/>
      </c>
      <c r="AK103" s="50">
        <f>AK102/12</f>
        <v/>
      </c>
      <c r="AL103" s="50">
        <f>AL102/12</f>
        <v/>
      </c>
      <c r="AM103" s="50">
        <f>AM102/12</f>
        <v/>
      </c>
      <c r="AN103" s="50">
        <f>AN102/12</f>
        <v/>
      </c>
      <c r="AO103" s="50">
        <f>AO102/12</f>
        <v/>
      </c>
      <c r="AP103" s="50">
        <f>AP102/12</f>
        <v/>
      </c>
      <c r="AQ103" s="50">
        <f>AQ102/12</f>
        <v/>
      </c>
      <c r="AR103" s="50">
        <f>AR102/12</f>
        <v/>
      </c>
      <c r="AS103" s="50">
        <f>AS102/12</f>
        <v/>
      </c>
      <c r="AT103" s="50">
        <f>AT102/12</f>
        <v/>
      </c>
      <c r="AU103" s="50">
        <f>AU102/12</f>
        <v/>
      </c>
      <c r="AV103" s="50">
        <f>AV102/12</f>
        <v/>
      </c>
    </row>
    <row r="104">
      <c r="B104" s="7" t="inlineStr">
        <is>
          <t>COGS, first 12 months (students × seasonality × COGS + fixed + gateway)</t>
        </is>
      </c>
      <c r="C104" s="5" t="inlineStr">
        <is>
          <t>₹/yr</t>
        </is>
      </c>
      <c r="D104" s="48">
        <f>D21*D68*SUM(Seasonality!$C$37:$C$48)+12*D70+D49*D102</f>
        <v/>
      </c>
      <c r="E104" s="48">
        <f>E21*E68*SUM(Seasonality!$C$37:$C$48)+12*E70+E49*E102</f>
        <v/>
      </c>
      <c r="F104" s="48">
        <f>F21*F68*SUM(Seasonality!$C$37:$C$48)+12*F70+F49*F102</f>
        <v/>
      </c>
      <c r="G104" s="48">
        <f>G21*G68*SUM(Seasonality!$C$37:$C$48)+12*G70+G49*G102</f>
        <v/>
      </c>
      <c r="H104" s="48">
        <f>H21*H68*SUM(Seasonality!$C$37:$C$48)+12*H70+H49*H102</f>
        <v/>
      </c>
      <c r="I104" s="48">
        <f>I21*I68*SUM(Seasonality!$C$37:$C$48)+12*I70+I49*I102</f>
        <v/>
      </c>
      <c r="J104" s="48">
        <f>J21*J68*SUM(Seasonality!$C$37:$C$48)+12*J70+J49*J102</f>
        <v/>
      </c>
      <c r="K104" s="48">
        <f>K21*K68*SUM(Seasonality!$C$37:$C$48)+12*K70+K49*K102</f>
        <v/>
      </c>
      <c r="L104" s="48">
        <f>L21*L68*SUM(Seasonality!$C$37:$C$48)+12*L70+L49*L102</f>
        <v/>
      </c>
      <c r="M104" s="48">
        <f>M21*M68*SUM(Seasonality!$C$37:$C$48)+12*M70+M49*M102</f>
        <v/>
      </c>
      <c r="N104" s="48">
        <f>N21*N68*SUM(Seasonality!$C$37:$C$48)+12*N70+N49*N102</f>
        <v/>
      </c>
      <c r="O104" s="48">
        <f>O21*O68*SUM(Seasonality!$C$37:$C$48)+12*O70+O49*O102</f>
        <v/>
      </c>
      <c r="P104" s="48">
        <f>P21*P68*SUM(Seasonality!$C$37:$C$48)+12*P70+P49*P102</f>
        <v/>
      </c>
      <c r="Q104" s="48">
        <f>Q21*Q68*SUM(Seasonality!$C$37:$C$48)+12*Q70+Q49*Q102</f>
        <v/>
      </c>
      <c r="R104" s="48">
        <f>R21*R68*SUM(Seasonality!$C$37:$C$48)+12*R70+R49*R102</f>
        <v/>
      </c>
      <c r="S104" s="48">
        <f>S21*S68*SUM(Seasonality!$C$37:$C$48)+12*S70+S49*S102</f>
        <v/>
      </c>
      <c r="T104" s="48">
        <f>T21*T68*SUM(Seasonality!$C$37:$C$48)+12*T70+T49*T102</f>
        <v/>
      </c>
      <c r="U104" s="48">
        <f>U21*U68*SUM(Seasonality!$C$37:$C$48)+12*U70+U49*U102</f>
        <v/>
      </c>
      <c r="V104" s="48">
        <f>V21*V68*SUM(Seasonality!$C$37:$C$48)+12*V70+V49*V102</f>
        <v/>
      </c>
      <c r="W104" s="48">
        <f>W21*W68*SUM(Seasonality!$C$37:$C$48)+12*W70+W49*W102</f>
        <v/>
      </c>
      <c r="X104" s="48">
        <f>X21*X68*SUM(Seasonality!$C$37:$C$48)+12*X70+X49*X102</f>
        <v/>
      </c>
      <c r="Y104" s="48">
        <f>Y21*Y68*SUM(Seasonality!$C$37:$C$48)+12*Y70+Y49*Y102</f>
        <v/>
      </c>
      <c r="Z104" s="48">
        <f>Z21*Z68*SUM(Seasonality!$C$37:$C$48)+12*Z70+Z49*Z102</f>
        <v/>
      </c>
      <c r="AA104" s="48">
        <f>AA21*AA68*SUM(Seasonality!$C$37:$C$48)+12*AA70+AA49*AA102</f>
        <v/>
      </c>
      <c r="AB104" s="48">
        <f>AB21*AB68*SUM(Seasonality!$C$37:$C$48)+12*AB70+AB49*AB102</f>
        <v/>
      </c>
      <c r="AC104" s="48">
        <f>AC21*AC68*SUM(Seasonality!$C$37:$C$48)+12*AC70+AC49*AC102</f>
        <v/>
      </c>
      <c r="AD104" s="48">
        <f>AD21*AD68*SUM(Seasonality!$C$37:$C$48)+12*AD70+AD49*AD102</f>
        <v/>
      </c>
      <c r="AE104" s="48">
        <f>AE21*AE68*SUM(Seasonality!$C$37:$C$48)+12*AE70+AE49*AE102</f>
        <v/>
      </c>
      <c r="AF104" s="48">
        <f>AF21*AF68*SUM(Seasonality!$C$37:$C$48)+12*AF70+AF49*AF102</f>
        <v/>
      </c>
      <c r="AG104" s="48">
        <f>AG21*AG68*SUM(Seasonality!$C$37:$C$48)+12*AG70+AG49*AG102</f>
        <v/>
      </c>
      <c r="AH104" s="48">
        <f>AH21*AH68*SUM(Seasonality!$C$37:$C$48)+12*AH70+AH49*AH102</f>
        <v/>
      </c>
      <c r="AI104" s="48">
        <f>AI21*AI68*SUM(Seasonality!$C$37:$C$48)+12*AI70+AI49*AI102</f>
        <v/>
      </c>
      <c r="AJ104" s="48">
        <f>AJ21*AJ68*SUM(Seasonality!$C$37:$C$48)+12*AJ70+AJ49*AJ102</f>
        <v/>
      </c>
      <c r="AK104" s="48">
        <f>AK21*AK68*SUM(Seasonality!$C$37:$C$48)+12*AK70+AK49*AK102</f>
        <v/>
      </c>
      <c r="AL104" s="48">
        <f>AL21*AL68*SUM(Seasonality!$C$37:$C$48)+12*AL70+AL49*AL102</f>
        <v/>
      </c>
      <c r="AM104" s="48">
        <f>AM21*AM68*SUM(Seasonality!$C$37:$C$48)+12*AM70+AM49*AM102</f>
        <v/>
      </c>
      <c r="AN104" s="48">
        <f>AN21*AN68*SUM(Seasonality!$C$37:$C$48)+12*AN70+AN49*AN102</f>
        <v/>
      </c>
      <c r="AO104" s="48">
        <f>AO21*AO68*SUM(Seasonality!$C$37:$C$48)+12*AO70+AO49*AO102</f>
        <v/>
      </c>
      <c r="AP104" s="48">
        <f>AP21*AP68*SUM(Seasonality!$C$37:$C$48)+12*AP70+AP49*AP102</f>
        <v/>
      </c>
      <c r="AQ104" s="48">
        <f>AQ21*AQ68*SUM(Seasonality!$C$37:$C$48)+12*AQ70+AQ49*AQ102</f>
        <v/>
      </c>
      <c r="AR104" s="48">
        <f>AR21*AR68*SUM(Seasonality!$C$37:$C$48)+12*AR70+AR49*AR102</f>
        <v/>
      </c>
      <c r="AS104" s="48">
        <f>AS21*AS68*SUM(Seasonality!$C$37:$C$48)+12*AS70+AS49*AS102</f>
        <v/>
      </c>
      <c r="AT104" s="48">
        <f>AT21*AT68*SUM(Seasonality!$C$37:$C$48)+12*AT70+AT49*AT102</f>
        <v/>
      </c>
      <c r="AU104" s="48">
        <f>AU21*AU68*SUM(Seasonality!$C$37:$C$48)+12*AU70+AU49*AU102</f>
        <v/>
      </c>
      <c r="AV104" s="48">
        <f>AV21*AV68*SUM(Seasonality!$C$37:$C$48)+12*AV70+AV49*AV102</f>
        <v/>
      </c>
    </row>
    <row r="105">
      <c r="B105" s="7" t="inlineStr">
        <is>
          <t>Gross margin</t>
        </is>
      </c>
      <c r="C105" s="5" t="inlineStr">
        <is>
          <t>%</t>
        </is>
      </c>
      <c r="D105" s="38">
        <f>IF(D102&gt;0,(D102-D104)/D102,0)</f>
        <v/>
      </c>
      <c r="E105" s="38">
        <f>IF(E102&gt;0,(E102-E104)/E102,0)</f>
        <v/>
      </c>
      <c r="F105" s="38">
        <f>IF(F102&gt;0,(F102-F104)/F102,0)</f>
        <v/>
      </c>
      <c r="G105" s="38">
        <f>IF(G102&gt;0,(G102-G104)/G102,0)</f>
        <v/>
      </c>
      <c r="H105" s="38">
        <f>IF(H102&gt;0,(H102-H104)/H102,0)</f>
        <v/>
      </c>
      <c r="I105" s="38">
        <f>IF(I102&gt;0,(I102-I104)/I102,0)</f>
        <v/>
      </c>
      <c r="J105" s="38">
        <f>IF(J102&gt;0,(J102-J104)/J102,0)</f>
        <v/>
      </c>
      <c r="K105" s="38">
        <f>IF(K102&gt;0,(K102-K104)/K102,0)</f>
        <v/>
      </c>
      <c r="L105" s="38">
        <f>IF(L102&gt;0,(L102-L104)/L102,0)</f>
        <v/>
      </c>
      <c r="M105" s="38">
        <f>IF(M102&gt;0,(M102-M104)/M102,0)</f>
        <v/>
      </c>
      <c r="N105" s="38">
        <f>IF(N102&gt;0,(N102-N104)/N102,0)</f>
        <v/>
      </c>
      <c r="O105" s="38">
        <f>IF(O102&gt;0,(O102-O104)/O102,0)</f>
        <v/>
      </c>
      <c r="P105" s="38">
        <f>IF(P102&gt;0,(P102-P104)/P102,0)</f>
        <v/>
      </c>
      <c r="Q105" s="38">
        <f>IF(Q102&gt;0,(Q102-Q104)/Q102,0)</f>
        <v/>
      </c>
      <c r="R105" s="38">
        <f>IF(R102&gt;0,(R102-R104)/R102,0)</f>
        <v/>
      </c>
      <c r="S105" s="38">
        <f>IF(S102&gt;0,(S102-S104)/S102,0)</f>
        <v/>
      </c>
      <c r="T105" s="38">
        <f>IF(T102&gt;0,(T102-T104)/T102,0)</f>
        <v/>
      </c>
      <c r="U105" s="38">
        <f>IF(U102&gt;0,(U102-U104)/U102,0)</f>
        <v/>
      </c>
      <c r="V105" s="38">
        <f>IF(V102&gt;0,(V102-V104)/V102,0)</f>
        <v/>
      </c>
      <c r="W105" s="38">
        <f>IF(W102&gt;0,(W102-W104)/W102,0)</f>
        <v/>
      </c>
      <c r="X105" s="38">
        <f>IF(X102&gt;0,(X102-X104)/X102,0)</f>
        <v/>
      </c>
      <c r="Y105" s="38">
        <f>IF(Y102&gt;0,(Y102-Y104)/Y102,0)</f>
        <v/>
      </c>
      <c r="Z105" s="38">
        <f>IF(Z102&gt;0,(Z102-Z104)/Z102,0)</f>
        <v/>
      </c>
      <c r="AA105" s="38">
        <f>IF(AA102&gt;0,(AA102-AA104)/AA102,0)</f>
        <v/>
      </c>
      <c r="AB105" s="38">
        <f>IF(AB102&gt;0,(AB102-AB104)/AB102,0)</f>
        <v/>
      </c>
      <c r="AC105" s="38">
        <f>IF(AC102&gt;0,(AC102-AC104)/AC102,0)</f>
        <v/>
      </c>
      <c r="AD105" s="38">
        <f>IF(AD102&gt;0,(AD102-AD104)/AD102,0)</f>
        <v/>
      </c>
      <c r="AE105" s="38">
        <f>IF(AE102&gt;0,(AE102-AE104)/AE102,0)</f>
        <v/>
      </c>
      <c r="AF105" s="38">
        <f>IF(AF102&gt;0,(AF102-AF104)/AF102,0)</f>
        <v/>
      </c>
      <c r="AG105" s="38">
        <f>IF(AG102&gt;0,(AG102-AG104)/AG102,0)</f>
        <v/>
      </c>
      <c r="AH105" s="38">
        <f>IF(AH102&gt;0,(AH102-AH104)/AH102,0)</f>
        <v/>
      </c>
      <c r="AI105" s="38">
        <f>IF(AI102&gt;0,(AI102-AI104)/AI102,0)</f>
        <v/>
      </c>
      <c r="AJ105" s="38">
        <f>IF(AJ102&gt;0,(AJ102-AJ104)/AJ102,0)</f>
        <v/>
      </c>
      <c r="AK105" s="38">
        <f>IF(AK102&gt;0,(AK102-AK104)/AK102,0)</f>
        <v/>
      </c>
      <c r="AL105" s="38">
        <f>IF(AL102&gt;0,(AL102-AL104)/AL102,0)</f>
        <v/>
      </c>
      <c r="AM105" s="38">
        <f>IF(AM102&gt;0,(AM102-AM104)/AM102,0)</f>
        <v/>
      </c>
      <c r="AN105" s="38">
        <f>IF(AN102&gt;0,(AN102-AN104)/AN102,0)</f>
        <v/>
      </c>
      <c r="AO105" s="38">
        <f>IF(AO102&gt;0,(AO102-AO104)/AO102,0)</f>
        <v/>
      </c>
      <c r="AP105" s="38">
        <f>IF(AP102&gt;0,(AP102-AP104)/AP102,0)</f>
        <v/>
      </c>
      <c r="AQ105" s="38">
        <f>IF(AQ102&gt;0,(AQ102-AQ104)/AQ102,0)</f>
        <v/>
      </c>
      <c r="AR105" s="38">
        <f>IF(AR102&gt;0,(AR102-AR104)/AR102,0)</f>
        <v/>
      </c>
      <c r="AS105" s="38">
        <f>IF(AS102&gt;0,(AS102-AS104)/AS102,0)</f>
        <v/>
      </c>
      <c r="AT105" s="38">
        <f>IF(AT102&gt;0,(AT102-AT104)/AT102,0)</f>
        <v/>
      </c>
      <c r="AU105" s="38">
        <f>IF(AU102&gt;0,(AU102-AU104)/AU102,0)</f>
        <v/>
      </c>
      <c r="AV105" s="38">
        <f>IF(AV102&gt;0,(AV102-AV104)/AV102,0)</f>
        <v/>
      </c>
    </row>
    <row r="106">
      <c r="B106" s="7" t="inlineStr">
        <is>
          <t>Customer-success cost per institute</t>
        </is>
      </c>
      <c r="C106" s="5" t="inlineStr">
        <is>
          <t>₹/month</t>
        </is>
      </c>
      <c r="D106" s="48">
        <f>D52/D53</f>
        <v/>
      </c>
      <c r="E106" s="48">
        <f>E52/E53</f>
        <v/>
      </c>
      <c r="F106" s="48">
        <f>F52/F53</f>
        <v/>
      </c>
      <c r="G106" s="48">
        <f>G52/G53</f>
        <v/>
      </c>
      <c r="H106" s="48">
        <f>H52/H53</f>
        <v/>
      </c>
      <c r="I106" s="48">
        <f>I52/I53</f>
        <v/>
      </c>
      <c r="J106" s="48">
        <f>J52/J53</f>
        <v/>
      </c>
      <c r="K106" s="48">
        <f>K52/K53</f>
        <v/>
      </c>
      <c r="L106" s="48">
        <f>L52/L53</f>
        <v/>
      </c>
      <c r="M106" s="48">
        <f>M52/M53</f>
        <v/>
      </c>
      <c r="N106" s="48">
        <f>N52/N53</f>
        <v/>
      </c>
      <c r="O106" s="48">
        <f>O52/O53</f>
        <v/>
      </c>
      <c r="P106" s="48">
        <f>P52/P53</f>
        <v/>
      </c>
      <c r="Q106" s="48">
        <f>Q52/Q53</f>
        <v/>
      </c>
      <c r="R106" s="48">
        <f>R52/R53</f>
        <v/>
      </c>
      <c r="S106" s="48">
        <f>S52/S53</f>
        <v/>
      </c>
      <c r="T106" s="48">
        <f>T52/T53</f>
        <v/>
      </c>
      <c r="U106" s="48">
        <f>U52/U53</f>
        <v/>
      </c>
      <c r="V106" s="48">
        <f>V52/V53</f>
        <v/>
      </c>
      <c r="W106" s="48">
        <f>W52/W53</f>
        <v/>
      </c>
      <c r="X106" s="48">
        <f>X52/X53</f>
        <v/>
      </c>
      <c r="Y106" s="48">
        <f>Y52/Y53</f>
        <v/>
      </c>
      <c r="Z106" s="48">
        <f>Z52/Z53</f>
        <v/>
      </c>
      <c r="AA106" s="48">
        <f>AA52/AA53</f>
        <v/>
      </c>
      <c r="AB106" s="48">
        <f>AB52/AB53</f>
        <v/>
      </c>
      <c r="AC106" s="48">
        <f>AC52/AC53</f>
        <v/>
      </c>
      <c r="AD106" s="48">
        <f>AD52/AD53</f>
        <v/>
      </c>
      <c r="AE106" s="48">
        <f>AE52/AE53</f>
        <v/>
      </c>
      <c r="AF106" s="48">
        <f>AF52/AF53</f>
        <v/>
      </c>
      <c r="AG106" s="48">
        <f>AG52/AG53</f>
        <v/>
      </c>
      <c r="AH106" s="48">
        <f>AH52/AH53</f>
        <v/>
      </c>
      <c r="AI106" s="48">
        <f>AI52/AI53</f>
        <v/>
      </c>
      <c r="AJ106" s="48">
        <f>AJ52/AJ53</f>
        <v/>
      </c>
      <c r="AK106" s="48">
        <f>AK52/AK53</f>
        <v/>
      </c>
      <c r="AL106" s="48">
        <f>AL52/AL53</f>
        <v/>
      </c>
      <c r="AM106" s="48">
        <f>AM52/AM53</f>
        <v/>
      </c>
      <c r="AN106" s="48">
        <f>AN52/AN53</f>
        <v/>
      </c>
      <c r="AO106" s="48">
        <f>AO52/AO53</f>
        <v/>
      </c>
      <c r="AP106" s="48">
        <f>AP52/AP53</f>
        <v/>
      </c>
      <c r="AQ106" s="48">
        <f>AQ52/AQ53</f>
        <v/>
      </c>
      <c r="AR106" s="48">
        <f>AR52/AR53</f>
        <v/>
      </c>
      <c r="AS106" s="48">
        <f>AS52/AS53</f>
        <v/>
      </c>
      <c r="AT106" s="48">
        <f>AT52/AT53</f>
        <v/>
      </c>
      <c r="AU106" s="48">
        <f>AU52/AU53</f>
        <v/>
      </c>
      <c r="AV106" s="48">
        <f>AV52/AV53</f>
        <v/>
      </c>
    </row>
    <row r="107">
      <c r="B107" s="7" t="inlineStr">
        <is>
          <t>Average monthly contribution (after COGS + support)</t>
        </is>
      </c>
      <c r="C107" s="5" t="inlineStr">
        <is>
          <t>₹/month</t>
        </is>
      </c>
      <c r="D107" s="50">
        <f>SUM(D181:D192)/12</f>
        <v/>
      </c>
      <c r="E107" s="50">
        <f>SUM(E181:E192)/12</f>
        <v/>
      </c>
      <c r="F107" s="50">
        <f>SUM(F181:F192)/12</f>
        <v/>
      </c>
      <c r="G107" s="50">
        <f>SUM(G181:G192)/12</f>
        <v/>
      </c>
      <c r="H107" s="50">
        <f>SUM(H181:H192)/12</f>
        <v/>
      </c>
      <c r="I107" s="50">
        <f>SUM(I181:I192)/12</f>
        <v/>
      </c>
      <c r="J107" s="50">
        <f>SUM(J181:J192)/12</f>
        <v/>
      </c>
      <c r="K107" s="50">
        <f>SUM(K181:K192)/12</f>
        <v/>
      </c>
      <c r="L107" s="50">
        <f>SUM(L181:L192)/12</f>
        <v/>
      </c>
      <c r="M107" s="50">
        <f>SUM(M181:M192)/12</f>
        <v/>
      </c>
      <c r="N107" s="50">
        <f>SUM(N181:N192)/12</f>
        <v/>
      </c>
      <c r="O107" s="50">
        <f>SUM(O181:O192)/12</f>
        <v/>
      </c>
      <c r="P107" s="50">
        <f>SUM(P181:P192)/12</f>
        <v/>
      </c>
      <c r="Q107" s="50">
        <f>SUM(Q181:Q192)/12</f>
        <v/>
      </c>
      <c r="R107" s="50">
        <f>SUM(R181:R192)/12</f>
        <v/>
      </c>
      <c r="S107" s="50">
        <f>SUM(S181:S192)/12</f>
        <v/>
      </c>
      <c r="T107" s="50">
        <f>SUM(T181:T192)/12</f>
        <v/>
      </c>
      <c r="U107" s="50">
        <f>SUM(U181:U192)/12</f>
        <v/>
      </c>
      <c r="V107" s="50">
        <f>SUM(V181:V192)/12</f>
        <v/>
      </c>
      <c r="W107" s="50">
        <f>SUM(W181:W192)/12</f>
        <v/>
      </c>
      <c r="X107" s="50">
        <f>SUM(X181:X192)/12</f>
        <v/>
      </c>
      <c r="Y107" s="50">
        <f>SUM(Y181:Y192)/12</f>
        <v/>
      </c>
      <c r="Z107" s="50">
        <f>SUM(Z181:Z192)/12</f>
        <v/>
      </c>
      <c r="AA107" s="50">
        <f>SUM(AA181:AA192)/12</f>
        <v/>
      </c>
      <c r="AB107" s="50">
        <f>SUM(AB181:AB192)/12</f>
        <v/>
      </c>
      <c r="AC107" s="50">
        <f>SUM(AC181:AC192)/12</f>
        <v/>
      </c>
      <c r="AD107" s="50">
        <f>SUM(AD181:AD192)/12</f>
        <v/>
      </c>
      <c r="AE107" s="50">
        <f>SUM(AE181:AE192)/12</f>
        <v/>
      </c>
      <c r="AF107" s="50">
        <f>SUM(AF181:AF192)/12</f>
        <v/>
      </c>
      <c r="AG107" s="50">
        <f>SUM(AG181:AG192)/12</f>
        <v/>
      </c>
      <c r="AH107" s="50">
        <f>SUM(AH181:AH192)/12</f>
        <v/>
      </c>
      <c r="AI107" s="50">
        <f>SUM(AI181:AI192)/12</f>
        <v/>
      </c>
      <c r="AJ107" s="50">
        <f>SUM(AJ181:AJ192)/12</f>
        <v/>
      </c>
      <c r="AK107" s="50">
        <f>SUM(AK181:AK192)/12</f>
        <v/>
      </c>
      <c r="AL107" s="50">
        <f>SUM(AL181:AL192)/12</f>
        <v/>
      </c>
      <c r="AM107" s="50">
        <f>SUM(AM181:AM192)/12</f>
        <v/>
      </c>
      <c r="AN107" s="50">
        <f>SUM(AN181:AN192)/12</f>
        <v/>
      </c>
      <c r="AO107" s="50">
        <f>SUM(AO181:AO192)/12</f>
        <v/>
      </c>
      <c r="AP107" s="50">
        <f>SUM(AP181:AP192)/12</f>
        <v/>
      </c>
      <c r="AQ107" s="50">
        <f>SUM(AQ181:AQ192)/12</f>
        <v/>
      </c>
      <c r="AR107" s="50">
        <f>SUM(AR181:AR192)/12</f>
        <v/>
      </c>
      <c r="AS107" s="50">
        <f>SUM(AS181:AS192)/12</f>
        <v/>
      </c>
      <c r="AT107" s="50">
        <f>SUM(AT181:AT192)/12</f>
        <v/>
      </c>
      <c r="AU107" s="50">
        <f>SUM(AU181:AU192)/12</f>
        <v/>
      </c>
      <c r="AV107" s="50">
        <f>SUM(AV181:AV192)/12</f>
        <v/>
      </c>
    </row>
    <row r="108">
      <c r="B108" s="7" t="inlineStr">
        <is>
          <t>Contribution margin</t>
        </is>
      </c>
      <c r="C108" s="5" t="inlineStr">
        <is>
          <t>%</t>
        </is>
      </c>
      <c r="D108" s="38">
        <f>IF(D103&gt;0,D107/D103,0)</f>
        <v/>
      </c>
      <c r="E108" s="38">
        <f>IF(E103&gt;0,E107/E103,0)</f>
        <v/>
      </c>
      <c r="F108" s="38">
        <f>IF(F103&gt;0,F107/F103,0)</f>
        <v/>
      </c>
      <c r="G108" s="38">
        <f>IF(G103&gt;0,G107/G103,0)</f>
        <v/>
      </c>
      <c r="H108" s="38">
        <f>IF(H103&gt;0,H107/H103,0)</f>
        <v/>
      </c>
      <c r="I108" s="38">
        <f>IF(I103&gt;0,I107/I103,0)</f>
        <v/>
      </c>
      <c r="J108" s="38">
        <f>IF(J103&gt;0,J107/J103,0)</f>
        <v/>
      </c>
      <c r="K108" s="38">
        <f>IF(K103&gt;0,K107/K103,0)</f>
        <v/>
      </c>
      <c r="L108" s="38">
        <f>IF(L103&gt;0,L107/L103,0)</f>
        <v/>
      </c>
      <c r="M108" s="38">
        <f>IF(M103&gt;0,M107/M103,0)</f>
        <v/>
      </c>
      <c r="N108" s="38">
        <f>IF(N103&gt;0,N107/N103,0)</f>
        <v/>
      </c>
      <c r="O108" s="38">
        <f>IF(O103&gt;0,O107/O103,0)</f>
        <v/>
      </c>
      <c r="P108" s="38">
        <f>IF(P103&gt;0,P107/P103,0)</f>
        <v/>
      </c>
      <c r="Q108" s="38">
        <f>IF(Q103&gt;0,Q107/Q103,0)</f>
        <v/>
      </c>
      <c r="R108" s="38">
        <f>IF(R103&gt;0,R107/R103,0)</f>
        <v/>
      </c>
      <c r="S108" s="38">
        <f>IF(S103&gt;0,S107/S103,0)</f>
        <v/>
      </c>
      <c r="T108" s="38">
        <f>IF(T103&gt;0,T107/T103,0)</f>
        <v/>
      </c>
      <c r="U108" s="38">
        <f>IF(U103&gt;0,U107/U103,0)</f>
        <v/>
      </c>
      <c r="V108" s="38">
        <f>IF(V103&gt;0,V107/V103,0)</f>
        <v/>
      </c>
      <c r="W108" s="38">
        <f>IF(W103&gt;0,W107/W103,0)</f>
        <v/>
      </c>
      <c r="X108" s="38">
        <f>IF(X103&gt;0,X107/X103,0)</f>
        <v/>
      </c>
      <c r="Y108" s="38">
        <f>IF(Y103&gt;0,Y107/Y103,0)</f>
        <v/>
      </c>
      <c r="Z108" s="38">
        <f>IF(Z103&gt;0,Z107/Z103,0)</f>
        <v/>
      </c>
      <c r="AA108" s="38">
        <f>IF(AA103&gt;0,AA107/AA103,0)</f>
        <v/>
      </c>
      <c r="AB108" s="38">
        <f>IF(AB103&gt;0,AB107/AB103,0)</f>
        <v/>
      </c>
      <c r="AC108" s="38">
        <f>IF(AC103&gt;0,AC107/AC103,0)</f>
        <v/>
      </c>
      <c r="AD108" s="38">
        <f>IF(AD103&gt;0,AD107/AD103,0)</f>
        <v/>
      </c>
      <c r="AE108" s="38">
        <f>IF(AE103&gt;0,AE107/AE103,0)</f>
        <v/>
      </c>
      <c r="AF108" s="38">
        <f>IF(AF103&gt;0,AF107/AF103,0)</f>
        <v/>
      </c>
      <c r="AG108" s="38">
        <f>IF(AG103&gt;0,AG107/AG103,0)</f>
        <v/>
      </c>
      <c r="AH108" s="38">
        <f>IF(AH103&gt;0,AH107/AH103,0)</f>
        <v/>
      </c>
      <c r="AI108" s="38">
        <f>IF(AI103&gt;0,AI107/AI103,0)</f>
        <v/>
      </c>
      <c r="AJ108" s="38">
        <f>IF(AJ103&gt;0,AJ107/AJ103,0)</f>
        <v/>
      </c>
      <c r="AK108" s="38">
        <f>IF(AK103&gt;0,AK107/AK103,0)</f>
        <v/>
      </c>
      <c r="AL108" s="38">
        <f>IF(AL103&gt;0,AL107/AL103,0)</f>
        <v/>
      </c>
      <c r="AM108" s="38">
        <f>IF(AM103&gt;0,AM107/AM103,0)</f>
        <v/>
      </c>
      <c r="AN108" s="38">
        <f>IF(AN103&gt;0,AN107/AN103,0)</f>
        <v/>
      </c>
      <c r="AO108" s="38">
        <f>IF(AO103&gt;0,AO107/AO103,0)</f>
        <v/>
      </c>
      <c r="AP108" s="38">
        <f>IF(AP103&gt;0,AP107/AP103,0)</f>
        <v/>
      </c>
      <c r="AQ108" s="38">
        <f>IF(AQ103&gt;0,AQ107/AQ103,0)</f>
        <v/>
      </c>
      <c r="AR108" s="38">
        <f>IF(AR103&gt;0,AR107/AR103,0)</f>
        <v/>
      </c>
      <c r="AS108" s="38">
        <f>IF(AS103&gt;0,AS107/AS103,0)</f>
        <v/>
      </c>
      <c r="AT108" s="38">
        <f>IF(AT103&gt;0,AT107/AT103,0)</f>
        <v/>
      </c>
      <c r="AU108" s="38">
        <f>IF(AU103&gt;0,AU107/AU103,0)</f>
        <v/>
      </c>
      <c r="AV108" s="38">
        <f>IF(AV103&gt;0,AV107/AV103,0)</f>
        <v/>
      </c>
    </row>
    <row r="109">
      <c r="B109" s="7" t="inlineStr">
        <is>
          <t>Sales cost per pilot started (rep CTC + travel ÷ pilots)</t>
        </is>
      </c>
      <c r="C109" s="5" t="inlineStr">
        <is>
          <t>₹</t>
        </is>
      </c>
      <c r="D109" s="48">
        <f>(D54+D55)/D56</f>
        <v/>
      </c>
      <c r="E109" s="48">
        <f>(E54+E55)/E56</f>
        <v/>
      </c>
      <c r="F109" s="48">
        <f>(F54+F55)/F56</f>
        <v/>
      </c>
      <c r="G109" s="48">
        <f>(G54+G55)/G56</f>
        <v/>
      </c>
      <c r="H109" s="48">
        <f>(H54+H55)/H56</f>
        <v/>
      </c>
      <c r="I109" s="48">
        <f>(I54+I55)/I56</f>
        <v/>
      </c>
      <c r="J109" s="48">
        <f>(J54+J55)/J56</f>
        <v/>
      </c>
      <c r="K109" s="48">
        <f>(K54+K55)/K56</f>
        <v/>
      </c>
      <c r="L109" s="48">
        <f>(L54+L55)/L56</f>
        <v/>
      </c>
      <c r="M109" s="48">
        <f>(M54+M55)/M56</f>
        <v/>
      </c>
      <c r="N109" s="48">
        <f>(N54+N55)/N56</f>
        <v/>
      </c>
      <c r="O109" s="48">
        <f>(O54+O55)/O56</f>
        <v/>
      </c>
      <c r="P109" s="48">
        <f>(P54+P55)/P56</f>
        <v/>
      </c>
      <c r="Q109" s="48">
        <f>(Q54+Q55)/Q56</f>
        <v/>
      </c>
      <c r="R109" s="48">
        <f>(R54+R55)/R56</f>
        <v/>
      </c>
      <c r="S109" s="48">
        <f>(S54+S55)/S56</f>
        <v/>
      </c>
      <c r="T109" s="48">
        <f>(T54+T55)/T56</f>
        <v/>
      </c>
      <c r="U109" s="48">
        <f>(U54+U55)/U56</f>
        <v/>
      </c>
      <c r="V109" s="48">
        <f>(V54+V55)/V56</f>
        <v/>
      </c>
      <c r="W109" s="48">
        <f>(W54+W55)/W56</f>
        <v/>
      </c>
      <c r="X109" s="48">
        <f>(X54+X55)/X56</f>
        <v/>
      </c>
      <c r="Y109" s="48">
        <f>(Y54+Y55)/Y56</f>
        <v/>
      </c>
      <c r="Z109" s="48">
        <f>(Z54+Z55)/Z56</f>
        <v/>
      </c>
      <c r="AA109" s="48">
        <f>(AA54+AA55)/AA56</f>
        <v/>
      </c>
      <c r="AB109" s="48">
        <f>(AB54+AB55)/AB56</f>
        <v/>
      </c>
      <c r="AC109" s="48">
        <f>(AC54+AC55)/AC56</f>
        <v/>
      </c>
      <c r="AD109" s="48">
        <f>(AD54+AD55)/AD56</f>
        <v/>
      </c>
      <c r="AE109" s="48">
        <f>(AE54+AE55)/AE56</f>
        <v/>
      </c>
      <c r="AF109" s="48">
        <f>(AF54+AF55)/AF56</f>
        <v/>
      </c>
      <c r="AG109" s="48">
        <f>(AG54+AG55)/AG56</f>
        <v/>
      </c>
      <c r="AH109" s="48">
        <f>(AH54+AH55)/AH56</f>
        <v/>
      </c>
      <c r="AI109" s="48">
        <f>(AI54+AI55)/AI56</f>
        <v/>
      </c>
      <c r="AJ109" s="48">
        <f>(AJ54+AJ55)/AJ56</f>
        <v/>
      </c>
      <c r="AK109" s="48">
        <f>(AK54+AK55)/AK56</f>
        <v/>
      </c>
      <c r="AL109" s="48">
        <f>(AL54+AL55)/AL56</f>
        <v/>
      </c>
      <c r="AM109" s="48">
        <f>(AM54+AM55)/AM56</f>
        <v/>
      </c>
      <c r="AN109" s="48">
        <f>(AN54+AN55)/AN56</f>
        <v/>
      </c>
      <c r="AO109" s="48">
        <f>(AO54+AO55)/AO56</f>
        <v/>
      </c>
      <c r="AP109" s="48">
        <f>(AP54+AP55)/AP56</f>
        <v/>
      </c>
      <c r="AQ109" s="48">
        <f>(AQ54+AQ55)/AQ56</f>
        <v/>
      </c>
      <c r="AR109" s="48">
        <f>(AR54+AR55)/AR56</f>
        <v/>
      </c>
      <c r="AS109" s="48">
        <f>(AS54+AS55)/AS56</f>
        <v/>
      </c>
      <c r="AT109" s="48">
        <f>(AT54+AT55)/AT56</f>
        <v/>
      </c>
      <c r="AU109" s="48">
        <f>(AU54+AU55)/AU56</f>
        <v/>
      </c>
      <c r="AV109" s="48">
        <f>(AV54+AV55)/AV56</f>
        <v/>
      </c>
    </row>
    <row r="110">
      <c r="B110" s="7" t="inlineStr">
        <is>
          <t>Onboarding cost (data migration + training)</t>
        </is>
      </c>
      <c r="C110" s="5" t="inlineStr">
        <is>
          <t>₹</t>
        </is>
      </c>
      <c r="D110" s="48">
        <f>D60*D61</f>
        <v/>
      </c>
      <c r="E110" s="48">
        <f>E60*E61</f>
        <v/>
      </c>
      <c r="F110" s="48">
        <f>F60*F61</f>
        <v/>
      </c>
      <c r="G110" s="48">
        <f>G60*G61</f>
        <v/>
      </c>
      <c r="H110" s="48">
        <f>H60*H61</f>
        <v/>
      </c>
      <c r="I110" s="48">
        <f>I60*I61</f>
        <v/>
      </c>
      <c r="J110" s="48">
        <f>J60*J61</f>
        <v/>
      </c>
      <c r="K110" s="48">
        <f>K60*K61</f>
        <v/>
      </c>
      <c r="L110" s="48">
        <f>L60*L61</f>
        <v/>
      </c>
      <c r="M110" s="48">
        <f>M60*M61</f>
        <v/>
      </c>
      <c r="N110" s="48">
        <f>N60*N61</f>
        <v/>
      </c>
      <c r="O110" s="48">
        <f>O60*O61</f>
        <v/>
      </c>
      <c r="P110" s="48">
        <f>P60*P61</f>
        <v/>
      </c>
      <c r="Q110" s="48">
        <f>Q60*Q61</f>
        <v/>
      </c>
      <c r="R110" s="48">
        <f>R60*R61</f>
        <v/>
      </c>
      <c r="S110" s="48">
        <f>S60*S61</f>
        <v/>
      </c>
      <c r="T110" s="48">
        <f>T60*T61</f>
        <v/>
      </c>
      <c r="U110" s="48">
        <f>U60*U61</f>
        <v/>
      </c>
      <c r="V110" s="48">
        <f>V60*V61</f>
        <v/>
      </c>
      <c r="W110" s="48">
        <f>W60*W61</f>
        <v/>
      </c>
      <c r="X110" s="48">
        <f>X60*X61</f>
        <v/>
      </c>
      <c r="Y110" s="48">
        <f>Y60*Y61</f>
        <v/>
      </c>
      <c r="Z110" s="48">
        <f>Z60*Z61</f>
        <v/>
      </c>
      <c r="AA110" s="48">
        <f>AA60*AA61</f>
        <v/>
      </c>
      <c r="AB110" s="48">
        <f>AB60*AB61</f>
        <v/>
      </c>
      <c r="AC110" s="48">
        <f>AC60*AC61</f>
        <v/>
      </c>
      <c r="AD110" s="48">
        <f>AD60*AD61</f>
        <v/>
      </c>
      <c r="AE110" s="48">
        <f>AE60*AE61</f>
        <v/>
      </c>
      <c r="AF110" s="48">
        <f>AF60*AF61</f>
        <v/>
      </c>
      <c r="AG110" s="48">
        <f>AG60*AG61</f>
        <v/>
      </c>
      <c r="AH110" s="48">
        <f>AH60*AH61</f>
        <v/>
      </c>
      <c r="AI110" s="48">
        <f>AI60*AI61</f>
        <v/>
      </c>
      <c r="AJ110" s="48">
        <f>AJ60*AJ61</f>
        <v/>
      </c>
      <c r="AK110" s="48">
        <f>AK60*AK61</f>
        <v/>
      </c>
      <c r="AL110" s="48">
        <f>AL60*AL61</f>
        <v/>
      </c>
      <c r="AM110" s="48">
        <f>AM60*AM61</f>
        <v/>
      </c>
      <c r="AN110" s="48">
        <f>AN60*AN61</f>
        <v/>
      </c>
      <c r="AO110" s="48">
        <f>AO60*AO61</f>
        <v/>
      </c>
      <c r="AP110" s="48">
        <f>AP60*AP61</f>
        <v/>
      </c>
      <c r="AQ110" s="48">
        <f>AQ60*AQ61</f>
        <v/>
      </c>
      <c r="AR110" s="48">
        <f>AR60*AR61</f>
        <v/>
      </c>
      <c r="AS110" s="48">
        <f>AS60*AS61</f>
        <v/>
      </c>
      <c r="AT110" s="48">
        <f>AT60*AT61</f>
        <v/>
      </c>
      <c r="AU110" s="48">
        <f>AU60*AU61</f>
        <v/>
      </c>
      <c r="AV110" s="48">
        <f>AV60*AV61</f>
        <v/>
      </c>
    </row>
    <row r="111">
      <c r="B111" s="7" t="inlineStr">
        <is>
          <t>Cost of serving the free pilot</t>
        </is>
      </c>
      <c r="C111" s="5" t="inlineStr">
        <is>
          <t>₹</t>
        </is>
      </c>
      <c r="D111" s="48">
        <f>D58*(D21*D68+D70)</f>
        <v/>
      </c>
      <c r="E111" s="48">
        <f>E58*(E21*E68+E70)</f>
        <v/>
      </c>
      <c r="F111" s="48">
        <f>F58*(F21*F68+F70)</f>
        <v/>
      </c>
      <c r="G111" s="48">
        <f>G58*(G21*G68+G70)</f>
        <v/>
      </c>
      <c r="H111" s="48">
        <f>H58*(H21*H68+H70)</f>
        <v/>
      </c>
      <c r="I111" s="48">
        <f>I58*(I21*I68+I70)</f>
        <v/>
      </c>
      <c r="J111" s="48">
        <f>J58*(J21*J68+J70)</f>
        <v/>
      </c>
      <c r="K111" s="48">
        <f>K58*(K21*K68+K70)</f>
        <v/>
      </c>
      <c r="L111" s="48">
        <f>L58*(L21*L68+L70)</f>
        <v/>
      </c>
      <c r="M111" s="48">
        <f>M58*(M21*M68+M70)</f>
        <v/>
      </c>
      <c r="N111" s="48">
        <f>N58*(N21*N68+N70)</f>
        <v/>
      </c>
      <c r="O111" s="48">
        <f>O58*(O21*O68+O70)</f>
        <v/>
      </c>
      <c r="P111" s="48">
        <f>P58*(P21*P68+P70)</f>
        <v/>
      </c>
      <c r="Q111" s="48">
        <f>Q58*(Q21*Q68+Q70)</f>
        <v/>
      </c>
      <c r="R111" s="48">
        <f>R58*(R21*R68+R70)</f>
        <v/>
      </c>
      <c r="S111" s="48">
        <f>S58*(S21*S68+S70)</f>
        <v/>
      </c>
      <c r="T111" s="48">
        <f>T58*(T21*T68+T70)</f>
        <v/>
      </c>
      <c r="U111" s="48">
        <f>U58*(U21*U68+U70)</f>
        <v/>
      </c>
      <c r="V111" s="48">
        <f>V58*(V21*V68+V70)</f>
        <v/>
      </c>
      <c r="W111" s="48">
        <f>W58*(W21*W68+W70)</f>
        <v/>
      </c>
      <c r="X111" s="48">
        <f>X58*(X21*X68+X70)</f>
        <v/>
      </c>
      <c r="Y111" s="48">
        <f>Y58*(Y21*Y68+Y70)</f>
        <v/>
      </c>
      <c r="Z111" s="48">
        <f>Z58*(Z21*Z68+Z70)</f>
        <v/>
      </c>
      <c r="AA111" s="48">
        <f>AA58*(AA21*AA68+AA70)</f>
        <v/>
      </c>
      <c r="AB111" s="48">
        <f>AB58*(AB21*AB68+AB70)</f>
        <v/>
      </c>
      <c r="AC111" s="48">
        <f>AC58*(AC21*AC68+AC70)</f>
        <v/>
      </c>
      <c r="AD111" s="48">
        <f>AD58*(AD21*AD68+AD70)</f>
        <v/>
      </c>
      <c r="AE111" s="48">
        <f>AE58*(AE21*AE68+AE70)</f>
        <v/>
      </c>
      <c r="AF111" s="48">
        <f>AF58*(AF21*AF68+AF70)</f>
        <v/>
      </c>
      <c r="AG111" s="48">
        <f>AG58*(AG21*AG68+AG70)</f>
        <v/>
      </c>
      <c r="AH111" s="48">
        <f>AH58*(AH21*AH68+AH70)</f>
        <v/>
      </c>
      <c r="AI111" s="48">
        <f>AI58*(AI21*AI68+AI70)</f>
        <v/>
      </c>
      <c r="AJ111" s="48">
        <f>AJ58*(AJ21*AJ68+AJ70)</f>
        <v/>
      </c>
      <c r="AK111" s="48">
        <f>AK58*(AK21*AK68+AK70)</f>
        <v/>
      </c>
      <c r="AL111" s="48">
        <f>AL58*(AL21*AL68+AL70)</f>
        <v/>
      </c>
      <c r="AM111" s="48">
        <f>AM58*(AM21*AM68+AM70)</f>
        <v/>
      </c>
      <c r="AN111" s="48">
        <f>AN58*(AN21*AN68+AN70)</f>
        <v/>
      </c>
      <c r="AO111" s="48">
        <f>AO58*(AO21*AO68+AO70)</f>
        <v/>
      </c>
      <c r="AP111" s="48">
        <f>AP58*(AP21*AP68+AP70)</f>
        <v/>
      </c>
      <c r="AQ111" s="48">
        <f>AQ58*(AQ21*AQ68+AQ70)</f>
        <v/>
      </c>
      <c r="AR111" s="48">
        <f>AR58*(AR21*AR68+AR70)</f>
        <v/>
      </c>
      <c r="AS111" s="48">
        <f>AS58*(AS21*AS68+AS70)</f>
        <v/>
      </c>
      <c r="AT111" s="48">
        <f>AT58*(AT21*AT68+AT70)</f>
        <v/>
      </c>
      <c r="AU111" s="48">
        <f>AU58*(AU21*AU68+AU70)</f>
        <v/>
      </c>
      <c r="AV111" s="48">
        <f>AV58*(AV21*AV68+AV70)</f>
        <v/>
      </c>
    </row>
    <row r="112">
      <c r="B112" s="7" t="inlineStr">
        <is>
          <t>CAC: sales + marketing per paid institute (failed pilots included)</t>
        </is>
      </c>
      <c r="C112" s="5" t="inlineStr">
        <is>
          <t>₹</t>
        </is>
      </c>
      <c r="D112" s="50">
        <f>D109/D57+D62</f>
        <v/>
      </c>
      <c r="E112" s="50">
        <f>E109/E57+E62</f>
        <v/>
      </c>
      <c r="F112" s="50">
        <f>F109/F57+F62</f>
        <v/>
      </c>
      <c r="G112" s="50">
        <f>G109/G57+G62</f>
        <v/>
      </c>
      <c r="H112" s="50">
        <f>H109/H57+H62</f>
        <v/>
      </c>
      <c r="I112" s="50">
        <f>I109/I57+I62</f>
        <v/>
      </c>
      <c r="J112" s="50">
        <f>J109/J57+J62</f>
        <v/>
      </c>
      <c r="K112" s="50">
        <f>K109/K57+K62</f>
        <v/>
      </c>
      <c r="L112" s="50">
        <f>L109/L57+L62</f>
        <v/>
      </c>
      <c r="M112" s="50">
        <f>M109/M57+M62</f>
        <v/>
      </c>
      <c r="N112" s="50">
        <f>N109/N57+N62</f>
        <v/>
      </c>
      <c r="O112" s="50">
        <f>O109/O57+O62</f>
        <v/>
      </c>
      <c r="P112" s="50">
        <f>P109/P57+P62</f>
        <v/>
      </c>
      <c r="Q112" s="50">
        <f>Q109/Q57+Q62</f>
        <v/>
      </c>
      <c r="R112" s="50">
        <f>R109/R57+R62</f>
        <v/>
      </c>
      <c r="S112" s="50">
        <f>S109/S57+S62</f>
        <v/>
      </c>
      <c r="T112" s="50">
        <f>T109/T57+T62</f>
        <v/>
      </c>
      <c r="U112" s="50">
        <f>U109/U57+U62</f>
        <v/>
      </c>
      <c r="V112" s="50">
        <f>V109/V57+V62</f>
        <v/>
      </c>
      <c r="W112" s="50">
        <f>W109/W57+W62</f>
        <v/>
      </c>
      <c r="X112" s="50">
        <f>X109/X57+X62</f>
        <v/>
      </c>
      <c r="Y112" s="50">
        <f>Y109/Y57+Y62</f>
        <v/>
      </c>
      <c r="Z112" s="50">
        <f>Z109/Z57+Z62</f>
        <v/>
      </c>
      <c r="AA112" s="50">
        <f>AA109/AA57+AA62</f>
        <v/>
      </c>
      <c r="AB112" s="50">
        <f>AB109/AB57+AB62</f>
        <v/>
      </c>
      <c r="AC112" s="50">
        <f>AC109/AC57+AC62</f>
        <v/>
      </c>
      <c r="AD112" s="50">
        <f>AD109/AD57+AD62</f>
        <v/>
      </c>
      <c r="AE112" s="50">
        <f>AE109/AE57+AE62</f>
        <v/>
      </c>
      <c r="AF112" s="50">
        <f>AF109/AF57+AF62</f>
        <v/>
      </c>
      <c r="AG112" s="50">
        <f>AG109/AG57+AG62</f>
        <v/>
      </c>
      <c r="AH112" s="50">
        <f>AH109/AH57+AH62</f>
        <v/>
      </c>
      <c r="AI112" s="50">
        <f>AI109/AI57+AI62</f>
        <v/>
      </c>
      <c r="AJ112" s="50">
        <f>AJ109/AJ57+AJ62</f>
        <v/>
      </c>
      <c r="AK112" s="50">
        <f>AK109/AK57+AK62</f>
        <v/>
      </c>
      <c r="AL112" s="50">
        <f>AL109/AL57+AL62</f>
        <v/>
      </c>
      <c r="AM112" s="50">
        <f>AM109/AM57+AM62</f>
        <v/>
      </c>
      <c r="AN112" s="50">
        <f>AN109/AN57+AN62</f>
        <v/>
      </c>
      <c r="AO112" s="50">
        <f>AO109/AO57+AO62</f>
        <v/>
      </c>
      <c r="AP112" s="50">
        <f>AP109/AP57+AP62</f>
        <v/>
      </c>
      <c r="AQ112" s="50">
        <f>AQ109/AQ57+AQ62</f>
        <v/>
      </c>
      <c r="AR112" s="50">
        <f>AR109/AR57+AR62</f>
        <v/>
      </c>
      <c r="AS112" s="50">
        <f>AS109/AS57+AS62</f>
        <v/>
      </c>
      <c r="AT112" s="50">
        <f>AT109/AT57+AT62</f>
        <v/>
      </c>
      <c r="AU112" s="50">
        <f>AU109/AU57+AU62</f>
        <v/>
      </c>
      <c r="AV112" s="50">
        <f>AV109/AV57+AV62</f>
        <v/>
      </c>
    </row>
    <row r="113">
      <c r="B113" s="7" t="inlineStr">
        <is>
          <t>Fully loaded acquisition cost = (sales + pilot setup + pilot COGS) ÷ conversion + onboarding (paid only) + marketing</t>
        </is>
      </c>
      <c r="C113" s="5" t="inlineStr">
        <is>
          <t>₹</t>
        </is>
      </c>
      <c r="D113" s="50">
        <f>(D109+D59+D111)/D57+D110+D62</f>
        <v/>
      </c>
      <c r="E113" s="50">
        <f>(E109+E59+E111)/E57+E110+E62</f>
        <v/>
      </c>
      <c r="F113" s="50">
        <f>(F109+F59+F111)/F57+F110+F62</f>
        <v/>
      </c>
      <c r="G113" s="50">
        <f>(G109+G59+G111)/G57+G110+G62</f>
        <v/>
      </c>
      <c r="H113" s="50">
        <f>(H109+H59+H111)/H57+H110+H62</f>
        <v/>
      </c>
      <c r="I113" s="50">
        <f>(I109+I59+I111)/I57+I110+I62</f>
        <v/>
      </c>
      <c r="J113" s="50">
        <f>(J109+J59+J111)/J57+J110+J62</f>
        <v/>
      </c>
      <c r="K113" s="50">
        <f>(K109+K59+K111)/K57+K110+K62</f>
        <v/>
      </c>
      <c r="L113" s="50">
        <f>(L109+L59+L111)/L57+L110+L62</f>
        <v/>
      </c>
      <c r="M113" s="50">
        <f>(M109+M59+M111)/M57+M110+M62</f>
        <v/>
      </c>
      <c r="N113" s="50">
        <f>(N109+N59+N111)/N57+N110+N62</f>
        <v/>
      </c>
      <c r="O113" s="50">
        <f>(O109+O59+O111)/O57+O110+O62</f>
        <v/>
      </c>
      <c r="P113" s="50">
        <f>(P109+P59+P111)/P57+P110+P62</f>
        <v/>
      </c>
      <c r="Q113" s="50">
        <f>(Q109+Q59+Q111)/Q57+Q110+Q62</f>
        <v/>
      </c>
      <c r="R113" s="50">
        <f>(R109+R59+R111)/R57+R110+R62</f>
        <v/>
      </c>
      <c r="S113" s="50">
        <f>(S109+S59+S111)/S57+S110+S62</f>
        <v/>
      </c>
      <c r="T113" s="50">
        <f>(T109+T59+T111)/T57+T110+T62</f>
        <v/>
      </c>
      <c r="U113" s="50">
        <f>(U109+U59+U111)/U57+U110+U62</f>
        <v/>
      </c>
      <c r="V113" s="50">
        <f>(V109+V59+V111)/V57+V110+V62</f>
        <v/>
      </c>
      <c r="W113" s="50">
        <f>(W109+W59+W111)/W57+W110+W62</f>
        <v/>
      </c>
      <c r="X113" s="50">
        <f>(X109+X59+X111)/X57+X110+X62</f>
        <v/>
      </c>
      <c r="Y113" s="50">
        <f>(Y109+Y59+Y111)/Y57+Y110+Y62</f>
        <v/>
      </c>
      <c r="Z113" s="50">
        <f>(Z109+Z59+Z111)/Z57+Z110+Z62</f>
        <v/>
      </c>
      <c r="AA113" s="50">
        <f>(AA109+AA59+AA111)/AA57+AA110+AA62</f>
        <v/>
      </c>
      <c r="AB113" s="50">
        <f>(AB109+AB59+AB111)/AB57+AB110+AB62</f>
        <v/>
      </c>
      <c r="AC113" s="50">
        <f>(AC109+AC59+AC111)/AC57+AC110+AC62</f>
        <v/>
      </c>
      <c r="AD113" s="50">
        <f>(AD109+AD59+AD111)/AD57+AD110+AD62</f>
        <v/>
      </c>
      <c r="AE113" s="50">
        <f>(AE109+AE59+AE111)/AE57+AE110+AE62</f>
        <v/>
      </c>
      <c r="AF113" s="50">
        <f>(AF109+AF59+AF111)/AF57+AF110+AF62</f>
        <v/>
      </c>
      <c r="AG113" s="50">
        <f>(AG109+AG59+AG111)/AG57+AG110+AG62</f>
        <v/>
      </c>
      <c r="AH113" s="50">
        <f>(AH109+AH59+AH111)/AH57+AH110+AH62</f>
        <v/>
      </c>
      <c r="AI113" s="50">
        <f>(AI109+AI59+AI111)/AI57+AI110+AI62</f>
        <v/>
      </c>
      <c r="AJ113" s="50">
        <f>(AJ109+AJ59+AJ111)/AJ57+AJ110+AJ62</f>
        <v/>
      </c>
      <c r="AK113" s="50">
        <f>(AK109+AK59+AK111)/AK57+AK110+AK62</f>
        <v/>
      </c>
      <c r="AL113" s="50">
        <f>(AL109+AL59+AL111)/AL57+AL110+AL62</f>
        <v/>
      </c>
      <c r="AM113" s="50">
        <f>(AM109+AM59+AM111)/AM57+AM110+AM62</f>
        <v/>
      </c>
      <c r="AN113" s="50">
        <f>(AN109+AN59+AN111)/AN57+AN110+AN62</f>
        <v/>
      </c>
      <c r="AO113" s="50">
        <f>(AO109+AO59+AO111)/AO57+AO110+AO62</f>
        <v/>
      </c>
      <c r="AP113" s="50">
        <f>(AP109+AP59+AP111)/AP57+AP110+AP62</f>
        <v/>
      </c>
      <c r="AQ113" s="50">
        <f>(AQ109+AQ59+AQ111)/AQ57+AQ110+AQ62</f>
        <v/>
      </c>
      <c r="AR113" s="50">
        <f>(AR109+AR59+AR111)/AR57+AR110+AR62</f>
        <v/>
      </c>
      <c r="AS113" s="50">
        <f>(AS109+AS59+AS111)/AS57+AS110+AS62</f>
        <v/>
      </c>
      <c r="AT113" s="50">
        <f>(AT109+AT59+AT111)/AT57+AT110+AT62</f>
        <v/>
      </c>
      <c r="AU113" s="50">
        <f>(AU109+AU59+AU111)/AU57+AU110+AU62</f>
        <v/>
      </c>
      <c r="AV113" s="50">
        <f>(AV109+AV59+AV111)/AV57+AV110+AV62</f>
        <v/>
      </c>
    </row>
    <row r="114">
      <c r="B114" s="7" t="inlineStr">
        <is>
          <t>In-season churn, monthly payers only (prepaid annual plans cannot leave mid-year)</t>
        </is>
      </c>
      <c r="C114" s="5" t="inlineStr">
        <is>
          <t>%/month</t>
        </is>
      </c>
      <c r="D114" s="37">
        <f>D50*(1-D25)</f>
        <v/>
      </c>
      <c r="E114" s="37">
        <f>E50*(1-E25)</f>
        <v/>
      </c>
      <c r="F114" s="37">
        <f>F50*(1-F25)</f>
        <v/>
      </c>
      <c r="G114" s="37">
        <f>G50*(1-G25)</f>
        <v/>
      </c>
      <c r="H114" s="37">
        <f>H50*(1-H25)</f>
        <v/>
      </c>
      <c r="I114" s="37">
        <f>I50*(1-I25)</f>
        <v/>
      </c>
      <c r="J114" s="37">
        <f>J50*(1-J25)</f>
        <v/>
      </c>
      <c r="K114" s="37">
        <f>K50*(1-K25)</f>
        <v/>
      </c>
      <c r="L114" s="37">
        <f>L50*(1-L25)</f>
        <v/>
      </c>
      <c r="M114" s="37">
        <f>M50*(1-M25)</f>
        <v/>
      </c>
      <c r="N114" s="37">
        <f>N50*(1-N25)</f>
        <v/>
      </c>
      <c r="O114" s="37">
        <f>O50*(1-O25)</f>
        <v/>
      </c>
      <c r="P114" s="37">
        <f>P50*(1-P25)</f>
        <v/>
      </c>
      <c r="Q114" s="37">
        <f>Q50*(1-Q25)</f>
        <v/>
      </c>
      <c r="R114" s="37">
        <f>R50*(1-R25)</f>
        <v/>
      </c>
      <c r="S114" s="37">
        <f>S50*(1-S25)</f>
        <v/>
      </c>
      <c r="T114" s="37">
        <f>T50*(1-T25)</f>
        <v/>
      </c>
      <c r="U114" s="37">
        <f>U50*(1-U25)</f>
        <v/>
      </c>
      <c r="V114" s="37">
        <f>V50*(1-V25)</f>
        <v/>
      </c>
      <c r="W114" s="37">
        <f>W50*(1-W25)</f>
        <v/>
      </c>
      <c r="X114" s="37">
        <f>X50*(1-X25)</f>
        <v/>
      </c>
      <c r="Y114" s="37">
        <f>Y50*(1-Y25)</f>
        <v/>
      </c>
      <c r="Z114" s="37">
        <f>Z50*(1-Z25)</f>
        <v/>
      </c>
      <c r="AA114" s="37">
        <f>AA50*(1-AA25)</f>
        <v/>
      </c>
      <c r="AB114" s="37">
        <f>AB50*(1-AB25)</f>
        <v/>
      </c>
      <c r="AC114" s="37">
        <f>AC50*(1-AC25)</f>
        <v/>
      </c>
      <c r="AD114" s="37">
        <f>AD50*(1-AD25)</f>
        <v/>
      </c>
      <c r="AE114" s="37">
        <f>AE50*(1-AE25)</f>
        <v/>
      </c>
      <c r="AF114" s="37">
        <f>AF50*(1-AF25)</f>
        <v/>
      </c>
      <c r="AG114" s="37">
        <f>AG50*(1-AG25)</f>
        <v/>
      </c>
      <c r="AH114" s="37">
        <f>AH50*(1-AH25)</f>
        <v/>
      </c>
      <c r="AI114" s="37">
        <f>AI50*(1-AI25)</f>
        <v/>
      </c>
      <c r="AJ114" s="37">
        <f>AJ50*(1-AJ25)</f>
        <v/>
      </c>
      <c r="AK114" s="37">
        <f>AK50*(1-AK25)</f>
        <v/>
      </c>
      <c r="AL114" s="37">
        <f>AL50*(1-AL25)</f>
        <v/>
      </c>
      <c r="AM114" s="37">
        <f>AM50*(1-AM25)</f>
        <v/>
      </c>
      <c r="AN114" s="37">
        <f>AN50*(1-AN25)</f>
        <v/>
      </c>
      <c r="AO114" s="37">
        <f>AO50*(1-AO25)</f>
        <v/>
      </c>
      <c r="AP114" s="37">
        <f>AP50*(1-AP25)</f>
        <v/>
      </c>
      <c r="AQ114" s="37">
        <f>AQ50*(1-AQ25)</f>
        <v/>
      </c>
      <c r="AR114" s="37">
        <f>AR50*(1-AR25)</f>
        <v/>
      </c>
      <c r="AS114" s="37">
        <f>AS50*(1-AS25)</f>
        <v/>
      </c>
      <c r="AT114" s="37">
        <f>AT50*(1-AT25)</f>
        <v/>
      </c>
      <c r="AU114" s="37">
        <f>AU50*(1-AU25)</f>
        <v/>
      </c>
      <c r="AV114" s="37">
        <f>AV50*(1-AV25)</f>
        <v/>
      </c>
    </row>
    <row r="115">
      <c r="B115" s="7" t="inlineStr">
        <is>
          <t>Extra churn per renewal month</t>
        </is>
      </c>
      <c r="C115" s="5" t="inlineStr">
        <is>
          <t>%/month</t>
        </is>
      </c>
      <c r="D115" s="37">
        <f>1-(1-D51)^(1/NRenew)</f>
        <v/>
      </c>
      <c r="E115" s="37">
        <f>1-(1-E51)^(1/NRenew)</f>
        <v/>
      </c>
      <c r="F115" s="37">
        <f>1-(1-F51)^(1/NRenew)</f>
        <v/>
      </c>
      <c r="G115" s="37">
        <f>1-(1-G51)^(1/NRenew)</f>
        <v/>
      </c>
      <c r="H115" s="37">
        <f>1-(1-H51)^(1/NRenew)</f>
        <v/>
      </c>
      <c r="I115" s="37">
        <f>1-(1-I51)^(1/NRenew)</f>
        <v/>
      </c>
      <c r="J115" s="37">
        <f>1-(1-J51)^(1/NRenew)</f>
        <v/>
      </c>
      <c r="K115" s="37">
        <f>1-(1-K51)^(1/NRenew)</f>
        <v/>
      </c>
      <c r="L115" s="37">
        <f>1-(1-L51)^(1/NRenew)</f>
        <v/>
      </c>
      <c r="M115" s="37">
        <f>1-(1-M51)^(1/NRenew)</f>
        <v/>
      </c>
      <c r="N115" s="37">
        <f>1-(1-N51)^(1/NRenew)</f>
        <v/>
      </c>
      <c r="O115" s="37">
        <f>1-(1-O51)^(1/NRenew)</f>
        <v/>
      </c>
      <c r="P115" s="37">
        <f>1-(1-P51)^(1/NRenew)</f>
        <v/>
      </c>
      <c r="Q115" s="37">
        <f>1-(1-Q51)^(1/NRenew)</f>
        <v/>
      </c>
      <c r="R115" s="37">
        <f>1-(1-R51)^(1/NRenew)</f>
        <v/>
      </c>
      <c r="S115" s="37">
        <f>1-(1-S51)^(1/NRenew)</f>
        <v/>
      </c>
      <c r="T115" s="37">
        <f>1-(1-T51)^(1/NRenew)</f>
        <v/>
      </c>
      <c r="U115" s="37">
        <f>1-(1-U51)^(1/NRenew)</f>
        <v/>
      </c>
      <c r="V115" s="37">
        <f>1-(1-V51)^(1/NRenew)</f>
        <v/>
      </c>
      <c r="W115" s="37">
        <f>1-(1-W51)^(1/NRenew)</f>
        <v/>
      </c>
      <c r="X115" s="37">
        <f>1-(1-X51)^(1/NRenew)</f>
        <v/>
      </c>
      <c r="Y115" s="37">
        <f>1-(1-Y51)^(1/NRenew)</f>
        <v/>
      </c>
      <c r="Z115" s="37">
        <f>1-(1-Z51)^(1/NRenew)</f>
        <v/>
      </c>
      <c r="AA115" s="37">
        <f>1-(1-AA51)^(1/NRenew)</f>
        <v/>
      </c>
      <c r="AB115" s="37">
        <f>1-(1-AB51)^(1/NRenew)</f>
        <v/>
      </c>
      <c r="AC115" s="37">
        <f>1-(1-AC51)^(1/NRenew)</f>
        <v/>
      </c>
      <c r="AD115" s="37">
        <f>1-(1-AD51)^(1/NRenew)</f>
        <v/>
      </c>
      <c r="AE115" s="37">
        <f>1-(1-AE51)^(1/NRenew)</f>
        <v/>
      </c>
      <c r="AF115" s="37">
        <f>1-(1-AF51)^(1/NRenew)</f>
        <v/>
      </c>
      <c r="AG115" s="37">
        <f>1-(1-AG51)^(1/NRenew)</f>
        <v/>
      </c>
      <c r="AH115" s="37">
        <f>1-(1-AH51)^(1/NRenew)</f>
        <v/>
      </c>
      <c r="AI115" s="37">
        <f>1-(1-AI51)^(1/NRenew)</f>
        <v/>
      </c>
      <c r="AJ115" s="37">
        <f>1-(1-AJ51)^(1/NRenew)</f>
        <v/>
      </c>
      <c r="AK115" s="37">
        <f>1-(1-AK51)^(1/NRenew)</f>
        <v/>
      </c>
      <c r="AL115" s="37">
        <f>1-(1-AL51)^(1/NRenew)</f>
        <v/>
      </c>
      <c r="AM115" s="37">
        <f>1-(1-AM51)^(1/NRenew)</f>
        <v/>
      </c>
      <c r="AN115" s="37">
        <f>1-(1-AN51)^(1/NRenew)</f>
        <v/>
      </c>
      <c r="AO115" s="37">
        <f>1-(1-AO51)^(1/NRenew)</f>
        <v/>
      </c>
      <c r="AP115" s="37">
        <f>1-(1-AP51)^(1/NRenew)</f>
        <v/>
      </c>
      <c r="AQ115" s="37">
        <f>1-(1-AQ51)^(1/NRenew)</f>
        <v/>
      </c>
      <c r="AR115" s="37">
        <f>1-(1-AR51)^(1/NRenew)</f>
        <v/>
      </c>
      <c r="AS115" s="37">
        <f>1-(1-AS51)^(1/NRenew)</f>
        <v/>
      </c>
      <c r="AT115" s="37">
        <f>1-(1-AT51)^(1/NRenew)</f>
        <v/>
      </c>
      <c r="AU115" s="37">
        <f>1-(1-AU51)^(1/NRenew)</f>
        <v/>
      </c>
      <c r="AV115" s="37">
        <f>1-(1-AV51)^(1/NRenew)</f>
        <v/>
      </c>
    </row>
    <row r="116">
      <c r="B116" s="7" t="inlineStr">
        <is>
          <t>Annual logo retention</t>
        </is>
      </c>
      <c r="C116" s="5" t="inlineStr">
        <is>
          <t>%</t>
        </is>
      </c>
      <c r="D116" s="38">
        <f>(1-D114)^12*(1-D51)</f>
        <v/>
      </c>
      <c r="E116" s="38">
        <f>(1-E114)^12*(1-E51)</f>
        <v/>
      </c>
      <c r="F116" s="38">
        <f>(1-F114)^12*(1-F51)</f>
        <v/>
      </c>
      <c r="G116" s="38">
        <f>(1-G114)^12*(1-G51)</f>
        <v/>
      </c>
      <c r="H116" s="38">
        <f>(1-H114)^12*(1-H51)</f>
        <v/>
      </c>
      <c r="I116" s="38">
        <f>(1-I114)^12*(1-I51)</f>
        <v/>
      </c>
      <c r="J116" s="38">
        <f>(1-J114)^12*(1-J51)</f>
        <v/>
      </c>
      <c r="K116" s="38">
        <f>(1-K114)^12*(1-K51)</f>
        <v/>
      </c>
      <c r="L116" s="38">
        <f>(1-L114)^12*(1-L51)</f>
        <v/>
      </c>
      <c r="M116" s="38">
        <f>(1-M114)^12*(1-M51)</f>
        <v/>
      </c>
      <c r="N116" s="38">
        <f>(1-N114)^12*(1-N51)</f>
        <v/>
      </c>
      <c r="O116" s="38">
        <f>(1-O114)^12*(1-O51)</f>
        <v/>
      </c>
      <c r="P116" s="38">
        <f>(1-P114)^12*(1-P51)</f>
        <v/>
      </c>
      <c r="Q116" s="38">
        <f>(1-Q114)^12*(1-Q51)</f>
        <v/>
      </c>
      <c r="R116" s="38">
        <f>(1-R114)^12*(1-R51)</f>
        <v/>
      </c>
      <c r="S116" s="38">
        <f>(1-S114)^12*(1-S51)</f>
        <v/>
      </c>
      <c r="T116" s="38">
        <f>(1-T114)^12*(1-T51)</f>
        <v/>
      </c>
      <c r="U116" s="38">
        <f>(1-U114)^12*(1-U51)</f>
        <v/>
      </c>
      <c r="V116" s="38">
        <f>(1-V114)^12*(1-V51)</f>
        <v/>
      </c>
      <c r="W116" s="38">
        <f>(1-W114)^12*(1-W51)</f>
        <v/>
      </c>
      <c r="X116" s="38">
        <f>(1-X114)^12*(1-X51)</f>
        <v/>
      </c>
      <c r="Y116" s="38">
        <f>(1-Y114)^12*(1-Y51)</f>
        <v/>
      </c>
      <c r="Z116" s="38">
        <f>(1-Z114)^12*(1-Z51)</f>
        <v/>
      </c>
      <c r="AA116" s="38">
        <f>(1-AA114)^12*(1-AA51)</f>
        <v/>
      </c>
      <c r="AB116" s="38">
        <f>(1-AB114)^12*(1-AB51)</f>
        <v/>
      </c>
      <c r="AC116" s="38">
        <f>(1-AC114)^12*(1-AC51)</f>
        <v/>
      </c>
      <c r="AD116" s="38">
        <f>(1-AD114)^12*(1-AD51)</f>
        <v/>
      </c>
      <c r="AE116" s="38">
        <f>(1-AE114)^12*(1-AE51)</f>
        <v/>
      </c>
      <c r="AF116" s="38">
        <f>(1-AF114)^12*(1-AF51)</f>
        <v/>
      </c>
      <c r="AG116" s="38">
        <f>(1-AG114)^12*(1-AG51)</f>
        <v/>
      </c>
      <c r="AH116" s="38">
        <f>(1-AH114)^12*(1-AH51)</f>
        <v/>
      </c>
      <c r="AI116" s="38">
        <f>(1-AI114)^12*(1-AI51)</f>
        <v/>
      </c>
      <c r="AJ116" s="38">
        <f>(1-AJ114)^12*(1-AJ51)</f>
        <v/>
      </c>
      <c r="AK116" s="38">
        <f>(1-AK114)^12*(1-AK51)</f>
        <v/>
      </c>
      <c r="AL116" s="38">
        <f>(1-AL114)^12*(1-AL51)</f>
        <v/>
      </c>
      <c r="AM116" s="38">
        <f>(1-AM114)^12*(1-AM51)</f>
        <v/>
      </c>
      <c r="AN116" s="38">
        <f>(1-AN114)^12*(1-AN51)</f>
        <v/>
      </c>
      <c r="AO116" s="38">
        <f>(1-AO114)^12*(1-AO51)</f>
        <v/>
      </c>
      <c r="AP116" s="38">
        <f>(1-AP114)^12*(1-AP51)</f>
        <v/>
      </c>
      <c r="AQ116" s="38">
        <f>(1-AQ114)^12*(1-AQ51)</f>
        <v/>
      </c>
      <c r="AR116" s="38">
        <f>(1-AR114)^12*(1-AR51)</f>
        <v/>
      </c>
      <c r="AS116" s="38">
        <f>(1-AS114)^12*(1-AS51)</f>
        <v/>
      </c>
      <c r="AT116" s="38">
        <f>(1-AT114)^12*(1-AT51)</f>
        <v/>
      </c>
      <c r="AU116" s="38">
        <f>(1-AU114)^12*(1-AU51)</f>
        <v/>
      </c>
      <c r="AV116" s="38">
        <f>(1-AV114)^12*(1-AV51)</f>
        <v/>
      </c>
    </row>
    <row r="117">
      <c r="B117" s="7" t="inlineStr">
        <is>
          <t>Expected paid lifetime within horizon</t>
        </is>
      </c>
      <c r="C117" s="5" t="inlineStr">
        <is>
          <t>months</t>
        </is>
      </c>
      <c r="D117" s="52">
        <f>SUM(D241:D300)</f>
        <v/>
      </c>
      <c r="E117" s="52">
        <f>SUM(E241:E300)</f>
        <v/>
      </c>
      <c r="F117" s="52">
        <f>SUM(F241:F300)</f>
        <v/>
      </c>
      <c r="G117" s="52">
        <f>SUM(G241:G300)</f>
        <v/>
      </c>
      <c r="H117" s="52">
        <f>SUM(H241:H300)</f>
        <v/>
      </c>
      <c r="I117" s="52">
        <f>SUM(I241:I300)</f>
        <v/>
      </c>
      <c r="J117" s="52">
        <f>SUM(J241:J300)</f>
        <v/>
      </c>
      <c r="K117" s="52">
        <f>SUM(K241:K300)</f>
        <v/>
      </c>
      <c r="L117" s="52">
        <f>SUM(L241:L300)</f>
        <v/>
      </c>
      <c r="M117" s="52">
        <f>SUM(M241:M300)</f>
        <v/>
      </c>
      <c r="N117" s="52">
        <f>SUM(N241:N300)</f>
        <v/>
      </c>
      <c r="O117" s="52">
        <f>SUM(O241:O300)</f>
        <v/>
      </c>
      <c r="P117" s="52">
        <f>SUM(P241:P300)</f>
        <v/>
      </c>
      <c r="Q117" s="52">
        <f>SUM(Q241:Q300)</f>
        <v/>
      </c>
      <c r="R117" s="52">
        <f>SUM(R241:R300)</f>
        <v/>
      </c>
      <c r="S117" s="52">
        <f>SUM(S241:S300)</f>
        <v/>
      </c>
      <c r="T117" s="52">
        <f>SUM(T241:T300)</f>
        <v/>
      </c>
      <c r="U117" s="52">
        <f>SUM(U241:U300)</f>
        <v/>
      </c>
      <c r="V117" s="52">
        <f>SUM(V241:V300)</f>
        <v/>
      </c>
      <c r="W117" s="52">
        <f>SUM(W241:W300)</f>
        <v/>
      </c>
      <c r="X117" s="52">
        <f>SUM(X241:X300)</f>
        <v/>
      </c>
      <c r="Y117" s="52">
        <f>SUM(Y241:Y300)</f>
        <v/>
      </c>
      <c r="Z117" s="52">
        <f>SUM(Z241:Z300)</f>
        <v/>
      </c>
      <c r="AA117" s="52">
        <f>SUM(AA241:AA300)</f>
        <v/>
      </c>
      <c r="AB117" s="52">
        <f>SUM(AB241:AB300)</f>
        <v/>
      </c>
      <c r="AC117" s="52">
        <f>SUM(AC241:AC300)</f>
        <v/>
      </c>
      <c r="AD117" s="52">
        <f>SUM(AD241:AD300)</f>
        <v/>
      </c>
      <c r="AE117" s="52">
        <f>SUM(AE241:AE300)</f>
        <v/>
      </c>
      <c r="AF117" s="52">
        <f>SUM(AF241:AF300)</f>
        <v/>
      </c>
      <c r="AG117" s="52">
        <f>SUM(AG241:AG300)</f>
        <v/>
      </c>
      <c r="AH117" s="52">
        <f>SUM(AH241:AH300)</f>
        <v/>
      </c>
      <c r="AI117" s="52">
        <f>SUM(AI241:AI300)</f>
        <v/>
      </c>
      <c r="AJ117" s="52">
        <f>SUM(AJ241:AJ300)</f>
        <v/>
      </c>
      <c r="AK117" s="52">
        <f>SUM(AK241:AK300)</f>
        <v/>
      </c>
      <c r="AL117" s="52">
        <f>SUM(AL241:AL300)</f>
        <v/>
      </c>
      <c r="AM117" s="52">
        <f>SUM(AM241:AM300)</f>
        <v/>
      </c>
      <c r="AN117" s="52">
        <f>SUM(AN241:AN300)</f>
        <v/>
      </c>
      <c r="AO117" s="52">
        <f>SUM(AO241:AO300)</f>
        <v/>
      </c>
      <c r="AP117" s="52">
        <f>SUM(AP241:AP300)</f>
        <v/>
      </c>
      <c r="AQ117" s="52">
        <f>SUM(AQ241:AQ300)</f>
        <v/>
      </c>
      <c r="AR117" s="52">
        <f>SUM(AR241:AR300)</f>
        <v/>
      </c>
      <c r="AS117" s="52">
        <f>SUM(AS241:AS300)</f>
        <v/>
      </c>
      <c r="AT117" s="52">
        <f>SUM(AT241:AT300)</f>
        <v/>
      </c>
      <c r="AU117" s="52">
        <f>SUM(AU241:AU300)</f>
        <v/>
      </c>
      <c r="AV117" s="52">
        <f>SUM(AV241:AV300)</f>
        <v/>
      </c>
    </row>
    <row r="118">
      <c r="B118" s="7" t="inlineStr">
        <is>
          <t>LTV (contribution)</t>
        </is>
      </c>
      <c r="C118" s="5" t="inlineStr">
        <is>
          <t>₹</t>
        </is>
      </c>
      <c r="D118" s="50">
        <f>D360</f>
        <v/>
      </c>
      <c r="E118" s="50">
        <f>E360</f>
        <v/>
      </c>
      <c r="F118" s="50">
        <f>F360</f>
        <v/>
      </c>
      <c r="G118" s="50">
        <f>G360</f>
        <v/>
      </c>
      <c r="H118" s="50">
        <f>H360</f>
        <v/>
      </c>
      <c r="I118" s="50">
        <f>I360</f>
        <v/>
      </c>
      <c r="J118" s="50">
        <f>J360</f>
        <v/>
      </c>
      <c r="K118" s="50">
        <f>K360</f>
        <v/>
      </c>
      <c r="L118" s="50">
        <f>L360</f>
        <v/>
      </c>
      <c r="M118" s="50">
        <f>M360</f>
        <v/>
      </c>
      <c r="N118" s="50">
        <f>N360</f>
        <v/>
      </c>
      <c r="O118" s="50">
        <f>O360</f>
        <v/>
      </c>
      <c r="P118" s="50">
        <f>P360</f>
        <v/>
      </c>
      <c r="Q118" s="50">
        <f>Q360</f>
        <v/>
      </c>
      <c r="R118" s="50">
        <f>R360</f>
        <v/>
      </c>
      <c r="S118" s="50">
        <f>S360</f>
        <v/>
      </c>
      <c r="T118" s="50">
        <f>T360</f>
        <v/>
      </c>
      <c r="U118" s="50">
        <f>U360</f>
        <v/>
      </c>
      <c r="V118" s="50">
        <f>V360</f>
        <v/>
      </c>
      <c r="W118" s="50">
        <f>W360</f>
        <v/>
      </c>
      <c r="X118" s="50">
        <f>X360</f>
        <v/>
      </c>
      <c r="Y118" s="50">
        <f>Y360</f>
        <v/>
      </c>
      <c r="Z118" s="50">
        <f>Z360</f>
        <v/>
      </c>
      <c r="AA118" s="50">
        <f>AA360</f>
        <v/>
      </c>
      <c r="AB118" s="50">
        <f>AB360</f>
        <v/>
      </c>
      <c r="AC118" s="50">
        <f>AC360</f>
        <v/>
      </c>
      <c r="AD118" s="50">
        <f>AD360</f>
        <v/>
      </c>
      <c r="AE118" s="50">
        <f>AE360</f>
        <v/>
      </c>
      <c r="AF118" s="50">
        <f>AF360</f>
        <v/>
      </c>
      <c r="AG118" s="50">
        <f>AG360</f>
        <v/>
      </c>
      <c r="AH118" s="50">
        <f>AH360</f>
        <v/>
      </c>
      <c r="AI118" s="50">
        <f>AI360</f>
        <v/>
      </c>
      <c r="AJ118" s="50">
        <f>AJ360</f>
        <v/>
      </c>
      <c r="AK118" s="50">
        <f>AK360</f>
        <v/>
      </c>
      <c r="AL118" s="50">
        <f>AL360</f>
        <v/>
      </c>
      <c r="AM118" s="50">
        <f>AM360</f>
        <v/>
      </c>
      <c r="AN118" s="50">
        <f>AN360</f>
        <v/>
      </c>
      <c r="AO118" s="50">
        <f>AO360</f>
        <v/>
      </c>
      <c r="AP118" s="50">
        <f>AP360</f>
        <v/>
      </c>
      <c r="AQ118" s="50">
        <f>AQ360</f>
        <v/>
      </c>
      <c r="AR118" s="50">
        <f>AR360</f>
        <v/>
      </c>
      <c r="AS118" s="50">
        <f>AS360</f>
        <v/>
      </c>
      <c r="AT118" s="50">
        <f>AT360</f>
        <v/>
      </c>
      <c r="AU118" s="50">
        <f>AU360</f>
        <v/>
      </c>
      <c r="AV118" s="50">
        <f>AV360</f>
        <v/>
      </c>
    </row>
    <row r="119">
      <c r="B119" s="7" t="inlineStr">
        <is>
          <t>LTV ÷ fully loaded acquisition cost</t>
        </is>
      </c>
      <c r="C119" s="5" t="inlineStr">
        <is>
          <t>x</t>
        </is>
      </c>
      <c r="D119" s="53">
        <f>IF(D113&gt;0,D118/D113,0)</f>
        <v/>
      </c>
      <c r="E119" s="53">
        <f>IF(E113&gt;0,E118/E113,0)</f>
        <v/>
      </c>
      <c r="F119" s="53">
        <f>IF(F113&gt;0,F118/F113,0)</f>
        <v/>
      </c>
      <c r="G119" s="53">
        <f>IF(G113&gt;0,G118/G113,0)</f>
        <v/>
      </c>
      <c r="H119" s="53">
        <f>IF(H113&gt;0,H118/H113,0)</f>
        <v/>
      </c>
      <c r="I119" s="53">
        <f>IF(I113&gt;0,I118/I113,0)</f>
        <v/>
      </c>
      <c r="J119" s="53">
        <f>IF(J113&gt;0,J118/J113,0)</f>
        <v/>
      </c>
      <c r="K119" s="53">
        <f>IF(K113&gt;0,K118/K113,0)</f>
        <v/>
      </c>
      <c r="L119" s="53">
        <f>IF(L113&gt;0,L118/L113,0)</f>
        <v/>
      </c>
      <c r="M119" s="53">
        <f>IF(M113&gt;0,M118/M113,0)</f>
        <v/>
      </c>
      <c r="N119" s="53">
        <f>IF(N113&gt;0,N118/N113,0)</f>
        <v/>
      </c>
      <c r="O119" s="53">
        <f>IF(O113&gt;0,O118/O113,0)</f>
        <v/>
      </c>
      <c r="P119" s="53">
        <f>IF(P113&gt;0,P118/P113,0)</f>
        <v/>
      </c>
      <c r="Q119" s="53">
        <f>IF(Q113&gt;0,Q118/Q113,0)</f>
        <v/>
      </c>
      <c r="R119" s="53">
        <f>IF(R113&gt;0,R118/R113,0)</f>
        <v/>
      </c>
      <c r="S119" s="53">
        <f>IF(S113&gt;0,S118/S113,0)</f>
        <v/>
      </c>
      <c r="T119" s="53">
        <f>IF(T113&gt;0,T118/T113,0)</f>
        <v/>
      </c>
      <c r="U119" s="53">
        <f>IF(U113&gt;0,U118/U113,0)</f>
        <v/>
      </c>
      <c r="V119" s="53">
        <f>IF(V113&gt;0,V118/V113,0)</f>
        <v/>
      </c>
      <c r="W119" s="53">
        <f>IF(W113&gt;0,W118/W113,0)</f>
        <v/>
      </c>
      <c r="X119" s="53">
        <f>IF(X113&gt;0,X118/X113,0)</f>
        <v/>
      </c>
      <c r="Y119" s="53">
        <f>IF(Y113&gt;0,Y118/Y113,0)</f>
        <v/>
      </c>
      <c r="Z119" s="53">
        <f>IF(Z113&gt;0,Z118/Z113,0)</f>
        <v/>
      </c>
      <c r="AA119" s="53">
        <f>IF(AA113&gt;0,AA118/AA113,0)</f>
        <v/>
      </c>
      <c r="AB119" s="53">
        <f>IF(AB113&gt;0,AB118/AB113,0)</f>
        <v/>
      </c>
      <c r="AC119" s="53">
        <f>IF(AC113&gt;0,AC118/AC113,0)</f>
        <v/>
      </c>
      <c r="AD119" s="53">
        <f>IF(AD113&gt;0,AD118/AD113,0)</f>
        <v/>
      </c>
      <c r="AE119" s="53">
        <f>IF(AE113&gt;0,AE118/AE113,0)</f>
        <v/>
      </c>
      <c r="AF119" s="53">
        <f>IF(AF113&gt;0,AF118/AF113,0)</f>
        <v/>
      </c>
      <c r="AG119" s="53">
        <f>IF(AG113&gt;0,AG118/AG113,0)</f>
        <v/>
      </c>
      <c r="AH119" s="53">
        <f>IF(AH113&gt;0,AH118/AH113,0)</f>
        <v/>
      </c>
      <c r="AI119" s="53">
        <f>IF(AI113&gt;0,AI118/AI113,0)</f>
        <v/>
      </c>
      <c r="AJ119" s="53">
        <f>IF(AJ113&gt;0,AJ118/AJ113,0)</f>
        <v/>
      </c>
      <c r="AK119" s="53">
        <f>IF(AK113&gt;0,AK118/AK113,0)</f>
        <v/>
      </c>
      <c r="AL119" s="53">
        <f>IF(AL113&gt;0,AL118/AL113,0)</f>
        <v/>
      </c>
      <c r="AM119" s="53">
        <f>IF(AM113&gt;0,AM118/AM113,0)</f>
        <v/>
      </c>
      <c r="AN119" s="53">
        <f>IF(AN113&gt;0,AN118/AN113,0)</f>
        <v/>
      </c>
      <c r="AO119" s="53">
        <f>IF(AO113&gt;0,AO118/AO113,0)</f>
        <v/>
      </c>
      <c r="AP119" s="53">
        <f>IF(AP113&gt;0,AP118/AP113,0)</f>
        <v/>
      </c>
      <c r="AQ119" s="53">
        <f>IF(AQ113&gt;0,AQ118/AQ113,0)</f>
        <v/>
      </c>
      <c r="AR119" s="53">
        <f>IF(AR113&gt;0,AR118/AR113,0)</f>
        <v/>
      </c>
      <c r="AS119" s="53">
        <f>IF(AS113&gt;0,AS118/AS113,0)</f>
        <v/>
      </c>
      <c r="AT119" s="53">
        <f>IF(AT113&gt;0,AT118/AT113,0)</f>
        <v/>
      </c>
      <c r="AU119" s="53">
        <f>IF(AU113&gt;0,AU118/AU113,0)</f>
        <v/>
      </c>
      <c r="AV119" s="53">
        <f>IF(AV113&gt;0,AV118/AV113,0)</f>
        <v/>
      </c>
    </row>
    <row r="120">
      <c r="B120" s="7" t="inlineStr">
        <is>
          <t>Payback (months of paid life, discounted)</t>
        </is>
      </c>
      <c r="C120" s="5" t="inlineStr">
        <is>
          <t>months</t>
        </is>
      </c>
      <c r="D120" s="58">
        <f>IF(D360&lt;D113,61,COUNTIF(D301:D360,"&lt;"&amp;D113)+1)</f>
        <v/>
      </c>
      <c r="E120" s="58">
        <f>IF(E360&lt;E113,61,COUNTIF(E301:E360,"&lt;"&amp;E113)+1)</f>
        <v/>
      </c>
      <c r="F120" s="58">
        <f>IF(F360&lt;F113,61,COUNTIF(F301:F360,"&lt;"&amp;F113)+1)</f>
        <v/>
      </c>
      <c r="G120" s="58">
        <f>IF(G360&lt;G113,61,COUNTIF(G301:G360,"&lt;"&amp;G113)+1)</f>
        <v/>
      </c>
      <c r="H120" s="58">
        <f>IF(H360&lt;H113,61,COUNTIF(H301:H360,"&lt;"&amp;H113)+1)</f>
        <v/>
      </c>
      <c r="I120" s="58">
        <f>IF(I360&lt;I113,61,COUNTIF(I301:I360,"&lt;"&amp;I113)+1)</f>
        <v/>
      </c>
      <c r="J120" s="58">
        <f>IF(J360&lt;J113,61,COUNTIF(J301:J360,"&lt;"&amp;J113)+1)</f>
        <v/>
      </c>
      <c r="K120" s="58">
        <f>IF(K360&lt;K113,61,COUNTIF(K301:K360,"&lt;"&amp;K113)+1)</f>
        <v/>
      </c>
      <c r="L120" s="58">
        <f>IF(L360&lt;L113,61,COUNTIF(L301:L360,"&lt;"&amp;L113)+1)</f>
        <v/>
      </c>
      <c r="M120" s="58">
        <f>IF(M360&lt;M113,61,COUNTIF(M301:M360,"&lt;"&amp;M113)+1)</f>
        <v/>
      </c>
      <c r="N120" s="58">
        <f>IF(N360&lt;N113,61,COUNTIF(N301:N360,"&lt;"&amp;N113)+1)</f>
        <v/>
      </c>
      <c r="O120" s="58">
        <f>IF(O360&lt;O113,61,COUNTIF(O301:O360,"&lt;"&amp;O113)+1)</f>
        <v/>
      </c>
      <c r="P120" s="58">
        <f>IF(P360&lt;P113,61,COUNTIF(P301:P360,"&lt;"&amp;P113)+1)</f>
        <v/>
      </c>
      <c r="Q120" s="58">
        <f>IF(Q360&lt;Q113,61,COUNTIF(Q301:Q360,"&lt;"&amp;Q113)+1)</f>
        <v/>
      </c>
      <c r="R120" s="58">
        <f>IF(R360&lt;R113,61,COUNTIF(R301:R360,"&lt;"&amp;R113)+1)</f>
        <v/>
      </c>
      <c r="S120" s="58">
        <f>IF(S360&lt;S113,61,COUNTIF(S301:S360,"&lt;"&amp;S113)+1)</f>
        <v/>
      </c>
      <c r="T120" s="58">
        <f>IF(T360&lt;T113,61,COUNTIF(T301:T360,"&lt;"&amp;T113)+1)</f>
        <v/>
      </c>
      <c r="U120" s="58">
        <f>IF(U360&lt;U113,61,COUNTIF(U301:U360,"&lt;"&amp;U113)+1)</f>
        <v/>
      </c>
      <c r="V120" s="58">
        <f>IF(V360&lt;V113,61,COUNTIF(V301:V360,"&lt;"&amp;V113)+1)</f>
        <v/>
      </c>
      <c r="W120" s="58">
        <f>IF(W360&lt;W113,61,COUNTIF(W301:W360,"&lt;"&amp;W113)+1)</f>
        <v/>
      </c>
      <c r="X120" s="58">
        <f>IF(X360&lt;X113,61,COUNTIF(X301:X360,"&lt;"&amp;X113)+1)</f>
        <v/>
      </c>
      <c r="Y120" s="58">
        <f>IF(Y360&lt;Y113,61,COUNTIF(Y301:Y360,"&lt;"&amp;Y113)+1)</f>
        <v/>
      </c>
      <c r="Z120" s="58">
        <f>IF(Z360&lt;Z113,61,COUNTIF(Z301:Z360,"&lt;"&amp;Z113)+1)</f>
        <v/>
      </c>
      <c r="AA120" s="58">
        <f>IF(AA360&lt;AA113,61,COUNTIF(AA301:AA360,"&lt;"&amp;AA113)+1)</f>
        <v/>
      </c>
      <c r="AB120" s="58">
        <f>IF(AB360&lt;AB113,61,COUNTIF(AB301:AB360,"&lt;"&amp;AB113)+1)</f>
        <v/>
      </c>
      <c r="AC120" s="58">
        <f>IF(AC360&lt;AC113,61,COUNTIF(AC301:AC360,"&lt;"&amp;AC113)+1)</f>
        <v/>
      </c>
      <c r="AD120" s="58">
        <f>IF(AD360&lt;AD113,61,COUNTIF(AD301:AD360,"&lt;"&amp;AD113)+1)</f>
        <v/>
      </c>
      <c r="AE120" s="58">
        <f>IF(AE360&lt;AE113,61,COUNTIF(AE301:AE360,"&lt;"&amp;AE113)+1)</f>
        <v/>
      </c>
      <c r="AF120" s="58">
        <f>IF(AF360&lt;AF113,61,COUNTIF(AF301:AF360,"&lt;"&amp;AF113)+1)</f>
        <v/>
      </c>
      <c r="AG120" s="58">
        <f>IF(AG360&lt;AG113,61,COUNTIF(AG301:AG360,"&lt;"&amp;AG113)+1)</f>
        <v/>
      </c>
      <c r="AH120" s="58">
        <f>IF(AH360&lt;AH113,61,COUNTIF(AH301:AH360,"&lt;"&amp;AH113)+1)</f>
        <v/>
      </c>
      <c r="AI120" s="58">
        <f>IF(AI360&lt;AI113,61,COUNTIF(AI301:AI360,"&lt;"&amp;AI113)+1)</f>
        <v/>
      </c>
      <c r="AJ120" s="58">
        <f>IF(AJ360&lt;AJ113,61,COUNTIF(AJ301:AJ360,"&lt;"&amp;AJ113)+1)</f>
        <v/>
      </c>
      <c r="AK120" s="58">
        <f>IF(AK360&lt;AK113,61,COUNTIF(AK301:AK360,"&lt;"&amp;AK113)+1)</f>
        <v/>
      </c>
      <c r="AL120" s="58">
        <f>IF(AL360&lt;AL113,61,COUNTIF(AL301:AL360,"&lt;"&amp;AL113)+1)</f>
        <v/>
      </c>
      <c r="AM120" s="58">
        <f>IF(AM360&lt;AM113,61,COUNTIF(AM301:AM360,"&lt;"&amp;AM113)+1)</f>
        <v/>
      </c>
      <c r="AN120" s="58">
        <f>IF(AN360&lt;AN113,61,COUNTIF(AN301:AN360,"&lt;"&amp;AN113)+1)</f>
        <v/>
      </c>
      <c r="AO120" s="58">
        <f>IF(AO360&lt;AO113,61,COUNTIF(AO301:AO360,"&lt;"&amp;AO113)+1)</f>
        <v/>
      </c>
      <c r="AP120" s="58">
        <f>IF(AP360&lt;AP113,61,COUNTIF(AP301:AP360,"&lt;"&amp;AP113)+1)</f>
        <v/>
      </c>
      <c r="AQ120" s="58">
        <f>IF(AQ360&lt;AQ113,61,COUNTIF(AQ301:AQ360,"&lt;"&amp;AQ113)+1)</f>
        <v/>
      </c>
      <c r="AR120" s="58">
        <f>IF(AR360&lt;AR113,61,COUNTIF(AR301:AR360,"&lt;"&amp;AR113)+1)</f>
        <v/>
      </c>
      <c r="AS120" s="58">
        <f>IF(AS360&lt;AS113,61,COUNTIF(AS301:AS360,"&lt;"&amp;AS113)+1)</f>
        <v/>
      </c>
      <c r="AT120" s="58">
        <f>IF(AT360&lt;AT113,61,COUNTIF(AT301:AT360,"&lt;"&amp;AT113)+1)</f>
        <v/>
      </c>
      <c r="AU120" s="58">
        <f>IF(AU360&lt;AU113,61,COUNTIF(AU301:AU360,"&lt;"&amp;AU113)+1)</f>
        <v/>
      </c>
      <c r="AV120" s="58">
        <f>IF(AV360&lt;AV113,61,COUNTIF(AV301:AV360,"&lt;"&amp;AV113)+1)</f>
        <v/>
      </c>
    </row>
    <row r="121">
      <c r="B121" s="7" t="inlineStr">
        <is>
          <t>Revenue collected · month 1</t>
        </is>
      </c>
      <c r="C121" s="5" t="inlineStr">
        <is>
          <t>₹</t>
        </is>
      </c>
      <c r="D121" s="48">
        <f>MAX(D23,D21*Seasonality!$C$37*D22)*(1-D72)*(1-D48)</f>
        <v/>
      </c>
      <c r="E121" s="48">
        <f>MAX(E23,E21*Seasonality!$C$37*E22)*(1-E72)*(1-E48)</f>
        <v/>
      </c>
      <c r="F121" s="48">
        <f>MAX(F23,F21*Seasonality!$C$37*F22)*(1-F72)*(1-F48)</f>
        <v/>
      </c>
      <c r="G121" s="48">
        <f>MAX(G23,G21*Seasonality!$C$37*G22)*(1-G72)*(1-G48)</f>
        <v/>
      </c>
      <c r="H121" s="48">
        <f>MAX(H23,H21*Seasonality!$C$37*H22)*(1-H72)*(1-H48)</f>
        <v/>
      </c>
      <c r="I121" s="48">
        <f>MAX(I23,I21*Seasonality!$C$37*I22)*(1-I72)*(1-I48)</f>
        <v/>
      </c>
      <c r="J121" s="48">
        <f>MAX(J23,J21*Seasonality!$C$37*J22)*(1-J72)*(1-J48)</f>
        <v/>
      </c>
      <c r="K121" s="48">
        <f>MAX(K23,K21*Seasonality!$C$37*K22)*(1-K72)*(1-K48)</f>
        <v/>
      </c>
      <c r="L121" s="48">
        <f>MAX(L23,L21*Seasonality!$C$37*L22)*(1-L72)*(1-L48)</f>
        <v/>
      </c>
      <c r="M121" s="48">
        <f>MAX(M23,M21*Seasonality!$C$37*M22)*(1-M72)*(1-M48)</f>
        <v/>
      </c>
      <c r="N121" s="48">
        <f>MAX(N23,N21*Seasonality!$C$37*N22)*(1-N72)*(1-N48)</f>
        <v/>
      </c>
      <c r="O121" s="48">
        <f>MAX(O23,O21*Seasonality!$C$37*O22)*(1-O72)*(1-O48)</f>
        <v/>
      </c>
      <c r="P121" s="48">
        <f>MAX(P23,P21*Seasonality!$C$37*P22)*(1-P72)*(1-P48)</f>
        <v/>
      </c>
      <c r="Q121" s="48">
        <f>MAX(Q23,Q21*Seasonality!$C$37*Q22)*(1-Q72)*(1-Q48)</f>
        <v/>
      </c>
      <c r="R121" s="48">
        <f>MAX(R23,R21*Seasonality!$C$37*R22)*(1-R72)*(1-R48)</f>
        <v/>
      </c>
      <c r="S121" s="48">
        <f>MAX(S23,S21*Seasonality!$C$37*S22)*(1-S72)*(1-S48)</f>
        <v/>
      </c>
      <c r="T121" s="48">
        <f>MAX(T23,T21*Seasonality!$C$37*T22)*(1-T72)*(1-T48)</f>
        <v/>
      </c>
      <c r="U121" s="48">
        <f>MAX(U23,U21*Seasonality!$C$37*U22)*(1-U72)*(1-U48)</f>
        <v/>
      </c>
      <c r="V121" s="48">
        <f>MAX(V23,V21*Seasonality!$C$37*V22)*(1-V72)*(1-V48)</f>
        <v/>
      </c>
      <c r="W121" s="48">
        <f>MAX(W23,W21*Seasonality!$C$37*W22)*(1-W72)*(1-W48)</f>
        <v/>
      </c>
      <c r="X121" s="48">
        <f>MAX(X23,X21*Seasonality!$C$37*X22)*(1-X72)*(1-X48)</f>
        <v/>
      </c>
      <c r="Y121" s="48">
        <f>MAX(Y23,Y21*Seasonality!$C$37*Y22)*(1-Y72)*(1-Y48)</f>
        <v/>
      </c>
      <c r="Z121" s="48">
        <f>MAX(Z23,Z21*Seasonality!$C$37*Z22)*(1-Z72)*(1-Z48)</f>
        <v/>
      </c>
      <c r="AA121" s="48">
        <f>MAX(AA23,AA21*Seasonality!$C$37*AA22)*(1-AA72)*(1-AA48)</f>
        <v/>
      </c>
      <c r="AB121" s="48">
        <f>MAX(AB23,AB21*Seasonality!$C$37*AB22)*(1-AB72)*(1-AB48)</f>
        <v/>
      </c>
      <c r="AC121" s="48">
        <f>MAX(AC23,AC21*Seasonality!$C$37*AC22)*(1-AC72)*(1-AC48)</f>
        <v/>
      </c>
      <c r="AD121" s="48">
        <f>MAX(AD23,AD21*Seasonality!$C$37*AD22)*(1-AD72)*(1-AD48)</f>
        <v/>
      </c>
      <c r="AE121" s="48">
        <f>MAX(AE23,AE21*Seasonality!$C$37*AE22)*(1-AE72)*(1-AE48)</f>
        <v/>
      </c>
      <c r="AF121" s="48">
        <f>MAX(AF23,AF21*Seasonality!$C$37*AF22)*(1-AF72)*(1-AF48)</f>
        <v/>
      </c>
      <c r="AG121" s="48">
        <f>MAX(AG23,AG21*Seasonality!$C$37*AG22)*(1-AG72)*(1-AG48)</f>
        <v/>
      </c>
      <c r="AH121" s="48">
        <f>MAX(AH23,AH21*Seasonality!$C$37*AH22)*(1-AH72)*(1-AH48)</f>
        <v/>
      </c>
      <c r="AI121" s="48">
        <f>MAX(AI23,AI21*Seasonality!$C$37*AI22)*(1-AI72)*(1-AI48)</f>
        <v/>
      </c>
      <c r="AJ121" s="48">
        <f>MAX(AJ23,AJ21*Seasonality!$C$37*AJ22)*(1-AJ72)*(1-AJ48)</f>
        <v/>
      </c>
      <c r="AK121" s="48">
        <f>MAX(AK23,AK21*Seasonality!$C$37*AK22)*(1-AK72)*(1-AK48)</f>
        <v/>
      </c>
      <c r="AL121" s="48">
        <f>MAX(AL23,AL21*Seasonality!$C$37*AL22)*(1-AL72)*(1-AL48)</f>
        <v/>
      </c>
      <c r="AM121" s="48">
        <f>MAX(AM23,AM21*Seasonality!$C$37*AM22)*(1-AM72)*(1-AM48)</f>
        <v/>
      </c>
      <c r="AN121" s="48">
        <f>MAX(AN23,AN21*Seasonality!$C$37*AN22)*(1-AN72)*(1-AN48)</f>
        <v/>
      </c>
      <c r="AO121" s="48">
        <f>MAX(AO23,AO21*Seasonality!$C$37*AO22)*(1-AO72)*(1-AO48)</f>
        <v/>
      </c>
      <c r="AP121" s="48">
        <f>MAX(AP23,AP21*Seasonality!$C$37*AP22)*(1-AP72)*(1-AP48)</f>
        <v/>
      </c>
      <c r="AQ121" s="48">
        <f>MAX(AQ23,AQ21*Seasonality!$C$37*AQ22)*(1-AQ72)*(1-AQ48)</f>
        <v/>
      </c>
      <c r="AR121" s="48">
        <f>MAX(AR23,AR21*Seasonality!$C$37*AR22)*(1-AR72)*(1-AR48)</f>
        <v/>
      </c>
      <c r="AS121" s="48">
        <f>MAX(AS23,AS21*Seasonality!$C$37*AS22)*(1-AS72)*(1-AS48)</f>
        <v/>
      </c>
      <c r="AT121" s="48">
        <f>MAX(AT23,AT21*Seasonality!$C$37*AT22)*(1-AT72)*(1-AT48)</f>
        <v/>
      </c>
      <c r="AU121" s="48">
        <f>MAX(AU23,AU21*Seasonality!$C$37*AU22)*(1-AU72)*(1-AU48)</f>
        <v/>
      </c>
      <c r="AV121" s="48">
        <f>MAX(AV23,AV21*Seasonality!$C$37*AV22)*(1-AV72)*(1-AV48)</f>
        <v/>
      </c>
    </row>
    <row r="122">
      <c r="B122" s="7" t="inlineStr">
        <is>
          <t>Revenue collected · month 2</t>
        </is>
      </c>
      <c r="C122" s="5" t="inlineStr">
        <is>
          <t>₹</t>
        </is>
      </c>
      <c r="D122" s="48">
        <f>MAX(D23,D21*Seasonality!$C$38*D22)*(1-D72)*(1-D48)</f>
        <v/>
      </c>
      <c r="E122" s="48">
        <f>MAX(E23,E21*Seasonality!$C$38*E22)*(1-E72)*(1-E48)</f>
        <v/>
      </c>
      <c r="F122" s="48">
        <f>MAX(F23,F21*Seasonality!$C$38*F22)*(1-F72)*(1-F48)</f>
        <v/>
      </c>
      <c r="G122" s="48">
        <f>MAX(G23,G21*Seasonality!$C$38*G22)*(1-G72)*(1-G48)</f>
        <v/>
      </c>
      <c r="H122" s="48">
        <f>MAX(H23,H21*Seasonality!$C$38*H22)*(1-H72)*(1-H48)</f>
        <v/>
      </c>
      <c r="I122" s="48">
        <f>MAX(I23,I21*Seasonality!$C$38*I22)*(1-I72)*(1-I48)</f>
        <v/>
      </c>
      <c r="J122" s="48">
        <f>MAX(J23,J21*Seasonality!$C$38*J22)*(1-J72)*(1-J48)</f>
        <v/>
      </c>
      <c r="K122" s="48">
        <f>MAX(K23,K21*Seasonality!$C$38*K22)*(1-K72)*(1-K48)</f>
        <v/>
      </c>
      <c r="L122" s="48">
        <f>MAX(L23,L21*Seasonality!$C$38*L22)*(1-L72)*(1-L48)</f>
        <v/>
      </c>
      <c r="M122" s="48">
        <f>MAX(M23,M21*Seasonality!$C$38*M22)*(1-M72)*(1-M48)</f>
        <v/>
      </c>
      <c r="N122" s="48">
        <f>MAX(N23,N21*Seasonality!$C$38*N22)*(1-N72)*(1-N48)</f>
        <v/>
      </c>
      <c r="O122" s="48">
        <f>MAX(O23,O21*Seasonality!$C$38*O22)*(1-O72)*(1-O48)</f>
        <v/>
      </c>
      <c r="P122" s="48">
        <f>MAX(P23,P21*Seasonality!$C$38*P22)*(1-P72)*(1-P48)</f>
        <v/>
      </c>
      <c r="Q122" s="48">
        <f>MAX(Q23,Q21*Seasonality!$C$38*Q22)*(1-Q72)*(1-Q48)</f>
        <v/>
      </c>
      <c r="R122" s="48">
        <f>MAX(R23,R21*Seasonality!$C$38*R22)*(1-R72)*(1-R48)</f>
        <v/>
      </c>
      <c r="S122" s="48">
        <f>MAX(S23,S21*Seasonality!$C$38*S22)*(1-S72)*(1-S48)</f>
        <v/>
      </c>
      <c r="T122" s="48">
        <f>MAX(T23,T21*Seasonality!$C$38*T22)*(1-T72)*(1-T48)</f>
        <v/>
      </c>
      <c r="U122" s="48">
        <f>MAX(U23,U21*Seasonality!$C$38*U22)*(1-U72)*(1-U48)</f>
        <v/>
      </c>
      <c r="V122" s="48">
        <f>MAX(V23,V21*Seasonality!$C$38*V22)*(1-V72)*(1-V48)</f>
        <v/>
      </c>
      <c r="W122" s="48">
        <f>MAX(W23,W21*Seasonality!$C$38*W22)*(1-W72)*(1-W48)</f>
        <v/>
      </c>
      <c r="X122" s="48">
        <f>MAX(X23,X21*Seasonality!$C$38*X22)*(1-X72)*(1-X48)</f>
        <v/>
      </c>
      <c r="Y122" s="48">
        <f>MAX(Y23,Y21*Seasonality!$C$38*Y22)*(1-Y72)*(1-Y48)</f>
        <v/>
      </c>
      <c r="Z122" s="48">
        <f>MAX(Z23,Z21*Seasonality!$C$38*Z22)*(1-Z72)*(1-Z48)</f>
        <v/>
      </c>
      <c r="AA122" s="48">
        <f>MAX(AA23,AA21*Seasonality!$C$38*AA22)*(1-AA72)*(1-AA48)</f>
        <v/>
      </c>
      <c r="AB122" s="48">
        <f>MAX(AB23,AB21*Seasonality!$C$38*AB22)*(1-AB72)*(1-AB48)</f>
        <v/>
      </c>
      <c r="AC122" s="48">
        <f>MAX(AC23,AC21*Seasonality!$C$38*AC22)*(1-AC72)*(1-AC48)</f>
        <v/>
      </c>
      <c r="AD122" s="48">
        <f>MAX(AD23,AD21*Seasonality!$C$38*AD22)*(1-AD72)*(1-AD48)</f>
        <v/>
      </c>
      <c r="AE122" s="48">
        <f>MAX(AE23,AE21*Seasonality!$C$38*AE22)*(1-AE72)*(1-AE48)</f>
        <v/>
      </c>
      <c r="AF122" s="48">
        <f>MAX(AF23,AF21*Seasonality!$C$38*AF22)*(1-AF72)*(1-AF48)</f>
        <v/>
      </c>
      <c r="AG122" s="48">
        <f>MAX(AG23,AG21*Seasonality!$C$38*AG22)*(1-AG72)*(1-AG48)</f>
        <v/>
      </c>
      <c r="AH122" s="48">
        <f>MAX(AH23,AH21*Seasonality!$C$38*AH22)*(1-AH72)*(1-AH48)</f>
        <v/>
      </c>
      <c r="AI122" s="48">
        <f>MAX(AI23,AI21*Seasonality!$C$38*AI22)*(1-AI72)*(1-AI48)</f>
        <v/>
      </c>
      <c r="AJ122" s="48">
        <f>MAX(AJ23,AJ21*Seasonality!$C$38*AJ22)*(1-AJ72)*(1-AJ48)</f>
        <v/>
      </c>
      <c r="AK122" s="48">
        <f>MAX(AK23,AK21*Seasonality!$C$38*AK22)*(1-AK72)*(1-AK48)</f>
        <v/>
      </c>
      <c r="AL122" s="48">
        <f>MAX(AL23,AL21*Seasonality!$C$38*AL22)*(1-AL72)*(1-AL48)</f>
        <v/>
      </c>
      <c r="AM122" s="48">
        <f>MAX(AM23,AM21*Seasonality!$C$38*AM22)*(1-AM72)*(1-AM48)</f>
        <v/>
      </c>
      <c r="AN122" s="48">
        <f>MAX(AN23,AN21*Seasonality!$C$38*AN22)*(1-AN72)*(1-AN48)</f>
        <v/>
      </c>
      <c r="AO122" s="48">
        <f>MAX(AO23,AO21*Seasonality!$C$38*AO22)*(1-AO72)*(1-AO48)</f>
        <v/>
      </c>
      <c r="AP122" s="48">
        <f>MAX(AP23,AP21*Seasonality!$C$38*AP22)*(1-AP72)*(1-AP48)</f>
        <v/>
      </c>
      <c r="AQ122" s="48">
        <f>MAX(AQ23,AQ21*Seasonality!$C$38*AQ22)*(1-AQ72)*(1-AQ48)</f>
        <v/>
      </c>
      <c r="AR122" s="48">
        <f>MAX(AR23,AR21*Seasonality!$C$38*AR22)*(1-AR72)*(1-AR48)</f>
        <v/>
      </c>
      <c r="AS122" s="48">
        <f>MAX(AS23,AS21*Seasonality!$C$38*AS22)*(1-AS72)*(1-AS48)</f>
        <v/>
      </c>
      <c r="AT122" s="48">
        <f>MAX(AT23,AT21*Seasonality!$C$38*AT22)*(1-AT72)*(1-AT48)</f>
        <v/>
      </c>
      <c r="AU122" s="48">
        <f>MAX(AU23,AU21*Seasonality!$C$38*AU22)*(1-AU72)*(1-AU48)</f>
        <v/>
      </c>
      <c r="AV122" s="48">
        <f>MAX(AV23,AV21*Seasonality!$C$38*AV22)*(1-AV72)*(1-AV48)</f>
        <v/>
      </c>
    </row>
    <row r="123">
      <c r="B123" s="7" t="inlineStr">
        <is>
          <t>Revenue collected · month 3</t>
        </is>
      </c>
      <c r="C123" s="5" t="inlineStr">
        <is>
          <t>₹</t>
        </is>
      </c>
      <c r="D123" s="48">
        <f>MAX(D23,D21*Seasonality!$C$39*D22)*(1-D72)*(1-D48)</f>
        <v/>
      </c>
      <c r="E123" s="48">
        <f>MAX(E23,E21*Seasonality!$C$39*E22)*(1-E72)*(1-E48)</f>
        <v/>
      </c>
      <c r="F123" s="48">
        <f>MAX(F23,F21*Seasonality!$C$39*F22)*(1-F72)*(1-F48)</f>
        <v/>
      </c>
      <c r="G123" s="48">
        <f>MAX(G23,G21*Seasonality!$C$39*G22)*(1-G72)*(1-G48)</f>
        <v/>
      </c>
      <c r="H123" s="48">
        <f>MAX(H23,H21*Seasonality!$C$39*H22)*(1-H72)*(1-H48)</f>
        <v/>
      </c>
      <c r="I123" s="48">
        <f>MAX(I23,I21*Seasonality!$C$39*I22)*(1-I72)*(1-I48)</f>
        <v/>
      </c>
      <c r="J123" s="48">
        <f>MAX(J23,J21*Seasonality!$C$39*J22)*(1-J72)*(1-J48)</f>
        <v/>
      </c>
      <c r="K123" s="48">
        <f>MAX(K23,K21*Seasonality!$C$39*K22)*(1-K72)*(1-K48)</f>
        <v/>
      </c>
      <c r="L123" s="48">
        <f>MAX(L23,L21*Seasonality!$C$39*L22)*(1-L72)*(1-L48)</f>
        <v/>
      </c>
      <c r="M123" s="48">
        <f>MAX(M23,M21*Seasonality!$C$39*M22)*(1-M72)*(1-M48)</f>
        <v/>
      </c>
      <c r="N123" s="48">
        <f>MAX(N23,N21*Seasonality!$C$39*N22)*(1-N72)*(1-N48)</f>
        <v/>
      </c>
      <c r="O123" s="48">
        <f>MAX(O23,O21*Seasonality!$C$39*O22)*(1-O72)*(1-O48)</f>
        <v/>
      </c>
      <c r="P123" s="48">
        <f>MAX(P23,P21*Seasonality!$C$39*P22)*(1-P72)*(1-P48)</f>
        <v/>
      </c>
      <c r="Q123" s="48">
        <f>MAX(Q23,Q21*Seasonality!$C$39*Q22)*(1-Q72)*(1-Q48)</f>
        <v/>
      </c>
      <c r="R123" s="48">
        <f>MAX(R23,R21*Seasonality!$C$39*R22)*(1-R72)*(1-R48)</f>
        <v/>
      </c>
      <c r="S123" s="48">
        <f>MAX(S23,S21*Seasonality!$C$39*S22)*(1-S72)*(1-S48)</f>
        <v/>
      </c>
      <c r="T123" s="48">
        <f>MAX(T23,T21*Seasonality!$C$39*T22)*(1-T72)*(1-T48)</f>
        <v/>
      </c>
      <c r="U123" s="48">
        <f>MAX(U23,U21*Seasonality!$C$39*U22)*(1-U72)*(1-U48)</f>
        <v/>
      </c>
      <c r="V123" s="48">
        <f>MAX(V23,V21*Seasonality!$C$39*V22)*(1-V72)*(1-V48)</f>
        <v/>
      </c>
      <c r="W123" s="48">
        <f>MAX(W23,W21*Seasonality!$C$39*W22)*(1-W72)*(1-W48)</f>
        <v/>
      </c>
      <c r="X123" s="48">
        <f>MAX(X23,X21*Seasonality!$C$39*X22)*(1-X72)*(1-X48)</f>
        <v/>
      </c>
      <c r="Y123" s="48">
        <f>MAX(Y23,Y21*Seasonality!$C$39*Y22)*(1-Y72)*(1-Y48)</f>
        <v/>
      </c>
      <c r="Z123" s="48">
        <f>MAX(Z23,Z21*Seasonality!$C$39*Z22)*(1-Z72)*(1-Z48)</f>
        <v/>
      </c>
      <c r="AA123" s="48">
        <f>MAX(AA23,AA21*Seasonality!$C$39*AA22)*(1-AA72)*(1-AA48)</f>
        <v/>
      </c>
      <c r="AB123" s="48">
        <f>MAX(AB23,AB21*Seasonality!$C$39*AB22)*(1-AB72)*(1-AB48)</f>
        <v/>
      </c>
      <c r="AC123" s="48">
        <f>MAX(AC23,AC21*Seasonality!$C$39*AC22)*(1-AC72)*(1-AC48)</f>
        <v/>
      </c>
      <c r="AD123" s="48">
        <f>MAX(AD23,AD21*Seasonality!$C$39*AD22)*(1-AD72)*(1-AD48)</f>
        <v/>
      </c>
      <c r="AE123" s="48">
        <f>MAX(AE23,AE21*Seasonality!$C$39*AE22)*(1-AE72)*(1-AE48)</f>
        <v/>
      </c>
      <c r="AF123" s="48">
        <f>MAX(AF23,AF21*Seasonality!$C$39*AF22)*(1-AF72)*(1-AF48)</f>
        <v/>
      </c>
      <c r="AG123" s="48">
        <f>MAX(AG23,AG21*Seasonality!$C$39*AG22)*(1-AG72)*(1-AG48)</f>
        <v/>
      </c>
      <c r="AH123" s="48">
        <f>MAX(AH23,AH21*Seasonality!$C$39*AH22)*(1-AH72)*(1-AH48)</f>
        <v/>
      </c>
      <c r="AI123" s="48">
        <f>MAX(AI23,AI21*Seasonality!$C$39*AI22)*(1-AI72)*(1-AI48)</f>
        <v/>
      </c>
      <c r="AJ123" s="48">
        <f>MAX(AJ23,AJ21*Seasonality!$C$39*AJ22)*(1-AJ72)*(1-AJ48)</f>
        <v/>
      </c>
      <c r="AK123" s="48">
        <f>MAX(AK23,AK21*Seasonality!$C$39*AK22)*(1-AK72)*(1-AK48)</f>
        <v/>
      </c>
      <c r="AL123" s="48">
        <f>MAX(AL23,AL21*Seasonality!$C$39*AL22)*(1-AL72)*(1-AL48)</f>
        <v/>
      </c>
      <c r="AM123" s="48">
        <f>MAX(AM23,AM21*Seasonality!$C$39*AM22)*(1-AM72)*(1-AM48)</f>
        <v/>
      </c>
      <c r="AN123" s="48">
        <f>MAX(AN23,AN21*Seasonality!$C$39*AN22)*(1-AN72)*(1-AN48)</f>
        <v/>
      </c>
      <c r="AO123" s="48">
        <f>MAX(AO23,AO21*Seasonality!$C$39*AO22)*(1-AO72)*(1-AO48)</f>
        <v/>
      </c>
      <c r="AP123" s="48">
        <f>MAX(AP23,AP21*Seasonality!$C$39*AP22)*(1-AP72)*(1-AP48)</f>
        <v/>
      </c>
      <c r="AQ123" s="48">
        <f>MAX(AQ23,AQ21*Seasonality!$C$39*AQ22)*(1-AQ72)*(1-AQ48)</f>
        <v/>
      </c>
      <c r="AR123" s="48">
        <f>MAX(AR23,AR21*Seasonality!$C$39*AR22)*(1-AR72)*(1-AR48)</f>
        <v/>
      </c>
      <c r="AS123" s="48">
        <f>MAX(AS23,AS21*Seasonality!$C$39*AS22)*(1-AS72)*(1-AS48)</f>
        <v/>
      </c>
      <c r="AT123" s="48">
        <f>MAX(AT23,AT21*Seasonality!$C$39*AT22)*(1-AT72)*(1-AT48)</f>
        <v/>
      </c>
      <c r="AU123" s="48">
        <f>MAX(AU23,AU21*Seasonality!$C$39*AU22)*(1-AU72)*(1-AU48)</f>
        <v/>
      </c>
      <c r="AV123" s="48">
        <f>MAX(AV23,AV21*Seasonality!$C$39*AV22)*(1-AV72)*(1-AV48)</f>
        <v/>
      </c>
    </row>
    <row r="124">
      <c r="B124" s="7" t="inlineStr">
        <is>
          <t>Revenue collected · month 4</t>
        </is>
      </c>
      <c r="C124" s="5" t="inlineStr">
        <is>
          <t>₹</t>
        </is>
      </c>
      <c r="D124" s="48">
        <f>MAX(D23,D21*Seasonality!$C$40*D22)*(1-D72)*(1-D48)</f>
        <v/>
      </c>
      <c r="E124" s="48">
        <f>MAX(E23,E21*Seasonality!$C$40*E22)*(1-E72)*(1-E48)</f>
        <v/>
      </c>
      <c r="F124" s="48">
        <f>MAX(F23,F21*Seasonality!$C$40*F22)*(1-F72)*(1-F48)</f>
        <v/>
      </c>
      <c r="G124" s="48">
        <f>MAX(G23,G21*Seasonality!$C$40*G22)*(1-G72)*(1-G48)</f>
        <v/>
      </c>
      <c r="H124" s="48">
        <f>MAX(H23,H21*Seasonality!$C$40*H22)*(1-H72)*(1-H48)</f>
        <v/>
      </c>
      <c r="I124" s="48">
        <f>MAX(I23,I21*Seasonality!$C$40*I22)*(1-I72)*(1-I48)</f>
        <v/>
      </c>
      <c r="J124" s="48">
        <f>MAX(J23,J21*Seasonality!$C$40*J22)*(1-J72)*(1-J48)</f>
        <v/>
      </c>
      <c r="K124" s="48">
        <f>MAX(K23,K21*Seasonality!$C$40*K22)*(1-K72)*(1-K48)</f>
        <v/>
      </c>
      <c r="L124" s="48">
        <f>MAX(L23,L21*Seasonality!$C$40*L22)*(1-L72)*(1-L48)</f>
        <v/>
      </c>
      <c r="M124" s="48">
        <f>MAX(M23,M21*Seasonality!$C$40*M22)*(1-M72)*(1-M48)</f>
        <v/>
      </c>
      <c r="N124" s="48">
        <f>MAX(N23,N21*Seasonality!$C$40*N22)*(1-N72)*(1-N48)</f>
        <v/>
      </c>
      <c r="O124" s="48">
        <f>MAX(O23,O21*Seasonality!$C$40*O22)*(1-O72)*(1-O48)</f>
        <v/>
      </c>
      <c r="P124" s="48">
        <f>MAX(P23,P21*Seasonality!$C$40*P22)*(1-P72)*(1-P48)</f>
        <v/>
      </c>
      <c r="Q124" s="48">
        <f>MAX(Q23,Q21*Seasonality!$C$40*Q22)*(1-Q72)*(1-Q48)</f>
        <v/>
      </c>
      <c r="R124" s="48">
        <f>MAX(R23,R21*Seasonality!$C$40*R22)*(1-R72)*(1-R48)</f>
        <v/>
      </c>
      <c r="S124" s="48">
        <f>MAX(S23,S21*Seasonality!$C$40*S22)*(1-S72)*(1-S48)</f>
        <v/>
      </c>
      <c r="T124" s="48">
        <f>MAX(T23,T21*Seasonality!$C$40*T22)*(1-T72)*(1-T48)</f>
        <v/>
      </c>
      <c r="U124" s="48">
        <f>MAX(U23,U21*Seasonality!$C$40*U22)*(1-U72)*(1-U48)</f>
        <v/>
      </c>
      <c r="V124" s="48">
        <f>MAX(V23,V21*Seasonality!$C$40*V22)*(1-V72)*(1-V48)</f>
        <v/>
      </c>
      <c r="W124" s="48">
        <f>MAX(W23,W21*Seasonality!$C$40*W22)*(1-W72)*(1-W48)</f>
        <v/>
      </c>
      <c r="X124" s="48">
        <f>MAX(X23,X21*Seasonality!$C$40*X22)*(1-X72)*(1-X48)</f>
        <v/>
      </c>
      <c r="Y124" s="48">
        <f>MAX(Y23,Y21*Seasonality!$C$40*Y22)*(1-Y72)*(1-Y48)</f>
        <v/>
      </c>
      <c r="Z124" s="48">
        <f>MAX(Z23,Z21*Seasonality!$C$40*Z22)*(1-Z72)*(1-Z48)</f>
        <v/>
      </c>
      <c r="AA124" s="48">
        <f>MAX(AA23,AA21*Seasonality!$C$40*AA22)*(1-AA72)*(1-AA48)</f>
        <v/>
      </c>
      <c r="AB124" s="48">
        <f>MAX(AB23,AB21*Seasonality!$C$40*AB22)*(1-AB72)*(1-AB48)</f>
        <v/>
      </c>
      <c r="AC124" s="48">
        <f>MAX(AC23,AC21*Seasonality!$C$40*AC22)*(1-AC72)*(1-AC48)</f>
        <v/>
      </c>
      <c r="AD124" s="48">
        <f>MAX(AD23,AD21*Seasonality!$C$40*AD22)*(1-AD72)*(1-AD48)</f>
        <v/>
      </c>
      <c r="AE124" s="48">
        <f>MAX(AE23,AE21*Seasonality!$C$40*AE22)*(1-AE72)*(1-AE48)</f>
        <v/>
      </c>
      <c r="AF124" s="48">
        <f>MAX(AF23,AF21*Seasonality!$C$40*AF22)*(1-AF72)*(1-AF48)</f>
        <v/>
      </c>
      <c r="AG124" s="48">
        <f>MAX(AG23,AG21*Seasonality!$C$40*AG22)*(1-AG72)*(1-AG48)</f>
        <v/>
      </c>
      <c r="AH124" s="48">
        <f>MAX(AH23,AH21*Seasonality!$C$40*AH22)*(1-AH72)*(1-AH48)</f>
        <v/>
      </c>
      <c r="AI124" s="48">
        <f>MAX(AI23,AI21*Seasonality!$C$40*AI22)*(1-AI72)*(1-AI48)</f>
        <v/>
      </c>
      <c r="AJ124" s="48">
        <f>MAX(AJ23,AJ21*Seasonality!$C$40*AJ22)*(1-AJ72)*(1-AJ48)</f>
        <v/>
      </c>
      <c r="AK124" s="48">
        <f>MAX(AK23,AK21*Seasonality!$C$40*AK22)*(1-AK72)*(1-AK48)</f>
        <v/>
      </c>
      <c r="AL124" s="48">
        <f>MAX(AL23,AL21*Seasonality!$C$40*AL22)*(1-AL72)*(1-AL48)</f>
        <v/>
      </c>
      <c r="AM124" s="48">
        <f>MAX(AM23,AM21*Seasonality!$C$40*AM22)*(1-AM72)*(1-AM48)</f>
        <v/>
      </c>
      <c r="AN124" s="48">
        <f>MAX(AN23,AN21*Seasonality!$C$40*AN22)*(1-AN72)*(1-AN48)</f>
        <v/>
      </c>
      <c r="AO124" s="48">
        <f>MAX(AO23,AO21*Seasonality!$C$40*AO22)*(1-AO72)*(1-AO48)</f>
        <v/>
      </c>
      <c r="AP124" s="48">
        <f>MAX(AP23,AP21*Seasonality!$C$40*AP22)*(1-AP72)*(1-AP48)</f>
        <v/>
      </c>
      <c r="AQ124" s="48">
        <f>MAX(AQ23,AQ21*Seasonality!$C$40*AQ22)*(1-AQ72)*(1-AQ48)</f>
        <v/>
      </c>
      <c r="AR124" s="48">
        <f>MAX(AR23,AR21*Seasonality!$C$40*AR22)*(1-AR72)*(1-AR48)</f>
        <v/>
      </c>
      <c r="AS124" s="48">
        <f>MAX(AS23,AS21*Seasonality!$C$40*AS22)*(1-AS72)*(1-AS48)</f>
        <v/>
      </c>
      <c r="AT124" s="48">
        <f>MAX(AT23,AT21*Seasonality!$C$40*AT22)*(1-AT72)*(1-AT48)</f>
        <v/>
      </c>
      <c r="AU124" s="48">
        <f>MAX(AU23,AU21*Seasonality!$C$40*AU22)*(1-AU72)*(1-AU48)</f>
        <v/>
      </c>
      <c r="AV124" s="48">
        <f>MAX(AV23,AV21*Seasonality!$C$40*AV22)*(1-AV72)*(1-AV48)</f>
        <v/>
      </c>
    </row>
    <row r="125">
      <c r="B125" s="7" t="inlineStr">
        <is>
          <t>Revenue collected · month 5</t>
        </is>
      </c>
      <c r="C125" s="5" t="inlineStr">
        <is>
          <t>₹</t>
        </is>
      </c>
      <c r="D125" s="48">
        <f>MAX(D23,D21*Seasonality!$C$41*D22)*(1-D72)*(1-D48)</f>
        <v/>
      </c>
      <c r="E125" s="48">
        <f>MAX(E23,E21*Seasonality!$C$41*E22)*(1-E72)*(1-E48)</f>
        <v/>
      </c>
      <c r="F125" s="48">
        <f>MAX(F23,F21*Seasonality!$C$41*F22)*(1-F72)*(1-F48)</f>
        <v/>
      </c>
      <c r="G125" s="48">
        <f>MAX(G23,G21*Seasonality!$C$41*G22)*(1-G72)*(1-G48)</f>
        <v/>
      </c>
      <c r="H125" s="48">
        <f>MAX(H23,H21*Seasonality!$C$41*H22)*(1-H72)*(1-H48)</f>
        <v/>
      </c>
      <c r="I125" s="48">
        <f>MAX(I23,I21*Seasonality!$C$41*I22)*(1-I72)*(1-I48)</f>
        <v/>
      </c>
      <c r="J125" s="48">
        <f>MAX(J23,J21*Seasonality!$C$41*J22)*(1-J72)*(1-J48)</f>
        <v/>
      </c>
      <c r="K125" s="48">
        <f>MAX(K23,K21*Seasonality!$C$41*K22)*(1-K72)*(1-K48)</f>
        <v/>
      </c>
      <c r="L125" s="48">
        <f>MAX(L23,L21*Seasonality!$C$41*L22)*(1-L72)*(1-L48)</f>
        <v/>
      </c>
      <c r="M125" s="48">
        <f>MAX(M23,M21*Seasonality!$C$41*M22)*(1-M72)*(1-M48)</f>
        <v/>
      </c>
      <c r="N125" s="48">
        <f>MAX(N23,N21*Seasonality!$C$41*N22)*(1-N72)*(1-N48)</f>
        <v/>
      </c>
      <c r="O125" s="48">
        <f>MAX(O23,O21*Seasonality!$C$41*O22)*(1-O72)*(1-O48)</f>
        <v/>
      </c>
      <c r="P125" s="48">
        <f>MAX(P23,P21*Seasonality!$C$41*P22)*(1-P72)*(1-P48)</f>
        <v/>
      </c>
      <c r="Q125" s="48">
        <f>MAX(Q23,Q21*Seasonality!$C$41*Q22)*(1-Q72)*(1-Q48)</f>
        <v/>
      </c>
      <c r="R125" s="48">
        <f>MAX(R23,R21*Seasonality!$C$41*R22)*(1-R72)*(1-R48)</f>
        <v/>
      </c>
      <c r="S125" s="48">
        <f>MAX(S23,S21*Seasonality!$C$41*S22)*(1-S72)*(1-S48)</f>
        <v/>
      </c>
      <c r="T125" s="48">
        <f>MAX(T23,T21*Seasonality!$C$41*T22)*(1-T72)*(1-T48)</f>
        <v/>
      </c>
      <c r="U125" s="48">
        <f>MAX(U23,U21*Seasonality!$C$41*U22)*(1-U72)*(1-U48)</f>
        <v/>
      </c>
      <c r="V125" s="48">
        <f>MAX(V23,V21*Seasonality!$C$41*V22)*(1-V72)*(1-V48)</f>
        <v/>
      </c>
      <c r="W125" s="48">
        <f>MAX(W23,W21*Seasonality!$C$41*W22)*(1-W72)*(1-W48)</f>
        <v/>
      </c>
      <c r="X125" s="48">
        <f>MAX(X23,X21*Seasonality!$C$41*X22)*(1-X72)*(1-X48)</f>
        <v/>
      </c>
      <c r="Y125" s="48">
        <f>MAX(Y23,Y21*Seasonality!$C$41*Y22)*(1-Y72)*(1-Y48)</f>
        <v/>
      </c>
      <c r="Z125" s="48">
        <f>MAX(Z23,Z21*Seasonality!$C$41*Z22)*(1-Z72)*(1-Z48)</f>
        <v/>
      </c>
      <c r="AA125" s="48">
        <f>MAX(AA23,AA21*Seasonality!$C$41*AA22)*(1-AA72)*(1-AA48)</f>
        <v/>
      </c>
      <c r="AB125" s="48">
        <f>MAX(AB23,AB21*Seasonality!$C$41*AB22)*(1-AB72)*(1-AB48)</f>
        <v/>
      </c>
      <c r="AC125" s="48">
        <f>MAX(AC23,AC21*Seasonality!$C$41*AC22)*(1-AC72)*(1-AC48)</f>
        <v/>
      </c>
      <c r="AD125" s="48">
        <f>MAX(AD23,AD21*Seasonality!$C$41*AD22)*(1-AD72)*(1-AD48)</f>
        <v/>
      </c>
      <c r="AE125" s="48">
        <f>MAX(AE23,AE21*Seasonality!$C$41*AE22)*(1-AE72)*(1-AE48)</f>
        <v/>
      </c>
      <c r="AF125" s="48">
        <f>MAX(AF23,AF21*Seasonality!$C$41*AF22)*(1-AF72)*(1-AF48)</f>
        <v/>
      </c>
      <c r="AG125" s="48">
        <f>MAX(AG23,AG21*Seasonality!$C$41*AG22)*(1-AG72)*(1-AG48)</f>
        <v/>
      </c>
      <c r="AH125" s="48">
        <f>MAX(AH23,AH21*Seasonality!$C$41*AH22)*(1-AH72)*(1-AH48)</f>
        <v/>
      </c>
      <c r="AI125" s="48">
        <f>MAX(AI23,AI21*Seasonality!$C$41*AI22)*(1-AI72)*(1-AI48)</f>
        <v/>
      </c>
      <c r="AJ125" s="48">
        <f>MAX(AJ23,AJ21*Seasonality!$C$41*AJ22)*(1-AJ72)*(1-AJ48)</f>
        <v/>
      </c>
      <c r="AK125" s="48">
        <f>MAX(AK23,AK21*Seasonality!$C$41*AK22)*(1-AK72)*(1-AK48)</f>
        <v/>
      </c>
      <c r="AL125" s="48">
        <f>MAX(AL23,AL21*Seasonality!$C$41*AL22)*(1-AL72)*(1-AL48)</f>
        <v/>
      </c>
      <c r="AM125" s="48">
        <f>MAX(AM23,AM21*Seasonality!$C$41*AM22)*(1-AM72)*(1-AM48)</f>
        <v/>
      </c>
      <c r="AN125" s="48">
        <f>MAX(AN23,AN21*Seasonality!$C$41*AN22)*(1-AN72)*(1-AN48)</f>
        <v/>
      </c>
      <c r="AO125" s="48">
        <f>MAX(AO23,AO21*Seasonality!$C$41*AO22)*(1-AO72)*(1-AO48)</f>
        <v/>
      </c>
      <c r="AP125" s="48">
        <f>MAX(AP23,AP21*Seasonality!$C$41*AP22)*(1-AP72)*(1-AP48)</f>
        <v/>
      </c>
      <c r="AQ125" s="48">
        <f>MAX(AQ23,AQ21*Seasonality!$C$41*AQ22)*(1-AQ72)*(1-AQ48)</f>
        <v/>
      </c>
      <c r="AR125" s="48">
        <f>MAX(AR23,AR21*Seasonality!$C$41*AR22)*(1-AR72)*(1-AR48)</f>
        <v/>
      </c>
      <c r="AS125" s="48">
        <f>MAX(AS23,AS21*Seasonality!$C$41*AS22)*(1-AS72)*(1-AS48)</f>
        <v/>
      </c>
      <c r="AT125" s="48">
        <f>MAX(AT23,AT21*Seasonality!$C$41*AT22)*(1-AT72)*(1-AT48)</f>
        <v/>
      </c>
      <c r="AU125" s="48">
        <f>MAX(AU23,AU21*Seasonality!$C$41*AU22)*(1-AU72)*(1-AU48)</f>
        <v/>
      </c>
      <c r="AV125" s="48">
        <f>MAX(AV23,AV21*Seasonality!$C$41*AV22)*(1-AV72)*(1-AV48)</f>
        <v/>
      </c>
    </row>
    <row r="126">
      <c r="B126" s="7" t="inlineStr">
        <is>
          <t>Revenue collected · month 6</t>
        </is>
      </c>
      <c r="C126" s="5" t="inlineStr">
        <is>
          <t>₹</t>
        </is>
      </c>
      <c r="D126" s="48">
        <f>MAX(D23,D21*Seasonality!$C$42*D22)*(1-D72)*(1-D48)</f>
        <v/>
      </c>
      <c r="E126" s="48">
        <f>MAX(E23,E21*Seasonality!$C$42*E22)*(1-E72)*(1-E48)</f>
        <v/>
      </c>
      <c r="F126" s="48">
        <f>MAX(F23,F21*Seasonality!$C$42*F22)*(1-F72)*(1-F48)</f>
        <v/>
      </c>
      <c r="G126" s="48">
        <f>MAX(G23,G21*Seasonality!$C$42*G22)*(1-G72)*(1-G48)</f>
        <v/>
      </c>
      <c r="H126" s="48">
        <f>MAX(H23,H21*Seasonality!$C$42*H22)*(1-H72)*(1-H48)</f>
        <v/>
      </c>
      <c r="I126" s="48">
        <f>MAX(I23,I21*Seasonality!$C$42*I22)*(1-I72)*(1-I48)</f>
        <v/>
      </c>
      <c r="J126" s="48">
        <f>MAX(J23,J21*Seasonality!$C$42*J22)*(1-J72)*(1-J48)</f>
        <v/>
      </c>
      <c r="K126" s="48">
        <f>MAX(K23,K21*Seasonality!$C$42*K22)*(1-K72)*(1-K48)</f>
        <v/>
      </c>
      <c r="L126" s="48">
        <f>MAX(L23,L21*Seasonality!$C$42*L22)*(1-L72)*(1-L48)</f>
        <v/>
      </c>
      <c r="M126" s="48">
        <f>MAX(M23,M21*Seasonality!$C$42*M22)*(1-M72)*(1-M48)</f>
        <v/>
      </c>
      <c r="N126" s="48">
        <f>MAX(N23,N21*Seasonality!$C$42*N22)*(1-N72)*(1-N48)</f>
        <v/>
      </c>
      <c r="O126" s="48">
        <f>MAX(O23,O21*Seasonality!$C$42*O22)*(1-O72)*(1-O48)</f>
        <v/>
      </c>
      <c r="P126" s="48">
        <f>MAX(P23,P21*Seasonality!$C$42*P22)*(1-P72)*(1-P48)</f>
        <v/>
      </c>
      <c r="Q126" s="48">
        <f>MAX(Q23,Q21*Seasonality!$C$42*Q22)*(1-Q72)*(1-Q48)</f>
        <v/>
      </c>
      <c r="R126" s="48">
        <f>MAX(R23,R21*Seasonality!$C$42*R22)*(1-R72)*(1-R48)</f>
        <v/>
      </c>
      <c r="S126" s="48">
        <f>MAX(S23,S21*Seasonality!$C$42*S22)*(1-S72)*(1-S48)</f>
        <v/>
      </c>
      <c r="T126" s="48">
        <f>MAX(T23,T21*Seasonality!$C$42*T22)*(1-T72)*(1-T48)</f>
        <v/>
      </c>
      <c r="U126" s="48">
        <f>MAX(U23,U21*Seasonality!$C$42*U22)*(1-U72)*(1-U48)</f>
        <v/>
      </c>
      <c r="V126" s="48">
        <f>MAX(V23,V21*Seasonality!$C$42*V22)*(1-V72)*(1-V48)</f>
        <v/>
      </c>
      <c r="W126" s="48">
        <f>MAX(W23,W21*Seasonality!$C$42*W22)*(1-W72)*(1-W48)</f>
        <v/>
      </c>
      <c r="X126" s="48">
        <f>MAX(X23,X21*Seasonality!$C$42*X22)*(1-X72)*(1-X48)</f>
        <v/>
      </c>
      <c r="Y126" s="48">
        <f>MAX(Y23,Y21*Seasonality!$C$42*Y22)*(1-Y72)*(1-Y48)</f>
        <v/>
      </c>
      <c r="Z126" s="48">
        <f>MAX(Z23,Z21*Seasonality!$C$42*Z22)*(1-Z72)*(1-Z48)</f>
        <v/>
      </c>
      <c r="AA126" s="48">
        <f>MAX(AA23,AA21*Seasonality!$C$42*AA22)*(1-AA72)*(1-AA48)</f>
        <v/>
      </c>
      <c r="AB126" s="48">
        <f>MAX(AB23,AB21*Seasonality!$C$42*AB22)*(1-AB72)*(1-AB48)</f>
        <v/>
      </c>
      <c r="AC126" s="48">
        <f>MAX(AC23,AC21*Seasonality!$C$42*AC22)*(1-AC72)*(1-AC48)</f>
        <v/>
      </c>
      <c r="AD126" s="48">
        <f>MAX(AD23,AD21*Seasonality!$C$42*AD22)*(1-AD72)*(1-AD48)</f>
        <v/>
      </c>
      <c r="AE126" s="48">
        <f>MAX(AE23,AE21*Seasonality!$C$42*AE22)*(1-AE72)*(1-AE48)</f>
        <v/>
      </c>
      <c r="AF126" s="48">
        <f>MAX(AF23,AF21*Seasonality!$C$42*AF22)*(1-AF72)*(1-AF48)</f>
        <v/>
      </c>
      <c r="AG126" s="48">
        <f>MAX(AG23,AG21*Seasonality!$C$42*AG22)*(1-AG72)*(1-AG48)</f>
        <v/>
      </c>
      <c r="AH126" s="48">
        <f>MAX(AH23,AH21*Seasonality!$C$42*AH22)*(1-AH72)*(1-AH48)</f>
        <v/>
      </c>
      <c r="AI126" s="48">
        <f>MAX(AI23,AI21*Seasonality!$C$42*AI22)*(1-AI72)*(1-AI48)</f>
        <v/>
      </c>
      <c r="AJ126" s="48">
        <f>MAX(AJ23,AJ21*Seasonality!$C$42*AJ22)*(1-AJ72)*(1-AJ48)</f>
        <v/>
      </c>
      <c r="AK126" s="48">
        <f>MAX(AK23,AK21*Seasonality!$C$42*AK22)*(1-AK72)*(1-AK48)</f>
        <v/>
      </c>
      <c r="AL126" s="48">
        <f>MAX(AL23,AL21*Seasonality!$C$42*AL22)*(1-AL72)*(1-AL48)</f>
        <v/>
      </c>
      <c r="AM126" s="48">
        <f>MAX(AM23,AM21*Seasonality!$C$42*AM22)*(1-AM72)*(1-AM48)</f>
        <v/>
      </c>
      <c r="AN126" s="48">
        <f>MAX(AN23,AN21*Seasonality!$C$42*AN22)*(1-AN72)*(1-AN48)</f>
        <v/>
      </c>
      <c r="AO126" s="48">
        <f>MAX(AO23,AO21*Seasonality!$C$42*AO22)*(1-AO72)*(1-AO48)</f>
        <v/>
      </c>
      <c r="AP126" s="48">
        <f>MAX(AP23,AP21*Seasonality!$C$42*AP22)*(1-AP72)*(1-AP48)</f>
        <v/>
      </c>
      <c r="AQ126" s="48">
        <f>MAX(AQ23,AQ21*Seasonality!$C$42*AQ22)*(1-AQ72)*(1-AQ48)</f>
        <v/>
      </c>
      <c r="AR126" s="48">
        <f>MAX(AR23,AR21*Seasonality!$C$42*AR22)*(1-AR72)*(1-AR48)</f>
        <v/>
      </c>
      <c r="AS126" s="48">
        <f>MAX(AS23,AS21*Seasonality!$C$42*AS22)*(1-AS72)*(1-AS48)</f>
        <v/>
      </c>
      <c r="AT126" s="48">
        <f>MAX(AT23,AT21*Seasonality!$C$42*AT22)*(1-AT72)*(1-AT48)</f>
        <v/>
      </c>
      <c r="AU126" s="48">
        <f>MAX(AU23,AU21*Seasonality!$C$42*AU22)*(1-AU72)*(1-AU48)</f>
        <v/>
      </c>
      <c r="AV126" s="48">
        <f>MAX(AV23,AV21*Seasonality!$C$42*AV22)*(1-AV72)*(1-AV48)</f>
        <v/>
      </c>
    </row>
    <row r="127">
      <c r="B127" s="7" t="inlineStr">
        <is>
          <t>Revenue collected · month 7</t>
        </is>
      </c>
      <c r="C127" s="5" t="inlineStr">
        <is>
          <t>₹</t>
        </is>
      </c>
      <c r="D127" s="48">
        <f>MAX(D23,D21*Seasonality!$C$43*D22)*(1-D72)*(1-D48)</f>
        <v/>
      </c>
      <c r="E127" s="48">
        <f>MAX(E23,E21*Seasonality!$C$43*E22)*(1-E72)*(1-E48)</f>
        <v/>
      </c>
      <c r="F127" s="48">
        <f>MAX(F23,F21*Seasonality!$C$43*F22)*(1-F72)*(1-F48)</f>
        <v/>
      </c>
      <c r="G127" s="48">
        <f>MAX(G23,G21*Seasonality!$C$43*G22)*(1-G72)*(1-G48)</f>
        <v/>
      </c>
      <c r="H127" s="48">
        <f>MAX(H23,H21*Seasonality!$C$43*H22)*(1-H72)*(1-H48)</f>
        <v/>
      </c>
      <c r="I127" s="48">
        <f>MAX(I23,I21*Seasonality!$C$43*I22)*(1-I72)*(1-I48)</f>
        <v/>
      </c>
      <c r="J127" s="48">
        <f>MAX(J23,J21*Seasonality!$C$43*J22)*(1-J72)*(1-J48)</f>
        <v/>
      </c>
      <c r="K127" s="48">
        <f>MAX(K23,K21*Seasonality!$C$43*K22)*(1-K72)*(1-K48)</f>
        <v/>
      </c>
      <c r="L127" s="48">
        <f>MAX(L23,L21*Seasonality!$C$43*L22)*(1-L72)*(1-L48)</f>
        <v/>
      </c>
      <c r="M127" s="48">
        <f>MAX(M23,M21*Seasonality!$C$43*M22)*(1-M72)*(1-M48)</f>
        <v/>
      </c>
      <c r="N127" s="48">
        <f>MAX(N23,N21*Seasonality!$C$43*N22)*(1-N72)*(1-N48)</f>
        <v/>
      </c>
      <c r="O127" s="48">
        <f>MAX(O23,O21*Seasonality!$C$43*O22)*(1-O72)*(1-O48)</f>
        <v/>
      </c>
      <c r="P127" s="48">
        <f>MAX(P23,P21*Seasonality!$C$43*P22)*(1-P72)*(1-P48)</f>
        <v/>
      </c>
      <c r="Q127" s="48">
        <f>MAX(Q23,Q21*Seasonality!$C$43*Q22)*(1-Q72)*(1-Q48)</f>
        <v/>
      </c>
      <c r="R127" s="48">
        <f>MAX(R23,R21*Seasonality!$C$43*R22)*(1-R72)*(1-R48)</f>
        <v/>
      </c>
      <c r="S127" s="48">
        <f>MAX(S23,S21*Seasonality!$C$43*S22)*(1-S72)*(1-S48)</f>
        <v/>
      </c>
      <c r="T127" s="48">
        <f>MAX(T23,T21*Seasonality!$C$43*T22)*(1-T72)*(1-T48)</f>
        <v/>
      </c>
      <c r="U127" s="48">
        <f>MAX(U23,U21*Seasonality!$C$43*U22)*(1-U72)*(1-U48)</f>
        <v/>
      </c>
      <c r="V127" s="48">
        <f>MAX(V23,V21*Seasonality!$C$43*V22)*(1-V72)*(1-V48)</f>
        <v/>
      </c>
      <c r="W127" s="48">
        <f>MAX(W23,W21*Seasonality!$C$43*W22)*(1-W72)*(1-W48)</f>
        <v/>
      </c>
      <c r="X127" s="48">
        <f>MAX(X23,X21*Seasonality!$C$43*X22)*(1-X72)*(1-X48)</f>
        <v/>
      </c>
      <c r="Y127" s="48">
        <f>MAX(Y23,Y21*Seasonality!$C$43*Y22)*(1-Y72)*(1-Y48)</f>
        <v/>
      </c>
      <c r="Z127" s="48">
        <f>MAX(Z23,Z21*Seasonality!$C$43*Z22)*(1-Z72)*(1-Z48)</f>
        <v/>
      </c>
      <c r="AA127" s="48">
        <f>MAX(AA23,AA21*Seasonality!$C$43*AA22)*(1-AA72)*(1-AA48)</f>
        <v/>
      </c>
      <c r="AB127" s="48">
        <f>MAX(AB23,AB21*Seasonality!$C$43*AB22)*(1-AB72)*(1-AB48)</f>
        <v/>
      </c>
      <c r="AC127" s="48">
        <f>MAX(AC23,AC21*Seasonality!$C$43*AC22)*(1-AC72)*(1-AC48)</f>
        <v/>
      </c>
      <c r="AD127" s="48">
        <f>MAX(AD23,AD21*Seasonality!$C$43*AD22)*(1-AD72)*(1-AD48)</f>
        <v/>
      </c>
      <c r="AE127" s="48">
        <f>MAX(AE23,AE21*Seasonality!$C$43*AE22)*(1-AE72)*(1-AE48)</f>
        <v/>
      </c>
      <c r="AF127" s="48">
        <f>MAX(AF23,AF21*Seasonality!$C$43*AF22)*(1-AF72)*(1-AF48)</f>
        <v/>
      </c>
      <c r="AG127" s="48">
        <f>MAX(AG23,AG21*Seasonality!$C$43*AG22)*(1-AG72)*(1-AG48)</f>
        <v/>
      </c>
      <c r="AH127" s="48">
        <f>MAX(AH23,AH21*Seasonality!$C$43*AH22)*(1-AH72)*(1-AH48)</f>
        <v/>
      </c>
      <c r="AI127" s="48">
        <f>MAX(AI23,AI21*Seasonality!$C$43*AI22)*(1-AI72)*(1-AI48)</f>
        <v/>
      </c>
      <c r="AJ127" s="48">
        <f>MAX(AJ23,AJ21*Seasonality!$C$43*AJ22)*(1-AJ72)*(1-AJ48)</f>
        <v/>
      </c>
      <c r="AK127" s="48">
        <f>MAX(AK23,AK21*Seasonality!$C$43*AK22)*(1-AK72)*(1-AK48)</f>
        <v/>
      </c>
      <c r="AL127" s="48">
        <f>MAX(AL23,AL21*Seasonality!$C$43*AL22)*(1-AL72)*(1-AL48)</f>
        <v/>
      </c>
      <c r="AM127" s="48">
        <f>MAX(AM23,AM21*Seasonality!$C$43*AM22)*(1-AM72)*(1-AM48)</f>
        <v/>
      </c>
      <c r="AN127" s="48">
        <f>MAX(AN23,AN21*Seasonality!$C$43*AN22)*(1-AN72)*(1-AN48)</f>
        <v/>
      </c>
      <c r="AO127" s="48">
        <f>MAX(AO23,AO21*Seasonality!$C$43*AO22)*(1-AO72)*(1-AO48)</f>
        <v/>
      </c>
      <c r="AP127" s="48">
        <f>MAX(AP23,AP21*Seasonality!$C$43*AP22)*(1-AP72)*(1-AP48)</f>
        <v/>
      </c>
      <c r="AQ127" s="48">
        <f>MAX(AQ23,AQ21*Seasonality!$C$43*AQ22)*(1-AQ72)*(1-AQ48)</f>
        <v/>
      </c>
      <c r="AR127" s="48">
        <f>MAX(AR23,AR21*Seasonality!$C$43*AR22)*(1-AR72)*(1-AR48)</f>
        <v/>
      </c>
      <c r="AS127" s="48">
        <f>MAX(AS23,AS21*Seasonality!$C$43*AS22)*(1-AS72)*(1-AS48)</f>
        <v/>
      </c>
      <c r="AT127" s="48">
        <f>MAX(AT23,AT21*Seasonality!$C$43*AT22)*(1-AT72)*(1-AT48)</f>
        <v/>
      </c>
      <c r="AU127" s="48">
        <f>MAX(AU23,AU21*Seasonality!$C$43*AU22)*(1-AU72)*(1-AU48)</f>
        <v/>
      </c>
      <c r="AV127" s="48">
        <f>MAX(AV23,AV21*Seasonality!$C$43*AV22)*(1-AV72)*(1-AV48)</f>
        <v/>
      </c>
    </row>
    <row r="128">
      <c r="B128" s="7" t="inlineStr">
        <is>
          <t>Revenue collected · month 8</t>
        </is>
      </c>
      <c r="C128" s="5" t="inlineStr">
        <is>
          <t>₹</t>
        </is>
      </c>
      <c r="D128" s="48">
        <f>MAX(D23,D21*Seasonality!$C$44*D22)*(1-D72)*(1-D48)</f>
        <v/>
      </c>
      <c r="E128" s="48">
        <f>MAX(E23,E21*Seasonality!$C$44*E22)*(1-E72)*(1-E48)</f>
        <v/>
      </c>
      <c r="F128" s="48">
        <f>MAX(F23,F21*Seasonality!$C$44*F22)*(1-F72)*(1-F48)</f>
        <v/>
      </c>
      <c r="G128" s="48">
        <f>MAX(G23,G21*Seasonality!$C$44*G22)*(1-G72)*(1-G48)</f>
        <v/>
      </c>
      <c r="H128" s="48">
        <f>MAX(H23,H21*Seasonality!$C$44*H22)*(1-H72)*(1-H48)</f>
        <v/>
      </c>
      <c r="I128" s="48">
        <f>MAX(I23,I21*Seasonality!$C$44*I22)*(1-I72)*(1-I48)</f>
        <v/>
      </c>
      <c r="J128" s="48">
        <f>MAX(J23,J21*Seasonality!$C$44*J22)*(1-J72)*(1-J48)</f>
        <v/>
      </c>
      <c r="K128" s="48">
        <f>MAX(K23,K21*Seasonality!$C$44*K22)*(1-K72)*(1-K48)</f>
        <v/>
      </c>
      <c r="L128" s="48">
        <f>MAX(L23,L21*Seasonality!$C$44*L22)*(1-L72)*(1-L48)</f>
        <v/>
      </c>
      <c r="M128" s="48">
        <f>MAX(M23,M21*Seasonality!$C$44*M22)*(1-M72)*(1-M48)</f>
        <v/>
      </c>
      <c r="N128" s="48">
        <f>MAX(N23,N21*Seasonality!$C$44*N22)*(1-N72)*(1-N48)</f>
        <v/>
      </c>
      <c r="O128" s="48">
        <f>MAX(O23,O21*Seasonality!$C$44*O22)*(1-O72)*(1-O48)</f>
        <v/>
      </c>
      <c r="P128" s="48">
        <f>MAX(P23,P21*Seasonality!$C$44*P22)*(1-P72)*(1-P48)</f>
        <v/>
      </c>
      <c r="Q128" s="48">
        <f>MAX(Q23,Q21*Seasonality!$C$44*Q22)*(1-Q72)*(1-Q48)</f>
        <v/>
      </c>
      <c r="R128" s="48">
        <f>MAX(R23,R21*Seasonality!$C$44*R22)*(1-R72)*(1-R48)</f>
        <v/>
      </c>
      <c r="S128" s="48">
        <f>MAX(S23,S21*Seasonality!$C$44*S22)*(1-S72)*(1-S48)</f>
        <v/>
      </c>
      <c r="T128" s="48">
        <f>MAX(T23,T21*Seasonality!$C$44*T22)*(1-T72)*(1-T48)</f>
        <v/>
      </c>
      <c r="U128" s="48">
        <f>MAX(U23,U21*Seasonality!$C$44*U22)*(1-U72)*(1-U48)</f>
        <v/>
      </c>
      <c r="V128" s="48">
        <f>MAX(V23,V21*Seasonality!$C$44*V22)*(1-V72)*(1-V48)</f>
        <v/>
      </c>
      <c r="W128" s="48">
        <f>MAX(W23,W21*Seasonality!$C$44*W22)*(1-W72)*(1-W48)</f>
        <v/>
      </c>
      <c r="X128" s="48">
        <f>MAX(X23,X21*Seasonality!$C$44*X22)*(1-X72)*(1-X48)</f>
        <v/>
      </c>
      <c r="Y128" s="48">
        <f>MAX(Y23,Y21*Seasonality!$C$44*Y22)*(1-Y72)*(1-Y48)</f>
        <v/>
      </c>
      <c r="Z128" s="48">
        <f>MAX(Z23,Z21*Seasonality!$C$44*Z22)*(1-Z72)*(1-Z48)</f>
        <v/>
      </c>
      <c r="AA128" s="48">
        <f>MAX(AA23,AA21*Seasonality!$C$44*AA22)*(1-AA72)*(1-AA48)</f>
        <v/>
      </c>
      <c r="AB128" s="48">
        <f>MAX(AB23,AB21*Seasonality!$C$44*AB22)*(1-AB72)*(1-AB48)</f>
        <v/>
      </c>
      <c r="AC128" s="48">
        <f>MAX(AC23,AC21*Seasonality!$C$44*AC22)*(1-AC72)*(1-AC48)</f>
        <v/>
      </c>
      <c r="AD128" s="48">
        <f>MAX(AD23,AD21*Seasonality!$C$44*AD22)*(1-AD72)*(1-AD48)</f>
        <v/>
      </c>
      <c r="AE128" s="48">
        <f>MAX(AE23,AE21*Seasonality!$C$44*AE22)*(1-AE72)*(1-AE48)</f>
        <v/>
      </c>
      <c r="AF128" s="48">
        <f>MAX(AF23,AF21*Seasonality!$C$44*AF22)*(1-AF72)*(1-AF48)</f>
        <v/>
      </c>
      <c r="AG128" s="48">
        <f>MAX(AG23,AG21*Seasonality!$C$44*AG22)*(1-AG72)*(1-AG48)</f>
        <v/>
      </c>
      <c r="AH128" s="48">
        <f>MAX(AH23,AH21*Seasonality!$C$44*AH22)*(1-AH72)*(1-AH48)</f>
        <v/>
      </c>
      <c r="AI128" s="48">
        <f>MAX(AI23,AI21*Seasonality!$C$44*AI22)*(1-AI72)*(1-AI48)</f>
        <v/>
      </c>
      <c r="AJ128" s="48">
        <f>MAX(AJ23,AJ21*Seasonality!$C$44*AJ22)*(1-AJ72)*(1-AJ48)</f>
        <v/>
      </c>
      <c r="AK128" s="48">
        <f>MAX(AK23,AK21*Seasonality!$C$44*AK22)*(1-AK72)*(1-AK48)</f>
        <v/>
      </c>
      <c r="AL128" s="48">
        <f>MAX(AL23,AL21*Seasonality!$C$44*AL22)*(1-AL72)*(1-AL48)</f>
        <v/>
      </c>
      <c r="AM128" s="48">
        <f>MAX(AM23,AM21*Seasonality!$C$44*AM22)*(1-AM72)*(1-AM48)</f>
        <v/>
      </c>
      <c r="AN128" s="48">
        <f>MAX(AN23,AN21*Seasonality!$C$44*AN22)*(1-AN72)*(1-AN48)</f>
        <v/>
      </c>
      <c r="AO128" s="48">
        <f>MAX(AO23,AO21*Seasonality!$C$44*AO22)*(1-AO72)*(1-AO48)</f>
        <v/>
      </c>
      <c r="AP128" s="48">
        <f>MAX(AP23,AP21*Seasonality!$C$44*AP22)*(1-AP72)*(1-AP48)</f>
        <v/>
      </c>
      <c r="AQ128" s="48">
        <f>MAX(AQ23,AQ21*Seasonality!$C$44*AQ22)*(1-AQ72)*(1-AQ48)</f>
        <v/>
      </c>
      <c r="AR128" s="48">
        <f>MAX(AR23,AR21*Seasonality!$C$44*AR22)*(1-AR72)*(1-AR48)</f>
        <v/>
      </c>
      <c r="AS128" s="48">
        <f>MAX(AS23,AS21*Seasonality!$C$44*AS22)*(1-AS72)*(1-AS48)</f>
        <v/>
      </c>
      <c r="AT128" s="48">
        <f>MAX(AT23,AT21*Seasonality!$C$44*AT22)*(1-AT72)*(1-AT48)</f>
        <v/>
      </c>
      <c r="AU128" s="48">
        <f>MAX(AU23,AU21*Seasonality!$C$44*AU22)*(1-AU72)*(1-AU48)</f>
        <v/>
      </c>
      <c r="AV128" s="48">
        <f>MAX(AV23,AV21*Seasonality!$C$44*AV22)*(1-AV72)*(1-AV48)</f>
        <v/>
      </c>
    </row>
    <row r="129">
      <c r="B129" s="7" t="inlineStr">
        <is>
          <t>Revenue collected · month 9</t>
        </is>
      </c>
      <c r="C129" s="5" t="inlineStr">
        <is>
          <t>₹</t>
        </is>
      </c>
      <c r="D129" s="48">
        <f>MAX(D23,D21*Seasonality!$C$45*D22)*(1-D72)*(1-D48)</f>
        <v/>
      </c>
      <c r="E129" s="48">
        <f>MAX(E23,E21*Seasonality!$C$45*E22)*(1-E72)*(1-E48)</f>
        <v/>
      </c>
      <c r="F129" s="48">
        <f>MAX(F23,F21*Seasonality!$C$45*F22)*(1-F72)*(1-F48)</f>
        <v/>
      </c>
      <c r="G129" s="48">
        <f>MAX(G23,G21*Seasonality!$C$45*G22)*(1-G72)*(1-G48)</f>
        <v/>
      </c>
      <c r="H129" s="48">
        <f>MAX(H23,H21*Seasonality!$C$45*H22)*(1-H72)*(1-H48)</f>
        <v/>
      </c>
      <c r="I129" s="48">
        <f>MAX(I23,I21*Seasonality!$C$45*I22)*(1-I72)*(1-I48)</f>
        <v/>
      </c>
      <c r="J129" s="48">
        <f>MAX(J23,J21*Seasonality!$C$45*J22)*(1-J72)*(1-J48)</f>
        <v/>
      </c>
      <c r="K129" s="48">
        <f>MAX(K23,K21*Seasonality!$C$45*K22)*(1-K72)*(1-K48)</f>
        <v/>
      </c>
      <c r="L129" s="48">
        <f>MAX(L23,L21*Seasonality!$C$45*L22)*(1-L72)*(1-L48)</f>
        <v/>
      </c>
      <c r="M129" s="48">
        <f>MAX(M23,M21*Seasonality!$C$45*M22)*(1-M72)*(1-M48)</f>
        <v/>
      </c>
      <c r="N129" s="48">
        <f>MAX(N23,N21*Seasonality!$C$45*N22)*(1-N72)*(1-N48)</f>
        <v/>
      </c>
      <c r="O129" s="48">
        <f>MAX(O23,O21*Seasonality!$C$45*O22)*(1-O72)*(1-O48)</f>
        <v/>
      </c>
      <c r="P129" s="48">
        <f>MAX(P23,P21*Seasonality!$C$45*P22)*(1-P72)*(1-P48)</f>
        <v/>
      </c>
      <c r="Q129" s="48">
        <f>MAX(Q23,Q21*Seasonality!$C$45*Q22)*(1-Q72)*(1-Q48)</f>
        <v/>
      </c>
      <c r="R129" s="48">
        <f>MAX(R23,R21*Seasonality!$C$45*R22)*(1-R72)*(1-R48)</f>
        <v/>
      </c>
      <c r="S129" s="48">
        <f>MAX(S23,S21*Seasonality!$C$45*S22)*(1-S72)*(1-S48)</f>
        <v/>
      </c>
      <c r="T129" s="48">
        <f>MAX(T23,T21*Seasonality!$C$45*T22)*(1-T72)*(1-T48)</f>
        <v/>
      </c>
      <c r="U129" s="48">
        <f>MAX(U23,U21*Seasonality!$C$45*U22)*(1-U72)*(1-U48)</f>
        <v/>
      </c>
      <c r="V129" s="48">
        <f>MAX(V23,V21*Seasonality!$C$45*V22)*(1-V72)*(1-V48)</f>
        <v/>
      </c>
      <c r="W129" s="48">
        <f>MAX(W23,W21*Seasonality!$C$45*W22)*(1-W72)*(1-W48)</f>
        <v/>
      </c>
      <c r="X129" s="48">
        <f>MAX(X23,X21*Seasonality!$C$45*X22)*(1-X72)*(1-X48)</f>
        <v/>
      </c>
      <c r="Y129" s="48">
        <f>MAX(Y23,Y21*Seasonality!$C$45*Y22)*(1-Y72)*(1-Y48)</f>
        <v/>
      </c>
      <c r="Z129" s="48">
        <f>MAX(Z23,Z21*Seasonality!$C$45*Z22)*(1-Z72)*(1-Z48)</f>
        <v/>
      </c>
      <c r="AA129" s="48">
        <f>MAX(AA23,AA21*Seasonality!$C$45*AA22)*(1-AA72)*(1-AA48)</f>
        <v/>
      </c>
      <c r="AB129" s="48">
        <f>MAX(AB23,AB21*Seasonality!$C$45*AB22)*(1-AB72)*(1-AB48)</f>
        <v/>
      </c>
      <c r="AC129" s="48">
        <f>MAX(AC23,AC21*Seasonality!$C$45*AC22)*(1-AC72)*(1-AC48)</f>
        <v/>
      </c>
      <c r="AD129" s="48">
        <f>MAX(AD23,AD21*Seasonality!$C$45*AD22)*(1-AD72)*(1-AD48)</f>
        <v/>
      </c>
      <c r="AE129" s="48">
        <f>MAX(AE23,AE21*Seasonality!$C$45*AE22)*(1-AE72)*(1-AE48)</f>
        <v/>
      </c>
      <c r="AF129" s="48">
        <f>MAX(AF23,AF21*Seasonality!$C$45*AF22)*(1-AF72)*(1-AF48)</f>
        <v/>
      </c>
      <c r="AG129" s="48">
        <f>MAX(AG23,AG21*Seasonality!$C$45*AG22)*(1-AG72)*(1-AG48)</f>
        <v/>
      </c>
      <c r="AH129" s="48">
        <f>MAX(AH23,AH21*Seasonality!$C$45*AH22)*(1-AH72)*(1-AH48)</f>
        <v/>
      </c>
      <c r="AI129" s="48">
        <f>MAX(AI23,AI21*Seasonality!$C$45*AI22)*(1-AI72)*(1-AI48)</f>
        <v/>
      </c>
      <c r="AJ129" s="48">
        <f>MAX(AJ23,AJ21*Seasonality!$C$45*AJ22)*(1-AJ72)*(1-AJ48)</f>
        <v/>
      </c>
      <c r="AK129" s="48">
        <f>MAX(AK23,AK21*Seasonality!$C$45*AK22)*(1-AK72)*(1-AK48)</f>
        <v/>
      </c>
      <c r="AL129" s="48">
        <f>MAX(AL23,AL21*Seasonality!$C$45*AL22)*(1-AL72)*(1-AL48)</f>
        <v/>
      </c>
      <c r="AM129" s="48">
        <f>MAX(AM23,AM21*Seasonality!$C$45*AM22)*(1-AM72)*(1-AM48)</f>
        <v/>
      </c>
      <c r="AN129" s="48">
        <f>MAX(AN23,AN21*Seasonality!$C$45*AN22)*(1-AN72)*(1-AN48)</f>
        <v/>
      </c>
      <c r="AO129" s="48">
        <f>MAX(AO23,AO21*Seasonality!$C$45*AO22)*(1-AO72)*(1-AO48)</f>
        <v/>
      </c>
      <c r="AP129" s="48">
        <f>MAX(AP23,AP21*Seasonality!$C$45*AP22)*(1-AP72)*(1-AP48)</f>
        <v/>
      </c>
      <c r="AQ129" s="48">
        <f>MAX(AQ23,AQ21*Seasonality!$C$45*AQ22)*(1-AQ72)*(1-AQ48)</f>
        <v/>
      </c>
      <c r="AR129" s="48">
        <f>MAX(AR23,AR21*Seasonality!$C$45*AR22)*(1-AR72)*(1-AR48)</f>
        <v/>
      </c>
      <c r="AS129" s="48">
        <f>MAX(AS23,AS21*Seasonality!$C$45*AS22)*(1-AS72)*(1-AS48)</f>
        <v/>
      </c>
      <c r="AT129" s="48">
        <f>MAX(AT23,AT21*Seasonality!$C$45*AT22)*(1-AT72)*(1-AT48)</f>
        <v/>
      </c>
      <c r="AU129" s="48">
        <f>MAX(AU23,AU21*Seasonality!$C$45*AU22)*(1-AU72)*(1-AU48)</f>
        <v/>
      </c>
      <c r="AV129" s="48">
        <f>MAX(AV23,AV21*Seasonality!$C$45*AV22)*(1-AV72)*(1-AV48)</f>
        <v/>
      </c>
    </row>
    <row r="130">
      <c r="B130" s="7" t="inlineStr">
        <is>
          <t>Revenue collected · month 10</t>
        </is>
      </c>
      <c r="C130" s="5" t="inlineStr">
        <is>
          <t>₹</t>
        </is>
      </c>
      <c r="D130" s="48">
        <f>MAX(D23,D21*Seasonality!$C$46*D22)*(1-D72)*(1-D48)</f>
        <v/>
      </c>
      <c r="E130" s="48">
        <f>MAX(E23,E21*Seasonality!$C$46*E22)*(1-E72)*(1-E48)</f>
        <v/>
      </c>
      <c r="F130" s="48">
        <f>MAX(F23,F21*Seasonality!$C$46*F22)*(1-F72)*(1-F48)</f>
        <v/>
      </c>
      <c r="G130" s="48">
        <f>MAX(G23,G21*Seasonality!$C$46*G22)*(1-G72)*(1-G48)</f>
        <v/>
      </c>
      <c r="H130" s="48">
        <f>MAX(H23,H21*Seasonality!$C$46*H22)*(1-H72)*(1-H48)</f>
        <v/>
      </c>
      <c r="I130" s="48">
        <f>MAX(I23,I21*Seasonality!$C$46*I22)*(1-I72)*(1-I48)</f>
        <v/>
      </c>
      <c r="J130" s="48">
        <f>MAX(J23,J21*Seasonality!$C$46*J22)*(1-J72)*(1-J48)</f>
        <v/>
      </c>
      <c r="K130" s="48">
        <f>MAX(K23,K21*Seasonality!$C$46*K22)*(1-K72)*(1-K48)</f>
        <v/>
      </c>
      <c r="L130" s="48">
        <f>MAX(L23,L21*Seasonality!$C$46*L22)*(1-L72)*(1-L48)</f>
        <v/>
      </c>
      <c r="M130" s="48">
        <f>MAX(M23,M21*Seasonality!$C$46*M22)*(1-M72)*(1-M48)</f>
        <v/>
      </c>
      <c r="N130" s="48">
        <f>MAX(N23,N21*Seasonality!$C$46*N22)*(1-N72)*(1-N48)</f>
        <v/>
      </c>
      <c r="O130" s="48">
        <f>MAX(O23,O21*Seasonality!$C$46*O22)*(1-O72)*(1-O48)</f>
        <v/>
      </c>
      <c r="P130" s="48">
        <f>MAX(P23,P21*Seasonality!$C$46*P22)*(1-P72)*(1-P48)</f>
        <v/>
      </c>
      <c r="Q130" s="48">
        <f>MAX(Q23,Q21*Seasonality!$C$46*Q22)*(1-Q72)*(1-Q48)</f>
        <v/>
      </c>
      <c r="R130" s="48">
        <f>MAX(R23,R21*Seasonality!$C$46*R22)*(1-R72)*(1-R48)</f>
        <v/>
      </c>
      <c r="S130" s="48">
        <f>MAX(S23,S21*Seasonality!$C$46*S22)*(1-S72)*(1-S48)</f>
        <v/>
      </c>
      <c r="T130" s="48">
        <f>MAX(T23,T21*Seasonality!$C$46*T22)*(1-T72)*(1-T48)</f>
        <v/>
      </c>
      <c r="U130" s="48">
        <f>MAX(U23,U21*Seasonality!$C$46*U22)*(1-U72)*(1-U48)</f>
        <v/>
      </c>
      <c r="V130" s="48">
        <f>MAX(V23,V21*Seasonality!$C$46*V22)*(1-V72)*(1-V48)</f>
        <v/>
      </c>
      <c r="W130" s="48">
        <f>MAX(W23,W21*Seasonality!$C$46*W22)*(1-W72)*(1-W48)</f>
        <v/>
      </c>
      <c r="X130" s="48">
        <f>MAX(X23,X21*Seasonality!$C$46*X22)*(1-X72)*(1-X48)</f>
        <v/>
      </c>
      <c r="Y130" s="48">
        <f>MAX(Y23,Y21*Seasonality!$C$46*Y22)*(1-Y72)*(1-Y48)</f>
        <v/>
      </c>
      <c r="Z130" s="48">
        <f>MAX(Z23,Z21*Seasonality!$C$46*Z22)*(1-Z72)*(1-Z48)</f>
        <v/>
      </c>
      <c r="AA130" s="48">
        <f>MAX(AA23,AA21*Seasonality!$C$46*AA22)*(1-AA72)*(1-AA48)</f>
        <v/>
      </c>
      <c r="AB130" s="48">
        <f>MAX(AB23,AB21*Seasonality!$C$46*AB22)*(1-AB72)*(1-AB48)</f>
        <v/>
      </c>
      <c r="AC130" s="48">
        <f>MAX(AC23,AC21*Seasonality!$C$46*AC22)*(1-AC72)*(1-AC48)</f>
        <v/>
      </c>
      <c r="AD130" s="48">
        <f>MAX(AD23,AD21*Seasonality!$C$46*AD22)*(1-AD72)*(1-AD48)</f>
        <v/>
      </c>
      <c r="AE130" s="48">
        <f>MAX(AE23,AE21*Seasonality!$C$46*AE22)*(1-AE72)*(1-AE48)</f>
        <v/>
      </c>
      <c r="AF130" s="48">
        <f>MAX(AF23,AF21*Seasonality!$C$46*AF22)*(1-AF72)*(1-AF48)</f>
        <v/>
      </c>
      <c r="AG130" s="48">
        <f>MAX(AG23,AG21*Seasonality!$C$46*AG22)*(1-AG72)*(1-AG48)</f>
        <v/>
      </c>
      <c r="AH130" s="48">
        <f>MAX(AH23,AH21*Seasonality!$C$46*AH22)*(1-AH72)*(1-AH48)</f>
        <v/>
      </c>
      <c r="AI130" s="48">
        <f>MAX(AI23,AI21*Seasonality!$C$46*AI22)*(1-AI72)*(1-AI48)</f>
        <v/>
      </c>
      <c r="AJ130" s="48">
        <f>MAX(AJ23,AJ21*Seasonality!$C$46*AJ22)*(1-AJ72)*(1-AJ48)</f>
        <v/>
      </c>
      <c r="AK130" s="48">
        <f>MAX(AK23,AK21*Seasonality!$C$46*AK22)*(1-AK72)*(1-AK48)</f>
        <v/>
      </c>
      <c r="AL130" s="48">
        <f>MAX(AL23,AL21*Seasonality!$C$46*AL22)*(1-AL72)*(1-AL48)</f>
        <v/>
      </c>
      <c r="AM130" s="48">
        <f>MAX(AM23,AM21*Seasonality!$C$46*AM22)*(1-AM72)*(1-AM48)</f>
        <v/>
      </c>
      <c r="AN130" s="48">
        <f>MAX(AN23,AN21*Seasonality!$C$46*AN22)*(1-AN72)*(1-AN48)</f>
        <v/>
      </c>
      <c r="AO130" s="48">
        <f>MAX(AO23,AO21*Seasonality!$C$46*AO22)*(1-AO72)*(1-AO48)</f>
        <v/>
      </c>
      <c r="AP130" s="48">
        <f>MAX(AP23,AP21*Seasonality!$C$46*AP22)*(1-AP72)*(1-AP48)</f>
        <v/>
      </c>
      <c r="AQ130" s="48">
        <f>MAX(AQ23,AQ21*Seasonality!$C$46*AQ22)*(1-AQ72)*(1-AQ48)</f>
        <v/>
      </c>
      <c r="AR130" s="48">
        <f>MAX(AR23,AR21*Seasonality!$C$46*AR22)*(1-AR72)*(1-AR48)</f>
        <v/>
      </c>
      <c r="AS130" s="48">
        <f>MAX(AS23,AS21*Seasonality!$C$46*AS22)*(1-AS72)*(1-AS48)</f>
        <v/>
      </c>
      <c r="AT130" s="48">
        <f>MAX(AT23,AT21*Seasonality!$C$46*AT22)*(1-AT72)*(1-AT48)</f>
        <v/>
      </c>
      <c r="AU130" s="48">
        <f>MAX(AU23,AU21*Seasonality!$C$46*AU22)*(1-AU72)*(1-AU48)</f>
        <v/>
      </c>
      <c r="AV130" s="48">
        <f>MAX(AV23,AV21*Seasonality!$C$46*AV22)*(1-AV72)*(1-AV48)</f>
        <v/>
      </c>
    </row>
    <row r="131">
      <c r="B131" s="7" t="inlineStr">
        <is>
          <t>Revenue collected · month 11</t>
        </is>
      </c>
      <c r="C131" s="5" t="inlineStr">
        <is>
          <t>₹</t>
        </is>
      </c>
      <c r="D131" s="48">
        <f>MAX(D23,D21*Seasonality!$C$47*D22)*(1-D72)*(1-D48)</f>
        <v/>
      </c>
      <c r="E131" s="48">
        <f>MAX(E23,E21*Seasonality!$C$47*E22)*(1-E72)*(1-E48)</f>
        <v/>
      </c>
      <c r="F131" s="48">
        <f>MAX(F23,F21*Seasonality!$C$47*F22)*(1-F72)*(1-F48)</f>
        <v/>
      </c>
      <c r="G131" s="48">
        <f>MAX(G23,G21*Seasonality!$C$47*G22)*(1-G72)*(1-G48)</f>
        <v/>
      </c>
      <c r="H131" s="48">
        <f>MAX(H23,H21*Seasonality!$C$47*H22)*(1-H72)*(1-H48)</f>
        <v/>
      </c>
      <c r="I131" s="48">
        <f>MAX(I23,I21*Seasonality!$C$47*I22)*(1-I72)*(1-I48)</f>
        <v/>
      </c>
      <c r="J131" s="48">
        <f>MAX(J23,J21*Seasonality!$C$47*J22)*(1-J72)*(1-J48)</f>
        <v/>
      </c>
      <c r="K131" s="48">
        <f>MAX(K23,K21*Seasonality!$C$47*K22)*(1-K72)*(1-K48)</f>
        <v/>
      </c>
      <c r="L131" s="48">
        <f>MAX(L23,L21*Seasonality!$C$47*L22)*(1-L72)*(1-L48)</f>
        <v/>
      </c>
      <c r="M131" s="48">
        <f>MAX(M23,M21*Seasonality!$C$47*M22)*(1-M72)*(1-M48)</f>
        <v/>
      </c>
      <c r="N131" s="48">
        <f>MAX(N23,N21*Seasonality!$C$47*N22)*(1-N72)*(1-N48)</f>
        <v/>
      </c>
      <c r="O131" s="48">
        <f>MAX(O23,O21*Seasonality!$C$47*O22)*(1-O72)*(1-O48)</f>
        <v/>
      </c>
      <c r="P131" s="48">
        <f>MAX(P23,P21*Seasonality!$C$47*P22)*(1-P72)*(1-P48)</f>
        <v/>
      </c>
      <c r="Q131" s="48">
        <f>MAX(Q23,Q21*Seasonality!$C$47*Q22)*(1-Q72)*(1-Q48)</f>
        <v/>
      </c>
      <c r="R131" s="48">
        <f>MAX(R23,R21*Seasonality!$C$47*R22)*(1-R72)*(1-R48)</f>
        <v/>
      </c>
      <c r="S131" s="48">
        <f>MAX(S23,S21*Seasonality!$C$47*S22)*(1-S72)*(1-S48)</f>
        <v/>
      </c>
      <c r="T131" s="48">
        <f>MAX(T23,T21*Seasonality!$C$47*T22)*(1-T72)*(1-T48)</f>
        <v/>
      </c>
      <c r="U131" s="48">
        <f>MAX(U23,U21*Seasonality!$C$47*U22)*(1-U72)*(1-U48)</f>
        <v/>
      </c>
      <c r="V131" s="48">
        <f>MAX(V23,V21*Seasonality!$C$47*V22)*(1-V72)*(1-V48)</f>
        <v/>
      </c>
      <c r="W131" s="48">
        <f>MAX(W23,W21*Seasonality!$C$47*W22)*(1-W72)*(1-W48)</f>
        <v/>
      </c>
      <c r="X131" s="48">
        <f>MAX(X23,X21*Seasonality!$C$47*X22)*(1-X72)*(1-X48)</f>
        <v/>
      </c>
      <c r="Y131" s="48">
        <f>MAX(Y23,Y21*Seasonality!$C$47*Y22)*(1-Y72)*(1-Y48)</f>
        <v/>
      </c>
      <c r="Z131" s="48">
        <f>MAX(Z23,Z21*Seasonality!$C$47*Z22)*(1-Z72)*(1-Z48)</f>
        <v/>
      </c>
      <c r="AA131" s="48">
        <f>MAX(AA23,AA21*Seasonality!$C$47*AA22)*(1-AA72)*(1-AA48)</f>
        <v/>
      </c>
      <c r="AB131" s="48">
        <f>MAX(AB23,AB21*Seasonality!$C$47*AB22)*(1-AB72)*(1-AB48)</f>
        <v/>
      </c>
      <c r="AC131" s="48">
        <f>MAX(AC23,AC21*Seasonality!$C$47*AC22)*(1-AC72)*(1-AC48)</f>
        <v/>
      </c>
      <c r="AD131" s="48">
        <f>MAX(AD23,AD21*Seasonality!$C$47*AD22)*(1-AD72)*(1-AD48)</f>
        <v/>
      </c>
      <c r="AE131" s="48">
        <f>MAX(AE23,AE21*Seasonality!$C$47*AE22)*(1-AE72)*(1-AE48)</f>
        <v/>
      </c>
      <c r="AF131" s="48">
        <f>MAX(AF23,AF21*Seasonality!$C$47*AF22)*(1-AF72)*(1-AF48)</f>
        <v/>
      </c>
      <c r="AG131" s="48">
        <f>MAX(AG23,AG21*Seasonality!$C$47*AG22)*(1-AG72)*(1-AG48)</f>
        <v/>
      </c>
      <c r="AH131" s="48">
        <f>MAX(AH23,AH21*Seasonality!$C$47*AH22)*(1-AH72)*(1-AH48)</f>
        <v/>
      </c>
      <c r="AI131" s="48">
        <f>MAX(AI23,AI21*Seasonality!$C$47*AI22)*(1-AI72)*(1-AI48)</f>
        <v/>
      </c>
      <c r="AJ131" s="48">
        <f>MAX(AJ23,AJ21*Seasonality!$C$47*AJ22)*(1-AJ72)*(1-AJ48)</f>
        <v/>
      </c>
      <c r="AK131" s="48">
        <f>MAX(AK23,AK21*Seasonality!$C$47*AK22)*(1-AK72)*(1-AK48)</f>
        <v/>
      </c>
      <c r="AL131" s="48">
        <f>MAX(AL23,AL21*Seasonality!$C$47*AL22)*(1-AL72)*(1-AL48)</f>
        <v/>
      </c>
      <c r="AM131" s="48">
        <f>MAX(AM23,AM21*Seasonality!$C$47*AM22)*(1-AM72)*(1-AM48)</f>
        <v/>
      </c>
      <c r="AN131" s="48">
        <f>MAX(AN23,AN21*Seasonality!$C$47*AN22)*(1-AN72)*(1-AN48)</f>
        <v/>
      </c>
      <c r="AO131" s="48">
        <f>MAX(AO23,AO21*Seasonality!$C$47*AO22)*(1-AO72)*(1-AO48)</f>
        <v/>
      </c>
      <c r="AP131" s="48">
        <f>MAX(AP23,AP21*Seasonality!$C$47*AP22)*(1-AP72)*(1-AP48)</f>
        <v/>
      </c>
      <c r="AQ131" s="48">
        <f>MAX(AQ23,AQ21*Seasonality!$C$47*AQ22)*(1-AQ72)*(1-AQ48)</f>
        <v/>
      </c>
      <c r="AR131" s="48">
        <f>MAX(AR23,AR21*Seasonality!$C$47*AR22)*(1-AR72)*(1-AR48)</f>
        <v/>
      </c>
      <c r="AS131" s="48">
        <f>MAX(AS23,AS21*Seasonality!$C$47*AS22)*(1-AS72)*(1-AS48)</f>
        <v/>
      </c>
      <c r="AT131" s="48">
        <f>MAX(AT23,AT21*Seasonality!$C$47*AT22)*(1-AT72)*(1-AT48)</f>
        <v/>
      </c>
      <c r="AU131" s="48">
        <f>MAX(AU23,AU21*Seasonality!$C$47*AU22)*(1-AU72)*(1-AU48)</f>
        <v/>
      </c>
      <c r="AV131" s="48">
        <f>MAX(AV23,AV21*Seasonality!$C$47*AV22)*(1-AV72)*(1-AV48)</f>
        <v/>
      </c>
    </row>
    <row r="132">
      <c r="B132" s="7" t="inlineStr">
        <is>
          <t>Revenue collected · month 12</t>
        </is>
      </c>
      <c r="C132" s="5" t="inlineStr">
        <is>
          <t>₹</t>
        </is>
      </c>
      <c r="D132" s="48">
        <f>MAX(D23,D21*Seasonality!$C$48*D22)*(1-D72)*(1-D48)</f>
        <v/>
      </c>
      <c r="E132" s="48">
        <f>MAX(E23,E21*Seasonality!$C$48*E22)*(1-E72)*(1-E48)</f>
        <v/>
      </c>
      <c r="F132" s="48">
        <f>MAX(F23,F21*Seasonality!$C$48*F22)*(1-F72)*(1-F48)</f>
        <v/>
      </c>
      <c r="G132" s="48">
        <f>MAX(G23,G21*Seasonality!$C$48*G22)*(1-G72)*(1-G48)</f>
        <v/>
      </c>
      <c r="H132" s="48">
        <f>MAX(H23,H21*Seasonality!$C$48*H22)*(1-H72)*(1-H48)</f>
        <v/>
      </c>
      <c r="I132" s="48">
        <f>MAX(I23,I21*Seasonality!$C$48*I22)*(1-I72)*(1-I48)</f>
        <v/>
      </c>
      <c r="J132" s="48">
        <f>MAX(J23,J21*Seasonality!$C$48*J22)*(1-J72)*(1-J48)</f>
        <v/>
      </c>
      <c r="K132" s="48">
        <f>MAX(K23,K21*Seasonality!$C$48*K22)*(1-K72)*(1-K48)</f>
        <v/>
      </c>
      <c r="L132" s="48">
        <f>MAX(L23,L21*Seasonality!$C$48*L22)*(1-L72)*(1-L48)</f>
        <v/>
      </c>
      <c r="M132" s="48">
        <f>MAX(M23,M21*Seasonality!$C$48*M22)*(1-M72)*(1-M48)</f>
        <v/>
      </c>
      <c r="N132" s="48">
        <f>MAX(N23,N21*Seasonality!$C$48*N22)*(1-N72)*(1-N48)</f>
        <v/>
      </c>
      <c r="O132" s="48">
        <f>MAX(O23,O21*Seasonality!$C$48*O22)*(1-O72)*(1-O48)</f>
        <v/>
      </c>
      <c r="P132" s="48">
        <f>MAX(P23,P21*Seasonality!$C$48*P22)*(1-P72)*(1-P48)</f>
        <v/>
      </c>
      <c r="Q132" s="48">
        <f>MAX(Q23,Q21*Seasonality!$C$48*Q22)*(1-Q72)*(1-Q48)</f>
        <v/>
      </c>
      <c r="R132" s="48">
        <f>MAX(R23,R21*Seasonality!$C$48*R22)*(1-R72)*(1-R48)</f>
        <v/>
      </c>
      <c r="S132" s="48">
        <f>MAX(S23,S21*Seasonality!$C$48*S22)*(1-S72)*(1-S48)</f>
        <v/>
      </c>
      <c r="T132" s="48">
        <f>MAX(T23,T21*Seasonality!$C$48*T22)*(1-T72)*(1-T48)</f>
        <v/>
      </c>
      <c r="U132" s="48">
        <f>MAX(U23,U21*Seasonality!$C$48*U22)*(1-U72)*(1-U48)</f>
        <v/>
      </c>
      <c r="V132" s="48">
        <f>MAX(V23,V21*Seasonality!$C$48*V22)*(1-V72)*(1-V48)</f>
        <v/>
      </c>
      <c r="W132" s="48">
        <f>MAX(W23,W21*Seasonality!$C$48*W22)*(1-W72)*(1-W48)</f>
        <v/>
      </c>
      <c r="X132" s="48">
        <f>MAX(X23,X21*Seasonality!$C$48*X22)*(1-X72)*(1-X48)</f>
        <v/>
      </c>
      <c r="Y132" s="48">
        <f>MAX(Y23,Y21*Seasonality!$C$48*Y22)*(1-Y72)*(1-Y48)</f>
        <v/>
      </c>
      <c r="Z132" s="48">
        <f>MAX(Z23,Z21*Seasonality!$C$48*Z22)*(1-Z72)*(1-Z48)</f>
        <v/>
      </c>
      <c r="AA132" s="48">
        <f>MAX(AA23,AA21*Seasonality!$C$48*AA22)*(1-AA72)*(1-AA48)</f>
        <v/>
      </c>
      <c r="AB132" s="48">
        <f>MAX(AB23,AB21*Seasonality!$C$48*AB22)*(1-AB72)*(1-AB48)</f>
        <v/>
      </c>
      <c r="AC132" s="48">
        <f>MAX(AC23,AC21*Seasonality!$C$48*AC22)*(1-AC72)*(1-AC48)</f>
        <v/>
      </c>
      <c r="AD132" s="48">
        <f>MAX(AD23,AD21*Seasonality!$C$48*AD22)*(1-AD72)*(1-AD48)</f>
        <v/>
      </c>
      <c r="AE132" s="48">
        <f>MAX(AE23,AE21*Seasonality!$C$48*AE22)*(1-AE72)*(1-AE48)</f>
        <v/>
      </c>
      <c r="AF132" s="48">
        <f>MAX(AF23,AF21*Seasonality!$C$48*AF22)*(1-AF72)*(1-AF48)</f>
        <v/>
      </c>
      <c r="AG132" s="48">
        <f>MAX(AG23,AG21*Seasonality!$C$48*AG22)*(1-AG72)*(1-AG48)</f>
        <v/>
      </c>
      <c r="AH132" s="48">
        <f>MAX(AH23,AH21*Seasonality!$C$48*AH22)*(1-AH72)*(1-AH48)</f>
        <v/>
      </c>
      <c r="AI132" s="48">
        <f>MAX(AI23,AI21*Seasonality!$C$48*AI22)*(1-AI72)*(1-AI48)</f>
        <v/>
      </c>
      <c r="AJ132" s="48">
        <f>MAX(AJ23,AJ21*Seasonality!$C$48*AJ22)*(1-AJ72)*(1-AJ48)</f>
        <v/>
      </c>
      <c r="AK132" s="48">
        <f>MAX(AK23,AK21*Seasonality!$C$48*AK22)*(1-AK72)*(1-AK48)</f>
        <v/>
      </c>
      <c r="AL132" s="48">
        <f>MAX(AL23,AL21*Seasonality!$C$48*AL22)*(1-AL72)*(1-AL48)</f>
        <v/>
      </c>
      <c r="AM132" s="48">
        <f>MAX(AM23,AM21*Seasonality!$C$48*AM22)*(1-AM72)*(1-AM48)</f>
        <v/>
      </c>
      <c r="AN132" s="48">
        <f>MAX(AN23,AN21*Seasonality!$C$48*AN22)*(1-AN72)*(1-AN48)</f>
        <v/>
      </c>
      <c r="AO132" s="48">
        <f>MAX(AO23,AO21*Seasonality!$C$48*AO22)*(1-AO72)*(1-AO48)</f>
        <v/>
      </c>
      <c r="AP132" s="48">
        <f>MAX(AP23,AP21*Seasonality!$C$48*AP22)*(1-AP72)*(1-AP48)</f>
        <v/>
      </c>
      <c r="AQ132" s="48">
        <f>MAX(AQ23,AQ21*Seasonality!$C$48*AQ22)*(1-AQ72)*(1-AQ48)</f>
        <v/>
      </c>
      <c r="AR132" s="48">
        <f>MAX(AR23,AR21*Seasonality!$C$48*AR22)*(1-AR72)*(1-AR48)</f>
        <v/>
      </c>
      <c r="AS132" s="48">
        <f>MAX(AS23,AS21*Seasonality!$C$48*AS22)*(1-AS72)*(1-AS48)</f>
        <v/>
      </c>
      <c r="AT132" s="48">
        <f>MAX(AT23,AT21*Seasonality!$C$48*AT22)*(1-AT72)*(1-AT48)</f>
        <v/>
      </c>
      <c r="AU132" s="48">
        <f>MAX(AU23,AU21*Seasonality!$C$48*AU22)*(1-AU72)*(1-AU48)</f>
        <v/>
      </c>
      <c r="AV132" s="48">
        <f>MAX(AV23,AV21*Seasonality!$C$48*AV22)*(1-AV72)*(1-AV48)</f>
        <v/>
      </c>
    </row>
    <row r="133">
      <c r="B133" s="7" t="inlineStr">
        <is>
          <t>Revenue collected · month 13</t>
        </is>
      </c>
      <c r="C133" s="5" t="inlineStr">
        <is>
          <t>₹</t>
        </is>
      </c>
      <c r="D133" s="48">
        <f>MAX(D23,D21*Seasonality!$C$49*D22)*(1-D72)*(1-D48)</f>
        <v/>
      </c>
      <c r="E133" s="48">
        <f>MAX(E23,E21*Seasonality!$C$49*E22)*(1-E72)*(1-E48)</f>
        <v/>
      </c>
      <c r="F133" s="48">
        <f>MAX(F23,F21*Seasonality!$C$49*F22)*(1-F72)*(1-F48)</f>
        <v/>
      </c>
      <c r="G133" s="48">
        <f>MAX(G23,G21*Seasonality!$C$49*G22)*(1-G72)*(1-G48)</f>
        <v/>
      </c>
      <c r="H133" s="48">
        <f>MAX(H23,H21*Seasonality!$C$49*H22)*(1-H72)*(1-H48)</f>
        <v/>
      </c>
      <c r="I133" s="48">
        <f>MAX(I23,I21*Seasonality!$C$49*I22)*(1-I72)*(1-I48)</f>
        <v/>
      </c>
      <c r="J133" s="48">
        <f>MAX(J23,J21*Seasonality!$C$49*J22)*(1-J72)*(1-J48)</f>
        <v/>
      </c>
      <c r="K133" s="48">
        <f>MAX(K23,K21*Seasonality!$C$49*K22)*(1-K72)*(1-K48)</f>
        <v/>
      </c>
      <c r="L133" s="48">
        <f>MAX(L23,L21*Seasonality!$C$49*L22)*(1-L72)*(1-L48)</f>
        <v/>
      </c>
      <c r="M133" s="48">
        <f>MAX(M23,M21*Seasonality!$C$49*M22)*(1-M72)*(1-M48)</f>
        <v/>
      </c>
      <c r="N133" s="48">
        <f>MAX(N23,N21*Seasonality!$C$49*N22)*(1-N72)*(1-N48)</f>
        <v/>
      </c>
      <c r="O133" s="48">
        <f>MAX(O23,O21*Seasonality!$C$49*O22)*(1-O72)*(1-O48)</f>
        <v/>
      </c>
      <c r="P133" s="48">
        <f>MAX(P23,P21*Seasonality!$C$49*P22)*(1-P72)*(1-P48)</f>
        <v/>
      </c>
      <c r="Q133" s="48">
        <f>MAX(Q23,Q21*Seasonality!$C$49*Q22)*(1-Q72)*(1-Q48)</f>
        <v/>
      </c>
      <c r="R133" s="48">
        <f>MAX(R23,R21*Seasonality!$C$49*R22)*(1-R72)*(1-R48)</f>
        <v/>
      </c>
      <c r="S133" s="48">
        <f>MAX(S23,S21*Seasonality!$C$49*S22)*(1-S72)*(1-S48)</f>
        <v/>
      </c>
      <c r="T133" s="48">
        <f>MAX(T23,T21*Seasonality!$C$49*T22)*(1-T72)*(1-T48)</f>
        <v/>
      </c>
      <c r="U133" s="48">
        <f>MAX(U23,U21*Seasonality!$C$49*U22)*(1-U72)*(1-U48)</f>
        <v/>
      </c>
      <c r="V133" s="48">
        <f>MAX(V23,V21*Seasonality!$C$49*V22)*(1-V72)*(1-V48)</f>
        <v/>
      </c>
      <c r="W133" s="48">
        <f>MAX(W23,W21*Seasonality!$C$49*W22)*(1-W72)*(1-W48)</f>
        <v/>
      </c>
      <c r="X133" s="48">
        <f>MAX(X23,X21*Seasonality!$C$49*X22)*(1-X72)*(1-X48)</f>
        <v/>
      </c>
      <c r="Y133" s="48">
        <f>MAX(Y23,Y21*Seasonality!$C$49*Y22)*(1-Y72)*(1-Y48)</f>
        <v/>
      </c>
      <c r="Z133" s="48">
        <f>MAX(Z23,Z21*Seasonality!$C$49*Z22)*(1-Z72)*(1-Z48)</f>
        <v/>
      </c>
      <c r="AA133" s="48">
        <f>MAX(AA23,AA21*Seasonality!$C$49*AA22)*(1-AA72)*(1-AA48)</f>
        <v/>
      </c>
      <c r="AB133" s="48">
        <f>MAX(AB23,AB21*Seasonality!$C$49*AB22)*(1-AB72)*(1-AB48)</f>
        <v/>
      </c>
      <c r="AC133" s="48">
        <f>MAX(AC23,AC21*Seasonality!$C$49*AC22)*(1-AC72)*(1-AC48)</f>
        <v/>
      </c>
      <c r="AD133" s="48">
        <f>MAX(AD23,AD21*Seasonality!$C$49*AD22)*(1-AD72)*(1-AD48)</f>
        <v/>
      </c>
      <c r="AE133" s="48">
        <f>MAX(AE23,AE21*Seasonality!$C$49*AE22)*(1-AE72)*(1-AE48)</f>
        <v/>
      </c>
      <c r="AF133" s="48">
        <f>MAX(AF23,AF21*Seasonality!$C$49*AF22)*(1-AF72)*(1-AF48)</f>
        <v/>
      </c>
      <c r="AG133" s="48">
        <f>MAX(AG23,AG21*Seasonality!$C$49*AG22)*(1-AG72)*(1-AG48)</f>
        <v/>
      </c>
      <c r="AH133" s="48">
        <f>MAX(AH23,AH21*Seasonality!$C$49*AH22)*(1-AH72)*(1-AH48)</f>
        <v/>
      </c>
      <c r="AI133" s="48">
        <f>MAX(AI23,AI21*Seasonality!$C$49*AI22)*(1-AI72)*(1-AI48)</f>
        <v/>
      </c>
      <c r="AJ133" s="48">
        <f>MAX(AJ23,AJ21*Seasonality!$C$49*AJ22)*(1-AJ72)*(1-AJ48)</f>
        <v/>
      </c>
      <c r="AK133" s="48">
        <f>MAX(AK23,AK21*Seasonality!$C$49*AK22)*(1-AK72)*(1-AK48)</f>
        <v/>
      </c>
      <c r="AL133" s="48">
        <f>MAX(AL23,AL21*Seasonality!$C$49*AL22)*(1-AL72)*(1-AL48)</f>
        <v/>
      </c>
      <c r="AM133" s="48">
        <f>MAX(AM23,AM21*Seasonality!$C$49*AM22)*(1-AM72)*(1-AM48)</f>
        <v/>
      </c>
      <c r="AN133" s="48">
        <f>MAX(AN23,AN21*Seasonality!$C$49*AN22)*(1-AN72)*(1-AN48)</f>
        <v/>
      </c>
      <c r="AO133" s="48">
        <f>MAX(AO23,AO21*Seasonality!$C$49*AO22)*(1-AO72)*(1-AO48)</f>
        <v/>
      </c>
      <c r="AP133" s="48">
        <f>MAX(AP23,AP21*Seasonality!$C$49*AP22)*(1-AP72)*(1-AP48)</f>
        <v/>
      </c>
      <c r="AQ133" s="48">
        <f>MAX(AQ23,AQ21*Seasonality!$C$49*AQ22)*(1-AQ72)*(1-AQ48)</f>
        <v/>
      </c>
      <c r="AR133" s="48">
        <f>MAX(AR23,AR21*Seasonality!$C$49*AR22)*(1-AR72)*(1-AR48)</f>
        <v/>
      </c>
      <c r="AS133" s="48">
        <f>MAX(AS23,AS21*Seasonality!$C$49*AS22)*(1-AS72)*(1-AS48)</f>
        <v/>
      </c>
      <c r="AT133" s="48">
        <f>MAX(AT23,AT21*Seasonality!$C$49*AT22)*(1-AT72)*(1-AT48)</f>
        <v/>
      </c>
      <c r="AU133" s="48">
        <f>MAX(AU23,AU21*Seasonality!$C$49*AU22)*(1-AU72)*(1-AU48)</f>
        <v/>
      </c>
      <c r="AV133" s="48">
        <f>MAX(AV23,AV21*Seasonality!$C$49*AV22)*(1-AV72)*(1-AV48)</f>
        <v/>
      </c>
    </row>
    <row r="134">
      <c r="B134" s="7" t="inlineStr">
        <is>
          <t>Revenue collected · month 14</t>
        </is>
      </c>
      <c r="C134" s="5" t="inlineStr">
        <is>
          <t>₹</t>
        </is>
      </c>
      <c r="D134" s="48">
        <f>MAX(D23,D21*Seasonality!$C$50*D22)*(1-D72)*(1-D48)</f>
        <v/>
      </c>
      <c r="E134" s="48">
        <f>MAX(E23,E21*Seasonality!$C$50*E22)*(1-E72)*(1-E48)</f>
        <v/>
      </c>
      <c r="F134" s="48">
        <f>MAX(F23,F21*Seasonality!$C$50*F22)*(1-F72)*(1-F48)</f>
        <v/>
      </c>
      <c r="G134" s="48">
        <f>MAX(G23,G21*Seasonality!$C$50*G22)*(1-G72)*(1-G48)</f>
        <v/>
      </c>
      <c r="H134" s="48">
        <f>MAX(H23,H21*Seasonality!$C$50*H22)*(1-H72)*(1-H48)</f>
        <v/>
      </c>
      <c r="I134" s="48">
        <f>MAX(I23,I21*Seasonality!$C$50*I22)*(1-I72)*(1-I48)</f>
        <v/>
      </c>
      <c r="J134" s="48">
        <f>MAX(J23,J21*Seasonality!$C$50*J22)*(1-J72)*(1-J48)</f>
        <v/>
      </c>
      <c r="K134" s="48">
        <f>MAX(K23,K21*Seasonality!$C$50*K22)*(1-K72)*(1-K48)</f>
        <v/>
      </c>
      <c r="L134" s="48">
        <f>MAX(L23,L21*Seasonality!$C$50*L22)*(1-L72)*(1-L48)</f>
        <v/>
      </c>
      <c r="M134" s="48">
        <f>MAX(M23,M21*Seasonality!$C$50*M22)*(1-M72)*(1-M48)</f>
        <v/>
      </c>
      <c r="N134" s="48">
        <f>MAX(N23,N21*Seasonality!$C$50*N22)*(1-N72)*(1-N48)</f>
        <v/>
      </c>
      <c r="O134" s="48">
        <f>MAX(O23,O21*Seasonality!$C$50*O22)*(1-O72)*(1-O48)</f>
        <v/>
      </c>
      <c r="P134" s="48">
        <f>MAX(P23,P21*Seasonality!$C$50*P22)*(1-P72)*(1-P48)</f>
        <v/>
      </c>
      <c r="Q134" s="48">
        <f>MAX(Q23,Q21*Seasonality!$C$50*Q22)*(1-Q72)*(1-Q48)</f>
        <v/>
      </c>
      <c r="R134" s="48">
        <f>MAX(R23,R21*Seasonality!$C$50*R22)*(1-R72)*(1-R48)</f>
        <v/>
      </c>
      <c r="S134" s="48">
        <f>MAX(S23,S21*Seasonality!$C$50*S22)*(1-S72)*(1-S48)</f>
        <v/>
      </c>
      <c r="T134" s="48">
        <f>MAX(T23,T21*Seasonality!$C$50*T22)*(1-T72)*(1-T48)</f>
        <v/>
      </c>
      <c r="U134" s="48">
        <f>MAX(U23,U21*Seasonality!$C$50*U22)*(1-U72)*(1-U48)</f>
        <v/>
      </c>
      <c r="V134" s="48">
        <f>MAX(V23,V21*Seasonality!$C$50*V22)*(1-V72)*(1-V48)</f>
        <v/>
      </c>
      <c r="W134" s="48">
        <f>MAX(W23,W21*Seasonality!$C$50*W22)*(1-W72)*(1-W48)</f>
        <v/>
      </c>
      <c r="X134" s="48">
        <f>MAX(X23,X21*Seasonality!$C$50*X22)*(1-X72)*(1-X48)</f>
        <v/>
      </c>
      <c r="Y134" s="48">
        <f>MAX(Y23,Y21*Seasonality!$C$50*Y22)*(1-Y72)*(1-Y48)</f>
        <v/>
      </c>
      <c r="Z134" s="48">
        <f>MAX(Z23,Z21*Seasonality!$C$50*Z22)*(1-Z72)*(1-Z48)</f>
        <v/>
      </c>
      <c r="AA134" s="48">
        <f>MAX(AA23,AA21*Seasonality!$C$50*AA22)*(1-AA72)*(1-AA48)</f>
        <v/>
      </c>
      <c r="AB134" s="48">
        <f>MAX(AB23,AB21*Seasonality!$C$50*AB22)*(1-AB72)*(1-AB48)</f>
        <v/>
      </c>
      <c r="AC134" s="48">
        <f>MAX(AC23,AC21*Seasonality!$C$50*AC22)*(1-AC72)*(1-AC48)</f>
        <v/>
      </c>
      <c r="AD134" s="48">
        <f>MAX(AD23,AD21*Seasonality!$C$50*AD22)*(1-AD72)*(1-AD48)</f>
        <v/>
      </c>
      <c r="AE134" s="48">
        <f>MAX(AE23,AE21*Seasonality!$C$50*AE22)*(1-AE72)*(1-AE48)</f>
        <v/>
      </c>
      <c r="AF134" s="48">
        <f>MAX(AF23,AF21*Seasonality!$C$50*AF22)*(1-AF72)*(1-AF48)</f>
        <v/>
      </c>
      <c r="AG134" s="48">
        <f>MAX(AG23,AG21*Seasonality!$C$50*AG22)*(1-AG72)*(1-AG48)</f>
        <v/>
      </c>
      <c r="AH134" s="48">
        <f>MAX(AH23,AH21*Seasonality!$C$50*AH22)*(1-AH72)*(1-AH48)</f>
        <v/>
      </c>
      <c r="AI134" s="48">
        <f>MAX(AI23,AI21*Seasonality!$C$50*AI22)*(1-AI72)*(1-AI48)</f>
        <v/>
      </c>
      <c r="AJ134" s="48">
        <f>MAX(AJ23,AJ21*Seasonality!$C$50*AJ22)*(1-AJ72)*(1-AJ48)</f>
        <v/>
      </c>
      <c r="AK134" s="48">
        <f>MAX(AK23,AK21*Seasonality!$C$50*AK22)*(1-AK72)*(1-AK48)</f>
        <v/>
      </c>
      <c r="AL134" s="48">
        <f>MAX(AL23,AL21*Seasonality!$C$50*AL22)*(1-AL72)*(1-AL48)</f>
        <v/>
      </c>
      <c r="AM134" s="48">
        <f>MAX(AM23,AM21*Seasonality!$C$50*AM22)*(1-AM72)*(1-AM48)</f>
        <v/>
      </c>
      <c r="AN134" s="48">
        <f>MAX(AN23,AN21*Seasonality!$C$50*AN22)*(1-AN72)*(1-AN48)</f>
        <v/>
      </c>
      <c r="AO134" s="48">
        <f>MAX(AO23,AO21*Seasonality!$C$50*AO22)*(1-AO72)*(1-AO48)</f>
        <v/>
      </c>
      <c r="AP134" s="48">
        <f>MAX(AP23,AP21*Seasonality!$C$50*AP22)*(1-AP72)*(1-AP48)</f>
        <v/>
      </c>
      <c r="AQ134" s="48">
        <f>MAX(AQ23,AQ21*Seasonality!$C$50*AQ22)*(1-AQ72)*(1-AQ48)</f>
        <v/>
      </c>
      <c r="AR134" s="48">
        <f>MAX(AR23,AR21*Seasonality!$C$50*AR22)*(1-AR72)*(1-AR48)</f>
        <v/>
      </c>
      <c r="AS134" s="48">
        <f>MAX(AS23,AS21*Seasonality!$C$50*AS22)*(1-AS72)*(1-AS48)</f>
        <v/>
      </c>
      <c r="AT134" s="48">
        <f>MAX(AT23,AT21*Seasonality!$C$50*AT22)*(1-AT72)*(1-AT48)</f>
        <v/>
      </c>
      <c r="AU134" s="48">
        <f>MAX(AU23,AU21*Seasonality!$C$50*AU22)*(1-AU72)*(1-AU48)</f>
        <v/>
      </c>
      <c r="AV134" s="48">
        <f>MAX(AV23,AV21*Seasonality!$C$50*AV22)*(1-AV72)*(1-AV48)</f>
        <v/>
      </c>
    </row>
    <row r="135">
      <c r="B135" s="7" t="inlineStr">
        <is>
          <t>Revenue collected · month 15</t>
        </is>
      </c>
      <c r="C135" s="5" t="inlineStr">
        <is>
          <t>₹</t>
        </is>
      </c>
      <c r="D135" s="48">
        <f>MAX(D23,D21*Seasonality!$C$51*D22)*(1-D72)*(1-D48)</f>
        <v/>
      </c>
      <c r="E135" s="48">
        <f>MAX(E23,E21*Seasonality!$C$51*E22)*(1-E72)*(1-E48)</f>
        <v/>
      </c>
      <c r="F135" s="48">
        <f>MAX(F23,F21*Seasonality!$C$51*F22)*(1-F72)*(1-F48)</f>
        <v/>
      </c>
      <c r="G135" s="48">
        <f>MAX(G23,G21*Seasonality!$C$51*G22)*(1-G72)*(1-G48)</f>
        <v/>
      </c>
      <c r="H135" s="48">
        <f>MAX(H23,H21*Seasonality!$C$51*H22)*(1-H72)*(1-H48)</f>
        <v/>
      </c>
      <c r="I135" s="48">
        <f>MAX(I23,I21*Seasonality!$C$51*I22)*(1-I72)*(1-I48)</f>
        <v/>
      </c>
      <c r="J135" s="48">
        <f>MAX(J23,J21*Seasonality!$C$51*J22)*(1-J72)*(1-J48)</f>
        <v/>
      </c>
      <c r="K135" s="48">
        <f>MAX(K23,K21*Seasonality!$C$51*K22)*(1-K72)*(1-K48)</f>
        <v/>
      </c>
      <c r="L135" s="48">
        <f>MAX(L23,L21*Seasonality!$C$51*L22)*(1-L72)*(1-L48)</f>
        <v/>
      </c>
      <c r="M135" s="48">
        <f>MAX(M23,M21*Seasonality!$C$51*M22)*(1-M72)*(1-M48)</f>
        <v/>
      </c>
      <c r="N135" s="48">
        <f>MAX(N23,N21*Seasonality!$C$51*N22)*(1-N72)*(1-N48)</f>
        <v/>
      </c>
      <c r="O135" s="48">
        <f>MAX(O23,O21*Seasonality!$C$51*O22)*(1-O72)*(1-O48)</f>
        <v/>
      </c>
      <c r="P135" s="48">
        <f>MAX(P23,P21*Seasonality!$C$51*P22)*(1-P72)*(1-P48)</f>
        <v/>
      </c>
      <c r="Q135" s="48">
        <f>MAX(Q23,Q21*Seasonality!$C$51*Q22)*(1-Q72)*(1-Q48)</f>
        <v/>
      </c>
      <c r="R135" s="48">
        <f>MAX(R23,R21*Seasonality!$C$51*R22)*(1-R72)*(1-R48)</f>
        <v/>
      </c>
      <c r="S135" s="48">
        <f>MAX(S23,S21*Seasonality!$C$51*S22)*(1-S72)*(1-S48)</f>
        <v/>
      </c>
      <c r="T135" s="48">
        <f>MAX(T23,T21*Seasonality!$C$51*T22)*(1-T72)*(1-T48)</f>
        <v/>
      </c>
      <c r="U135" s="48">
        <f>MAX(U23,U21*Seasonality!$C$51*U22)*(1-U72)*(1-U48)</f>
        <v/>
      </c>
      <c r="V135" s="48">
        <f>MAX(V23,V21*Seasonality!$C$51*V22)*(1-V72)*(1-V48)</f>
        <v/>
      </c>
      <c r="W135" s="48">
        <f>MAX(W23,W21*Seasonality!$C$51*W22)*(1-W72)*(1-W48)</f>
        <v/>
      </c>
      <c r="X135" s="48">
        <f>MAX(X23,X21*Seasonality!$C$51*X22)*(1-X72)*(1-X48)</f>
        <v/>
      </c>
      <c r="Y135" s="48">
        <f>MAX(Y23,Y21*Seasonality!$C$51*Y22)*(1-Y72)*(1-Y48)</f>
        <v/>
      </c>
      <c r="Z135" s="48">
        <f>MAX(Z23,Z21*Seasonality!$C$51*Z22)*(1-Z72)*(1-Z48)</f>
        <v/>
      </c>
      <c r="AA135" s="48">
        <f>MAX(AA23,AA21*Seasonality!$C$51*AA22)*(1-AA72)*(1-AA48)</f>
        <v/>
      </c>
      <c r="AB135" s="48">
        <f>MAX(AB23,AB21*Seasonality!$C$51*AB22)*(1-AB72)*(1-AB48)</f>
        <v/>
      </c>
      <c r="AC135" s="48">
        <f>MAX(AC23,AC21*Seasonality!$C$51*AC22)*(1-AC72)*(1-AC48)</f>
        <v/>
      </c>
      <c r="AD135" s="48">
        <f>MAX(AD23,AD21*Seasonality!$C$51*AD22)*(1-AD72)*(1-AD48)</f>
        <v/>
      </c>
      <c r="AE135" s="48">
        <f>MAX(AE23,AE21*Seasonality!$C$51*AE22)*(1-AE72)*(1-AE48)</f>
        <v/>
      </c>
      <c r="AF135" s="48">
        <f>MAX(AF23,AF21*Seasonality!$C$51*AF22)*(1-AF72)*(1-AF48)</f>
        <v/>
      </c>
      <c r="AG135" s="48">
        <f>MAX(AG23,AG21*Seasonality!$C$51*AG22)*(1-AG72)*(1-AG48)</f>
        <v/>
      </c>
      <c r="AH135" s="48">
        <f>MAX(AH23,AH21*Seasonality!$C$51*AH22)*(1-AH72)*(1-AH48)</f>
        <v/>
      </c>
      <c r="AI135" s="48">
        <f>MAX(AI23,AI21*Seasonality!$C$51*AI22)*(1-AI72)*(1-AI48)</f>
        <v/>
      </c>
      <c r="AJ135" s="48">
        <f>MAX(AJ23,AJ21*Seasonality!$C$51*AJ22)*(1-AJ72)*(1-AJ48)</f>
        <v/>
      </c>
      <c r="AK135" s="48">
        <f>MAX(AK23,AK21*Seasonality!$C$51*AK22)*(1-AK72)*(1-AK48)</f>
        <v/>
      </c>
      <c r="AL135" s="48">
        <f>MAX(AL23,AL21*Seasonality!$C$51*AL22)*(1-AL72)*(1-AL48)</f>
        <v/>
      </c>
      <c r="AM135" s="48">
        <f>MAX(AM23,AM21*Seasonality!$C$51*AM22)*(1-AM72)*(1-AM48)</f>
        <v/>
      </c>
      <c r="AN135" s="48">
        <f>MAX(AN23,AN21*Seasonality!$C$51*AN22)*(1-AN72)*(1-AN48)</f>
        <v/>
      </c>
      <c r="AO135" s="48">
        <f>MAX(AO23,AO21*Seasonality!$C$51*AO22)*(1-AO72)*(1-AO48)</f>
        <v/>
      </c>
      <c r="AP135" s="48">
        <f>MAX(AP23,AP21*Seasonality!$C$51*AP22)*(1-AP72)*(1-AP48)</f>
        <v/>
      </c>
      <c r="AQ135" s="48">
        <f>MAX(AQ23,AQ21*Seasonality!$C$51*AQ22)*(1-AQ72)*(1-AQ48)</f>
        <v/>
      </c>
      <c r="AR135" s="48">
        <f>MAX(AR23,AR21*Seasonality!$C$51*AR22)*(1-AR72)*(1-AR48)</f>
        <v/>
      </c>
      <c r="AS135" s="48">
        <f>MAX(AS23,AS21*Seasonality!$C$51*AS22)*(1-AS72)*(1-AS48)</f>
        <v/>
      </c>
      <c r="AT135" s="48">
        <f>MAX(AT23,AT21*Seasonality!$C$51*AT22)*(1-AT72)*(1-AT48)</f>
        <v/>
      </c>
      <c r="AU135" s="48">
        <f>MAX(AU23,AU21*Seasonality!$C$51*AU22)*(1-AU72)*(1-AU48)</f>
        <v/>
      </c>
      <c r="AV135" s="48">
        <f>MAX(AV23,AV21*Seasonality!$C$51*AV22)*(1-AV72)*(1-AV48)</f>
        <v/>
      </c>
    </row>
    <row r="136">
      <c r="B136" s="7" t="inlineStr">
        <is>
          <t>Revenue collected · month 16</t>
        </is>
      </c>
      <c r="C136" s="5" t="inlineStr">
        <is>
          <t>₹</t>
        </is>
      </c>
      <c r="D136" s="48">
        <f>MAX(D23,D21*Seasonality!$C$52*D22)*(1-D72)*(1-D48)</f>
        <v/>
      </c>
      <c r="E136" s="48">
        <f>MAX(E23,E21*Seasonality!$C$52*E22)*(1-E72)*(1-E48)</f>
        <v/>
      </c>
      <c r="F136" s="48">
        <f>MAX(F23,F21*Seasonality!$C$52*F22)*(1-F72)*(1-F48)</f>
        <v/>
      </c>
      <c r="G136" s="48">
        <f>MAX(G23,G21*Seasonality!$C$52*G22)*(1-G72)*(1-G48)</f>
        <v/>
      </c>
      <c r="H136" s="48">
        <f>MAX(H23,H21*Seasonality!$C$52*H22)*(1-H72)*(1-H48)</f>
        <v/>
      </c>
      <c r="I136" s="48">
        <f>MAX(I23,I21*Seasonality!$C$52*I22)*(1-I72)*(1-I48)</f>
        <v/>
      </c>
      <c r="J136" s="48">
        <f>MAX(J23,J21*Seasonality!$C$52*J22)*(1-J72)*(1-J48)</f>
        <v/>
      </c>
      <c r="K136" s="48">
        <f>MAX(K23,K21*Seasonality!$C$52*K22)*(1-K72)*(1-K48)</f>
        <v/>
      </c>
      <c r="L136" s="48">
        <f>MAX(L23,L21*Seasonality!$C$52*L22)*(1-L72)*(1-L48)</f>
        <v/>
      </c>
      <c r="M136" s="48">
        <f>MAX(M23,M21*Seasonality!$C$52*M22)*(1-M72)*(1-M48)</f>
        <v/>
      </c>
      <c r="N136" s="48">
        <f>MAX(N23,N21*Seasonality!$C$52*N22)*(1-N72)*(1-N48)</f>
        <v/>
      </c>
      <c r="O136" s="48">
        <f>MAX(O23,O21*Seasonality!$C$52*O22)*(1-O72)*(1-O48)</f>
        <v/>
      </c>
      <c r="P136" s="48">
        <f>MAX(P23,P21*Seasonality!$C$52*P22)*(1-P72)*(1-P48)</f>
        <v/>
      </c>
      <c r="Q136" s="48">
        <f>MAX(Q23,Q21*Seasonality!$C$52*Q22)*(1-Q72)*(1-Q48)</f>
        <v/>
      </c>
      <c r="R136" s="48">
        <f>MAX(R23,R21*Seasonality!$C$52*R22)*(1-R72)*(1-R48)</f>
        <v/>
      </c>
      <c r="S136" s="48">
        <f>MAX(S23,S21*Seasonality!$C$52*S22)*(1-S72)*(1-S48)</f>
        <v/>
      </c>
      <c r="T136" s="48">
        <f>MAX(T23,T21*Seasonality!$C$52*T22)*(1-T72)*(1-T48)</f>
        <v/>
      </c>
      <c r="U136" s="48">
        <f>MAX(U23,U21*Seasonality!$C$52*U22)*(1-U72)*(1-U48)</f>
        <v/>
      </c>
      <c r="V136" s="48">
        <f>MAX(V23,V21*Seasonality!$C$52*V22)*(1-V72)*(1-V48)</f>
        <v/>
      </c>
      <c r="W136" s="48">
        <f>MAX(W23,W21*Seasonality!$C$52*W22)*(1-W72)*(1-W48)</f>
        <v/>
      </c>
      <c r="X136" s="48">
        <f>MAX(X23,X21*Seasonality!$C$52*X22)*(1-X72)*(1-X48)</f>
        <v/>
      </c>
      <c r="Y136" s="48">
        <f>MAX(Y23,Y21*Seasonality!$C$52*Y22)*(1-Y72)*(1-Y48)</f>
        <v/>
      </c>
      <c r="Z136" s="48">
        <f>MAX(Z23,Z21*Seasonality!$C$52*Z22)*(1-Z72)*(1-Z48)</f>
        <v/>
      </c>
      <c r="AA136" s="48">
        <f>MAX(AA23,AA21*Seasonality!$C$52*AA22)*(1-AA72)*(1-AA48)</f>
        <v/>
      </c>
      <c r="AB136" s="48">
        <f>MAX(AB23,AB21*Seasonality!$C$52*AB22)*(1-AB72)*(1-AB48)</f>
        <v/>
      </c>
      <c r="AC136" s="48">
        <f>MAX(AC23,AC21*Seasonality!$C$52*AC22)*(1-AC72)*(1-AC48)</f>
        <v/>
      </c>
      <c r="AD136" s="48">
        <f>MAX(AD23,AD21*Seasonality!$C$52*AD22)*(1-AD72)*(1-AD48)</f>
        <v/>
      </c>
      <c r="AE136" s="48">
        <f>MAX(AE23,AE21*Seasonality!$C$52*AE22)*(1-AE72)*(1-AE48)</f>
        <v/>
      </c>
      <c r="AF136" s="48">
        <f>MAX(AF23,AF21*Seasonality!$C$52*AF22)*(1-AF72)*(1-AF48)</f>
        <v/>
      </c>
      <c r="AG136" s="48">
        <f>MAX(AG23,AG21*Seasonality!$C$52*AG22)*(1-AG72)*(1-AG48)</f>
        <v/>
      </c>
      <c r="AH136" s="48">
        <f>MAX(AH23,AH21*Seasonality!$C$52*AH22)*(1-AH72)*(1-AH48)</f>
        <v/>
      </c>
      <c r="AI136" s="48">
        <f>MAX(AI23,AI21*Seasonality!$C$52*AI22)*(1-AI72)*(1-AI48)</f>
        <v/>
      </c>
      <c r="AJ136" s="48">
        <f>MAX(AJ23,AJ21*Seasonality!$C$52*AJ22)*(1-AJ72)*(1-AJ48)</f>
        <v/>
      </c>
      <c r="AK136" s="48">
        <f>MAX(AK23,AK21*Seasonality!$C$52*AK22)*(1-AK72)*(1-AK48)</f>
        <v/>
      </c>
      <c r="AL136" s="48">
        <f>MAX(AL23,AL21*Seasonality!$C$52*AL22)*(1-AL72)*(1-AL48)</f>
        <v/>
      </c>
      <c r="AM136" s="48">
        <f>MAX(AM23,AM21*Seasonality!$C$52*AM22)*(1-AM72)*(1-AM48)</f>
        <v/>
      </c>
      <c r="AN136" s="48">
        <f>MAX(AN23,AN21*Seasonality!$C$52*AN22)*(1-AN72)*(1-AN48)</f>
        <v/>
      </c>
      <c r="AO136" s="48">
        <f>MAX(AO23,AO21*Seasonality!$C$52*AO22)*(1-AO72)*(1-AO48)</f>
        <v/>
      </c>
      <c r="AP136" s="48">
        <f>MAX(AP23,AP21*Seasonality!$C$52*AP22)*(1-AP72)*(1-AP48)</f>
        <v/>
      </c>
      <c r="AQ136" s="48">
        <f>MAX(AQ23,AQ21*Seasonality!$C$52*AQ22)*(1-AQ72)*(1-AQ48)</f>
        <v/>
      </c>
      <c r="AR136" s="48">
        <f>MAX(AR23,AR21*Seasonality!$C$52*AR22)*(1-AR72)*(1-AR48)</f>
        <v/>
      </c>
      <c r="AS136" s="48">
        <f>MAX(AS23,AS21*Seasonality!$C$52*AS22)*(1-AS72)*(1-AS48)</f>
        <v/>
      </c>
      <c r="AT136" s="48">
        <f>MAX(AT23,AT21*Seasonality!$C$52*AT22)*(1-AT72)*(1-AT48)</f>
        <v/>
      </c>
      <c r="AU136" s="48">
        <f>MAX(AU23,AU21*Seasonality!$C$52*AU22)*(1-AU72)*(1-AU48)</f>
        <v/>
      </c>
      <c r="AV136" s="48">
        <f>MAX(AV23,AV21*Seasonality!$C$52*AV22)*(1-AV72)*(1-AV48)</f>
        <v/>
      </c>
    </row>
    <row r="137">
      <c r="B137" s="7" t="inlineStr">
        <is>
          <t>Revenue collected · month 17</t>
        </is>
      </c>
      <c r="C137" s="5" t="inlineStr">
        <is>
          <t>₹</t>
        </is>
      </c>
      <c r="D137" s="48">
        <f>MAX(D23,D21*Seasonality!$C$53*D22)*(1-D72)*(1-D48)</f>
        <v/>
      </c>
      <c r="E137" s="48">
        <f>MAX(E23,E21*Seasonality!$C$53*E22)*(1-E72)*(1-E48)</f>
        <v/>
      </c>
      <c r="F137" s="48">
        <f>MAX(F23,F21*Seasonality!$C$53*F22)*(1-F72)*(1-F48)</f>
        <v/>
      </c>
      <c r="G137" s="48">
        <f>MAX(G23,G21*Seasonality!$C$53*G22)*(1-G72)*(1-G48)</f>
        <v/>
      </c>
      <c r="H137" s="48">
        <f>MAX(H23,H21*Seasonality!$C$53*H22)*(1-H72)*(1-H48)</f>
        <v/>
      </c>
      <c r="I137" s="48">
        <f>MAX(I23,I21*Seasonality!$C$53*I22)*(1-I72)*(1-I48)</f>
        <v/>
      </c>
      <c r="J137" s="48">
        <f>MAX(J23,J21*Seasonality!$C$53*J22)*(1-J72)*(1-J48)</f>
        <v/>
      </c>
      <c r="K137" s="48">
        <f>MAX(K23,K21*Seasonality!$C$53*K22)*(1-K72)*(1-K48)</f>
        <v/>
      </c>
      <c r="L137" s="48">
        <f>MAX(L23,L21*Seasonality!$C$53*L22)*(1-L72)*(1-L48)</f>
        <v/>
      </c>
      <c r="M137" s="48">
        <f>MAX(M23,M21*Seasonality!$C$53*M22)*(1-M72)*(1-M48)</f>
        <v/>
      </c>
      <c r="N137" s="48">
        <f>MAX(N23,N21*Seasonality!$C$53*N22)*(1-N72)*(1-N48)</f>
        <v/>
      </c>
      <c r="O137" s="48">
        <f>MAX(O23,O21*Seasonality!$C$53*O22)*(1-O72)*(1-O48)</f>
        <v/>
      </c>
      <c r="P137" s="48">
        <f>MAX(P23,P21*Seasonality!$C$53*P22)*(1-P72)*(1-P48)</f>
        <v/>
      </c>
      <c r="Q137" s="48">
        <f>MAX(Q23,Q21*Seasonality!$C$53*Q22)*(1-Q72)*(1-Q48)</f>
        <v/>
      </c>
      <c r="R137" s="48">
        <f>MAX(R23,R21*Seasonality!$C$53*R22)*(1-R72)*(1-R48)</f>
        <v/>
      </c>
      <c r="S137" s="48">
        <f>MAX(S23,S21*Seasonality!$C$53*S22)*(1-S72)*(1-S48)</f>
        <v/>
      </c>
      <c r="T137" s="48">
        <f>MAX(T23,T21*Seasonality!$C$53*T22)*(1-T72)*(1-T48)</f>
        <v/>
      </c>
      <c r="U137" s="48">
        <f>MAX(U23,U21*Seasonality!$C$53*U22)*(1-U72)*(1-U48)</f>
        <v/>
      </c>
      <c r="V137" s="48">
        <f>MAX(V23,V21*Seasonality!$C$53*V22)*(1-V72)*(1-V48)</f>
        <v/>
      </c>
      <c r="W137" s="48">
        <f>MAX(W23,W21*Seasonality!$C$53*W22)*(1-W72)*(1-W48)</f>
        <v/>
      </c>
      <c r="X137" s="48">
        <f>MAX(X23,X21*Seasonality!$C$53*X22)*(1-X72)*(1-X48)</f>
        <v/>
      </c>
      <c r="Y137" s="48">
        <f>MAX(Y23,Y21*Seasonality!$C$53*Y22)*(1-Y72)*(1-Y48)</f>
        <v/>
      </c>
      <c r="Z137" s="48">
        <f>MAX(Z23,Z21*Seasonality!$C$53*Z22)*(1-Z72)*(1-Z48)</f>
        <v/>
      </c>
      <c r="AA137" s="48">
        <f>MAX(AA23,AA21*Seasonality!$C$53*AA22)*(1-AA72)*(1-AA48)</f>
        <v/>
      </c>
      <c r="AB137" s="48">
        <f>MAX(AB23,AB21*Seasonality!$C$53*AB22)*(1-AB72)*(1-AB48)</f>
        <v/>
      </c>
      <c r="AC137" s="48">
        <f>MAX(AC23,AC21*Seasonality!$C$53*AC22)*(1-AC72)*(1-AC48)</f>
        <v/>
      </c>
      <c r="AD137" s="48">
        <f>MAX(AD23,AD21*Seasonality!$C$53*AD22)*(1-AD72)*(1-AD48)</f>
        <v/>
      </c>
      <c r="AE137" s="48">
        <f>MAX(AE23,AE21*Seasonality!$C$53*AE22)*(1-AE72)*(1-AE48)</f>
        <v/>
      </c>
      <c r="AF137" s="48">
        <f>MAX(AF23,AF21*Seasonality!$C$53*AF22)*(1-AF72)*(1-AF48)</f>
        <v/>
      </c>
      <c r="AG137" s="48">
        <f>MAX(AG23,AG21*Seasonality!$C$53*AG22)*(1-AG72)*(1-AG48)</f>
        <v/>
      </c>
      <c r="AH137" s="48">
        <f>MAX(AH23,AH21*Seasonality!$C$53*AH22)*(1-AH72)*(1-AH48)</f>
        <v/>
      </c>
      <c r="AI137" s="48">
        <f>MAX(AI23,AI21*Seasonality!$C$53*AI22)*(1-AI72)*(1-AI48)</f>
        <v/>
      </c>
      <c r="AJ137" s="48">
        <f>MAX(AJ23,AJ21*Seasonality!$C$53*AJ22)*(1-AJ72)*(1-AJ48)</f>
        <v/>
      </c>
      <c r="AK137" s="48">
        <f>MAX(AK23,AK21*Seasonality!$C$53*AK22)*(1-AK72)*(1-AK48)</f>
        <v/>
      </c>
      <c r="AL137" s="48">
        <f>MAX(AL23,AL21*Seasonality!$C$53*AL22)*(1-AL72)*(1-AL48)</f>
        <v/>
      </c>
      <c r="AM137" s="48">
        <f>MAX(AM23,AM21*Seasonality!$C$53*AM22)*(1-AM72)*(1-AM48)</f>
        <v/>
      </c>
      <c r="AN137" s="48">
        <f>MAX(AN23,AN21*Seasonality!$C$53*AN22)*(1-AN72)*(1-AN48)</f>
        <v/>
      </c>
      <c r="AO137" s="48">
        <f>MAX(AO23,AO21*Seasonality!$C$53*AO22)*(1-AO72)*(1-AO48)</f>
        <v/>
      </c>
      <c r="AP137" s="48">
        <f>MAX(AP23,AP21*Seasonality!$C$53*AP22)*(1-AP72)*(1-AP48)</f>
        <v/>
      </c>
      <c r="AQ137" s="48">
        <f>MAX(AQ23,AQ21*Seasonality!$C$53*AQ22)*(1-AQ72)*(1-AQ48)</f>
        <v/>
      </c>
      <c r="AR137" s="48">
        <f>MAX(AR23,AR21*Seasonality!$C$53*AR22)*(1-AR72)*(1-AR48)</f>
        <v/>
      </c>
      <c r="AS137" s="48">
        <f>MAX(AS23,AS21*Seasonality!$C$53*AS22)*(1-AS72)*(1-AS48)</f>
        <v/>
      </c>
      <c r="AT137" s="48">
        <f>MAX(AT23,AT21*Seasonality!$C$53*AT22)*(1-AT72)*(1-AT48)</f>
        <v/>
      </c>
      <c r="AU137" s="48">
        <f>MAX(AU23,AU21*Seasonality!$C$53*AU22)*(1-AU72)*(1-AU48)</f>
        <v/>
      </c>
      <c r="AV137" s="48">
        <f>MAX(AV23,AV21*Seasonality!$C$53*AV22)*(1-AV72)*(1-AV48)</f>
        <v/>
      </c>
    </row>
    <row r="138">
      <c r="B138" s="7" t="inlineStr">
        <is>
          <t>Revenue collected · month 18</t>
        </is>
      </c>
      <c r="C138" s="5" t="inlineStr">
        <is>
          <t>₹</t>
        </is>
      </c>
      <c r="D138" s="48">
        <f>MAX(D23,D21*Seasonality!$C$54*D22)*(1-D72)*(1-D48)</f>
        <v/>
      </c>
      <c r="E138" s="48">
        <f>MAX(E23,E21*Seasonality!$C$54*E22)*(1-E72)*(1-E48)</f>
        <v/>
      </c>
      <c r="F138" s="48">
        <f>MAX(F23,F21*Seasonality!$C$54*F22)*(1-F72)*(1-F48)</f>
        <v/>
      </c>
      <c r="G138" s="48">
        <f>MAX(G23,G21*Seasonality!$C$54*G22)*(1-G72)*(1-G48)</f>
        <v/>
      </c>
      <c r="H138" s="48">
        <f>MAX(H23,H21*Seasonality!$C$54*H22)*(1-H72)*(1-H48)</f>
        <v/>
      </c>
      <c r="I138" s="48">
        <f>MAX(I23,I21*Seasonality!$C$54*I22)*(1-I72)*(1-I48)</f>
        <v/>
      </c>
      <c r="J138" s="48">
        <f>MAX(J23,J21*Seasonality!$C$54*J22)*(1-J72)*(1-J48)</f>
        <v/>
      </c>
      <c r="K138" s="48">
        <f>MAX(K23,K21*Seasonality!$C$54*K22)*(1-K72)*(1-K48)</f>
        <v/>
      </c>
      <c r="L138" s="48">
        <f>MAX(L23,L21*Seasonality!$C$54*L22)*(1-L72)*(1-L48)</f>
        <v/>
      </c>
      <c r="M138" s="48">
        <f>MAX(M23,M21*Seasonality!$C$54*M22)*(1-M72)*(1-M48)</f>
        <v/>
      </c>
      <c r="N138" s="48">
        <f>MAX(N23,N21*Seasonality!$C$54*N22)*(1-N72)*(1-N48)</f>
        <v/>
      </c>
      <c r="O138" s="48">
        <f>MAX(O23,O21*Seasonality!$C$54*O22)*(1-O72)*(1-O48)</f>
        <v/>
      </c>
      <c r="P138" s="48">
        <f>MAX(P23,P21*Seasonality!$C$54*P22)*(1-P72)*(1-P48)</f>
        <v/>
      </c>
      <c r="Q138" s="48">
        <f>MAX(Q23,Q21*Seasonality!$C$54*Q22)*(1-Q72)*(1-Q48)</f>
        <v/>
      </c>
      <c r="R138" s="48">
        <f>MAX(R23,R21*Seasonality!$C$54*R22)*(1-R72)*(1-R48)</f>
        <v/>
      </c>
      <c r="S138" s="48">
        <f>MAX(S23,S21*Seasonality!$C$54*S22)*(1-S72)*(1-S48)</f>
        <v/>
      </c>
      <c r="T138" s="48">
        <f>MAX(T23,T21*Seasonality!$C$54*T22)*(1-T72)*(1-T48)</f>
        <v/>
      </c>
      <c r="U138" s="48">
        <f>MAX(U23,U21*Seasonality!$C$54*U22)*(1-U72)*(1-U48)</f>
        <v/>
      </c>
      <c r="V138" s="48">
        <f>MAX(V23,V21*Seasonality!$C$54*V22)*(1-V72)*(1-V48)</f>
        <v/>
      </c>
      <c r="W138" s="48">
        <f>MAX(W23,W21*Seasonality!$C$54*W22)*(1-W72)*(1-W48)</f>
        <v/>
      </c>
      <c r="X138" s="48">
        <f>MAX(X23,X21*Seasonality!$C$54*X22)*(1-X72)*(1-X48)</f>
        <v/>
      </c>
      <c r="Y138" s="48">
        <f>MAX(Y23,Y21*Seasonality!$C$54*Y22)*(1-Y72)*(1-Y48)</f>
        <v/>
      </c>
      <c r="Z138" s="48">
        <f>MAX(Z23,Z21*Seasonality!$C$54*Z22)*(1-Z72)*(1-Z48)</f>
        <v/>
      </c>
      <c r="AA138" s="48">
        <f>MAX(AA23,AA21*Seasonality!$C$54*AA22)*(1-AA72)*(1-AA48)</f>
        <v/>
      </c>
      <c r="AB138" s="48">
        <f>MAX(AB23,AB21*Seasonality!$C$54*AB22)*(1-AB72)*(1-AB48)</f>
        <v/>
      </c>
      <c r="AC138" s="48">
        <f>MAX(AC23,AC21*Seasonality!$C$54*AC22)*(1-AC72)*(1-AC48)</f>
        <v/>
      </c>
      <c r="AD138" s="48">
        <f>MAX(AD23,AD21*Seasonality!$C$54*AD22)*(1-AD72)*(1-AD48)</f>
        <v/>
      </c>
      <c r="AE138" s="48">
        <f>MAX(AE23,AE21*Seasonality!$C$54*AE22)*(1-AE72)*(1-AE48)</f>
        <v/>
      </c>
      <c r="AF138" s="48">
        <f>MAX(AF23,AF21*Seasonality!$C$54*AF22)*(1-AF72)*(1-AF48)</f>
        <v/>
      </c>
      <c r="AG138" s="48">
        <f>MAX(AG23,AG21*Seasonality!$C$54*AG22)*(1-AG72)*(1-AG48)</f>
        <v/>
      </c>
      <c r="AH138" s="48">
        <f>MAX(AH23,AH21*Seasonality!$C$54*AH22)*(1-AH72)*(1-AH48)</f>
        <v/>
      </c>
      <c r="AI138" s="48">
        <f>MAX(AI23,AI21*Seasonality!$C$54*AI22)*(1-AI72)*(1-AI48)</f>
        <v/>
      </c>
      <c r="AJ138" s="48">
        <f>MAX(AJ23,AJ21*Seasonality!$C$54*AJ22)*(1-AJ72)*(1-AJ48)</f>
        <v/>
      </c>
      <c r="AK138" s="48">
        <f>MAX(AK23,AK21*Seasonality!$C$54*AK22)*(1-AK72)*(1-AK48)</f>
        <v/>
      </c>
      <c r="AL138" s="48">
        <f>MAX(AL23,AL21*Seasonality!$C$54*AL22)*(1-AL72)*(1-AL48)</f>
        <v/>
      </c>
      <c r="AM138" s="48">
        <f>MAX(AM23,AM21*Seasonality!$C$54*AM22)*(1-AM72)*(1-AM48)</f>
        <v/>
      </c>
      <c r="AN138" s="48">
        <f>MAX(AN23,AN21*Seasonality!$C$54*AN22)*(1-AN72)*(1-AN48)</f>
        <v/>
      </c>
      <c r="AO138" s="48">
        <f>MAX(AO23,AO21*Seasonality!$C$54*AO22)*(1-AO72)*(1-AO48)</f>
        <v/>
      </c>
      <c r="AP138" s="48">
        <f>MAX(AP23,AP21*Seasonality!$C$54*AP22)*(1-AP72)*(1-AP48)</f>
        <v/>
      </c>
      <c r="AQ138" s="48">
        <f>MAX(AQ23,AQ21*Seasonality!$C$54*AQ22)*(1-AQ72)*(1-AQ48)</f>
        <v/>
      </c>
      <c r="AR138" s="48">
        <f>MAX(AR23,AR21*Seasonality!$C$54*AR22)*(1-AR72)*(1-AR48)</f>
        <v/>
      </c>
      <c r="AS138" s="48">
        <f>MAX(AS23,AS21*Seasonality!$C$54*AS22)*(1-AS72)*(1-AS48)</f>
        <v/>
      </c>
      <c r="AT138" s="48">
        <f>MAX(AT23,AT21*Seasonality!$C$54*AT22)*(1-AT72)*(1-AT48)</f>
        <v/>
      </c>
      <c r="AU138" s="48">
        <f>MAX(AU23,AU21*Seasonality!$C$54*AU22)*(1-AU72)*(1-AU48)</f>
        <v/>
      </c>
      <c r="AV138" s="48">
        <f>MAX(AV23,AV21*Seasonality!$C$54*AV22)*(1-AV72)*(1-AV48)</f>
        <v/>
      </c>
    </row>
    <row r="139">
      <c r="B139" s="7" t="inlineStr">
        <is>
          <t>Revenue collected · month 19</t>
        </is>
      </c>
      <c r="C139" s="5" t="inlineStr">
        <is>
          <t>₹</t>
        </is>
      </c>
      <c r="D139" s="48">
        <f>MAX(D23,D21*Seasonality!$C$55*D22)*(1-D72)*(1-D48)</f>
        <v/>
      </c>
      <c r="E139" s="48">
        <f>MAX(E23,E21*Seasonality!$C$55*E22)*(1-E72)*(1-E48)</f>
        <v/>
      </c>
      <c r="F139" s="48">
        <f>MAX(F23,F21*Seasonality!$C$55*F22)*(1-F72)*(1-F48)</f>
        <v/>
      </c>
      <c r="G139" s="48">
        <f>MAX(G23,G21*Seasonality!$C$55*G22)*(1-G72)*(1-G48)</f>
        <v/>
      </c>
      <c r="H139" s="48">
        <f>MAX(H23,H21*Seasonality!$C$55*H22)*(1-H72)*(1-H48)</f>
        <v/>
      </c>
      <c r="I139" s="48">
        <f>MAX(I23,I21*Seasonality!$C$55*I22)*(1-I72)*(1-I48)</f>
        <v/>
      </c>
      <c r="J139" s="48">
        <f>MAX(J23,J21*Seasonality!$C$55*J22)*(1-J72)*(1-J48)</f>
        <v/>
      </c>
      <c r="K139" s="48">
        <f>MAX(K23,K21*Seasonality!$C$55*K22)*(1-K72)*(1-K48)</f>
        <v/>
      </c>
      <c r="L139" s="48">
        <f>MAX(L23,L21*Seasonality!$C$55*L22)*(1-L72)*(1-L48)</f>
        <v/>
      </c>
      <c r="M139" s="48">
        <f>MAX(M23,M21*Seasonality!$C$55*M22)*(1-M72)*(1-M48)</f>
        <v/>
      </c>
      <c r="N139" s="48">
        <f>MAX(N23,N21*Seasonality!$C$55*N22)*(1-N72)*(1-N48)</f>
        <v/>
      </c>
      <c r="O139" s="48">
        <f>MAX(O23,O21*Seasonality!$C$55*O22)*(1-O72)*(1-O48)</f>
        <v/>
      </c>
      <c r="P139" s="48">
        <f>MAX(P23,P21*Seasonality!$C$55*P22)*(1-P72)*(1-P48)</f>
        <v/>
      </c>
      <c r="Q139" s="48">
        <f>MAX(Q23,Q21*Seasonality!$C$55*Q22)*(1-Q72)*(1-Q48)</f>
        <v/>
      </c>
      <c r="R139" s="48">
        <f>MAX(R23,R21*Seasonality!$C$55*R22)*(1-R72)*(1-R48)</f>
        <v/>
      </c>
      <c r="S139" s="48">
        <f>MAX(S23,S21*Seasonality!$C$55*S22)*(1-S72)*(1-S48)</f>
        <v/>
      </c>
      <c r="T139" s="48">
        <f>MAX(T23,T21*Seasonality!$C$55*T22)*(1-T72)*(1-T48)</f>
        <v/>
      </c>
      <c r="U139" s="48">
        <f>MAX(U23,U21*Seasonality!$C$55*U22)*(1-U72)*(1-U48)</f>
        <v/>
      </c>
      <c r="V139" s="48">
        <f>MAX(V23,V21*Seasonality!$C$55*V22)*(1-V72)*(1-V48)</f>
        <v/>
      </c>
      <c r="W139" s="48">
        <f>MAX(W23,W21*Seasonality!$C$55*W22)*(1-W72)*(1-W48)</f>
        <v/>
      </c>
      <c r="X139" s="48">
        <f>MAX(X23,X21*Seasonality!$C$55*X22)*(1-X72)*(1-X48)</f>
        <v/>
      </c>
      <c r="Y139" s="48">
        <f>MAX(Y23,Y21*Seasonality!$C$55*Y22)*(1-Y72)*(1-Y48)</f>
        <v/>
      </c>
      <c r="Z139" s="48">
        <f>MAX(Z23,Z21*Seasonality!$C$55*Z22)*(1-Z72)*(1-Z48)</f>
        <v/>
      </c>
      <c r="AA139" s="48">
        <f>MAX(AA23,AA21*Seasonality!$C$55*AA22)*(1-AA72)*(1-AA48)</f>
        <v/>
      </c>
      <c r="AB139" s="48">
        <f>MAX(AB23,AB21*Seasonality!$C$55*AB22)*(1-AB72)*(1-AB48)</f>
        <v/>
      </c>
      <c r="AC139" s="48">
        <f>MAX(AC23,AC21*Seasonality!$C$55*AC22)*(1-AC72)*(1-AC48)</f>
        <v/>
      </c>
      <c r="AD139" s="48">
        <f>MAX(AD23,AD21*Seasonality!$C$55*AD22)*(1-AD72)*(1-AD48)</f>
        <v/>
      </c>
      <c r="AE139" s="48">
        <f>MAX(AE23,AE21*Seasonality!$C$55*AE22)*(1-AE72)*(1-AE48)</f>
        <v/>
      </c>
      <c r="AF139" s="48">
        <f>MAX(AF23,AF21*Seasonality!$C$55*AF22)*(1-AF72)*(1-AF48)</f>
        <v/>
      </c>
      <c r="AG139" s="48">
        <f>MAX(AG23,AG21*Seasonality!$C$55*AG22)*(1-AG72)*(1-AG48)</f>
        <v/>
      </c>
      <c r="AH139" s="48">
        <f>MAX(AH23,AH21*Seasonality!$C$55*AH22)*(1-AH72)*(1-AH48)</f>
        <v/>
      </c>
      <c r="AI139" s="48">
        <f>MAX(AI23,AI21*Seasonality!$C$55*AI22)*(1-AI72)*(1-AI48)</f>
        <v/>
      </c>
      <c r="AJ139" s="48">
        <f>MAX(AJ23,AJ21*Seasonality!$C$55*AJ22)*(1-AJ72)*(1-AJ48)</f>
        <v/>
      </c>
      <c r="AK139" s="48">
        <f>MAX(AK23,AK21*Seasonality!$C$55*AK22)*(1-AK72)*(1-AK48)</f>
        <v/>
      </c>
      <c r="AL139" s="48">
        <f>MAX(AL23,AL21*Seasonality!$C$55*AL22)*(1-AL72)*(1-AL48)</f>
        <v/>
      </c>
      <c r="AM139" s="48">
        <f>MAX(AM23,AM21*Seasonality!$C$55*AM22)*(1-AM72)*(1-AM48)</f>
        <v/>
      </c>
      <c r="AN139" s="48">
        <f>MAX(AN23,AN21*Seasonality!$C$55*AN22)*(1-AN72)*(1-AN48)</f>
        <v/>
      </c>
      <c r="AO139" s="48">
        <f>MAX(AO23,AO21*Seasonality!$C$55*AO22)*(1-AO72)*(1-AO48)</f>
        <v/>
      </c>
      <c r="AP139" s="48">
        <f>MAX(AP23,AP21*Seasonality!$C$55*AP22)*(1-AP72)*(1-AP48)</f>
        <v/>
      </c>
      <c r="AQ139" s="48">
        <f>MAX(AQ23,AQ21*Seasonality!$C$55*AQ22)*(1-AQ72)*(1-AQ48)</f>
        <v/>
      </c>
      <c r="AR139" s="48">
        <f>MAX(AR23,AR21*Seasonality!$C$55*AR22)*(1-AR72)*(1-AR48)</f>
        <v/>
      </c>
      <c r="AS139" s="48">
        <f>MAX(AS23,AS21*Seasonality!$C$55*AS22)*(1-AS72)*(1-AS48)</f>
        <v/>
      </c>
      <c r="AT139" s="48">
        <f>MAX(AT23,AT21*Seasonality!$C$55*AT22)*(1-AT72)*(1-AT48)</f>
        <v/>
      </c>
      <c r="AU139" s="48">
        <f>MAX(AU23,AU21*Seasonality!$C$55*AU22)*(1-AU72)*(1-AU48)</f>
        <v/>
      </c>
      <c r="AV139" s="48">
        <f>MAX(AV23,AV21*Seasonality!$C$55*AV22)*(1-AV72)*(1-AV48)</f>
        <v/>
      </c>
    </row>
    <row r="140">
      <c r="B140" s="7" t="inlineStr">
        <is>
          <t>Revenue collected · month 20</t>
        </is>
      </c>
      <c r="C140" s="5" t="inlineStr">
        <is>
          <t>₹</t>
        </is>
      </c>
      <c r="D140" s="48">
        <f>MAX(D23,D21*Seasonality!$C$56*D22)*(1-D72)*(1-D48)</f>
        <v/>
      </c>
      <c r="E140" s="48">
        <f>MAX(E23,E21*Seasonality!$C$56*E22)*(1-E72)*(1-E48)</f>
        <v/>
      </c>
      <c r="F140" s="48">
        <f>MAX(F23,F21*Seasonality!$C$56*F22)*(1-F72)*(1-F48)</f>
        <v/>
      </c>
      <c r="G140" s="48">
        <f>MAX(G23,G21*Seasonality!$C$56*G22)*(1-G72)*(1-G48)</f>
        <v/>
      </c>
      <c r="H140" s="48">
        <f>MAX(H23,H21*Seasonality!$C$56*H22)*(1-H72)*(1-H48)</f>
        <v/>
      </c>
      <c r="I140" s="48">
        <f>MAX(I23,I21*Seasonality!$C$56*I22)*(1-I72)*(1-I48)</f>
        <v/>
      </c>
      <c r="J140" s="48">
        <f>MAX(J23,J21*Seasonality!$C$56*J22)*(1-J72)*(1-J48)</f>
        <v/>
      </c>
      <c r="K140" s="48">
        <f>MAX(K23,K21*Seasonality!$C$56*K22)*(1-K72)*(1-K48)</f>
        <v/>
      </c>
      <c r="L140" s="48">
        <f>MAX(L23,L21*Seasonality!$C$56*L22)*(1-L72)*(1-L48)</f>
        <v/>
      </c>
      <c r="M140" s="48">
        <f>MAX(M23,M21*Seasonality!$C$56*M22)*(1-M72)*(1-M48)</f>
        <v/>
      </c>
      <c r="N140" s="48">
        <f>MAX(N23,N21*Seasonality!$C$56*N22)*(1-N72)*(1-N48)</f>
        <v/>
      </c>
      <c r="O140" s="48">
        <f>MAX(O23,O21*Seasonality!$C$56*O22)*(1-O72)*(1-O48)</f>
        <v/>
      </c>
      <c r="P140" s="48">
        <f>MAX(P23,P21*Seasonality!$C$56*P22)*(1-P72)*(1-P48)</f>
        <v/>
      </c>
      <c r="Q140" s="48">
        <f>MAX(Q23,Q21*Seasonality!$C$56*Q22)*(1-Q72)*(1-Q48)</f>
        <v/>
      </c>
      <c r="R140" s="48">
        <f>MAX(R23,R21*Seasonality!$C$56*R22)*(1-R72)*(1-R48)</f>
        <v/>
      </c>
      <c r="S140" s="48">
        <f>MAX(S23,S21*Seasonality!$C$56*S22)*(1-S72)*(1-S48)</f>
        <v/>
      </c>
      <c r="T140" s="48">
        <f>MAX(T23,T21*Seasonality!$C$56*T22)*(1-T72)*(1-T48)</f>
        <v/>
      </c>
      <c r="U140" s="48">
        <f>MAX(U23,U21*Seasonality!$C$56*U22)*(1-U72)*(1-U48)</f>
        <v/>
      </c>
      <c r="V140" s="48">
        <f>MAX(V23,V21*Seasonality!$C$56*V22)*(1-V72)*(1-V48)</f>
        <v/>
      </c>
      <c r="W140" s="48">
        <f>MAX(W23,W21*Seasonality!$C$56*W22)*(1-W72)*(1-W48)</f>
        <v/>
      </c>
      <c r="X140" s="48">
        <f>MAX(X23,X21*Seasonality!$C$56*X22)*(1-X72)*(1-X48)</f>
        <v/>
      </c>
      <c r="Y140" s="48">
        <f>MAX(Y23,Y21*Seasonality!$C$56*Y22)*(1-Y72)*(1-Y48)</f>
        <v/>
      </c>
      <c r="Z140" s="48">
        <f>MAX(Z23,Z21*Seasonality!$C$56*Z22)*(1-Z72)*(1-Z48)</f>
        <v/>
      </c>
      <c r="AA140" s="48">
        <f>MAX(AA23,AA21*Seasonality!$C$56*AA22)*(1-AA72)*(1-AA48)</f>
        <v/>
      </c>
      <c r="AB140" s="48">
        <f>MAX(AB23,AB21*Seasonality!$C$56*AB22)*(1-AB72)*(1-AB48)</f>
        <v/>
      </c>
      <c r="AC140" s="48">
        <f>MAX(AC23,AC21*Seasonality!$C$56*AC22)*(1-AC72)*(1-AC48)</f>
        <v/>
      </c>
      <c r="AD140" s="48">
        <f>MAX(AD23,AD21*Seasonality!$C$56*AD22)*(1-AD72)*(1-AD48)</f>
        <v/>
      </c>
      <c r="AE140" s="48">
        <f>MAX(AE23,AE21*Seasonality!$C$56*AE22)*(1-AE72)*(1-AE48)</f>
        <v/>
      </c>
      <c r="AF140" s="48">
        <f>MAX(AF23,AF21*Seasonality!$C$56*AF22)*(1-AF72)*(1-AF48)</f>
        <v/>
      </c>
      <c r="AG140" s="48">
        <f>MAX(AG23,AG21*Seasonality!$C$56*AG22)*(1-AG72)*(1-AG48)</f>
        <v/>
      </c>
      <c r="AH140" s="48">
        <f>MAX(AH23,AH21*Seasonality!$C$56*AH22)*(1-AH72)*(1-AH48)</f>
        <v/>
      </c>
      <c r="AI140" s="48">
        <f>MAX(AI23,AI21*Seasonality!$C$56*AI22)*(1-AI72)*(1-AI48)</f>
        <v/>
      </c>
      <c r="AJ140" s="48">
        <f>MAX(AJ23,AJ21*Seasonality!$C$56*AJ22)*(1-AJ72)*(1-AJ48)</f>
        <v/>
      </c>
      <c r="AK140" s="48">
        <f>MAX(AK23,AK21*Seasonality!$C$56*AK22)*(1-AK72)*(1-AK48)</f>
        <v/>
      </c>
      <c r="AL140" s="48">
        <f>MAX(AL23,AL21*Seasonality!$C$56*AL22)*(1-AL72)*(1-AL48)</f>
        <v/>
      </c>
      <c r="AM140" s="48">
        <f>MAX(AM23,AM21*Seasonality!$C$56*AM22)*(1-AM72)*(1-AM48)</f>
        <v/>
      </c>
      <c r="AN140" s="48">
        <f>MAX(AN23,AN21*Seasonality!$C$56*AN22)*(1-AN72)*(1-AN48)</f>
        <v/>
      </c>
      <c r="AO140" s="48">
        <f>MAX(AO23,AO21*Seasonality!$C$56*AO22)*(1-AO72)*(1-AO48)</f>
        <v/>
      </c>
      <c r="AP140" s="48">
        <f>MAX(AP23,AP21*Seasonality!$C$56*AP22)*(1-AP72)*(1-AP48)</f>
        <v/>
      </c>
      <c r="AQ140" s="48">
        <f>MAX(AQ23,AQ21*Seasonality!$C$56*AQ22)*(1-AQ72)*(1-AQ48)</f>
        <v/>
      </c>
      <c r="AR140" s="48">
        <f>MAX(AR23,AR21*Seasonality!$C$56*AR22)*(1-AR72)*(1-AR48)</f>
        <v/>
      </c>
      <c r="AS140" s="48">
        <f>MAX(AS23,AS21*Seasonality!$C$56*AS22)*(1-AS72)*(1-AS48)</f>
        <v/>
      </c>
      <c r="AT140" s="48">
        <f>MAX(AT23,AT21*Seasonality!$C$56*AT22)*(1-AT72)*(1-AT48)</f>
        <v/>
      </c>
      <c r="AU140" s="48">
        <f>MAX(AU23,AU21*Seasonality!$C$56*AU22)*(1-AU72)*(1-AU48)</f>
        <v/>
      </c>
      <c r="AV140" s="48">
        <f>MAX(AV23,AV21*Seasonality!$C$56*AV22)*(1-AV72)*(1-AV48)</f>
        <v/>
      </c>
    </row>
    <row r="141">
      <c r="B141" s="7" t="inlineStr">
        <is>
          <t>Revenue collected · month 21</t>
        </is>
      </c>
      <c r="C141" s="5" t="inlineStr">
        <is>
          <t>₹</t>
        </is>
      </c>
      <c r="D141" s="48">
        <f>MAX(D23,D21*Seasonality!$C$57*D22)*(1-D72)*(1-D48)</f>
        <v/>
      </c>
      <c r="E141" s="48">
        <f>MAX(E23,E21*Seasonality!$C$57*E22)*(1-E72)*(1-E48)</f>
        <v/>
      </c>
      <c r="F141" s="48">
        <f>MAX(F23,F21*Seasonality!$C$57*F22)*(1-F72)*(1-F48)</f>
        <v/>
      </c>
      <c r="G141" s="48">
        <f>MAX(G23,G21*Seasonality!$C$57*G22)*(1-G72)*(1-G48)</f>
        <v/>
      </c>
      <c r="H141" s="48">
        <f>MAX(H23,H21*Seasonality!$C$57*H22)*(1-H72)*(1-H48)</f>
        <v/>
      </c>
      <c r="I141" s="48">
        <f>MAX(I23,I21*Seasonality!$C$57*I22)*(1-I72)*(1-I48)</f>
        <v/>
      </c>
      <c r="J141" s="48">
        <f>MAX(J23,J21*Seasonality!$C$57*J22)*(1-J72)*(1-J48)</f>
        <v/>
      </c>
      <c r="K141" s="48">
        <f>MAX(K23,K21*Seasonality!$C$57*K22)*(1-K72)*(1-K48)</f>
        <v/>
      </c>
      <c r="L141" s="48">
        <f>MAX(L23,L21*Seasonality!$C$57*L22)*(1-L72)*(1-L48)</f>
        <v/>
      </c>
      <c r="M141" s="48">
        <f>MAX(M23,M21*Seasonality!$C$57*M22)*(1-M72)*(1-M48)</f>
        <v/>
      </c>
      <c r="N141" s="48">
        <f>MAX(N23,N21*Seasonality!$C$57*N22)*(1-N72)*(1-N48)</f>
        <v/>
      </c>
      <c r="O141" s="48">
        <f>MAX(O23,O21*Seasonality!$C$57*O22)*(1-O72)*(1-O48)</f>
        <v/>
      </c>
      <c r="P141" s="48">
        <f>MAX(P23,P21*Seasonality!$C$57*P22)*(1-P72)*(1-P48)</f>
        <v/>
      </c>
      <c r="Q141" s="48">
        <f>MAX(Q23,Q21*Seasonality!$C$57*Q22)*(1-Q72)*(1-Q48)</f>
        <v/>
      </c>
      <c r="R141" s="48">
        <f>MAX(R23,R21*Seasonality!$C$57*R22)*(1-R72)*(1-R48)</f>
        <v/>
      </c>
      <c r="S141" s="48">
        <f>MAX(S23,S21*Seasonality!$C$57*S22)*(1-S72)*(1-S48)</f>
        <v/>
      </c>
      <c r="T141" s="48">
        <f>MAX(T23,T21*Seasonality!$C$57*T22)*(1-T72)*(1-T48)</f>
        <v/>
      </c>
      <c r="U141" s="48">
        <f>MAX(U23,U21*Seasonality!$C$57*U22)*(1-U72)*(1-U48)</f>
        <v/>
      </c>
      <c r="V141" s="48">
        <f>MAX(V23,V21*Seasonality!$C$57*V22)*(1-V72)*(1-V48)</f>
        <v/>
      </c>
      <c r="W141" s="48">
        <f>MAX(W23,W21*Seasonality!$C$57*W22)*(1-W72)*(1-W48)</f>
        <v/>
      </c>
      <c r="X141" s="48">
        <f>MAX(X23,X21*Seasonality!$C$57*X22)*(1-X72)*(1-X48)</f>
        <v/>
      </c>
      <c r="Y141" s="48">
        <f>MAX(Y23,Y21*Seasonality!$C$57*Y22)*(1-Y72)*(1-Y48)</f>
        <v/>
      </c>
      <c r="Z141" s="48">
        <f>MAX(Z23,Z21*Seasonality!$C$57*Z22)*(1-Z72)*(1-Z48)</f>
        <v/>
      </c>
      <c r="AA141" s="48">
        <f>MAX(AA23,AA21*Seasonality!$C$57*AA22)*(1-AA72)*(1-AA48)</f>
        <v/>
      </c>
      <c r="AB141" s="48">
        <f>MAX(AB23,AB21*Seasonality!$C$57*AB22)*(1-AB72)*(1-AB48)</f>
        <v/>
      </c>
      <c r="AC141" s="48">
        <f>MAX(AC23,AC21*Seasonality!$C$57*AC22)*(1-AC72)*(1-AC48)</f>
        <v/>
      </c>
      <c r="AD141" s="48">
        <f>MAX(AD23,AD21*Seasonality!$C$57*AD22)*(1-AD72)*(1-AD48)</f>
        <v/>
      </c>
      <c r="AE141" s="48">
        <f>MAX(AE23,AE21*Seasonality!$C$57*AE22)*(1-AE72)*(1-AE48)</f>
        <v/>
      </c>
      <c r="AF141" s="48">
        <f>MAX(AF23,AF21*Seasonality!$C$57*AF22)*(1-AF72)*(1-AF48)</f>
        <v/>
      </c>
      <c r="AG141" s="48">
        <f>MAX(AG23,AG21*Seasonality!$C$57*AG22)*(1-AG72)*(1-AG48)</f>
        <v/>
      </c>
      <c r="AH141" s="48">
        <f>MAX(AH23,AH21*Seasonality!$C$57*AH22)*(1-AH72)*(1-AH48)</f>
        <v/>
      </c>
      <c r="AI141" s="48">
        <f>MAX(AI23,AI21*Seasonality!$C$57*AI22)*(1-AI72)*(1-AI48)</f>
        <v/>
      </c>
      <c r="AJ141" s="48">
        <f>MAX(AJ23,AJ21*Seasonality!$C$57*AJ22)*(1-AJ72)*(1-AJ48)</f>
        <v/>
      </c>
      <c r="AK141" s="48">
        <f>MAX(AK23,AK21*Seasonality!$C$57*AK22)*(1-AK72)*(1-AK48)</f>
        <v/>
      </c>
      <c r="AL141" s="48">
        <f>MAX(AL23,AL21*Seasonality!$C$57*AL22)*(1-AL72)*(1-AL48)</f>
        <v/>
      </c>
      <c r="AM141" s="48">
        <f>MAX(AM23,AM21*Seasonality!$C$57*AM22)*(1-AM72)*(1-AM48)</f>
        <v/>
      </c>
      <c r="AN141" s="48">
        <f>MAX(AN23,AN21*Seasonality!$C$57*AN22)*(1-AN72)*(1-AN48)</f>
        <v/>
      </c>
      <c r="AO141" s="48">
        <f>MAX(AO23,AO21*Seasonality!$C$57*AO22)*(1-AO72)*(1-AO48)</f>
        <v/>
      </c>
      <c r="AP141" s="48">
        <f>MAX(AP23,AP21*Seasonality!$C$57*AP22)*(1-AP72)*(1-AP48)</f>
        <v/>
      </c>
      <c r="AQ141" s="48">
        <f>MAX(AQ23,AQ21*Seasonality!$C$57*AQ22)*(1-AQ72)*(1-AQ48)</f>
        <v/>
      </c>
      <c r="AR141" s="48">
        <f>MAX(AR23,AR21*Seasonality!$C$57*AR22)*(1-AR72)*(1-AR48)</f>
        <v/>
      </c>
      <c r="AS141" s="48">
        <f>MAX(AS23,AS21*Seasonality!$C$57*AS22)*(1-AS72)*(1-AS48)</f>
        <v/>
      </c>
      <c r="AT141" s="48">
        <f>MAX(AT23,AT21*Seasonality!$C$57*AT22)*(1-AT72)*(1-AT48)</f>
        <v/>
      </c>
      <c r="AU141" s="48">
        <f>MAX(AU23,AU21*Seasonality!$C$57*AU22)*(1-AU72)*(1-AU48)</f>
        <v/>
      </c>
      <c r="AV141" s="48">
        <f>MAX(AV23,AV21*Seasonality!$C$57*AV22)*(1-AV72)*(1-AV48)</f>
        <v/>
      </c>
    </row>
    <row r="142">
      <c r="B142" s="7" t="inlineStr">
        <is>
          <t>Revenue collected · month 22</t>
        </is>
      </c>
      <c r="C142" s="5" t="inlineStr">
        <is>
          <t>₹</t>
        </is>
      </c>
      <c r="D142" s="48">
        <f>MAX(D23,D21*Seasonality!$C$58*D22)*(1-D72)*(1-D48)</f>
        <v/>
      </c>
      <c r="E142" s="48">
        <f>MAX(E23,E21*Seasonality!$C$58*E22)*(1-E72)*(1-E48)</f>
        <v/>
      </c>
      <c r="F142" s="48">
        <f>MAX(F23,F21*Seasonality!$C$58*F22)*(1-F72)*(1-F48)</f>
        <v/>
      </c>
      <c r="G142" s="48">
        <f>MAX(G23,G21*Seasonality!$C$58*G22)*(1-G72)*(1-G48)</f>
        <v/>
      </c>
      <c r="H142" s="48">
        <f>MAX(H23,H21*Seasonality!$C$58*H22)*(1-H72)*(1-H48)</f>
        <v/>
      </c>
      <c r="I142" s="48">
        <f>MAX(I23,I21*Seasonality!$C$58*I22)*(1-I72)*(1-I48)</f>
        <v/>
      </c>
      <c r="J142" s="48">
        <f>MAX(J23,J21*Seasonality!$C$58*J22)*(1-J72)*(1-J48)</f>
        <v/>
      </c>
      <c r="K142" s="48">
        <f>MAX(K23,K21*Seasonality!$C$58*K22)*(1-K72)*(1-K48)</f>
        <v/>
      </c>
      <c r="L142" s="48">
        <f>MAX(L23,L21*Seasonality!$C$58*L22)*(1-L72)*(1-L48)</f>
        <v/>
      </c>
      <c r="M142" s="48">
        <f>MAX(M23,M21*Seasonality!$C$58*M22)*(1-M72)*(1-M48)</f>
        <v/>
      </c>
      <c r="N142" s="48">
        <f>MAX(N23,N21*Seasonality!$C$58*N22)*(1-N72)*(1-N48)</f>
        <v/>
      </c>
      <c r="O142" s="48">
        <f>MAX(O23,O21*Seasonality!$C$58*O22)*(1-O72)*(1-O48)</f>
        <v/>
      </c>
      <c r="P142" s="48">
        <f>MAX(P23,P21*Seasonality!$C$58*P22)*(1-P72)*(1-P48)</f>
        <v/>
      </c>
      <c r="Q142" s="48">
        <f>MAX(Q23,Q21*Seasonality!$C$58*Q22)*(1-Q72)*(1-Q48)</f>
        <v/>
      </c>
      <c r="R142" s="48">
        <f>MAX(R23,R21*Seasonality!$C$58*R22)*(1-R72)*(1-R48)</f>
        <v/>
      </c>
      <c r="S142" s="48">
        <f>MAX(S23,S21*Seasonality!$C$58*S22)*(1-S72)*(1-S48)</f>
        <v/>
      </c>
      <c r="T142" s="48">
        <f>MAX(T23,T21*Seasonality!$C$58*T22)*(1-T72)*(1-T48)</f>
        <v/>
      </c>
      <c r="U142" s="48">
        <f>MAX(U23,U21*Seasonality!$C$58*U22)*(1-U72)*(1-U48)</f>
        <v/>
      </c>
      <c r="V142" s="48">
        <f>MAX(V23,V21*Seasonality!$C$58*V22)*(1-V72)*(1-V48)</f>
        <v/>
      </c>
      <c r="W142" s="48">
        <f>MAX(W23,W21*Seasonality!$C$58*W22)*(1-W72)*(1-W48)</f>
        <v/>
      </c>
      <c r="X142" s="48">
        <f>MAX(X23,X21*Seasonality!$C$58*X22)*(1-X72)*(1-X48)</f>
        <v/>
      </c>
      <c r="Y142" s="48">
        <f>MAX(Y23,Y21*Seasonality!$C$58*Y22)*(1-Y72)*(1-Y48)</f>
        <v/>
      </c>
      <c r="Z142" s="48">
        <f>MAX(Z23,Z21*Seasonality!$C$58*Z22)*(1-Z72)*(1-Z48)</f>
        <v/>
      </c>
      <c r="AA142" s="48">
        <f>MAX(AA23,AA21*Seasonality!$C$58*AA22)*(1-AA72)*(1-AA48)</f>
        <v/>
      </c>
      <c r="AB142" s="48">
        <f>MAX(AB23,AB21*Seasonality!$C$58*AB22)*(1-AB72)*(1-AB48)</f>
        <v/>
      </c>
      <c r="AC142" s="48">
        <f>MAX(AC23,AC21*Seasonality!$C$58*AC22)*(1-AC72)*(1-AC48)</f>
        <v/>
      </c>
      <c r="AD142" s="48">
        <f>MAX(AD23,AD21*Seasonality!$C$58*AD22)*(1-AD72)*(1-AD48)</f>
        <v/>
      </c>
      <c r="AE142" s="48">
        <f>MAX(AE23,AE21*Seasonality!$C$58*AE22)*(1-AE72)*(1-AE48)</f>
        <v/>
      </c>
      <c r="AF142" s="48">
        <f>MAX(AF23,AF21*Seasonality!$C$58*AF22)*(1-AF72)*(1-AF48)</f>
        <v/>
      </c>
      <c r="AG142" s="48">
        <f>MAX(AG23,AG21*Seasonality!$C$58*AG22)*(1-AG72)*(1-AG48)</f>
        <v/>
      </c>
      <c r="AH142" s="48">
        <f>MAX(AH23,AH21*Seasonality!$C$58*AH22)*(1-AH72)*(1-AH48)</f>
        <v/>
      </c>
      <c r="AI142" s="48">
        <f>MAX(AI23,AI21*Seasonality!$C$58*AI22)*(1-AI72)*(1-AI48)</f>
        <v/>
      </c>
      <c r="AJ142" s="48">
        <f>MAX(AJ23,AJ21*Seasonality!$C$58*AJ22)*(1-AJ72)*(1-AJ48)</f>
        <v/>
      </c>
      <c r="AK142" s="48">
        <f>MAX(AK23,AK21*Seasonality!$C$58*AK22)*(1-AK72)*(1-AK48)</f>
        <v/>
      </c>
      <c r="AL142" s="48">
        <f>MAX(AL23,AL21*Seasonality!$C$58*AL22)*(1-AL72)*(1-AL48)</f>
        <v/>
      </c>
      <c r="AM142" s="48">
        <f>MAX(AM23,AM21*Seasonality!$C$58*AM22)*(1-AM72)*(1-AM48)</f>
        <v/>
      </c>
      <c r="AN142" s="48">
        <f>MAX(AN23,AN21*Seasonality!$C$58*AN22)*(1-AN72)*(1-AN48)</f>
        <v/>
      </c>
      <c r="AO142" s="48">
        <f>MAX(AO23,AO21*Seasonality!$C$58*AO22)*(1-AO72)*(1-AO48)</f>
        <v/>
      </c>
      <c r="AP142" s="48">
        <f>MAX(AP23,AP21*Seasonality!$C$58*AP22)*(1-AP72)*(1-AP48)</f>
        <v/>
      </c>
      <c r="AQ142" s="48">
        <f>MAX(AQ23,AQ21*Seasonality!$C$58*AQ22)*(1-AQ72)*(1-AQ48)</f>
        <v/>
      </c>
      <c r="AR142" s="48">
        <f>MAX(AR23,AR21*Seasonality!$C$58*AR22)*(1-AR72)*(1-AR48)</f>
        <v/>
      </c>
      <c r="AS142" s="48">
        <f>MAX(AS23,AS21*Seasonality!$C$58*AS22)*(1-AS72)*(1-AS48)</f>
        <v/>
      </c>
      <c r="AT142" s="48">
        <f>MAX(AT23,AT21*Seasonality!$C$58*AT22)*(1-AT72)*(1-AT48)</f>
        <v/>
      </c>
      <c r="AU142" s="48">
        <f>MAX(AU23,AU21*Seasonality!$C$58*AU22)*(1-AU72)*(1-AU48)</f>
        <v/>
      </c>
      <c r="AV142" s="48">
        <f>MAX(AV23,AV21*Seasonality!$C$58*AV22)*(1-AV72)*(1-AV48)</f>
        <v/>
      </c>
    </row>
    <row r="143">
      <c r="B143" s="7" t="inlineStr">
        <is>
          <t>Revenue collected · month 23</t>
        </is>
      </c>
      <c r="C143" s="5" t="inlineStr">
        <is>
          <t>₹</t>
        </is>
      </c>
      <c r="D143" s="48">
        <f>MAX(D23,D21*Seasonality!$C$59*D22)*(1-D72)*(1-D48)</f>
        <v/>
      </c>
      <c r="E143" s="48">
        <f>MAX(E23,E21*Seasonality!$C$59*E22)*(1-E72)*(1-E48)</f>
        <v/>
      </c>
      <c r="F143" s="48">
        <f>MAX(F23,F21*Seasonality!$C$59*F22)*(1-F72)*(1-F48)</f>
        <v/>
      </c>
      <c r="G143" s="48">
        <f>MAX(G23,G21*Seasonality!$C$59*G22)*(1-G72)*(1-G48)</f>
        <v/>
      </c>
      <c r="H143" s="48">
        <f>MAX(H23,H21*Seasonality!$C$59*H22)*(1-H72)*(1-H48)</f>
        <v/>
      </c>
      <c r="I143" s="48">
        <f>MAX(I23,I21*Seasonality!$C$59*I22)*(1-I72)*(1-I48)</f>
        <v/>
      </c>
      <c r="J143" s="48">
        <f>MAX(J23,J21*Seasonality!$C$59*J22)*(1-J72)*(1-J48)</f>
        <v/>
      </c>
      <c r="K143" s="48">
        <f>MAX(K23,K21*Seasonality!$C$59*K22)*(1-K72)*(1-K48)</f>
        <v/>
      </c>
      <c r="L143" s="48">
        <f>MAX(L23,L21*Seasonality!$C$59*L22)*(1-L72)*(1-L48)</f>
        <v/>
      </c>
      <c r="M143" s="48">
        <f>MAX(M23,M21*Seasonality!$C$59*M22)*(1-M72)*(1-M48)</f>
        <v/>
      </c>
      <c r="N143" s="48">
        <f>MAX(N23,N21*Seasonality!$C$59*N22)*(1-N72)*(1-N48)</f>
        <v/>
      </c>
      <c r="O143" s="48">
        <f>MAX(O23,O21*Seasonality!$C$59*O22)*(1-O72)*(1-O48)</f>
        <v/>
      </c>
      <c r="P143" s="48">
        <f>MAX(P23,P21*Seasonality!$C$59*P22)*(1-P72)*(1-P48)</f>
        <v/>
      </c>
      <c r="Q143" s="48">
        <f>MAX(Q23,Q21*Seasonality!$C$59*Q22)*(1-Q72)*(1-Q48)</f>
        <v/>
      </c>
      <c r="R143" s="48">
        <f>MAX(R23,R21*Seasonality!$C$59*R22)*(1-R72)*(1-R48)</f>
        <v/>
      </c>
      <c r="S143" s="48">
        <f>MAX(S23,S21*Seasonality!$C$59*S22)*(1-S72)*(1-S48)</f>
        <v/>
      </c>
      <c r="T143" s="48">
        <f>MAX(T23,T21*Seasonality!$C$59*T22)*(1-T72)*(1-T48)</f>
        <v/>
      </c>
      <c r="U143" s="48">
        <f>MAX(U23,U21*Seasonality!$C$59*U22)*(1-U72)*(1-U48)</f>
        <v/>
      </c>
      <c r="V143" s="48">
        <f>MAX(V23,V21*Seasonality!$C$59*V22)*(1-V72)*(1-V48)</f>
        <v/>
      </c>
      <c r="W143" s="48">
        <f>MAX(W23,W21*Seasonality!$C$59*W22)*(1-W72)*(1-W48)</f>
        <v/>
      </c>
      <c r="X143" s="48">
        <f>MAX(X23,X21*Seasonality!$C$59*X22)*(1-X72)*(1-X48)</f>
        <v/>
      </c>
      <c r="Y143" s="48">
        <f>MAX(Y23,Y21*Seasonality!$C$59*Y22)*(1-Y72)*(1-Y48)</f>
        <v/>
      </c>
      <c r="Z143" s="48">
        <f>MAX(Z23,Z21*Seasonality!$C$59*Z22)*(1-Z72)*(1-Z48)</f>
        <v/>
      </c>
      <c r="AA143" s="48">
        <f>MAX(AA23,AA21*Seasonality!$C$59*AA22)*(1-AA72)*(1-AA48)</f>
        <v/>
      </c>
      <c r="AB143" s="48">
        <f>MAX(AB23,AB21*Seasonality!$C$59*AB22)*(1-AB72)*(1-AB48)</f>
        <v/>
      </c>
      <c r="AC143" s="48">
        <f>MAX(AC23,AC21*Seasonality!$C$59*AC22)*(1-AC72)*(1-AC48)</f>
        <v/>
      </c>
      <c r="AD143" s="48">
        <f>MAX(AD23,AD21*Seasonality!$C$59*AD22)*(1-AD72)*(1-AD48)</f>
        <v/>
      </c>
      <c r="AE143" s="48">
        <f>MAX(AE23,AE21*Seasonality!$C$59*AE22)*(1-AE72)*(1-AE48)</f>
        <v/>
      </c>
      <c r="AF143" s="48">
        <f>MAX(AF23,AF21*Seasonality!$C$59*AF22)*(1-AF72)*(1-AF48)</f>
        <v/>
      </c>
      <c r="AG143" s="48">
        <f>MAX(AG23,AG21*Seasonality!$C$59*AG22)*(1-AG72)*(1-AG48)</f>
        <v/>
      </c>
      <c r="AH143" s="48">
        <f>MAX(AH23,AH21*Seasonality!$C$59*AH22)*(1-AH72)*(1-AH48)</f>
        <v/>
      </c>
      <c r="AI143" s="48">
        <f>MAX(AI23,AI21*Seasonality!$C$59*AI22)*(1-AI72)*(1-AI48)</f>
        <v/>
      </c>
      <c r="AJ143" s="48">
        <f>MAX(AJ23,AJ21*Seasonality!$C$59*AJ22)*(1-AJ72)*(1-AJ48)</f>
        <v/>
      </c>
      <c r="AK143" s="48">
        <f>MAX(AK23,AK21*Seasonality!$C$59*AK22)*(1-AK72)*(1-AK48)</f>
        <v/>
      </c>
      <c r="AL143" s="48">
        <f>MAX(AL23,AL21*Seasonality!$C$59*AL22)*(1-AL72)*(1-AL48)</f>
        <v/>
      </c>
      <c r="AM143" s="48">
        <f>MAX(AM23,AM21*Seasonality!$C$59*AM22)*(1-AM72)*(1-AM48)</f>
        <v/>
      </c>
      <c r="AN143" s="48">
        <f>MAX(AN23,AN21*Seasonality!$C$59*AN22)*(1-AN72)*(1-AN48)</f>
        <v/>
      </c>
      <c r="AO143" s="48">
        <f>MAX(AO23,AO21*Seasonality!$C$59*AO22)*(1-AO72)*(1-AO48)</f>
        <v/>
      </c>
      <c r="AP143" s="48">
        <f>MAX(AP23,AP21*Seasonality!$C$59*AP22)*(1-AP72)*(1-AP48)</f>
        <v/>
      </c>
      <c r="AQ143" s="48">
        <f>MAX(AQ23,AQ21*Seasonality!$C$59*AQ22)*(1-AQ72)*(1-AQ48)</f>
        <v/>
      </c>
      <c r="AR143" s="48">
        <f>MAX(AR23,AR21*Seasonality!$C$59*AR22)*(1-AR72)*(1-AR48)</f>
        <v/>
      </c>
      <c r="AS143" s="48">
        <f>MAX(AS23,AS21*Seasonality!$C$59*AS22)*(1-AS72)*(1-AS48)</f>
        <v/>
      </c>
      <c r="AT143" s="48">
        <f>MAX(AT23,AT21*Seasonality!$C$59*AT22)*(1-AT72)*(1-AT48)</f>
        <v/>
      </c>
      <c r="AU143" s="48">
        <f>MAX(AU23,AU21*Seasonality!$C$59*AU22)*(1-AU72)*(1-AU48)</f>
        <v/>
      </c>
      <c r="AV143" s="48">
        <f>MAX(AV23,AV21*Seasonality!$C$59*AV22)*(1-AV72)*(1-AV48)</f>
        <v/>
      </c>
    </row>
    <row r="144">
      <c r="B144" s="7" t="inlineStr">
        <is>
          <t>Revenue collected · month 24</t>
        </is>
      </c>
      <c r="C144" s="5" t="inlineStr">
        <is>
          <t>₹</t>
        </is>
      </c>
      <c r="D144" s="48">
        <f>MAX(D23,D21*Seasonality!$C$60*D22)*(1-D72)*(1-D48)</f>
        <v/>
      </c>
      <c r="E144" s="48">
        <f>MAX(E23,E21*Seasonality!$C$60*E22)*(1-E72)*(1-E48)</f>
        <v/>
      </c>
      <c r="F144" s="48">
        <f>MAX(F23,F21*Seasonality!$C$60*F22)*(1-F72)*(1-F48)</f>
        <v/>
      </c>
      <c r="G144" s="48">
        <f>MAX(G23,G21*Seasonality!$C$60*G22)*(1-G72)*(1-G48)</f>
        <v/>
      </c>
      <c r="H144" s="48">
        <f>MAX(H23,H21*Seasonality!$C$60*H22)*(1-H72)*(1-H48)</f>
        <v/>
      </c>
      <c r="I144" s="48">
        <f>MAX(I23,I21*Seasonality!$C$60*I22)*(1-I72)*(1-I48)</f>
        <v/>
      </c>
      <c r="J144" s="48">
        <f>MAX(J23,J21*Seasonality!$C$60*J22)*(1-J72)*(1-J48)</f>
        <v/>
      </c>
      <c r="K144" s="48">
        <f>MAX(K23,K21*Seasonality!$C$60*K22)*(1-K72)*(1-K48)</f>
        <v/>
      </c>
      <c r="L144" s="48">
        <f>MAX(L23,L21*Seasonality!$C$60*L22)*(1-L72)*(1-L48)</f>
        <v/>
      </c>
      <c r="M144" s="48">
        <f>MAX(M23,M21*Seasonality!$C$60*M22)*(1-M72)*(1-M48)</f>
        <v/>
      </c>
      <c r="N144" s="48">
        <f>MAX(N23,N21*Seasonality!$C$60*N22)*(1-N72)*(1-N48)</f>
        <v/>
      </c>
      <c r="O144" s="48">
        <f>MAX(O23,O21*Seasonality!$C$60*O22)*(1-O72)*(1-O48)</f>
        <v/>
      </c>
      <c r="P144" s="48">
        <f>MAX(P23,P21*Seasonality!$C$60*P22)*(1-P72)*(1-P48)</f>
        <v/>
      </c>
      <c r="Q144" s="48">
        <f>MAX(Q23,Q21*Seasonality!$C$60*Q22)*(1-Q72)*(1-Q48)</f>
        <v/>
      </c>
      <c r="R144" s="48">
        <f>MAX(R23,R21*Seasonality!$C$60*R22)*(1-R72)*(1-R48)</f>
        <v/>
      </c>
      <c r="S144" s="48">
        <f>MAX(S23,S21*Seasonality!$C$60*S22)*(1-S72)*(1-S48)</f>
        <v/>
      </c>
      <c r="T144" s="48">
        <f>MAX(T23,T21*Seasonality!$C$60*T22)*(1-T72)*(1-T48)</f>
        <v/>
      </c>
      <c r="U144" s="48">
        <f>MAX(U23,U21*Seasonality!$C$60*U22)*(1-U72)*(1-U48)</f>
        <v/>
      </c>
      <c r="V144" s="48">
        <f>MAX(V23,V21*Seasonality!$C$60*V22)*(1-V72)*(1-V48)</f>
        <v/>
      </c>
      <c r="W144" s="48">
        <f>MAX(W23,W21*Seasonality!$C$60*W22)*(1-W72)*(1-W48)</f>
        <v/>
      </c>
      <c r="X144" s="48">
        <f>MAX(X23,X21*Seasonality!$C$60*X22)*(1-X72)*(1-X48)</f>
        <v/>
      </c>
      <c r="Y144" s="48">
        <f>MAX(Y23,Y21*Seasonality!$C$60*Y22)*(1-Y72)*(1-Y48)</f>
        <v/>
      </c>
      <c r="Z144" s="48">
        <f>MAX(Z23,Z21*Seasonality!$C$60*Z22)*(1-Z72)*(1-Z48)</f>
        <v/>
      </c>
      <c r="AA144" s="48">
        <f>MAX(AA23,AA21*Seasonality!$C$60*AA22)*(1-AA72)*(1-AA48)</f>
        <v/>
      </c>
      <c r="AB144" s="48">
        <f>MAX(AB23,AB21*Seasonality!$C$60*AB22)*(1-AB72)*(1-AB48)</f>
        <v/>
      </c>
      <c r="AC144" s="48">
        <f>MAX(AC23,AC21*Seasonality!$C$60*AC22)*(1-AC72)*(1-AC48)</f>
        <v/>
      </c>
      <c r="AD144" s="48">
        <f>MAX(AD23,AD21*Seasonality!$C$60*AD22)*(1-AD72)*(1-AD48)</f>
        <v/>
      </c>
      <c r="AE144" s="48">
        <f>MAX(AE23,AE21*Seasonality!$C$60*AE22)*(1-AE72)*(1-AE48)</f>
        <v/>
      </c>
      <c r="AF144" s="48">
        <f>MAX(AF23,AF21*Seasonality!$C$60*AF22)*(1-AF72)*(1-AF48)</f>
        <v/>
      </c>
      <c r="AG144" s="48">
        <f>MAX(AG23,AG21*Seasonality!$C$60*AG22)*(1-AG72)*(1-AG48)</f>
        <v/>
      </c>
      <c r="AH144" s="48">
        <f>MAX(AH23,AH21*Seasonality!$C$60*AH22)*(1-AH72)*(1-AH48)</f>
        <v/>
      </c>
      <c r="AI144" s="48">
        <f>MAX(AI23,AI21*Seasonality!$C$60*AI22)*(1-AI72)*(1-AI48)</f>
        <v/>
      </c>
      <c r="AJ144" s="48">
        <f>MAX(AJ23,AJ21*Seasonality!$C$60*AJ22)*(1-AJ72)*(1-AJ48)</f>
        <v/>
      </c>
      <c r="AK144" s="48">
        <f>MAX(AK23,AK21*Seasonality!$C$60*AK22)*(1-AK72)*(1-AK48)</f>
        <v/>
      </c>
      <c r="AL144" s="48">
        <f>MAX(AL23,AL21*Seasonality!$C$60*AL22)*(1-AL72)*(1-AL48)</f>
        <v/>
      </c>
      <c r="AM144" s="48">
        <f>MAX(AM23,AM21*Seasonality!$C$60*AM22)*(1-AM72)*(1-AM48)</f>
        <v/>
      </c>
      <c r="AN144" s="48">
        <f>MAX(AN23,AN21*Seasonality!$C$60*AN22)*(1-AN72)*(1-AN48)</f>
        <v/>
      </c>
      <c r="AO144" s="48">
        <f>MAX(AO23,AO21*Seasonality!$C$60*AO22)*(1-AO72)*(1-AO48)</f>
        <v/>
      </c>
      <c r="AP144" s="48">
        <f>MAX(AP23,AP21*Seasonality!$C$60*AP22)*(1-AP72)*(1-AP48)</f>
        <v/>
      </c>
      <c r="AQ144" s="48">
        <f>MAX(AQ23,AQ21*Seasonality!$C$60*AQ22)*(1-AQ72)*(1-AQ48)</f>
        <v/>
      </c>
      <c r="AR144" s="48">
        <f>MAX(AR23,AR21*Seasonality!$C$60*AR22)*(1-AR72)*(1-AR48)</f>
        <v/>
      </c>
      <c r="AS144" s="48">
        <f>MAX(AS23,AS21*Seasonality!$C$60*AS22)*(1-AS72)*(1-AS48)</f>
        <v/>
      </c>
      <c r="AT144" s="48">
        <f>MAX(AT23,AT21*Seasonality!$C$60*AT22)*(1-AT72)*(1-AT48)</f>
        <v/>
      </c>
      <c r="AU144" s="48">
        <f>MAX(AU23,AU21*Seasonality!$C$60*AU22)*(1-AU72)*(1-AU48)</f>
        <v/>
      </c>
      <c r="AV144" s="48">
        <f>MAX(AV23,AV21*Seasonality!$C$60*AV22)*(1-AV72)*(1-AV48)</f>
        <v/>
      </c>
    </row>
    <row r="145">
      <c r="B145" s="7" t="inlineStr">
        <is>
          <t>Revenue collected · month 25</t>
        </is>
      </c>
      <c r="C145" s="5" t="inlineStr">
        <is>
          <t>₹</t>
        </is>
      </c>
      <c r="D145" s="48">
        <f>MAX(D23,D21*Seasonality!$C$61*D22)*(1-D72)*(1-D48)</f>
        <v/>
      </c>
      <c r="E145" s="48">
        <f>MAX(E23,E21*Seasonality!$C$61*E22)*(1-E72)*(1-E48)</f>
        <v/>
      </c>
      <c r="F145" s="48">
        <f>MAX(F23,F21*Seasonality!$C$61*F22)*(1-F72)*(1-F48)</f>
        <v/>
      </c>
      <c r="G145" s="48">
        <f>MAX(G23,G21*Seasonality!$C$61*G22)*(1-G72)*(1-G48)</f>
        <v/>
      </c>
      <c r="H145" s="48">
        <f>MAX(H23,H21*Seasonality!$C$61*H22)*(1-H72)*(1-H48)</f>
        <v/>
      </c>
      <c r="I145" s="48">
        <f>MAX(I23,I21*Seasonality!$C$61*I22)*(1-I72)*(1-I48)</f>
        <v/>
      </c>
      <c r="J145" s="48">
        <f>MAX(J23,J21*Seasonality!$C$61*J22)*(1-J72)*(1-J48)</f>
        <v/>
      </c>
      <c r="K145" s="48">
        <f>MAX(K23,K21*Seasonality!$C$61*K22)*(1-K72)*(1-K48)</f>
        <v/>
      </c>
      <c r="L145" s="48">
        <f>MAX(L23,L21*Seasonality!$C$61*L22)*(1-L72)*(1-L48)</f>
        <v/>
      </c>
      <c r="M145" s="48">
        <f>MAX(M23,M21*Seasonality!$C$61*M22)*(1-M72)*(1-M48)</f>
        <v/>
      </c>
      <c r="N145" s="48">
        <f>MAX(N23,N21*Seasonality!$C$61*N22)*(1-N72)*(1-N48)</f>
        <v/>
      </c>
      <c r="O145" s="48">
        <f>MAX(O23,O21*Seasonality!$C$61*O22)*(1-O72)*(1-O48)</f>
        <v/>
      </c>
      <c r="P145" s="48">
        <f>MAX(P23,P21*Seasonality!$C$61*P22)*(1-P72)*(1-P48)</f>
        <v/>
      </c>
      <c r="Q145" s="48">
        <f>MAX(Q23,Q21*Seasonality!$C$61*Q22)*(1-Q72)*(1-Q48)</f>
        <v/>
      </c>
      <c r="R145" s="48">
        <f>MAX(R23,R21*Seasonality!$C$61*R22)*(1-R72)*(1-R48)</f>
        <v/>
      </c>
      <c r="S145" s="48">
        <f>MAX(S23,S21*Seasonality!$C$61*S22)*(1-S72)*(1-S48)</f>
        <v/>
      </c>
      <c r="T145" s="48">
        <f>MAX(T23,T21*Seasonality!$C$61*T22)*(1-T72)*(1-T48)</f>
        <v/>
      </c>
      <c r="U145" s="48">
        <f>MAX(U23,U21*Seasonality!$C$61*U22)*(1-U72)*(1-U48)</f>
        <v/>
      </c>
      <c r="V145" s="48">
        <f>MAX(V23,V21*Seasonality!$C$61*V22)*(1-V72)*(1-V48)</f>
        <v/>
      </c>
      <c r="W145" s="48">
        <f>MAX(W23,W21*Seasonality!$C$61*W22)*(1-W72)*(1-W48)</f>
        <v/>
      </c>
      <c r="X145" s="48">
        <f>MAX(X23,X21*Seasonality!$C$61*X22)*(1-X72)*(1-X48)</f>
        <v/>
      </c>
      <c r="Y145" s="48">
        <f>MAX(Y23,Y21*Seasonality!$C$61*Y22)*(1-Y72)*(1-Y48)</f>
        <v/>
      </c>
      <c r="Z145" s="48">
        <f>MAX(Z23,Z21*Seasonality!$C$61*Z22)*(1-Z72)*(1-Z48)</f>
        <v/>
      </c>
      <c r="AA145" s="48">
        <f>MAX(AA23,AA21*Seasonality!$C$61*AA22)*(1-AA72)*(1-AA48)</f>
        <v/>
      </c>
      <c r="AB145" s="48">
        <f>MAX(AB23,AB21*Seasonality!$C$61*AB22)*(1-AB72)*(1-AB48)</f>
        <v/>
      </c>
      <c r="AC145" s="48">
        <f>MAX(AC23,AC21*Seasonality!$C$61*AC22)*(1-AC72)*(1-AC48)</f>
        <v/>
      </c>
      <c r="AD145" s="48">
        <f>MAX(AD23,AD21*Seasonality!$C$61*AD22)*(1-AD72)*(1-AD48)</f>
        <v/>
      </c>
      <c r="AE145" s="48">
        <f>MAX(AE23,AE21*Seasonality!$C$61*AE22)*(1-AE72)*(1-AE48)</f>
        <v/>
      </c>
      <c r="AF145" s="48">
        <f>MAX(AF23,AF21*Seasonality!$C$61*AF22)*(1-AF72)*(1-AF48)</f>
        <v/>
      </c>
      <c r="AG145" s="48">
        <f>MAX(AG23,AG21*Seasonality!$C$61*AG22)*(1-AG72)*(1-AG48)</f>
        <v/>
      </c>
      <c r="AH145" s="48">
        <f>MAX(AH23,AH21*Seasonality!$C$61*AH22)*(1-AH72)*(1-AH48)</f>
        <v/>
      </c>
      <c r="AI145" s="48">
        <f>MAX(AI23,AI21*Seasonality!$C$61*AI22)*(1-AI72)*(1-AI48)</f>
        <v/>
      </c>
      <c r="AJ145" s="48">
        <f>MAX(AJ23,AJ21*Seasonality!$C$61*AJ22)*(1-AJ72)*(1-AJ48)</f>
        <v/>
      </c>
      <c r="AK145" s="48">
        <f>MAX(AK23,AK21*Seasonality!$C$61*AK22)*(1-AK72)*(1-AK48)</f>
        <v/>
      </c>
      <c r="AL145" s="48">
        <f>MAX(AL23,AL21*Seasonality!$C$61*AL22)*(1-AL72)*(1-AL48)</f>
        <v/>
      </c>
      <c r="AM145" s="48">
        <f>MAX(AM23,AM21*Seasonality!$C$61*AM22)*(1-AM72)*(1-AM48)</f>
        <v/>
      </c>
      <c r="AN145" s="48">
        <f>MAX(AN23,AN21*Seasonality!$C$61*AN22)*(1-AN72)*(1-AN48)</f>
        <v/>
      </c>
      <c r="AO145" s="48">
        <f>MAX(AO23,AO21*Seasonality!$C$61*AO22)*(1-AO72)*(1-AO48)</f>
        <v/>
      </c>
      <c r="AP145" s="48">
        <f>MAX(AP23,AP21*Seasonality!$C$61*AP22)*(1-AP72)*(1-AP48)</f>
        <v/>
      </c>
      <c r="AQ145" s="48">
        <f>MAX(AQ23,AQ21*Seasonality!$C$61*AQ22)*(1-AQ72)*(1-AQ48)</f>
        <v/>
      </c>
      <c r="AR145" s="48">
        <f>MAX(AR23,AR21*Seasonality!$C$61*AR22)*(1-AR72)*(1-AR48)</f>
        <v/>
      </c>
      <c r="AS145" s="48">
        <f>MAX(AS23,AS21*Seasonality!$C$61*AS22)*(1-AS72)*(1-AS48)</f>
        <v/>
      </c>
      <c r="AT145" s="48">
        <f>MAX(AT23,AT21*Seasonality!$C$61*AT22)*(1-AT72)*(1-AT48)</f>
        <v/>
      </c>
      <c r="AU145" s="48">
        <f>MAX(AU23,AU21*Seasonality!$C$61*AU22)*(1-AU72)*(1-AU48)</f>
        <v/>
      </c>
      <c r="AV145" s="48">
        <f>MAX(AV23,AV21*Seasonality!$C$61*AV22)*(1-AV72)*(1-AV48)</f>
        <v/>
      </c>
    </row>
    <row r="146">
      <c r="B146" s="7" t="inlineStr">
        <is>
          <t>Revenue collected · month 26</t>
        </is>
      </c>
      <c r="C146" s="5" t="inlineStr">
        <is>
          <t>₹</t>
        </is>
      </c>
      <c r="D146" s="48">
        <f>MAX(D23,D21*Seasonality!$C$62*D22)*(1-D72)*(1-D48)</f>
        <v/>
      </c>
      <c r="E146" s="48">
        <f>MAX(E23,E21*Seasonality!$C$62*E22)*(1-E72)*(1-E48)</f>
        <v/>
      </c>
      <c r="F146" s="48">
        <f>MAX(F23,F21*Seasonality!$C$62*F22)*(1-F72)*(1-F48)</f>
        <v/>
      </c>
      <c r="G146" s="48">
        <f>MAX(G23,G21*Seasonality!$C$62*G22)*(1-G72)*(1-G48)</f>
        <v/>
      </c>
      <c r="H146" s="48">
        <f>MAX(H23,H21*Seasonality!$C$62*H22)*(1-H72)*(1-H48)</f>
        <v/>
      </c>
      <c r="I146" s="48">
        <f>MAX(I23,I21*Seasonality!$C$62*I22)*(1-I72)*(1-I48)</f>
        <v/>
      </c>
      <c r="J146" s="48">
        <f>MAX(J23,J21*Seasonality!$C$62*J22)*(1-J72)*(1-J48)</f>
        <v/>
      </c>
      <c r="K146" s="48">
        <f>MAX(K23,K21*Seasonality!$C$62*K22)*(1-K72)*(1-K48)</f>
        <v/>
      </c>
      <c r="L146" s="48">
        <f>MAX(L23,L21*Seasonality!$C$62*L22)*(1-L72)*(1-L48)</f>
        <v/>
      </c>
      <c r="M146" s="48">
        <f>MAX(M23,M21*Seasonality!$C$62*M22)*(1-M72)*(1-M48)</f>
        <v/>
      </c>
      <c r="N146" s="48">
        <f>MAX(N23,N21*Seasonality!$C$62*N22)*(1-N72)*(1-N48)</f>
        <v/>
      </c>
      <c r="O146" s="48">
        <f>MAX(O23,O21*Seasonality!$C$62*O22)*(1-O72)*(1-O48)</f>
        <v/>
      </c>
      <c r="P146" s="48">
        <f>MAX(P23,P21*Seasonality!$C$62*P22)*(1-P72)*(1-P48)</f>
        <v/>
      </c>
      <c r="Q146" s="48">
        <f>MAX(Q23,Q21*Seasonality!$C$62*Q22)*(1-Q72)*(1-Q48)</f>
        <v/>
      </c>
      <c r="R146" s="48">
        <f>MAX(R23,R21*Seasonality!$C$62*R22)*(1-R72)*(1-R48)</f>
        <v/>
      </c>
      <c r="S146" s="48">
        <f>MAX(S23,S21*Seasonality!$C$62*S22)*(1-S72)*(1-S48)</f>
        <v/>
      </c>
      <c r="T146" s="48">
        <f>MAX(T23,T21*Seasonality!$C$62*T22)*(1-T72)*(1-T48)</f>
        <v/>
      </c>
      <c r="U146" s="48">
        <f>MAX(U23,U21*Seasonality!$C$62*U22)*(1-U72)*(1-U48)</f>
        <v/>
      </c>
      <c r="V146" s="48">
        <f>MAX(V23,V21*Seasonality!$C$62*V22)*(1-V72)*(1-V48)</f>
        <v/>
      </c>
      <c r="W146" s="48">
        <f>MAX(W23,W21*Seasonality!$C$62*W22)*(1-W72)*(1-W48)</f>
        <v/>
      </c>
      <c r="X146" s="48">
        <f>MAX(X23,X21*Seasonality!$C$62*X22)*(1-X72)*(1-X48)</f>
        <v/>
      </c>
      <c r="Y146" s="48">
        <f>MAX(Y23,Y21*Seasonality!$C$62*Y22)*(1-Y72)*(1-Y48)</f>
        <v/>
      </c>
      <c r="Z146" s="48">
        <f>MAX(Z23,Z21*Seasonality!$C$62*Z22)*(1-Z72)*(1-Z48)</f>
        <v/>
      </c>
      <c r="AA146" s="48">
        <f>MAX(AA23,AA21*Seasonality!$C$62*AA22)*(1-AA72)*(1-AA48)</f>
        <v/>
      </c>
      <c r="AB146" s="48">
        <f>MAX(AB23,AB21*Seasonality!$C$62*AB22)*(1-AB72)*(1-AB48)</f>
        <v/>
      </c>
      <c r="AC146" s="48">
        <f>MAX(AC23,AC21*Seasonality!$C$62*AC22)*(1-AC72)*(1-AC48)</f>
        <v/>
      </c>
      <c r="AD146" s="48">
        <f>MAX(AD23,AD21*Seasonality!$C$62*AD22)*(1-AD72)*(1-AD48)</f>
        <v/>
      </c>
      <c r="AE146" s="48">
        <f>MAX(AE23,AE21*Seasonality!$C$62*AE22)*(1-AE72)*(1-AE48)</f>
        <v/>
      </c>
      <c r="AF146" s="48">
        <f>MAX(AF23,AF21*Seasonality!$C$62*AF22)*(1-AF72)*(1-AF48)</f>
        <v/>
      </c>
      <c r="AG146" s="48">
        <f>MAX(AG23,AG21*Seasonality!$C$62*AG22)*(1-AG72)*(1-AG48)</f>
        <v/>
      </c>
      <c r="AH146" s="48">
        <f>MAX(AH23,AH21*Seasonality!$C$62*AH22)*(1-AH72)*(1-AH48)</f>
        <v/>
      </c>
      <c r="AI146" s="48">
        <f>MAX(AI23,AI21*Seasonality!$C$62*AI22)*(1-AI72)*(1-AI48)</f>
        <v/>
      </c>
      <c r="AJ146" s="48">
        <f>MAX(AJ23,AJ21*Seasonality!$C$62*AJ22)*(1-AJ72)*(1-AJ48)</f>
        <v/>
      </c>
      <c r="AK146" s="48">
        <f>MAX(AK23,AK21*Seasonality!$C$62*AK22)*(1-AK72)*(1-AK48)</f>
        <v/>
      </c>
      <c r="AL146" s="48">
        <f>MAX(AL23,AL21*Seasonality!$C$62*AL22)*(1-AL72)*(1-AL48)</f>
        <v/>
      </c>
      <c r="AM146" s="48">
        <f>MAX(AM23,AM21*Seasonality!$C$62*AM22)*(1-AM72)*(1-AM48)</f>
        <v/>
      </c>
      <c r="AN146" s="48">
        <f>MAX(AN23,AN21*Seasonality!$C$62*AN22)*(1-AN72)*(1-AN48)</f>
        <v/>
      </c>
      <c r="AO146" s="48">
        <f>MAX(AO23,AO21*Seasonality!$C$62*AO22)*(1-AO72)*(1-AO48)</f>
        <v/>
      </c>
      <c r="AP146" s="48">
        <f>MAX(AP23,AP21*Seasonality!$C$62*AP22)*(1-AP72)*(1-AP48)</f>
        <v/>
      </c>
      <c r="AQ146" s="48">
        <f>MAX(AQ23,AQ21*Seasonality!$C$62*AQ22)*(1-AQ72)*(1-AQ48)</f>
        <v/>
      </c>
      <c r="AR146" s="48">
        <f>MAX(AR23,AR21*Seasonality!$C$62*AR22)*(1-AR72)*(1-AR48)</f>
        <v/>
      </c>
      <c r="AS146" s="48">
        <f>MAX(AS23,AS21*Seasonality!$C$62*AS22)*(1-AS72)*(1-AS48)</f>
        <v/>
      </c>
      <c r="AT146" s="48">
        <f>MAX(AT23,AT21*Seasonality!$C$62*AT22)*(1-AT72)*(1-AT48)</f>
        <v/>
      </c>
      <c r="AU146" s="48">
        <f>MAX(AU23,AU21*Seasonality!$C$62*AU22)*(1-AU72)*(1-AU48)</f>
        <v/>
      </c>
      <c r="AV146" s="48">
        <f>MAX(AV23,AV21*Seasonality!$C$62*AV22)*(1-AV72)*(1-AV48)</f>
        <v/>
      </c>
    </row>
    <row r="147">
      <c r="B147" s="7" t="inlineStr">
        <is>
          <t>Revenue collected · month 27</t>
        </is>
      </c>
      <c r="C147" s="5" t="inlineStr">
        <is>
          <t>₹</t>
        </is>
      </c>
      <c r="D147" s="48">
        <f>MAX(D23,D21*Seasonality!$C$63*D22)*(1-D72)*(1-D48)</f>
        <v/>
      </c>
      <c r="E147" s="48">
        <f>MAX(E23,E21*Seasonality!$C$63*E22)*(1-E72)*(1-E48)</f>
        <v/>
      </c>
      <c r="F147" s="48">
        <f>MAX(F23,F21*Seasonality!$C$63*F22)*(1-F72)*(1-F48)</f>
        <v/>
      </c>
      <c r="G147" s="48">
        <f>MAX(G23,G21*Seasonality!$C$63*G22)*(1-G72)*(1-G48)</f>
        <v/>
      </c>
      <c r="H147" s="48">
        <f>MAX(H23,H21*Seasonality!$C$63*H22)*(1-H72)*(1-H48)</f>
        <v/>
      </c>
      <c r="I147" s="48">
        <f>MAX(I23,I21*Seasonality!$C$63*I22)*(1-I72)*(1-I48)</f>
        <v/>
      </c>
      <c r="J147" s="48">
        <f>MAX(J23,J21*Seasonality!$C$63*J22)*(1-J72)*(1-J48)</f>
        <v/>
      </c>
      <c r="K147" s="48">
        <f>MAX(K23,K21*Seasonality!$C$63*K22)*(1-K72)*(1-K48)</f>
        <v/>
      </c>
      <c r="L147" s="48">
        <f>MAX(L23,L21*Seasonality!$C$63*L22)*(1-L72)*(1-L48)</f>
        <v/>
      </c>
      <c r="M147" s="48">
        <f>MAX(M23,M21*Seasonality!$C$63*M22)*(1-M72)*(1-M48)</f>
        <v/>
      </c>
      <c r="N147" s="48">
        <f>MAX(N23,N21*Seasonality!$C$63*N22)*(1-N72)*(1-N48)</f>
        <v/>
      </c>
      <c r="O147" s="48">
        <f>MAX(O23,O21*Seasonality!$C$63*O22)*(1-O72)*(1-O48)</f>
        <v/>
      </c>
      <c r="P147" s="48">
        <f>MAX(P23,P21*Seasonality!$C$63*P22)*(1-P72)*(1-P48)</f>
        <v/>
      </c>
      <c r="Q147" s="48">
        <f>MAX(Q23,Q21*Seasonality!$C$63*Q22)*(1-Q72)*(1-Q48)</f>
        <v/>
      </c>
      <c r="R147" s="48">
        <f>MAX(R23,R21*Seasonality!$C$63*R22)*(1-R72)*(1-R48)</f>
        <v/>
      </c>
      <c r="S147" s="48">
        <f>MAX(S23,S21*Seasonality!$C$63*S22)*(1-S72)*(1-S48)</f>
        <v/>
      </c>
      <c r="T147" s="48">
        <f>MAX(T23,T21*Seasonality!$C$63*T22)*(1-T72)*(1-T48)</f>
        <v/>
      </c>
      <c r="U147" s="48">
        <f>MAX(U23,U21*Seasonality!$C$63*U22)*(1-U72)*(1-U48)</f>
        <v/>
      </c>
      <c r="V147" s="48">
        <f>MAX(V23,V21*Seasonality!$C$63*V22)*(1-V72)*(1-V48)</f>
        <v/>
      </c>
      <c r="W147" s="48">
        <f>MAX(W23,W21*Seasonality!$C$63*W22)*(1-W72)*(1-W48)</f>
        <v/>
      </c>
      <c r="X147" s="48">
        <f>MAX(X23,X21*Seasonality!$C$63*X22)*(1-X72)*(1-X48)</f>
        <v/>
      </c>
      <c r="Y147" s="48">
        <f>MAX(Y23,Y21*Seasonality!$C$63*Y22)*(1-Y72)*(1-Y48)</f>
        <v/>
      </c>
      <c r="Z147" s="48">
        <f>MAX(Z23,Z21*Seasonality!$C$63*Z22)*(1-Z72)*(1-Z48)</f>
        <v/>
      </c>
      <c r="AA147" s="48">
        <f>MAX(AA23,AA21*Seasonality!$C$63*AA22)*(1-AA72)*(1-AA48)</f>
        <v/>
      </c>
      <c r="AB147" s="48">
        <f>MAX(AB23,AB21*Seasonality!$C$63*AB22)*(1-AB72)*(1-AB48)</f>
        <v/>
      </c>
      <c r="AC147" s="48">
        <f>MAX(AC23,AC21*Seasonality!$C$63*AC22)*(1-AC72)*(1-AC48)</f>
        <v/>
      </c>
      <c r="AD147" s="48">
        <f>MAX(AD23,AD21*Seasonality!$C$63*AD22)*(1-AD72)*(1-AD48)</f>
        <v/>
      </c>
      <c r="AE147" s="48">
        <f>MAX(AE23,AE21*Seasonality!$C$63*AE22)*(1-AE72)*(1-AE48)</f>
        <v/>
      </c>
      <c r="AF147" s="48">
        <f>MAX(AF23,AF21*Seasonality!$C$63*AF22)*(1-AF72)*(1-AF48)</f>
        <v/>
      </c>
      <c r="AG147" s="48">
        <f>MAX(AG23,AG21*Seasonality!$C$63*AG22)*(1-AG72)*(1-AG48)</f>
        <v/>
      </c>
      <c r="AH147" s="48">
        <f>MAX(AH23,AH21*Seasonality!$C$63*AH22)*(1-AH72)*(1-AH48)</f>
        <v/>
      </c>
      <c r="AI147" s="48">
        <f>MAX(AI23,AI21*Seasonality!$C$63*AI22)*(1-AI72)*(1-AI48)</f>
        <v/>
      </c>
      <c r="AJ147" s="48">
        <f>MAX(AJ23,AJ21*Seasonality!$C$63*AJ22)*(1-AJ72)*(1-AJ48)</f>
        <v/>
      </c>
      <c r="AK147" s="48">
        <f>MAX(AK23,AK21*Seasonality!$C$63*AK22)*(1-AK72)*(1-AK48)</f>
        <v/>
      </c>
      <c r="AL147" s="48">
        <f>MAX(AL23,AL21*Seasonality!$C$63*AL22)*(1-AL72)*(1-AL48)</f>
        <v/>
      </c>
      <c r="AM147" s="48">
        <f>MAX(AM23,AM21*Seasonality!$C$63*AM22)*(1-AM72)*(1-AM48)</f>
        <v/>
      </c>
      <c r="AN147" s="48">
        <f>MAX(AN23,AN21*Seasonality!$C$63*AN22)*(1-AN72)*(1-AN48)</f>
        <v/>
      </c>
      <c r="AO147" s="48">
        <f>MAX(AO23,AO21*Seasonality!$C$63*AO22)*(1-AO72)*(1-AO48)</f>
        <v/>
      </c>
      <c r="AP147" s="48">
        <f>MAX(AP23,AP21*Seasonality!$C$63*AP22)*(1-AP72)*(1-AP48)</f>
        <v/>
      </c>
      <c r="AQ147" s="48">
        <f>MAX(AQ23,AQ21*Seasonality!$C$63*AQ22)*(1-AQ72)*(1-AQ48)</f>
        <v/>
      </c>
      <c r="AR147" s="48">
        <f>MAX(AR23,AR21*Seasonality!$C$63*AR22)*(1-AR72)*(1-AR48)</f>
        <v/>
      </c>
      <c r="AS147" s="48">
        <f>MAX(AS23,AS21*Seasonality!$C$63*AS22)*(1-AS72)*(1-AS48)</f>
        <v/>
      </c>
      <c r="AT147" s="48">
        <f>MAX(AT23,AT21*Seasonality!$C$63*AT22)*(1-AT72)*(1-AT48)</f>
        <v/>
      </c>
      <c r="AU147" s="48">
        <f>MAX(AU23,AU21*Seasonality!$C$63*AU22)*(1-AU72)*(1-AU48)</f>
        <v/>
      </c>
      <c r="AV147" s="48">
        <f>MAX(AV23,AV21*Seasonality!$C$63*AV22)*(1-AV72)*(1-AV48)</f>
        <v/>
      </c>
    </row>
    <row r="148">
      <c r="B148" s="7" t="inlineStr">
        <is>
          <t>Revenue collected · month 28</t>
        </is>
      </c>
      <c r="C148" s="5" t="inlineStr">
        <is>
          <t>₹</t>
        </is>
      </c>
      <c r="D148" s="48">
        <f>MAX(D23,D21*Seasonality!$C$64*D22)*(1-D72)*(1-D48)</f>
        <v/>
      </c>
      <c r="E148" s="48">
        <f>MAX(E23,E21*Seasonality!$C$64*E22)*(1-E72)*(1-E48)</f>
        <v/>
      </c>
      <c r="F148" s="48">
        <f>MAX(F23,F21*Seasonality!$C$64*F22)*(1-F72)*(1-F48)</f>
        <v/>
      </c>
      <c r="G148" s="48">
        <f>MAX(G23,G21*Seasonality!$C$64*G22)*(1-G72)*(1-G48)</f>
        <v/>
      </c>
      <c r="H148" s="48">
        <f>MAX(H23,H21*Seasonality!$C$64*H22)*(1-H72)*(1-H48)</f>
        <v/>
      </c>
      <c r="I148" s="48">
        <f>MAX(I23,I21*Seasonality!$C$64*I22)*(1-I72)*(1-I48)</f>
        <v/>
      </c>
      <c r="J148" s="48">
        <f>MAX(J23,J21*Seasonality!$C$64*J22)*(1-J72)*(1-J48)</f>
        <v/>
      </c>
      <c r="K148" s="48">
        <f>MAX(K23,K21*Seasonality!$C$64*K22)*(1-K72)*(1-K48)</f>
        <v/>
      </c>
      <c r="L148" s="48">
        <f>MAX(L23,L21*Seasonality!$C$64*L22)*(1-L72)*(1-L48)</f>
        <v/>
      </c>
      <c r="M148" s="48">
        <f>MAX(M23,M21*Seasonality!$C$64*M22)*(1-M72)*(1-M48)</f>
        <v/>
      </c>
      <c r="N148" s="48">
        <f>MAX(N23,N21*Seasonality!$C$64*N22)*(1-N72)*(1-N48)</f>
        <v/>
      </c>
      <c r="O148" s="48">
        <f>MAX(O23,O21*Seasonality!$C$64*O22)*(1-O72)*(1-O48)</f>
        <v/>
      </c>
      <c r="P148" s="48">
        <f>MAX(P23,P21*Seasonality!$C$64*P22)*(1-P72)*(1-P48)</f>
        <v/>
      </c>
      <c r="Q148" s="48">
        <f>MAX(Q23,Q21*Seasonality!$C$64*Q22)*(1-Q72)*(1-Q48)</f>
        <v/>
      </c>
      <c r="R148" s="48">
        <f>MAX(R23,R21*Seasonality!$C$64*R22)*(1-R72)*(1-R48)</f>
        <v/>
      </c>
      <c r="S148" s="48">
        <f>MAX(S23,S21*Seasonality!$C$64*S22)*(1-S72)*(1-S48)</f>
        <v/>
      </c>
      <c r="T148" s="48">
        <f>MAX(T23,T21*Seasonality!$C$64*T22)*(1-T72)*(1-T48)</f>
        <v/>
      </c>
      <c r="U148" s="48">
        <f>MAX(U23,U21*Seasonality!$C$64*U22)*(1-U72)*(1-U48)</f>
        <v/>
      </c>
      <c r="V148" s="48">
        <f>MAX(V23,V21*Seasonality!$C$64*V22)*(1-V72)*(1-V48)</f>
        <v/>
      </c>
      <c r="W148" s="48">
        <f>MAX(W23,W21*Seasonality!$C$64*W22)*(1-W72)*(1-W48)</f>
        <v/>
      </c>
      <c r="X148" s="48">
        <f>MAX(X23,X21*Seasonality!$C$64*X22)*(1-X72)*(1-X48)</f>
        <v/>
      </c>
      <c r="Y148" s="48">
        <f>MAX(Y23,Y21*Seasonality!$C$64*Y22)*(1-Y72)*(1-Y48)</f>
        <v/>
      </c>
      <c r="Z148" s="48">
        <f>MAX(Z23,Z21*Seasonality!$C$64*Z22)*(1-Z72)*(1-Z48)</f>
        <v/>
      </c>
      <c r="AA148" s="48">
        <f>MAX(AA23,AA21*Seasonality!$C$64*AA22)*(1-AA72)*(1-AA48)</f>
        <v/>
      </c>
      <c r="AB148" s="48">
        <f>MAX(AB23,AB21*Seasonality!$C$64*AB22)*(1-AB72)*(1-AB48)</f>
        <v/>
      </c>
      <c r="AC148" s="48">
        <f>MAX(AC23,AC21*Seasonality!$C$64*AC22)*(1-AC72)*(1-AC48)</f>
        <v/>
      </c>
      <c r="AD148" s="48">
        <f>MAX(AD23,AD21*Seasonality!$C$64*AD22)*(1-AD72)*(1-AD48)</f>
        <v/>
      </c>
      <c r="AE148" s="48">
        <f>MAX(AE23,AE21*Seasonality!$C$64*AE22)*(1-AE72)*(1-AE48)</f>
        <v/>
      </c>
      <c r="AF148" s="48">
        <f>MAX(AF23,AF21*Seasonality!$C$64*AF22)*(1-AF72)*(1-AF48)</f>
        <v/>
      </c>
      <c r="AG148" s="48">
        <f>MAX(AG23,AG21*Seasonality!$C$64*AG22)*(1-AG72)*(1-AG48)</f>
        <v/>
      </c>
      <c r="AH148" s="48">
        <f>MAX(AH23,AH21*Seasonality!$C$64*AH22)*(1-AH72)*(1-AH48)</f>
        <v/>
      </c>
      <c r="AI148" s="48">
        <f>MAX(AI23,AI21*Seasonality!$C$64*AI22)*(1-AI72)*(1-AI48)</f>
        <v/>
      </c>
      <c r="AJ148" s="48">
        <f>MAX(AJ23,AJ21*Seasonality!$C$64*AJ22)*(1-AJ72)*(1-AJ48)</f>
        <v/>
      </c>
      <c r="AK148" s="48">
        <f>MAX(AK23,AK21*Seasonality!$C$64*AK22)*(1-AK72)*(1-AK48)</f>
        <v/>
      </c>
      <c r="AL148" s="48">
        <f>MAX(AL23,AL21*Seasonality!$C$64*AL22)*(1-AL72)*(1-AL48)</f>
        <v/>
      </c>
      <c r="AM148" s="48">
        <f>MAX(AM23,AM21*Seasonality!$C$64*AM22)*(1-AM72)*(1-AM48)</f>
        <v/>
      </c>
      <c r="AN148" s="48">
        <f>MAX(AN23,AN21*Seasonality!$C$64*AN22)*(1-AN72)*(1-AN48)</f>
        <v/>
      </c>
      <c r="AO148" s="48">
        <f>MAX(AO23,AO21*Seasonality!$C$64*AO22)*(1-AO72)*(1-AO48)</f>
        <v/>
      </c>
      <c r="AP148" s="48">
        <f>MAX(AP23,AP21*Seasonality!$C$64*AP22)*(1-AP72)*(1-AP48)</f>
        <v/>
      </c>
      <c r="AQ148" s="48">
        <f>MAX(AQ23,AQ21*Seasonality!$C$64*AQ22)*(1-AQ72)*(1-AQ48)</f>
        <v/>
      </c>
      <c r="AR148" s="48">
        <f>MAX(AR23,AR21*Seasonality!$C$64*AR22)*(1-AR72)*(1-AR48)</f>
        <v/>
      </c>
      <c r="AS148" s="48">
        <f>MAX(AS23,AS21*Seasonality!$C$64*AS22)*(1-AS72)*(1-AS48)</f>
        <v/>
      </c>
      <c r="AT148" s="48">
        <f>MAX(AT23,AT21*Seasonality!$C$64*AT22)*(1-AT72)*(1-AT48)</f>
        <v/>
      </c>
      <c r="AU148" s="48">
        <f>MAX(AU23,AU21*Seasonality!$C$64*AU22)*(1-AU72)*(1-AU48)</f>
        <v/>
      </c>
      <c r="AV148" s="48">
        <f>MAX(AV23,AV21*Seasonality!$C$64*AV22)*(1-AV72)*(1-AV48)</f>
        <v/>
      </c>
    </row>
    <row r="149">
      <c r="B149" s="7" t="inlineStr">
        <is>
          <t>Revenue collected · month 29</t>
        </is>
      </c>
      <c r="C149" s="5" t="inlineStr">
        <is>
          <t>₹</t>
        </is>
      </c>
      <c r="D149" s="48">
        <f>MAX(D23,D21*Seasonality!$C$65*D22)*(1-D72)*(1-D48)</f>
        <v/>
      </c>
      <c r="E149" s="48">
        <f>MAX(E23,E21*Seasonality!$C$65*E22)*(1-E72)*(1-E48)</f>
        <v/>
      </c>
      <c r="F149" s="48">
        <f>MAX(F23,F21*Seasonality!$C$65*F22)*(1-F72)*(1-F48)</f>
        <v/>
      </c>
      <c r="G149" s="48">
        <f>MAX(G23,G21*Seasonality!$C$65*G22)*(1-G72)*(1-G48)</f>
        <v/>
      </c>
      <c r="H149" s="48">
        <f>MAX(H23,H21*Seasonality!$C$65*H22)*(1-H72)*(1-H48)</f>
        <v/>
      </c>
      <c r="I149" s="48">
        <f>MAX(I23,I21*Seasonality!$C$65*I22)*(1-I72)*(1-I48)</f>
        <v/>
      </c>
      <c r="J149" s="48">
        <f>MAX(J23,J21*Seasonality!$C$65*J22)*(1-J72)*(1-J48)</f>
        <v/>
      </c>
      <c r="K149" s="48">
        <f>MAX(K23,K21*Seasonality!$C$65*K22)*(1-K72)*(1-K48)</f>
        <v/>
      </c>
      <c r="L149" s="48">
        <f>MAX(L23,L21*Seasonality!$C$65*L22)*(1-L72)*(1-L48)</f>
        <v/>
      </c>
      <c r="M149" s="48">
        <f>MAX(M23,M21*Seasonality!$C$65*M22)*(1-M72)*(1-M48)</f>
        <v/>
      </c>
      <c r="N149" s="48">
        <f>MAX(N23,N21*Seasonality!$C$65*N22)*(1-N72)*(1-N48)</f>
        <v/>
      </c>
      <c r="O149" s="48">
        <f>MAX(O23,O21*Seasonality!$C$65*O22)*(1-O72)*(1-O48)</f>
        <v/>
      </c>
      <c r="P149" s="48">
        <f>MAX(P23,P21*Seasonality!$C$65*P22)*(1-P72)*(1-P48)</f>
        <v/>
      </c>
      <c r="Q149" s="48">
        <f>MAX(Q23,Q21*Seasonality!$C$65*Q22)*(1-Q72)*(1-Q48)</f>
        <v/>
      </c>
      <c r="R149" s="48">
        <f>MAX(R23,R21*Seasonality!$C$65*R22)*(1-R72)*(1-R48)</f>
        <v/>
      </c>
      <c r="S149" s="48">
        <f>MAX(S23,S21*Seasonality!$C$65*S22)*(1-S72)*(1-S48)</f>
        <v/>
      </c>
      <c r="T149" s="48">
        <f>MAX(T23,T21*Seasonality!$C$65*T22)*(1-T72)*(1-T48)</f>
        <v/>
      </c>
      <c r="U149" s="48">
        <f>MAX(U23,U21*Seasonality!$C$65*U22)*(1-U72)*(1-U48)</f>
        <v/>
      </c>
      <c r="V149" s="48">
        <f>MAX(V23,V21*Seasonality!$C$65*V22)*(1-V72)*(1-V48)</f>
        <v/>
      </c>
      <c r="W149" s="48">
        <f>MAX(W23,W21*Seasonality!$C$65*W22)*(1-W72)*(1-W48)</f>
        <v/>
      </c>
      <c r="X149" s="48">
        <f>MAX(X23,X21*Seasonality!$C$65*X22)*(1-X72)*(1-X48)</f>
        <v/>
      </c>
      <c r="Y149" s="48">
        <f>MAX(Y23,Y21*Seasonality!$C$65*Y22)*(1-Y72)*(1-Y48)</f>
        <v/>
      </c>
      <c r="Z149" s="48">
        <f>MAX(Z23,Z21*Seasonality!$C$65*Z22)*(1-Z72)*(1-Z48)</f>
        <v/>
      </c>
      <c r="AA149" s="48">
        <f>MAX(AA23,AA21*Seasonality!$C$65*AA22)*(1-AA72)*(1-AA48)</f>
        <v/>
      </c>
      <c r="AB149" s="48">
        <f>MAX(AB23,AB21*Seasonality!$C$65*AB22)*(1-AB72)*(1-AB48)</f>
        <v/>
      </c>
      <c r="AC149" s="48">
        <f>MAX(AC23,AC21*Seasonality!$C$65*AC22)*(1-AC72)*(1-AC48)</f>
        <v/>
      </c>
      <c r="AD149" s="48">
        <f>MAX(AD23,AD21*Seasonality!$C$65*AD22)*(1-AD72)*(1-AD48)</f>
        <v/>
      </c>
      <c r="AE149" s="48">
        <f>MAX(AE23,AE21*Seasonality!$C$65*AE22)*(1-AE72)*(1-AE48)</f>
        <v/>
      </c>
      <c r="AF149" s="48">
        <f>MAX(AF23,AF21*Seasonality!$C$65*AF22)*(1-AF72)*(1-AF48)</f>
        <v/>
      </c>
      <c r="AG149" s="48">
        <f>MAX(AG23,AG21*Seasonality!$C$65*AG22)*(1-AG72)*(1-AG48)</f>
        <v/>
      </c>
      <c r="AH149" s="48">
        <f>MAX(AH23,AH21*Seasonality!$C$65*AH22)*(1-AH72)*(1-AH48)</f>
        <v/>
      </c>
      <c r="AI149" s="48">
        <f>MAX(AI23,AI21*Seasonality!$C$65*AI22)*(1-AI72)*(1-AI48)</f>
        <v/>
      </c>
      <c r="AJ149" s="48">
        <f>MAX(AJ23,AJ21*Seasonality!$C$65*AJ22)*(1-AJ72)*(1-AJ48)</f>
        <v/>
      </c>
      <c r="AK149" s="48">
        <f>MAX(AK23,AK21*Seasonality!$C$65*AK22)*(1-AK72)*(1-AK48)</f>
        <v/>
      </c>
      <c r="AL149" s="48">
        <f>MAX(AL23,AL21*Seasonality!$C$65*AL22)*(1-AL72)*(1-AL48)</f>
        <v/>
      </c>
      <c r="AM149" s="48">
        <f>MAX(AM23,AM21*Seasonality!$C$65*AM22)*(1-AM72)*(1-AM48)</f>
        <v/>
      </c>
      <c r="AN149" s="48">
        <f>MAX(AN23,AN21*Seasonality!$C$65*AN22)*(1-AN72)*(1-AN48)</f>
        <v/>
      </c>
      <c r="AO149" s="48">
        <f>MAX(AO23,AO21*Seasonality!$C$65*AO22)*(1-AO72)*(1-AO48)</f>
        <v/>
      </c>
      <c r="AP149" s="48">
        <f>MAX(AP23,AP21*Seasonality!$C$65*AP22)*(1-AP72)*(1-AP48)</f>
        <v/>
      </c>
      <c r="AQ149" s="48">
        <f>MAX(AQ23,AQ21*Seasonality!$C$65*AQ22)*(1-AQ72)*(1-AQ48)</f>
        <v/>
      </c>
      <c r="AR149" s="48">
        <f>MAX(AR23,AR21*Seasonality!$C$65*AR22)*(1-AR72)*(1-AR48)</f>
        <v/>
      </c>
      <c r="AS149" s="48">
        <f>MAX(AS23,AS21*Seasonality!$C$65*AS22)*(1-AS72)*(1-AS48)</f>
        <v/>
      </c>
      <c r="AT149" s="48">
        <f>MAX(AT23,AT21*Seasonality!$C$65*AT22)*(1-AT72)*(1-AT48)</f>
        <v/>
      </c>
      <c r="AU149" s="48">
        <f>MAX(AU23,AU21*Seasonality!$C$65*AU22)*(1-AU72)*(1-AU48)</f>
        <v/>
      </c>
      <c r="AV149" s="48">
        <f>MAX(AV23,AV21*Seasonality!$C$65*AV22)*(1-AV72)*(1-AV48)</f>
        <v/>
      </c>
    </row>
    <row r="150">
      <c r="B150" s="7" t="inlineStr">
        <is>
          <t>Revenue collected · month 30</t>
        </is>
      </c>
      <c r="C150" s="5" t="inlineStr">
        <is>
          <t>₹</t>
        </is>
      </c>
      <c r="D150" s="48">
        <f>MAX(D23,D21*Seasonality!$C$66*D22)*(1-D72)*(1-D48)</f>
        <v/>
      </c>
      <c r="E150" s="48">
        <f>MAX(E23,E21*Seasonality!$C$66*E22)*(1-E72)*(1-E48)</f>
        <v/>
      </c>
      <c r="F150" s="48">
        <f>MAX(F23,F21*Seasonality!$C$66*F22)*(1-F72)*(1-F48)</f>
        <v/>
      </c>
      <c r="G150" s="48">
        <f>MAX(G23,G21*Seasonality!$C$66*G22)*(1-G72)*(1-G48)</f>
        <v/>
      </c>
      <c r="H150" s="48">
        <f>MAX(H23,H21*Seasonality!$C$66*H22)*(1-H72)*(1-H48)</f>
        <v/>
      </c>
      <c r="I150" s="48">
        <f>MAX(I23,I21*Seasonality!$C$66*I22)*(1-I72)*(1-I48)</f>
        <v/>
      </c>
      <c r="J150" s="48">
        <f>MAX(J23,J21*Seasonality!$C$66*J22)*(1-J72)*(1-J48)</f>
        <v/>
      </c>
      <c r="K150" s="48">
        <f>MAX(K23,K21*Seasonality!$C$66*K22)*(1-K72)*(1-K48)</f>
        <v/>
      </c>
      <c r="L150" s="48">
        <f>MAX(L23,L21*Seasonality!$C$66*L22)*(1-L72)*(1-L48)</f>
        <v/>
      </c>
      <c r="M150" s="48">
        <f>MAX(M23,M21*Seasonality!$C$66*M22)*(1-M72)*(1-M48)</f>
        <v/>
      </c>
      <c r="N150" s="48">
        <f>MAX(N23,N21*Seasonality!$C$66*N22)*(1-N72)*(1-N48)</f>
        <v/>
      </c>
      <c r="O150" s="48">
        <f>MAX(O23,O21*Seasonality!$C$66*O22)*(1-O72)*(1-O48)</f>
        <v/>
      </c>
      <c r="P150" s="48">
        <f>MAX(P23,P21*Seasonality!$C$66*P22)*(1-P72)*(1-P48)</f>
        <v/>
      </c>
      <c r="Q150" s="48">
        <f>MAX(Q23,Q21*Seasonality!$C$66*Q22)*(1-Q72)*(1-Q48)</f>
        <v/>
      </c>
      <c r="R150" s="48">
        <f>MAX(R23,R21*Seasonality!$C$66*R22)*(1-R72)*(1-R48)</f>
        <v/>
      </c>
      <c r="S150" s="48">
        <f>MAX(S23,S21*Seasonality!$C$66*S22)*(1-S72)*(1-S48)</f>
        <v/>
      </c>
      <c r="T150" s="48">
        <f>MAX(T23,T21*Seasonality!$C$66*T22)*(1-T72)*(1-T48)</f>
        <v/>
      </c>
      <c r="U150" s="48">
        <f>MAX(U23,U21*Seasonality!$C$66*U22)*(1-U72)*(1-U48)</f>
        <v/>
      </c>
      <c r="V150" s="48">
        <f>MAX(V23,V21*Seasonality!$C$66*V22)*(1-V72)*(1-V48)</f>
        <v/>
      </c>
      <c r="W150" s="48">
        <f>MAX(W23,W21*Seasonality!$C$66*W22)*(1-W72)*(1-W48)</f>
        <v/>
      </c>
      <c r="X150" s="48">
        <f>MAX(X23,X21*Seasonality!$C$66*X22)*(1-X72)*(1-X48)</f>
        <v/>
      </c>
      <c r="Y150" s="48">
        <f>MAX(Y23,Y21*Seasonality!$C$66*Y22)*(1-Y72)*(1-Y48)</f>
        <v/>
      </c>
      <c r="Z150" s="48">
        <f>MAX(Z23,Z21*Seasonality!$C$66*Z22)*(1-Z72)*(1-Z48)</f>
        <v/>
      </c>
      <c r="AA150" s="48">
        <f>MAX(AA23,AA21*Seasonality!$C$66*AA22)*(1-AA72)*(1-AA48)</f>
        <v/>
      </c>
      <c r="AB150" s="48">
        <f>MAX(AB23,AB21*Seasonality!$C$66*AB22)*(1-AB72)*(1-AB48)</f>
        <v/>
      </c>
      <c r="AC150" s="48">
        <f>MAX(AC23,AC21*Seasonality!$C$66*AC22)*(1-AC72)*(1-AC48)</f>
        <v/>
      </c>
      <c r="AD150" s="48">
        <f>MAX(AD23,AD21*Seasonality!$C$66*AD22)*(1-AD72)*(1-AD48)</f>
        <v/>
      </c>
      <c r="AE150" s="48">
        <f>MAX(AE23,AE21*Seasonality!$C$66*AE22)*(1-AE72)*(1-AE48)</f>
        <v/>
      </c>
      <c r="AF150" s="48">
        <f>MAX(AF23,AF21*Seasonality!$C$66*AF22)*(1-AF72)*(1-AF48)</f>
        <v/>
      </c>
      <c r="AG150" s="48">
        <f>MAX(AG23,AG21*Seasonality!$C$66*AG22)*(1-AG72)*(1-AG48)</f>
        <v/>
      </c>
      <c r="AH150" s="48">
        <f>MAX(AH23,AH21*Seasonality!$C$66*AH22)*(1-AH72)*(1-AH48)</f>
        <v/>
      </c>
      <c r="AI150" s="48">
        <f>MAX(AI23,AI21*Seasonality!$C$66*AI22)*(1-AI72)*(1-AI48)</f>
        <v/>
      </c>
      <c r="AJ150" s="48">
        <f>MAX(AJ23,AJ21*Seasonality!$C$66*AJ22)*(1-AJ72)*(1-AJ48)</f>
        <v/>
      </c>
      <c r="AK150" s="48">
        <f>MAX(AK23,AK21*Seasonality!$C$66*AK22)*(1-AK72)*(1-AK48)</f>
        <v/>
      </c>
      <c r="AL150" s="48">
        <f>MAX(AL23,AL21*Seasonality!$C$66*AL22)*(1-AL72)*(1-AL48)</f>
        <v/>
      </c>
      <c r="AM150" s="48">
        <f>MAX(AM23,AM21*Seasonality!$C$66*AM22)*(1-AM72)*(1-AM48)</f>
        <v/>
      </c>
      <c r="AN150" s="48">
        <f>MAX(AN23,AN21*Seasonality!$C$66*AN22)*(1-AN72)*(1-AN48)</f>
        <v/>
      </c>
      <c r="AO150" s="48">
        <f>MAX(AO23,AO21*Seasonality!$C$66*AO22)*(1-AO72)*(1-AO48)</f>
        <v/>
      </c>
      <c r="AP150" s="48">
        <f>MAX(AP23,AP21*Seasonality!$C$66*AP22)*(1-AP72)*(1-AP48)</f>
        <v/>
      </c>
      <c r="AQ150" s="48">
        <f>MAX(AQ23,AQ21*Seasonality!$C$66*AQ22)*(1-AQ72)*(1-AQ48)</f>
        <v/>
      </c>
      <c r="AR150" s="48">
        <f>MAX(AR23,AR21*Seasonality!$C$66*AR22)*(1-AR72)*(1-AR48)</f>
        <v/>
      </c>
      <c r="AS150" s="48">
        <f>MAX(AS23,AS21*Seasonality!$C$66*AS22)*(1-AS72)*(1-AS48)</f>
        <v/>
      </c>
      <c r="AT150" s="48">
        <f>MAX(AT23,AT21*Seasonality!$C$66*AT22)*(1-AT72)*(1-AT48)</f>
        <v/>
      </c>
      <c r="AU150" s="48">
        <f>MAX(AU23,AU21*Seasonality!$C$66*AU22)*(1-AU72)*(1-AU48)</f>
        <v/>
      </c>
      <c r="AV150" s="48">
        <f>MAX(AV23,AV21*Seasonality!$C$66*AV22)*(1-AV72)*(1-AV48)</f>
        <v/>
      </c>
    </row>
    <row r="151">
      <c r="B151" s="7" t="inlineStr">
        <is>
          <t>Revenue collected · month 31</t>
        </is>
      </c>
      <c r="C151" s="5" t="inlineStr">
        <is>
          <t>₹</t>
        </is>
      </c>
      <c r="D151" s="48">
        <f>MAX(D23,D21*Seasonality!$C$67*D22)*(1-D72)*(1-D48)</f>
        <v/>
      </c>
      <c r="E151" s="48">
        <f>MAX(E23,E21*Seasonality!$C$67*E22)*(1-E72)*(1-E48)</f>
        <v/>
      </c>
      <c r="F151" s="48">
        <f>MAX(F23,F21*Seasonality!$C$67*F22)*(1-F72)*(1-F48)</f>
        <v/>
      </c>
      <c r="G151" s="48">
        <f>MAX(G23,G21*Seasonality!$C$67*G22)*(1-G72)*(1-G48)</f>
        <v/>
      </c>
      <c r="H151" s="48">
        <f>MAX(H23,H21*Seasonality!$C$67*H22)*(1-H72)*(1-H48)</f>
        <v/>
      </c>
      <c r="I151" s="48">
        <f>MAX(I23,I21*Seasonality!$C$67*I22)*(1-I72)*(1-I48)</f>
        <v/>
      </c>
      <c r="J151" s="48">
        <f>MAX(J23,J21*Seasonality!$C$67*J22)*(1-J72)*(1-J48)</f>
        <v/>
      </c>
      <c r="K151" s="48">
        <f>MAX(K23,K21*Seasonality!$C$67*K22)*(1-K72)*(1-K48)</f>
        <v/>
      </c>
      <c r="L151" s="48">
        <f>MAX(L23,L21*Seasonality!$C$67*L22)*(1-L72)*(1-L48)</f>
        <v/>
      </c>
      <c r="M151" s="48">
        <f>MAX(M23,M21*Seasonality!$C$67*M22)*(1-M72)*(1-M48)</f>
        <v/>
      </c>
      <c r="N151" s="48">
        <f>MAX(N23,N21*Seasonality!$C$67*N22)*(1-N72)*(1-N48)</f>
        <v/>
      </c>
      <c r="O151" s="48">
        <f>MAX(O23,O21*Seasonality!$C$67*O22)*(1-O72)*(1-O48)</f>
        <v/>
      </c>
      <c r="P151" s="48">
        <f>MAX(P23,P21*Seasonality!$C$67*P22)*(1-P72)*(1-P48)</f>
        <v/>
      </c>
      <c r="Q151" s="48">
        <f>MAX(Q23,Q21*Seasonality!$C$67*Q22)*(1-Q72)*(1-Q48)</f>
        <v/>
      </c>
      <c r="R151" s="48">
        <f>MAX(R23,R21*Seasonality!$C$67*R22)*(1-R72)*(1-R48)</f>
        <v/>
      </c>
      <c r="S151" s="48">
        <f>MAX(S23,S21*Seasonality!$C$67*S22)*(1-S72)*(1-S48)</f>
        <v/>
      </c>
      <c r="T151" s="48">
        <f>MAX(T23,T21*Seasonality!$C$67*T22)*(1-T72)*(1-T48)</f>
        <v/>
      </c>
      <c r="U151" s="48">
        <f>MAX(U23,U21*Seasonality!$C$67*U22)*(1-U72)*(1-U48)</f>
        <v/>
      </c>
      <c r="V151" s="48">
        <f>MAX(V23,V21*Seasonality!$C$67*V22)*(1-V72)*(1-V48)</f>
        <v/>
      </c>
      <c r="W151" s="48">
        <f>MAX(W23,W21*Seasonality!$C$67*W22)*(1-W72)*(1-W48)</f>
        <v/>
      </c>
      <c r="X151" s="48">
        <f>MAX(X23,X21*Seasonality!$C$67*X22)*(1-X72)*(1-X48)</f>
        <v/>
      </c>
      <c r="Y151" s="48">
        <f>MAX(Y23,Y21*Seasonality!$C$67*Y22)*(1-Y72)*(1-Y48)</f>
        <v/>
      </c>
      <c r="Z151" s="48">
        <f>MAX(Z23,Z21*Seasonality!$C$67*Z22)*(1-Z72)*(1-Z48)</f>
        <v/>
      </c>
      <c r="AA151" s="48">
        <f>MAX(AA23,AA21*Seasonality!$C$67*AA22)*(1-AA72)*(1-AA48)</f>
        <v/>
      </c>
      <c r="AB151" s="48">
        <f>MAX(AB23,AB21*Seasonality!$C$67*AB22)*(1-AB72)*(1-AB48)</f>
        <v/>
      </c>
      <c r="AC151" s="48">
        <f>MAX(AC23,AC21*Seasonality!$C$67*AC22)*(1-AC72)*(1-AC48)</f>
        <v/>
      </c>
      <c r="AD151" s="48">
        <f>MAX(AD23,AD21*Seasonality!$C$67*AD22)*(1-AD72)*(1-AD48)</f>
        <v/>
      </c>
      <c r="AE151" s="48">
        <f>MAX(AE23,AE21*Seasonality!$C$67*AE22)*(1-AE72)*(1-AE48)</f>
        <v/>
      </c>
      <c r="AF151" s="48">
        <f>MAX(AF23,AF21*Seasonality!$C$67*AF22)*(1-AF72)*(1-AF48)</f>
        <v/>
      </c>
      <c r="AG151" s="48">
        <f>MAX(AG23,AG21*Seasonality!$C$67*AG22)*(1-AG72)*(1-AG48)</f>
        <v/>
      </c>
      <c r="AH151" s="48">
        <f>MAX(AH23,AH21*Seasonality!$C$67*AH22)*(1-AH72)*(1-AH48)</f>
        <v/>
      </c>
      <c r="AI151" s="48">
        <f>MAX(AI23,AI21*Seasonality!$C$67*AI22)*(1-AI72)*(1-AI48)</f>
        <v/>
      </c>
      <c r="AJ151" s="48">
        <f>MAX(AJ23,AJ21*Seasonality!$C$67*AJ22)*(1-AJ72)*(1-AJ48)</f>
        <v/>
      </c>
      <c r="AK151" s="48">
        <f>MAX(AK23,AK21*Seasonality!$C$67*AK22)*(1-AK72)*(1-AK48)</f>
        <v/>
      </c>
      <c r="AL151" s="48">
        <f>MAX(AL23,AL21*Seasonality!$C$67*AL22)*(1-AL72)*(1-AL48)</f>
        <v/>
      </c>
      <c r="AM151" s="48">
        <f>MAX(AM23,AM21*Seasonality!$C$67*AM22)*(1-AM72)*(1-AM48)</f>
        <v/>
      </c>
      <c r="AN151" s="48">
        <f>MAX(AN23,AN21*Seasonality!$C$67*AN22)*(1-AN72)*(1-AN48)</f>
        <v/>
      </c>
      <c r="AO151" s="48">
        <f>MAX(AO23,AO21*Seasonality!$C$67*AO22)*(1-AO72)*(1-AO48)</f>
        <v/>
      </c>
      <c r="AP151" s="48">
        <f>MAX(AP23,AP21*Seasonality!$C$67*AP22)*(1-AP72)*(1-AP48)</f>
        <v/>
      </c>
      <c r="AQ151" s="48">
        <f>MAX(AQ23,AQ21*Seasonality!$C$67*AQ22)*(1-AQ72)*(1-AQ48)</f>
        <v/>
      </c>
      <c r="AR151" s="48">
        <f>MAX(AR23,AR21*Seasonality!$C$67*AR22)*(1-AR72)*(1-AR48)</f>
        <v/>
      </c>
      <c r="AS151" s="48">
        <f>MAX(AS23,AS21*Seasonality!$C$67*AS22)*(1-AS72)*(1-AS48)</f>
        <v/>
      </c>
      <c r="AT151" s="48">
        <f>MAX(AT23,AT21*Seasonality!$C$67*AT22)*(1-AT72)*(1-AT48)</f>
        <v/>
      </c>
      <c r="AU151" s="48">
        <f>MAX(AU23,AU21*Seasonality!$C$67*AU22)*(1-AU72)*(1-AU48)</f>
        <v/>
      </c>
      <c r="AV151" s="48">
        <f>MAX(AV23,AV21*Seasonality!$C$67*AV22)*(1-AV72)*(1-AV48)</f>
        <v/>
      </c>
    </row>
    <row r="152">
      <c r="B152" s="7" t="inlineStr">
        <is>
          <t>Revenue collected · month 32</t>
        </is>
      </c>
      <c r="C152" s="5" t="inlineStr">
        <is>
          <t>₹</t>
        </is>
      </c>
      <c r="D152" s="48">
        <f>MAX(D23,D21*Seasonality!$C$68*D22)*(1-D72)*(1-D48)</f>
        <v/>
      </c>
      <c r="E152" s="48">
        <f>MAX(E23,E21*Seasonality!$C$68*E22)*(1-E72)*(1-E48)</f>
        <v/>
      </c>
      <c r="F152" s="48">
        <f>MAX(F23,F21*Seasonality!$C$68*F22)*(1-F72)*(1-F48)</f>
        <v/>
      </c>
      <c r="G152" s="48">
        <f>MAX(G23,G21*Seasonality!$C$68*G22)*(1-G72)*(1-G48)</f>
        <v/>
      </c>
      <c r="H152" s="48">
        <f>MAX(H23,H21*Seasonality!$C$68*H22)*(1-H72)*(1-H48)</f>
        <v/>
      </c>
      <c r="I152" s="48">
        <f>MAX(I23,I21*Seasonality!$C$68*I22)*(1-I72)*(1-I48)</f>
        <v/>
      </c>
      <c r="J152" s="48">
        <f>MAX(J23,J21*Seasonality!$C$68*J22)*(1-J72)*(1-J48)</f>
        <v/>
      </c>
      <c r="K152" s="48">
        <f>MAX(K23,K21*Seasonality!$C$68*K22)*(1-K72)*(1-K48)</f>
        <v/>
      </c>
      <c r="L152" s="48">
        <f>MAX(L23,L21*Seasonality!$C$68*L22)*(1-L72)*(1-L48)</f>
        <v/>
      </c>
      <c r="M152" s="48">
        <f>MAX(M23,M21*Seasonality!$C$68*M22)*(1-M72)*(1-M48)</f>
        <v/>
      </c>
      <c r="N152" s="48">
        <f>MAX(N23,N21*Seasonality!$C$68*N22)*(1-N72)*(1-N48)</f>
        <v/>
      </c>
      <c r="O152" s="48">
        <f>MAX(O23,O21*Seasonality!$C$68*O22)*(1-O72)*(1-O48)</f>
        <v/>
      </c>
      <c r="P152" s="48">
        <f>MAX(P23,P21*Seasonality!$C$68*P22)*(1-P72)*(1-P48)</f>
        <v/>
      </c>
      <c r="Q152" s="48">
        <f>MAX(Q23,Q21*Seasonality!$C$68*Q22)*(1-Q72)*(1-Q48)</f>
        <v/>
      </c>
      <c r="R152" s="48">
        <f>MAX(R23,R21*Seasonality!$C$68*R22)*(1-R72)*(1-R48)</f>
        <v/>
      </c>
      <c r="S152" s="48">
        <f>MAX(S23,S21*Seasonality!$C$68*S22)*(1-S72)*(1-S48)</f>
        <v/>
      </c>
      <c r="T152" s="48">
        <f>MAX(T23,T21*Seasonality!$C$68*T22)*(1-T72)*(1-T48)</f>
        <v/>
      </c>
      <c r="U152" s="48">
        <f>MAX(U23,U21*Seasonality!$C$68*U22)*(1-U72)*(1-U48)</f>
        <v/>
      </c>
      <c r="V152" s="48">
        <f>MAX(V23,V21*Seasonality!$C$68*V22)*(1-V72)*(1-V48)</f>
        <v/>
      </c>
      <c r="W152" s="48">
        <f>MAX(W23,W21*Seasonality!$C$68*W22)*(1-W72)*(1-W48)</f>
        <v/>
      </c>
      <c r="X152" s="48">
        <f>MAX(X23,X21*Seasonality!$C$68*X22)*(1-X72)*(1-X48)</f>
        <v/>
      </c>
      <c r="Y152" s="48">
        <f>MAX(Y23,Y21*Seasonality!$C$68*Y22)*(1-Y72)*(1-Y48)</f>
        <v/>
      </c>
      <c r="Z152" s="48">
        <f>MAX(Z23,Z21*Seasonality!$C$68*Z22)*(1-Z72)*(1-Z48)</f>
        <v/>
      </c>
      <c r="AA152" s="48">
        <f>MAX(AA23,AA21*Seasonality!$C$68*AA22)*(1-AA72)*(1-AA48)</f>
        <v/>
      </c>
      <c r="AB152" s="48">
        <f>MAX(AB23,AB21*Seasonality!$C$68*AB22)*(1-AB72)*(1-AB48)</f>
        <v/>
      </c>
      <c r="AC152" s="48">
        <f>MAX(AC23,AC21*Seasonality!$C$68*AC22)*(1-AC72)*(1-AC48)</f>
        <v/>
      </c>
      <c r="AD152" s="48">
        <f>MAX(AD23,AD21*Seasonality!$C$68*AD22)*(1-AD72)*(1-AD48)</f>
        <v/>
      </c>
      <c r="AE152" s="48">
        <f>MAX(AE23,AE21*Seasonality!$C$68*AE22)*(1-AE72)*(1-AE48)</f>
        <v/>
      </c>
      <c r="AF152" s="48">
        <f>MAX(AF23,AF21*Seasonality!$C$68*AF22)*(1-AF72)*(1-AF48)</f>
        <v/>
      </c>
      <c r="AG152" s="48">
        <f>MAX(AG23,AG21*Seasonality!$C$68*AG22)*(1-AG72)*(1-AG48)</f>
        <v/>
      </c>
      <c r="AH152" s="48">
        <f>MAX(AH23,AH21*Seasonality!$C$68*AH22)*(1-AH72)*(1-AH48)</f>
        <v/>
      </c>
      <c r="AI152" s="48">
        <f>MAX(AI23,AI21*Seasonality!$C$68*AI22)*(1-AI72)*(1-AI48)</f>
        <v/>
      </c>
      <c r="AJ152" s="48">
        <f>MAX(AJ23,AJ21*Seasonality!$C$68*AJ22)*(1-AJ72)*(1-AJ48)</f>
        <v/>
      </c>
      <c r="AK152" s="48">
        <f>MAX(AK23,AK21*Seasonality!$C$68*AK22)*(1-AK72)*(1-AK48)</f>
        <v/>
      </c>
      <c r="AL152" s="48">
        <f>MAX(AL23,AL21*Seasonality!$C$68*AL22)*(1-AL72)*(1-AL48)</f>
        <v/>
      </c>
      <c r="AM152" s="48">
        <f>MAX(AM23,AM21*Seasonality!$C$68*AM22)*(1-AM72)*(1-AM48)</f>
        <v/>
      </c>
      <c r="AN152" s="48">
        <f>MAX(AN23,AN21*Seasonality!$C$68*AN22)*(1-AN72)*(1-AN48)</f>
        <v/>
      </c>
      <c r="AO152" s="48">
        <f>MAX(AO23,AO21*Seasonality!$C$68*AO22)*(1-AO72)*(1-AO48)</f>
        <v/>
      </c>
      <c r="AP152" s="48">
        <f>MAX(AP23,AP21*Seasonality!$C$68*AP22)*(1-AP72)*(1-AP48)</f>
        <v/>
      </c>
      <c r="AQ152" s="48">
        <f>MAX(AQ23,AQ21*Seasonality!$C$68*AQ22)*(1-AQ72)*(1-AQ48)</f>
        <v/>
      </c>
      <c r="AR152" s="48">
        <f>MAX(AR23,AR21*Seasonality!$C$68*AR22)*(1-AR72)*(1-AR48)</f>
        <v/>
      </c>
      <c r="AS152" s="48">
        <f>MAX(AS23,AS21*Seasonality!$C$68*AS22)*(1-AS72)*(1-AS48)</f>
        <v/>
      </c>
      <c r="AT152" s="48">
        <f>MAX(AT23,AT21*Seasonality!$C$68*AT22)*(1-AT72)*(1-AT48)</f>
        <v/>
      </c>
      <c r="AU152" s="48">
        <f>MAX(AU23,AU21*Seasonality!$C$68*AU22)*(1-AU72)*(1-AU48)</f>
        <v/>
      </c>
      <c r="AV152" s="48">
        <f>MAX(AV23,AV21*Seasonality!$C$68*AV22)*(1-AV72)*(1-AV48)</f>
        <v/>
      </c>
    </row>
    <row r="153">
      <c r="B153" s="7" t="inlineStr">
        <is>
          <t>Revenue collected · month 33</t>
        </is>
      </c>
      <c r="C153" s="5" t="inlineStr">
        <is>
          <t>₹</t>
        </is>
      </c>
      <c r="D153" s="48">
        <f>MAX(D23,D21*Seasonality!$C$69*D22)*(1-D72)*(1-D48)</f>
        <v/>
      </c>
      <c r="E153" s="48">
        <f>MAX(E23,E21*Seasonality!$C$69*E22)*(1-E72)*(1-E48)</f>
        <v/>
      </c>
      <c r="F153" s="48">
        <f>MAX(F23,F21*Seasonality!$C$69*F22)*(1-F72)*(1-F48)</f>
        <v/>
      </c>
      <c r="G153" s="48">
        <f>MAX(G23,G21*Seasonality!$C$69*G22)*(1-G72)*(1-G48)</f>
        <v/>
      </c>
      <c r="H153" s="48">
        <f>MAX(H23,H21*Seasonality!$C$69*H22)*(1-H72)*(1-H48)</f>
        <v/>
      </c>
      <c r="I153" s="48">
        <f>MAX(I23,I21*Seasonality!$C$69*I22)*(1-I72)*(1-I48)</f>
        <v/>
      </c>
      <c r="J153" s="48">
        <f>MAX(J23,J21*Seasonality!$C$69*J22)*(1-J72)*(1-J48)</f>
        <v/>
      </c>
      <c r="K153" s="48">
        <f>MAX(K23,K21*Seasonality!$C$69*K22)*(1-K72)*(1-K48)</f>
        <v/>
      </c>
      <c r="L153" s="48">
        <f>MAX(L23,L21*Seasonality!$C$69*L22)*(1-L72)*(1-L48)</f>
        <v/>
      </c>
      <c r="M153" s="48">
        <f>MAX(M23,M21*Seasonality!$C$69*M22)*(1-M72)*(1-M48)</f>
        <v/>
      </c>
      <c r="N153" s="48">
        <f>MAX(N23,N21*Seasonality!$C$69*N22)*(1-N72)*(1-N48)</f>
        <v/>
      </c>
      <c r="O153" s="48">
        <f>MAX(O23,O21*Seasonality!$C$69*O22)*(1-O72)*(1-O48)</f>
        <v/>
      </c>
      <c r="P153" s="48">
        <f>MAX(P23,P21*Seasonality!$C$69*P22)*(1-P72)*(1-P48)</f>
        <v/>
      </c>
      <c r="Q153" s="48">
        <f>MAX(Q23,Q21*Seasonality!$C$69*Q22)*(1-Q72)*(1-Q48)</f>
        <v/>
      </c>
      <c r="R153" s="48">
        <f>MAX(R23,R21*Seasonality!$C$69*R22)*(1-R72)*(1-R48)</f>
        <v/>
      </c>
      <c r="S153" s="48">
        <f>MAX(S23,S21*Seasonality!$C$69*S22)*(1-S72)*(1-S48)</f>
        <v/>
      </c>
      <c r="T153" s="48">
        <f>MAX(T23,T21*Seasonality!$C$69*T22)*(1-T72)*(1-T48)</f>
        <v/>
      </c>
      <c r="U153" s="48">
        <f>MAX(U23,U21*Seasonality!$C$69*U22)*(1-U72)*(1-U48)</f>
        <v/>
      </c>
      <c r="V153" s="48">
        <f>MAX(V23,V21*Seasonality!$C$69*V22)*(1-V72)*(1-V48)</f>
        <v/>
      </c>
      <c r="W153" s="48">
        <f>MAX(W23,W21*Seasonality!$C$69*W22)*(1-W72)*(1-W48)</f>
        <v/>
      </c>
      <c r="X153" s="48">
        <f>MAX(X23,X21*Seasonality!$C$69*X22)*(1-X72)*(1-X48)</f>
        <v/>
      </c>
      <c r="Y153" s="48">
        <f>MAX(Y23,Y21*Seasonality!$C$69*Y22)*(1-Y72)*(1-Y48)</f>
        <v/>
      </c>
      <c r="Z153" s="48">
        <f>MAX(Z23,Z21*Seasonality!$C$69*Z22)*(1-Z72)*(1-Z48)</f>
        <v/>
      </c>
      <c r="AA153" s="48">
        <f>MAX(AA23,AA21*Seasonality!$C$69*AA22)*(1-AA72)*(1-AA48)</f>
        <v/>
      </c>
      <c r="AB153" s="48">
        <f>MAX(AB23,AB21*Seasonality!$C$69*AB22)*(1-AB72)*(1-AB48)</f>
        <v/>
      </c>
      <c r="AC153" s="48">
        <f>MAX(AC23,AC21*Seasonality!$C$69*AC22)*(1-AC72)*(1-AC48)</f>
        <v/>
      </c>
      <c r="AD153" s="48">
        <f>MAX(AD23,AD21*Seasonality!$C$69*AD22)*(1-AD72)*(1-AD48)</f>
        <v/>
      </c>
      <c r="AE153" s="48">
        <f>MAX(AE23,AE21*Seasonality!$C$69*AE22)*(1-AE72)*(1-AE48)</f>
        <v/>
      </c>
      <c r="AF153" s="48">
        <f>MAX(AF23,AF21*Seasonality!$C$69*AF22)*(1-AF72)*(1-AF48)</f>
        <v/>
      </c>
      <c r="AG153" s="48">
        <f>MAX(AG23,AG21*Seasonality!$C$69*AG22)*(1-AG72)*(1-AG48)</f>
        <v/>
      </c>
      <c r="AH153" s="48">
        <f>MAX(AH23,AH21*Seasonality!$C$69*AH22)*(1-AH72)*(1-AH48)</f>
        <v/>
      </c>
      <c r="AI153" s="48">
        <f>MAX(AI23,AI21*Seasonality!$C$69*AI22)*(1-AI72)*(1-AI48)</f>
        <v/>
      </c>
      <c r="AJ153" s="48">
        <f>MAX(AJ23,AJ21*Seasonality!$C$69*AJ22)*(1-AJ72)*(1-AJ48)</f>
        <v/>
      </c>
      <c r="AK153" s="48">
        <f>MAX(AK23,AK21*Seasonality!$C$69*AK22)*(1-AK72)*(1-AK48)</f>
        <v/>
      </c>
      <c r="AL153" s="48">
        <f>MAX(AL23,AL21*Seasonality!$C$69*AL22)*(1-AL72)*(1-AL48)</f>
        <v/>
      </c>
      <c r="AM153" s="48">
        <f>MAX(AM23,AM21*Seasonality!$C$69*AM22)*(1-AM72)*(1-AM48)</f>
        <v/>
      </c>
      <c r="AN153" s="48">
        <f>MAX(AN23,AN21*Seasonality!$C$69*AN22)*(1-AN72)*(1-AN48)</f>
        <v/>
      </c>
      <c r="AO153" s="48">
        <f>MAX(AO23,AO21*Seasonality!$C$69*AO22)*(1-AO72)*(1-AO48)</f>
        <v/>
      </c>
      <c r="AP153" s="48">
        <f>MAX(AP23,AP21*Seasonality!$C$69*AP22)*(1-AP72)*(1-AP48)</f>
        <v/>
      </c>
      <c r="AQ153" s="48">
        <f>MAX(AQ23,AQ21*Seasonality!$C$69*AQ22)*(1-AQ72)*(1-AQ48)</f>
        <v/>
      </c>
      <c r="AR153" s="48">
        <f>MAX(AR23,AR21*Seasonality!$C$69*AR22)*(1-AR72)*(1-AR48)</f>
        <v/>
      </c>
      <c r="AS153" s="48">
        <f>MAX(AS23,AS21*Seasonality!$C$69*AS22)*(1-AS72)*(1-AS48)</f>
        <v/>
      </c>
      <c r="AT153" s="48">
        <f>MAX(AT23,AT21*Seasonality!$C$69*AT22)*(1-AT72)*(1-AT48)</f>
        <v/>
      </c>
      <c r="AU153" s="48">
        <f>MAX(AU23,AU21*Seasonality!$C$69*AU22)*(1-AU72)*(1-AU48)</f>
        <v/>
      </c>
      <c r="AV153" s="48">
        <f>MAX(AV23,AV21*Seasonality!$C$69*AV22)*(1-AV72)*(1-AV48)</f>
        <v/>
      </c>
    </row>
    <row r="154">
      <c r="B154" s="7" t="inlineStr">
        <is>
          <t>Revenue collected · month 34</t>
        </is>
      </c>
      <c r="C154" s="5" t="inlineStr">
        <is>
          <t>₹</t>
        </is>
      </c>
      <c r="D154" s="48">
        <f>MAX(D23,D21*Seasonality!$C$70*D22)*(1-D72)*(1-D48)</f>
        <v/>
      </c>
      <c r="E154" s="48">
        <f>MAX(E23,E21*Seasonality!$C$70*E22)*(1-E72)*(1-E48)</f>
        <v/>
      </c>
      <c r="F154" s="48">
        <f>MAX(F23,F21*Seasonality!$C$70*F22)*(1-F72)*(1-F48)</f>
        <v/>
      </c>
      <c r="G154" s="48">
        <f>MAX(G23,G21*Seasonality!$C$70*G22)*(1-G72)*(1-G48)</f>
        <v/>
      </c>
      <c r="H154" s="48">
        <f>MAX(H23,H21*Seasonality!$C$70*H22)*(1-H72)*(1-H48)</f>
        <v/>
      </c>
      <c r="I154" s="48">
        <f>MAX(I23,I21*Seasonality!$C$70*I22)*(1-I72)*(1-I48)</f>
        <v/>
      </c>
      <c r="J154" s="48">
        <f>MAX(J23,J21*Seasonality!$C$70*J22)*(1-J72)*(1-J48)</f>
        <v/>
      </c>
      <c r="K154" s="48">
        <f>MAX(K23,K21*Seasonality!$C$70*K22)*(1-K72)*(1-K48)</f>
        <v/>
      </c>
      <c r="L154" s="48">
        <f>MAX(L23,L21*Seasonality!$C$70*L22)*(1-L72)*(1-L48)</f>
        <v/>
      </c>
      <c r="M154" s="48">
        <f>MAX(M23,M21*Seasonality!$C$70*M22)*(1-M72)*(1-M48)</f>
        <v/>
      </c>
      <c r="N154" s="48">
        <f>MAX(N23,N21*Seasonality!$C$70*N22)*(1-N72)*(1-N48)</f>
        <v/>
      </c>
      <c r="O154" s="48">
        <f>MAX(O23,O21*Seasonality!$C$70*O22)*(1-O72)*(1-O48)</f>
        <v/>
      </c>
      <c r="P154" s="48">
        <f>MAX(P23,P21*Seasonality!$C$70*P22)*(1-P72)*(1-P48)</f>
        <v/>
      </c>
      <c r="Q154" s="48">
        <f>MAX(Q23,Q21*Seasonality!$C$70*Q22)*(1-Q72)*(1-Q48)</f>
        <v/>
      </c>
      <c r="R154" s="48">
        <f>MAX(R23,R21*Seasonality!$C$70*R22)*(1-R72)*(1-R48)</f>
        <v/>
      </c>
      <c r="S154" s="48">
        <f>MAX(S23,S21*Seasonality!$C$70*S22)*(1-S72)*(1-S48)</f>
        <v/>
      </c>
      <c r="T154" s="48">
        <f>MAX(T23,T21*Seasonality!$C$70*T22)*(1-T72)*(1-T48)</f>
        <v/>
      </c>
      <c r="U154" s="48">
        <f>MAX(U23,U21*Seasonality!$C$70*U22)*(1-U72)*(1-U48)</f>
        <v/>
      </c>
      <c r="V154" s="48">
        <f>MAX(V23,V21*Seasonality!$C$70*V22)*(1-V72)*(1-V48)</f>
        <v/>
      </c>
      <c r="W154" s="48">
        <f>MAX(W23,W21*Seasonality!$C$70*W22)*(1-W72)*(1-W48)</f>
        <v/>
      </c>
      <c r="X154" s="48">
        <f>MAX(X23,X21*Seasonality!$C$70*X22)*(1-X72)*(1-X48)</f>
        <v/>
      </c>
      <c r="Y154" s="48">
        <f>MAX(Y23,Y21*Seasonality!$C$70*Y22)*(1-Y72)*(1-Y48)</f>
        <v/>
      </c>
      <c r="Z154" s="48">
        <f>MAX(Z23,Z21*Seasonality!$C$70*Z22)*(1-Z72)*(1-Z48)</f>
        <v/>
      </c>
      <c r="AA154" s="48">
        <f>MAX(AA23,AA21*Seasonality!$C$70*AA22)*(1-AA72)*(1-AA48)</f>
        <v/>
      </c>
      <c r="AB154" s="48">
        <f>MAX(AB23,AB21*Seasonality!$C$70*AB22)*(1-AB72)*(1-AB48)</f>
        <v/>
      </c>
      <c r="AC154" s="48">
        <f>MAX(AC23,AC21*Seasonality!$C$70*AC22)*(1-AC72)*(1-AC48)</f>
        <v/>
      </c>
      <c r="AD154" s="48">
        <f>MAX(AD23,AD21*Seasonality!$C$70*AD22)*(1-AD72)*(1-AD48)</f>
        <v/>
      </c>
      <c r="AE154" s="48">
        <f>MAX(AE23,AE21*Seasonality!$C$70*AE22)*(1-AE72)*(1-AE48)</f>
        <v/>
      </c>
      <c r="AF154" s="48">
        <f>MAX(AF23,AF21*Seasonality!$C$70*AF22)*(1-AF72)*(1-AF48)</f>
        <v/>
      </c>
      <c r="AG154" s="48">
        <f>MAX(AG23,AG21*Seasonality!$C$70*AG22)*(1-AG72)*(1-AG48)</f>
        <v/>
      </c>
      <c r="AH154" s="48">
        <f>MAX(AH23,AH21*Seasonality!$C$70*AH22)*(1-AH72)*(1-AH48)</f>
        <v/>
      </c>
      <c r="AI154" s="48">
        <f>MAX(AI23,AI21*Seasonality!$C$70*AI22)*(1-AI72)*(1-AI48)</f>
        <v/>
      </c>
      <c r="AJ154" s="48">
        <f>MAX(AJ23,AJ21*Seasonality!$C$70*AJ22)*(1-AJ72)*(1-AJ48)</f>
        <v/>
      </c>
      <c r="AK154" s="48">
        <f>MAX(AK23,AK21*Seasonality!$C$70*AK22)*(1-AK72)*(1-AK48)</f>
        <v/>
      </c>
      <c r="AL154" s="48">
        <f>MAX(AL23,AL21*Seasonality!$C$70*AL22)*(1-AL72)*(1-AL48)</f>
        <v/>
      </c>
      <c r="AM154" s="48">
        <f>MAX(AM23,AM21*Seasonality!$C$70*AM22)*(1-AM72)*(1-AM48)</f>
        <v/>
      </c>
      <c r="AN154" s="48">
        <f>MAX(AN23,AN21*Seasonality!$C$70*AN22)*(1-AN72)*(1-AN48)</f>
        <v/>
      </c>
      <c r="AO154" s="48">
        <f>MAX(AO23,AO21*Seasonality!$C$70*AO22)*(1-AO72)*(1-AO48)</f>
        <v/>
      </c>
      <c r="AP154" s="48">
        <f>MAX(AP23,AP21*Seasonality!$C$70*AP22)*(1-AP72)*(1-AP48)</f>
        <v/>
      </c>
      <c r="AQ154" s="48">
        <f>MAX(AQ23,AQ21*Seasonality!$C$70*AQ22)*(1-AQ72)*(1-AQ48)</f>
        <v/>
      </c>
      <c r="AR154" s="48">
        <f>MAX(AR23,AR21*Seasonality!$C$70*AR22)*(1-AR72)*(1-AR48)</f>
        <v/>
      </c>
      <c r="AS154" s="48">
        <f>MAX(AS23,AS21*Seasonality!$C$70*AS22)*(1-AS72)*(1-AS48)</f>
        <v/>
      </c>
      <c r="AT154" s="48">
        <f>MAX(AT23,AT21*Seasonality!$C$70*AT22)*(1-AT72)*(1-AT48)</f>
        <v/>
      </c>
      <c r="AU154" s="48">
        <f>MAX(AU23,AU21*Seasonality!$C$70*AU22)*(1-AU72)*(1-AU48)</f>
        <v/>
      </c>
      <c r="AV154" s="48">
        <f>MAX(AV23,AV21*Seasonality!$C$70*AV22)*(1-AV72)*(1-AV48)</f>
        <v/>
      </c>
    </row>
    <row r="155">
      <c r="B155" s="7" t="inlineStr">
        <is>
          <t>Revenue collected · month 35</t>
        </is>
      </c>
      <c r="C155" s="5" t="inlineStr">
        <is>
          <t>₹</t>
        </is>
      </c>
      <c r="D155" s="48">
        <f>MAX(D23,D21*Seasonality!$C$71*D22)*(1-D72)*(1-D48)</f>
        <v/>
      </c>
      <c r="E155" s="48">
        <f>MAX(E23,E21*Seasonality!$C$71*E22)*(1-E72)*(1-E48)</f>
        <v/>
      </c>
      <c r="F155" s="48">
        <f>MAX(F23,F21*Seasonality!$C$71*F22)*(1-F72)*(1-F48)</f>
        <v/>
      </c>
      <c r="G155" s="48">
        <f>MAX(G23,G21*Seasonality!$C$71*G22)*(1-G72)*(1-G48)</f>
        <v/>
      </c>
      <c r="H155" s="48">
        <f>MAX(H23,H21*Seasonality!$C$71*H22)*(1-H72)*(1-H48)</f>
        <v/>
      </c>
      <c r="I155" s="48">
        <f>MAX(I23,I21*Seasonality!$C$71*I22)*(1-I72)*(1-I48)</f>
        <v/>
      </c>
      <c r="J155" s="48">
        <f>MAX(J23,J21*Seasonality!$C$71*J22)*(1-J72)*(1-J48)</f>
        <v/>
      </c>
      <c r="K155" s="48">
        <f>MAX(K23,K21*Seasonality!$C$71*K22)*(1-K72)*(1-K48)</f>
        <v/>
      </c>
      <c r="L155" s="48">
        <f>MAX(L23,L21*Seasonality!$C$71*L22)*(1-L72)*(1-L48)</f>
        <v/>
      </c>
      <c r="M155" s="48">
        <f>MAX(M23,M21*Seasonality!$C$71*M22)*(1-M72)*(1-M48)</f>
        <v/>
      </c>
      <c r="N155" s="48">
        <f>MAX(N23,N21*Seasonality!$C$71*N22)*(1-N72)*(1-N48)</f>
        <v/>
      </c>
      <c r="O155" s="48">
        <f>MAX(O23,O21*Seasonality!$C$71*O22)*(1-O72)*(1-O48)</f>
        <v/>
      </c>
      <c r="P155" s="48">
        <f>MAX(P23,P21*Seasonality!$C$71*P22)*(1-P72)*(1-P48)</f>
        <v/>
      </c>
      <c r="Q155" s="48">
        <f>MAX(Q23,Q21*Seasonality!$C$71*Q22)*(1-Q72)*(1-Q48)</f>
        <v/>
      </c>
      <c r="R155" s="48">
        <f>MAX(R23,R21*Seasonality!$C$71*R22)*(1-R72)*(1-R48)</f>
        <v/>
      </c>
      <c r="S155" s="48">
        <f>MAX(S23,S21*Seasonality!$C$71*S22)*(1-S72)*(1-S48)</f>
        <v/>
      </c>
      <c r="T155" s="48">
        <f>MAX(T23,T21*Seasonality!$C$71*T22)*(1-T72)*(1-T48)</f>
        <v/>
      </c>
      <c r="U155" s="48">
        <f>MAX(U23,U21*Seasonality!$C$71*U22)*(1-U72)*(1-U48)</f>
        <v/>
      </c>
      <c r="V155" s="48">
        <f>MAX(V23,V21*Seasonality!$C$71*V22)*(1-V72)*(1-V48)</f>
        <v/>
      </c>
      <c r="W155" s="48">
        <f>MAX(W23,W21*Seasonality!$C$71*W22)*(1-W72)*(1-W48)</f>
        <v/>
      </c>
      <c r="X155" s="48">
        <f>MAX(X23,X21*Seasonality!$C$71*X22)*(1-X72)*(1-X48)</f>
        <v/>
      </c>
      <c r="Y155" s="48">
        <f>MAX(Y23,Y21*Seasonality!$C$71*Y22)*(1-Y72)*(1-Y48)</f>
        <v/>
      </c>
      <c r="Z155" s="48">
        <f>MAX(Z23,Z21*Seasonality!$C$71*Z22)*(1-Z72)*(1-Z48)</f>
        <v/>
      </c>
      <c r="AA155" s="48">
        <f>MAX(AA23,AA21*Seasonality!$C$71*AA22)*(1-AA72)*(1-AA48)</f>
        <v/>
      </c>
      <c r="AB155" s="48">
        <f>MAX(AB23,AB21*Seasonality!$C$71*AB22)*(1-AB72)*(1-AB48)</f>
        <v/>
      </c>
      <c r="AC155" s="48">
        <f>MAX(AC23,AC21*Seasonality!$C$71*AC22)*(1-AC72)*(1-AC48)</f>
        <v/>
      </c>
      <c r="AD155" s="48">
        <f>MAX(AD23,AD21*Seasonality!$C$71*AD22)*(1-AD72)*(1-AD48)</f>
        <v/>
      </c>
      <c r="AE155" s="48">
        <f>MAX(AE23,AE21*Seasonality!$C$71*AE22)*(1-AE72)*(1-AE48)</f>
        <v/>
      </c>
      <c r="AF155" s="48">
        <f>MAX(AF23,AF21*Seasonality!$C$71*AF22)*(1-AF72)*(1-AF48)</f>
        <v/>
      </c>
      <c r="AG155" s="48">
        <f>MAX(AG23,AG21*Seasonality!$C$71*AG22)*(1-AG72)*(1-AG48)</f>
        <v/>
      </c>
      <c r="AH155" s="48">
        <f>MAX(AH23,AH21*Seasonality!$C$71*AH22)*(1-AH72)*(1-AH48)</f>
        <v/>
      </c>
      <c r="AI155" s="48">
        <f>MAX(AI23,AI21*Seasonality!$C$71*AI22)*(1-AI72)*(1-AI48)</f>
        <v/>
      </c>
      <c r="AJ155" s="48">
        <f>MAX(AJ23,AJ21*Seasonality!$C$71*AJ22)*(1-AJ72)*(1-AJ48)</f>
        <v/>
      </c>
      <c r="AK155" s="48">
        <f>MAX(AK23,AK21*Seasonality!$C$71*AK22)*(1-AK72)*(1-AK48)</f>
        <v/>
      </c>
      <c r="AL155" s="48">
        <f>MAX(AL23,AL21*Seasonality!$C$71*AL22)*(1-AL72)*(1-AL48)</f>
        <v/>
      </c>
      <c r="AM155" s="48">
        <f>MAX(AM23,AM21*Seasonality!$C$71*AM22)*(1-AM72)*(1-AM48)</f>
        <v/>
      </c>
      <c r="AN155" s="48">
        <f>MAX(AN23,AN21*Seasonality!$C$71*AN22)*(1-AN72)*(1-AN48)</f>
        <v/>
      </c>
      <c r="AO155" s="48">
        <f>MAX(AO23,AO21*Seasonality!$C$71*AO22)*(1-AO72)*(1-AO48)</f>
        <v/>
      </c>
      <c r="AP155" s="48">
        <f>MAX(AP23,AP21*Seasonality!$C$71*AP22)*(1-AP72)*(1-AP48)</f>
        <v/>
      </c>
      <c r="AQ155" s="48">
        <f>MAX(AQ23,AQ21*Seasonality!$C$71*AQ22)*(1-AQ72)*(1-AQ48)</f>
        <v/>
      </c>
      <c r="AR155" s="48">
        <f>MAX(AR23,AR21*Seasonality!$C$71*AR22)*(1-AR72)*(1-AR48)</f>
        <v/>
      </c>
      <c r="AS155" s="48">
        <f>MAX(AS23,AS21*Seasonality!$C$71*AS22)*(1-AS72)*(1-AS48)</f>
        <v/>
      </c>
      <c r="AT155" s="48">
        <f>MAX(AT23,AT21*Seasonality!$C$71*AT22)*(1-AT72)*(1-AT48)</f>
        <v/>
      </c>
      <c r="AU155" s="48">
        <f>MAX(AU23,AU21*Seasonality!$C$71*AU22)*(1-AU72)*(1-AU48)</f>
        <v/>
      </c>
      <c r="AV155" s="48">
        <f>MAX(AV23,AV21*Seasonality!$C$71*AV22)*(1-AV72)*(1-AV48)</f>
        <v/>
      </c>
    </row>
    <row r="156">
      <c r="B156" s="7" t="inlineStr">
        <is>
          <t>Revenue collected · month 36</t>
        </is>
      </c>
      <c r="C156" s="5" t="inlineStr">
        <is>
          <t>₹</t>
        </is>
      </c>
      <c r="D156" s="48">
        <f>MAX(D23,D21*Seasonality!$C$72*D22)*(1-D72)*(1-D48)</f>
        <v/>
      </c>
      <c r="E156" s="48">
        <f>MAX(E23,E21*Seasonality!$C$72*E22)*(1-E72)*(1-E48)</f>
        <v/>
      </c>
      <c r="F156" s="48">
        <f>MAX(F23,F21*Seasonality!$C$72*F22)*(1-F72)*(1-F48)</f>
        <v/>
      </c>
      <c r="G156" s="48">
        <f>MAX(G23,G21*Seasonality!$C$72*G22)*(1-G72)*(1-G48)</f>
        <v/>
      </c>
      <c r="H156" s="48">
        <f>MAX(H23,H21*Seasonality!$C$72*H22)*(1-H72)*(1-H48)</f>
        <v/>
      </c>
      <c r="I156" s="48">
        <f>MAX(I23,I21*Seasonality!$C$72*I22)*(1-I72)*(1-I48)</f>
        <v/>
      </c>
      <c r="J156" s="48">
        <f>MAX(J23,J21*Seasonality!$C$72*J22)*(1-J72)*(1-J48)</f>
        <v/>
      </c>
      <c r="K156" s="48">
        <f>MAX(K23,K21*Seasonality!$C$72*K22)*(1-K72)*(1-K48)</f>
        <v/>
      </c>
      <c r="L156" s="48">
        <f>MAX(L23,L21*Seasonality!$C$72*L22)*(1-L72)*(1-L48)</f>
        <v/>
      </c>
      <c r="M156" s="48">
        <f>MAX(M23,M21*Seasonality!$C$72*M22)*(1-M72)*(1-M48)</f>
        <v/>
      </c>
      <c r="N156" s="48">
        <f>MAX(N23,N21*Seasonality!$C$72*N22)*(1-N72)*(1-N48)</f>
        <v/>
      </c>
      <c r="O156" s="48">
        <f>MAX(O23,O21*Seasonality!$C$72*O22)*(1-O72)*(1-O48)</f>
        <v/>
      </c>
      <c r="P156" s="48">
        <f>MAX(P23,P21*Seasonality!$C$72*P22)*(1-P72)*(1-P48)</f>
        <v/>
      </c>
      <c r="Q156" s="48">
        <f>MAX(Q23,Q21*Seasonality!$C$72*Q22)*(1-Q72)*(1-Q48)</f>
        <v/>
      </c>
      <c r="R156" s="48">
        <f>MAX(R23,R21*Seasonality!$C$72*R22)*(1-R72)*(1-R48)</f>
        <v/>
      </c>
      <c r="S156" s="48">
        <f>MAX(S23,S21*Seasonality!$C$72*S22)*(1-S72)*(1-S48)</f>
        <v/>
      </c>
      <c r="T156" s="48">
        <f>MAX(T23,T21*Seasonality!$C$72*T22)*(1-T72)*(1-T48)</f>
        <v/>
      </c>
      <c r="U156" s="48">
        <f>MAX(U23,U21*Seasonality!$C$72*U22)*(1-U72)*(1-U48)</f>
        <v/>
      </c>
      <c r="V156" s="48">
        <f>MAX(V23,V21*Seasonality!$C$72*V22)*(1-V72)*(1-V48)</f>
        <v/>
      </c>
      <c r="W156" s="48">
        <f>MAX(W23,W21*Seasonality!$C$72*W22)*(1-W72)*(1-W48)</f>
        <v/>
      </c>
      <c r="X156" s="48">
        <f>MAX(X23,X21*Seasonality!$C$72*X22)*(1-X72)*(1-X48)</f>
        <v/>
      </c>
      <c r="Y156" s="48">
        <f>MAX(Y23,Y21*Seasonality!$C$72*Y22)*(1-Y72)*(1-Y48)</f>
        <v/>
      </c>
      <c r="Z156" s="48">
        <f>MAX(Z23,Z21*Seasonality!$C$72*Z22)*(1-Z72)*(1-Z48)</f>
        <v/>
      </c>
      <c r="AA156" s="48">
        <f>MAX(AA23,AA21*Seasonality!$C$72*AA22)*(1-AA72)*(1-AA48)</f>
        <v/>
      </c>
      <c r="AB156" s="48">
        <f>MAX(AB23,AB21*Seasonality!$C$72*AB22)*(1-AB72)*(1-AB48)</f>
        <v/>
      </c>
      <c r="AC156" s="48">
        <f>MAX(AC23,AC21*Seasonality!$C$72*AC22)*(1-AC72)*(1-AC48)</f>
        <v/>
      </c>
      <c r="AD156" s="48">
        <f>MAX(AD23,AD21*Seasonality!$C$72*AD22)*(1-AD72)*(1-AD48)</f>
        <v/>
      </c>
      <c r="AE156" s="48">
        <f>MAX(AE23,AE21*Seasonality!$C$72*AE22)*(1-AE72)*(1-AE48)</f>
        <v/>
      </c>
      <c r="AF156" s="48">
        <f>MAX(AF23,AF21*Seasonality!$C$72*AF22)*(1-AF72)*(1-AF48)</f>
        <v/>
      </c>
      <c r="AG156" s="48">
        <f>MAX(AG23,AG21*Seasonality!$C$72*AG22)*(1-AG72)*(1-AG48)</f>
        <v/>
      </c>
      <c r="AH156" s="48">
        <f>MAX(AH23,AH21*Seasonality!$C$72*AH22)*(1-AH72)*(1-AH48)</f>
        <v/>
      </c>
      <c r="AI156" s="48">
        <f>MAX(AI23,AI21*Seasonality!$C$72*AI22)*(1-AI72)*(1-AI48)</f>
        <v/>
      </c>
      <c r="AJ156" s="48">
        <f>MAX(AJ23,AJ21*Seasonality!$C$72*AJ22)*(1-AJ72)*(1-AJ48)</f>
        <v/>
      </c>
      <c r="AK156" s="48">
        <f>MAX(AK23,AK21*Seasonality!$C$72*AK22)*(1-AK72)*(1-AK48)</f>
        <v/>
      </c>
      <c r="AL156" s="48">
        <f>MAX(AL23,AL21*Seasonality!$C$72*AL22)*(1-AL72)*(1-AL48)</f>
        <v/>
      </c>
      <c r="AM156" s="48">
        <f>MAX(AM23,AM21*Seasonality!$C$72*AM22)*(1-AM72)*(1-AM48)</f>
        <v/>
      </c>
      <c r="AN156" s="48">
        <f>MAX(AN23,AN21*Seasonality!$C$72*AN22)*(1-AN72)*(1-AN48)</f>
        <v/>
      </c>
      <c r="AO156" s="48">
        <f>MAX(AO23,AO21*Seasonality!$C$72*AO22)*(1-AO72)*(1-AO48)</f>
        <v/>
      </c>
      <c r="AP156" s="48">
        <f>MAX(AP23,AP21*Seasonality!$C$72*AP22)*(1-AP72)*(1-AP48)</f>
        <v/>
      </c>
      <c r="AQ156" s="48">
        <f>MAX(AQ23,AQ21*Seasonality!$C$72*AQ22)*(1-AQ72)*(1-AQ48)</f>
        <v/>
      </c>
      <c r="AR156" s="48">
        <f>MAX(AR23,AR21*Seasonality!$C$72*AR22)*(1-AR72)*(1-AR48)</f>
        <v/>
      </c>
      <c r="AS156" s="48">
        <f>MAX(AS23,AS21*Seasonality!$C$72*AS22)*(1-AS72)*(1-AS48)</f>
        <v/>
      </c>
      <c r="AT156" s="48">
        <f>MAX(AT23,AT21*Seasonality!$C$72*AT22)*(1-AT72)*(1-AT48)</f>
        <v/>
      </c>
      <c r="AU156" s="48">
        <f>MAX(AU23,AU21*Seasonality!$C$72*AU22)*(1-AU72)*(1-AU48)</f>
        <v/>
      </c>
      <c r="AV156" s="48">
        <f>MAX(AV23,AV21*Seasonality!$C$72*AV22)*(1-AV72)*(1-AV48)</f>
        <v/>
      </c>
    </row>
    <row r="157">
      <c r="B157" s="7" t="inlineStr">
        <is>
          <t>Revenue collected · month 37</t>
        </is>
      </c>
      <c r="C157" s="5" t="inlineStr">
        <is>
          <t>₹</t>
        </is>
      </c>
      <c r="D157" s="48">
        <f>MAX(D23,D21*Seasonality!$C$73*D22)*(1-D72)*(1-D48)</f>
        <v/>
      </c>
      <c r="E157" s="48">
        <f>MAX(E23,E21*Seasonality!$C$73*E22)*(1-E72)*(1-E48)</f>
        <v/>
      </c>
      <c r="F157" s="48">
        <f>MAX(F23,F21*Seasonality!$C$73*F22)*(1-F72)*(1-F48)</f>
        <v/>
      </c>
      <c r="G157" s="48">
        <f>MAX(G23,G21*Seasonality!$C$73*G22)*(1-G72)*(1-G48)</f>
        <v/>
      </c>
      <c r="H157" s="48">
        <f>MAX(H23,H21*Seasonality!$C$73*H22)*(1-H72)*(1-H48)</f>
        <v/>
      </c>
      <c r="I157" s="48">
        <f>MAX(I23,I21*Seasonality!$C$73*I22)*(1-I72)*(1-I48)</f>
        <v/>
      </c>
      <c r="J157" s="48">
        <f>MAX(J23,J21*Seasonality!$C$73*J22)*(1-J72)*(1-J48)</f>
        <v/>
      </c>
      <c r="K157" s="48">
        <f>MAX(K23,K21*Seasonality!$C$73*K22)*(1-K72)*(1-K48)</f>
        <v/>
      </c>
      <c r="L157" s="48">
        <f>MAX(L23,L21*Seasonality!$C$73*L22)*(1-L72)*(1-L48)</f>
        <v/>
      </c>
      <c r="M157" s="48">
        <f>MAX(M23,M21*Seasonality!$C$73*M22)*(1-M72)*(1-M48)</f>
        <v/>
      </c>
      <c r="N157" s="48">
        <f>MAX(N23,N21*Seasonality!$C$73*N22)*(1-N72)*(1-N48)</f>
        <v/>
      </c>
      <c r="O157" s="48">
        <f>MAX(O23,O21*Seasonality!$C$73*O22)*(1-O72)*(1-O48)</f>
        <v/>
      </c>
      <c r="P157" s="48">
        <f>MAX(P23,P21*Seasonality!$C$73*P22)*(1-P72)*(1-P48)</f>
        <v/>
      </c>
      <c r="Q157" s="48">
        <f>MAX(Q23,Q21*Seasonality!$C$73*Q22)*(1-Q72)*(1-Q48)</f>
        <v/>
      </c>
      <c r="R157" s="48">
        <f>MAX(R23,R21*Seasonality!$C$73*R22)*(1-R72)*(1-R48)</f>
        <v/>
      </c>
      <c r="S157" s="48">
        <f>MAX(S23,S21*Seasonality!$C$73*S22)*(1-S72)*(1-S48)</f>
        <v/>
      </c>
      <c r="T157" s="48">
        <f>MAX(T23,T21*Seasonality!$C$73*T22)*(1-T72)*(1-T48)</f>
        <v/>
      </c>
      <c r="U157" s="48">
        <f>MAX(U23,U21*Seasonality!$C$73*U22)*(1-U72)*(1-U48)</f>
        <v/>
      </c>
      <c r="V157" s="48">
        <f>MAX(V23,V21*Seasonality!$C$73*V22)*(1-V72)*(1-V48)</f>
        <v/>
      </c>
      <c r="W157" s="48">
        <f>MAX(W23,W21*Seasonality!$C$73*W22)*(1-W72)*(1-W48)</f>
        <v/>
      </c>
      <c r="X157" s="48">
        <f>MAX(X23,X21*Seasonality!$C$73*X22)*(1-X72)*(1-X48)</f>
        <v/>
      </c>
      <c r="Y157" s="48">
        <f>MAX(Y23,Y21*Seasonality!$C$73*Y22)*(1-Y72)*(1-Y48)</f>
        <v/>
      </c>
      <c r="Z157" s="48">
        <f>MAX(Z23,Z21*Seasonality!$C$73*Z22)*(1-Z72)*(1-Z48)</f>
        <v/>
      </c>
      <c r="AA157" s="48">
        <f>MAX(AA23,AA21*Seasonality!$C$73*AA22)*(1-AA72)*(1-AA48)</f>
        <v/>
      </c>
      <c r="AB157" s="48">
        <f>MAX(AB23,AB21*Seasonality!$C$73*AB22)*(1-AB72)*(1-AB48)</f>
        <v/>
      </c>
      <c r="AC157" s="48">
        <f>MAX(AC23,AC21*Seasonality!$C$73*AC22)*(1-AC72)*(1-AC48)</f>
        <v/>
      </c>
      <c r="AD157" s="48">
        <f>MAX(AD23,AD21*Seasonality!$C$73*AD22)*(1-AD72)*(1-AD48)</f>
        <v/>
      </c>
      <c r="AE157" s="48">
        <f>MAX(AE23,AE21*Seasonality!$C$73*AE22)*(1-AE72)*(1-AE48)</f>
        <v/>
      </c>
      <c r="AF157" s="48">
        <f>MAX(AF23,AF21*Seasonality!$C$73*AF22)*(1-AF72)*(1-AF48)</f>
        <v/>
      </c>
      <c r="AG157" s="48">
        <f>MAX(AG23,AG21*Seasonality!$C$73*AG22)*(1-AG72)*(1-AG48)</f>
        <v/>
      </c>
      <c r="AH157" s="48">
        <f>MAX(AH23,AH21*Seasonality!$C$73*AH22)*(1-AH72)*(1-AH48)</f>
        <v/>
      </c>
      <c r="AI157" s="48">
        <f>MAX(AI23,AI21*Seasonality!$C$73*AI22)*(1-AI72)*(1-AI48)</f>
        <v/>
      </c>
      <c r="AJ157" s="48">
        <f>MAX(AJ23,AJ21*Seasonality!$C$73*AJ22)*(1-AJ72)*(1-AJ48)</f>
        <v/>
      </c>
      <c r="AK157" s="48">
        <f>MAX(AK23,AK21*Seasonality!$C$73*AK22)*(1-AK72)*(1-AK48)</f>
        <v/>
      </c>
      <c r="AL157" s="48">
        <f>MAX(AL23,AL21*Seasonality!$C$73*AL22)*(1-AL72)*(1-AL48)</f>
        <v/>
      </c>
      <c r="AM157" s="48">
        <f>MAX(AM23,AM21*Seasonality!$C$73*AM22)*(1-AM72)*(1-AM48)</f>
        <v/>
      </c>
      <c r="AN157" s="48">
        <f>MAX(AN23,AN21*Seasonality!$C$73*AN22)*(1-AN72)*(1-AN48)</f>
        <v/>
      </c>
      <c r="AO157" s="48">
        <f>MAX(AO23,AO21*Seasonality!$C$73*AO22)*(1-AO72)*(1-AO48)</f>
        <v/>
      </c>
      <c r="AP157" s="48">
        <f>MAX(AP23,AP21*Seasonality!$C$73*AP22)*(1-AP72)*(1-AP48)</f>
        <v/>
      </c>
      <c r="AQ157" s="48">
        <f>MAX(AQ23,AQ21*Seasonality!$C$73*AQ22)*(1-AQ72)*(1-AQ48)</f>
        <v/>
      </c>
      <c r="AR157" s="48">
        <f>MAX(AR23,AR21*Seasonality!$C$73*AR22)*(1-AR72)*(1-AR48)</f>
        <v/>
      </c>
      <c r="AS157" s="48">
        <f>MAX(AS23,AS21*Seasonality!$C$73*AS22)*(1-AS72)*(1-AS48)</f>
        <v/>
      </c>
      <c r="AT157" s="48">
        <f>MAX(AT23,AT21*Seasonality!$C$73*AT22)*(1-AT72)*(1-AT48)</f>
        <v/>
      </c>
      <c r="AU157" s="48">
        <f>MAX(AU23,AU21*Seasonality!$C$73*AU22)*(1-AU72)*(1-AU48)</f>
        <v/>
      </c>
      <c r="AV157" s="48">
        <f>MAX(AV23,AV21*Seasonality!$C$73*AV22)*(1-AV72)*(1-AV48)</f>
        <v/>
      </c>
    </row>
    <row r="158">
      <c r="B158" s="7" t="inlineStr">
        <is>
          <t>Revenue collected · month 38</t>
        </is>
      </c>
      <c r="C158" s="5" t="inlineStr">
        <is>
          <t>₹</t>
        </is>
      </c>
      <c r="D158" s="48">
        <f>MAX(D23,D21*Seasonality!$C$74*D22)*(1-D72)*(1-D48)</f>
        <v/>
      </c>
      <c r="E158" s="48">
        <f>MAX(E23,E21*Seasonality!$C$74*E22)*(1-E72)*(1-E48)</f>
        <v/>
      </c>
      <c r="F158" s="48">
        <f>MAX(F23,F21*Seasonality!$C$74*F22)*(1-F72)*(1-F48)</f>
        <v/>
      </c>
      <c r="G158" s="48">
        <f>MAX(G23,G21*Seasonality!$C$74*G22)*(1-G72)*(1-G48)</f>
        <v/>
      </c>
      <c r="H158" s="48">
        <f>MAX(H23,H21*Seasonality!$C$74*H22)*(1-H72)*(1-H48)</f>
        <v/>
      </c>
      <c r="I158" s="48">
        <f>MAX(I23,I21*Seasonality!$C$74*I22)*(1-I72)*(1-I48)</f>
        <v/>
      </c>
      <c r="J158" s="48">
        <f>MAX(J23,J21*Seasonality!$C$74*J22)*(1-J72)*(1-J48)</f>
        <v/>
      </c>
      <c r="K158" s="48">
        <f>MAX(K23,K21*Seasonality!$C$74*K22)*(1-K72)*(1-K48)</f>
        <v/>
      </c>
      <c r="L158" s="48">
        <f>MAX(L23,L21*Seasonality!$C$74*L22)*(1-L72)*(1-L48)</f>
        <v/>
      </c>
      <c r="M158" s="48">
        <f>MAX(M23,M21*Seasonality!$C$74*M22)*(1-M72)*(1-M48)</f>
        <v/>
      </c>
      <c r="N158" s="48">
        <f>MAX(N23,N21*Seasonality!$C$74*N22)*(1-N72)*(1-N48)</f>
        <v/>
      </c>
      <c r="O158" s="48">
        <f>MAX(O23,O21*Seasonality!$C$74*O22)*(1-O72)*(1-O48)</f>
        <v/>
      </c>
      <c r="P158" s="48">
        <f>MAX(P23,P21*Seasonality!$C$74*P22)*(1-P72)*(1-P48)</f>
        <v/>
      </c>
      <c r="Q158" s="48">
        <f>MAX(Q23,Q21*Seasonality!$C$74*Q22)*(1-Q72)*(1-Q48)</f>
        <v/>
      </c>
      <c r="R158" s="48">
        <f>MAX(R23,R21*Seasonality!$C$74*R22)*(1-R72)*(1-R48)</f>
        <v/>
      </c>
      <c r="S158" s="48">
        <f>MAX(S23,S21*Seasonality!$C$74*S22)*(1-S72)*(1-S48)</f>
        <v/>
      </c>
      <c r="T158" s="48">
        <f>MAX(T23,T21*Seasonality!$C$74*T22)*(1-T72)*(1-T48)</f>
        <v/>
      </c>
      <c r="U158" s="48">
        <f>MAX(U23,U21*Seasonality!$C$74*U22)*(1-U72)*(1-U48)</f>
        <v/>
      </c>
      <c r="V158" s="48">
        <f>MAX(V23,V21*Seasonality!$C$74*V22)*(1-V72)*(1-V48)</f>
        <v/>
      </c>
      <c r="W158" s="48">
        <f>MAX(W23,W21*Seasonality!$C$74*W22)*(1-W72)*(1-W48)</f>
        <v/>
      </c>
      <c r="X158" s="48">
        <f>MAX(X23,X21*Seasonality!$C$74*X22)*(1-X72)*(1-X48)</f>
        <v/>
      </c>
      <c r="Y158" s="48">
        <f>MAX(Y23,Y21*Seasonality!$C$74*Y22)*(1-Y72)*(1-Y48)</f>
        <v/>
      </c>
      <c r="Z158" s="48">
        <f>MAX(Z23,Z21*Seasonality!$C$74*Z22)*(1-Z72)*(1-Z48)</f>
        <v/>
      </c>
      <c r="AA158" s="48">
        <f>MAX(AA23,AA21*Seasonality!$C$74*AA22)*(1-AA72)*(1-AA48)</f>
        <v/>
      </c>
      <c r="AB158" s="48">
        <f>MAX(AB23,AB21*Seasonality!$C$74*AB22)*(1-AB72)*(1-AB48)</f>
        <v/>
      </c>
      <c r="AC158" s="48">
        <f>MAX(AC23,AC21*Seasonality!$C$74*AC22)*(1-AC72)*(1-AC48)</f>
        <v/>
      </c>
      <c r="AD158" s="48">
        <f>MAX(AD23,AD21*Seasonality!$C$74*AD22)*(1-AD72)*(1-AD48)</f>
        <v/>
      </c>
      <c r="AE158" s="48">
        <f>MAX(AE23,AE21*Seasonality!$C$74*AE22)*(1-AE72)*(1-AE48)</f>
        <v/>
      </c>
      <c r="AF158" s="48">
        <f>MAX(AF23,AF21*Seasonality!$C$74*AF22)*(1-AF72)*(1-AF48)</f>
        <v/>
      </c>
      <c r="AG158" s="48">
        <f>MAX(AG23,AG21*Seasonality!$C$74*AG22)*(1-AG72)*(1-AG48)</f>
        <v/>
      </c>
      <c r="AH158" s="48">
        <f>MAX(AH23,AH21*Seasonality!$C$74*AH22)*(1-AH72)*(1-AH48)</f>
        <v/>
      </c>
      <c r="AI158" s="48">
        <f>MAX(AI23,AI21*Seasonality!$C$74*AI22)*(1-AI72)*(1-AI48)</f>
        <v/>
      </c>
      <c r="AJ158" s="48">
        <f>MAX(AJ23,AJ21*Seasonality!$C$74*AJ22)*(1-AJ72)*(1-AJ48)</f>
        <v/>
      </c>
      <c r="AK158" s="48">
        <f>MAX(AK23,AK21*Seasonality!$C$74*AK22)*(1-AK72)*(1-AK48)</f>
        <v/>
      </c>
      <c r="AL158" s="48">
        <f>MAX(AL23,AL21*Seasonality!$C$74*AL22)*(1-AL72)*(1-AL48)</f>
        <v/>
      </c>
      <c r="AM158" s="48">
        <f>MAX(AM23,AM21*Seasonality!$C$74*AM22)*(1-AM72)*(1-AM48)</f>
        <v/>
      </c>
      <c r="AN158" s="48">
        <f>MAX(AN23,AN21*Seasonality!$C$74*AN22)*(1-AN72)*(1-AN48)</f>
        <v/>
      </c>
      <c r="AO158" s="48">
        <f>MAX(AO23,AO21*Seasonality!$C$74*AO22)*(1-AO72)*(1-AO48)</f>
        <v/>
      </c>
      <c r="AP158" s="48">
        <f>MAX(AP23,AP21*Seasonality!$C$74*AP22)*(1-AP72)*(1-AP48)</f>
        <v/>
      </c>
      <c r="AQ158" s="48">
        <f>MAX(AQ23,AQ21*Seasonality!$C$74*AQ22)*(1-AQ72)*(1-AQ48)</f>
        <v/>
      </c>
      <c r="AR158" s="48">
        <f>MAX(AR23,AR21*Seasonality!$C$74*AR22)*(1-AR72)*(1-AR48)</f>
        <v/>
      </c>
      <c r="AS158" s="48">
        <f>MAX(AS23,AS21*Seasonality!$C$74*AS22)*(1-AS72)*(1-AS48)</f>
        <v/>
      </c>
      <c r="AT158" s="48">
        <f>MAX(AT23,AT21*Seasonality!$C$74*AT22)*(1-AT72)*(1-AT48)</f>
        <v/>
      </c>
      <c r="AU158" s="48">
        <f>MAX(AU23,AU21*Seasonality!$C$74*AU22)*(1-AU72)*(1-AU48)</f>
        <v/>
      </c>
      <c r="AV158" s="48">
        <f>MAX(AV23,AV21*Seasonality!$C$74*AV22)*(1-AV72)*(1-AV48)</f>
        <v/>
      </c>
    </row>
    <row r="159">
      <c r="B159" s="7" t="inlineStr">
        <is>
          <t>Revenue collected · month 39</t>
        </is>
      </c>
      <c r="C159" s="5" t="inlineStr">
        <is>
          <t>₹</t>
        </is>
      </c>
      <c r="D159" s="48">
        <f>MAX(D23,D21*Seasonality!$C$75*D22)*(1-D72)*(1-D48)</f>
        <v/>
      </c>
      <c r="E159" s="48">
        <f>MAX(E23,E21*Seasonality!$C$75*E22)*(1-E72)*(1-E48)</f>
        <v/>
      </c>
      <c r="F159" s="48">
        <f>MAX(F23,F21*Seasonality!$C$75*F22)*(1-F72)*(1-F48)</f>
        <v/>
      </c>
      <c r="G159" s="48">
        <f>MAX(G23,G21*Seasonality!$C$75*G22)*(1-G72)*(1-G48)</f>
        <v/>
      </c>
      <c r="H159" s="48">
        <f>MAX(H23,H21*Seasonality!$C$75*H22)*(1-H72)*(1-H48)</f>
        <v/>
      </c>
      <c r="I159" s="48">
        <f>MAX(I23,I21*Seasonality!$C$75*I22)*(1-I72)*(1-I48)</f>
        <v/>
      </c>
      <c r="J159" s="48">
        <f>MAX(J23,J21*Seasonality!$C$75*J22)*(1-J72)*(1-J48)</f>
        <v/>
      </c>
      <c r="K159" s="48">
        <f>MAX(K23,K21*Seasonality!$C$75*K22)*(1-K72)*(1-K48)</f>
        <v/>
      </c>
      <c r="L159" s="48">
        <f>MAX(L23,L21*Seasonality!$C$75*L22)*(1-L72)*(1-L48)</f>
        <v/>
      </c>
      <c r="M159" s="48">
        <f>MAX(M23,M21*Seasonality!$C$75*M22)*(1-M72)*(1-M48)</f>
        <v/>
      </c>
      <c r="N159" s="48">
        <f>MAX(N23,N21*Seasonality!$C$75*N22)*(1-N72)*(1-N48)</f>
        <v/>
      </c>
      <c r="O159" s="48">
        <f>MAX(O23,O21*Seasonality!$C$75*O22)*(1-O72)*(1-O48)</f>
        <v/>
      </c>
      <c r="P159" s="48">
        <f>MAX(P23,P21*Seasonality!$C$75*P22)*(1-P72)*(1-P48)</f>
        <v/>
      </c>
      <c r="Q159" s="48">
        <f>MAX(Q23,Q21*Seasonality!$C$75*Q22)*(1-Q72)*(1-Q48)</f>
        <v/>
      </c>
      <c r="R159" s="48">
        <f>MAX(R23,R21*Seasonality!$C$75*R22)*(1-R72)*(1-R48)</f>
        <v/>
      </c>
      <c r="S159" s="48">
        <f>MAX(S23,S21*Seasonality!$C$75*S22)*(1-S72)*(1-S48)</f>
        <v/>
      </c>
      <c r="T159" s="48">
        <f>MAX(T23,T21*Seasonality!$C$75*T22)*(1-T72)*(1-T48)</f>
        <v/>
      </c>
      <c r="U159" s="48">
        <f>MAX(U23,U21*Seasonality!$C$75*U22)*(1-U72)*(1-U48)</f>
        <v/>
      </c>
      <c r="V159" s="48">
        <f>MAX(V23,V21*Seasonality!$C$75*V22)*(1-V72)*(1-V48)</f>
        <v/>
      </c>
      <c r="W159" s="48">
        <f>MAX(W23,W21*Seasonality!$C$75*W22)*(1-W72)*(1-W48)</f>
        <v/>
      </c>
      <c r="X159" s="48">
        <f>MAX(X23,X21*Seasonality!$C$75*X22)*(1-X72)*(1-X48)</f>
        <v/>
      </c>
      <c r="Y159" s="48">
        <f>MAX(Y23,Y21*Seasonality!$C$75*Y22)*(1-Y72)*(1-Y48)</f>
        <v/>
      </c>
      <c r="Z159" s="48">
        <f>MAX(Z23,Z21*Seasonality!$C$75*Z22)*(1-Z72)*(1-Z48)</f>
        <v/>
      </c>
      <c r="AA159" s="48">
        <f>MAX(AA23,AA21*Seasonality!$C$75*AA22)*(1-AA72)*(1-AA48)</f>
        <v/>
      </c>
      <c r="AB159" s="48">
        <f>MAX(AB23,AB21*Seasonality!$C$75*AB22)*(1-AB72)*(1-AB48)</f>
        <v/>
      </c>
      <c r="AC159" s="48">
        <f>MAX(AC23,AC21*Seasonality!$C$75*AC22)*(1-AC72)*(1-AC48)</f>
        <v/>
      </c>
      <c r="AD159" s="48">
        <f>MAX(AD23,AD21*Seasonality!$C$75*AD22)*(1-AD72)*(1-AD48)</f>
        <v/>
      </c>
      <c r="AE159" s="48">
        <f>MAX(AE23,AE21*Seasonality!$C$75*AE22)*(1-AE72)*(1-AE48)</f>
        <v/>
      </c>
      <c r="AF159" s="48">
        <f>MAX(AF23,AF21*Seasonality!$C$75*AF22)*(1-AF72)*(1-AF48)</f>
        <v/>
      </c>
      <c r="AG159" s="48">
        <f>MAX(AG23,AG21*Seasonality!$C$75*AG22)*(1-AG72)*(1-AG48)</f>
        <v/>
      </c>
      <c r="AH159" s="48">
        <f>MAX(AH23,AH21*Seasonality!$C$75*AH22)*(1-AH72)*(1-AH48)</f>
        <v/>
      </c>
      <c r="AI159" s="48">
        <f>MAX(AI23,AI21*Seasonality!$C$75*AI22)*(1-AI72)*(1-AI48)</f>
        <v/>
      </c>
      <c r="AJ159" s="48">
        <f>MAX(AJ23,AJ21*Seasonality!$C$75*AJ22)*(1-AJ72)*(1-AJ48)</f>
        <v/>
      </c>
      <c r="AK159" s="48">
        <f>MAX(AK23,AK21*Seasonality!$C$75*AK22)*(1-AK72)*(1-AK48)</f>
        <v/>
      </c>
      <c r="AL159" s="48">
        <f>MAX(AL23,AL21*Seasonality!$C$75*AL22)*(1-AL72)*(1-AL48)</f>
        <v/>
      </c>
      <c r="AM159" s="48">
        <f>MAX(AM23,AM21*Seasonality!$C$75*AM22)*(1-AM72)*(1-AM48)</f>
        <v/>
      </c>
      <c r="AN159" s="48">
        <f>MAX(AN23,AN21*Seasonality!$C$75*AN22)*(1-AN72)*(1-AN48)</f>
        <v/>
      </c>
      <c r="AO159" s="48">
        <f>MAX(AO23,AO21*Seasonality!$C$75*AO22)*(1-AO72)*(1-AO48)</f>
        <v/>
      </c>
      <c r="AP159" s="48">
        <f>MAX(AP23,AP21*Seasonality!$C$75*AP22)*(1-AP72)*(1-AP48)</f>
        <v/>
      </c>
      <c r="AQ159" s="48">
        <f>MAX(AQ23,AQ21*Seasonality!$C$75*AQ22)*(1-AQ72)*(1-AQ48)</f>
        <v/>
      </c>
      <c r="AR159" s="48">
        <f>MAX(AR23,AR21*Seasonality!$C$75*AR22)*(1-AR72)*(1-AR48)</f>
        <v/>
      </c>
      <c r="AS159" s="48">
        <f>MAX(AS23,AS21*Seasonality!$C$75*AS22)*(1-AS72)*(1-AS48)</f>
        <v/>
      </c>
      <c r="AT159" s="48">
        <f>MAX(AT23,AT21*Seasonality!$C$75*AT22)*(1-AT72)*(1-AT48)</f>
        <v/>
      </c>
      <c r="AU159" s="48">
        <f>MAX(AU23,AU21*Seasonality!$C$75*AU22)*(1-AU72)*(1-AU48)</f>
        <v/>
      </c>
      <c r="AV159" s="48">
        <f>MAX(AV23,AV21*Seasonality!$C$75*AV22)*(1-AV72)*(1-AV48)</f>
        <v/>
      </c>
    </row>
    <row r="160">
      <c r="B160" s="7" t="inlineStr">
        <is>
          <t>Revenue collected · month 40</t>
        </is>
      </c>
      <c r="C160" s="5" t="inlineStr">
        <is>
          <t>₹</t>
        </is>
      </c>
      <c r="D160" s="48">
        <f>MAX(D23,D21*Seasonality!$C$76*D22)*(1-D72)*(1-D48)</f>
        <v/>
      </c>
      <c r="E160" s="48">
        <f>MAX(E23,E21*Seasonality!$C$76*E22)*(1-E72)*(1-E48)</f>
        <v/>
      </c>
      <c r="F160" s="48">
        <f>MAX(F23,F21*Seasonality!$C$76*F22)*(1-F72)*(1-F48)</f>
        <v/>
      </c>
      <c r="G160" s="48">
        <f>MAX(G23,G21*Seasonality!$C$76*G22)*(1-G72)*(1-G48)</f>
        <v/>
      </c>
      <c r="H160" s="48">
        <f>MAX(H23,H21*Seasonality!$C$76*H22)*(1-H72)*(1-H48)</f>
        <v/>
      </c>
      <c r="I160" s="48">
        <f>MAX(I23,I21*Seasonality!$C$76*I22)*(1-I72)*(1-I48)</f>
        <v/>
      </c>
      <c r="J160" s="48">
        <f>MAX(J23,J21*Seasonality!$C$76*J22)*(1-J72)*(1-J48)</f>
        <v/>
      </c>
      <c r="K160" s="48">
        <f>MAX(K23,K21*Seasonality!$C$76*K22)*(1-K72)*(1-K48)</f>
        <v/>
      </c>
      <c r="L160" s="48">
        <f>MAX(L23,L21*Seasonality!$C$76*L22)*(1-L72)*(1-L48)</f>
        <v/>
      </c>
      <c r="M160" s="48">
        <f>MAX(M23,M21*Seasonality!$C$76*M22)*(1-M72)*(1-M48)</f>
        <v/>
      </c>
      <c r="N160" s="48">
        <f>MAX(N23,N21*Seasonality!$C$76*N22)*(1-N72)*(1-N48)</f>
        <v/>
      </c>
      <c r="O160" s="48">
        <f>MAX(O23,O21*Seasonality!$C$76*O22)*(1-O72)*(1-O48)</f>
        <v/>
      </c>
      <c r="P160" s="48">
        <f>MAX(P23,P21*Seasonality!$C$76*P22)*(1-P72)*(1-P48)</f>
        <v/>
      </c>
      <c r="Q160" s="48">
        <f>MAX(Q23,Q21*Seasonality!$C$76*Q22)*(1-Q72)*(1-Q48)</f>
        <v/>
      </c>
      <c r="R160" s="48">
        <f>MAX(R23,R21*Seasonality!$C$76*R22)*(1-R72)*(1-R48)</f>
        <v/>
      </c>
      <c r="S160" s="48">
        <f>MAX(S23,S21*Seasonality!$C$76*S22)*(1-S72)*(1-S48)</f>
        <v/>
      </c>
      <c r="T160" s="48">
        <f>MAX(T23,T21*Seasonality!$C$76*T22)*(1-T72)*(1-T48)</f>
        <v/>
      </c>
      <c r="U160" s="48">
        <f>MAX(U23,U21*Seasonality!$C$76*U22)*(1-U72)*(1-U48)</f>
        <v/>
      </c>
      <c r="V160" s="48">
        <f>MAX(V23,V21*Seasonality!$C$76*V22)*(1-V72)*(1-V48)</f>
        <v/>
      </c>
      <c r="W160" s="48">
        <f>MAX(W23,W21*Seasonality!$C$76*W22)*(1-W72)*(1-W48)</f>
        <v/>
      </c>
      <c r="X160" s="48">
        <f>MAX(X23,X21*Seasonality!$C$76*X22)*(1-X72)*(1-X48)</f>
        <v/>
      </c>
      <c r="Y160" s="48">
        <f>MAX(Y23,Y21*Seasonality!$C$76*Y22)*(1-Y72)*(1-Y48)</f>
        <v/>
      </c>
      <c r="Z160" s="48">
        <f>MAX(Z23,Z21*Seasonality!$C$76*Z22)*(1-Z72)*(1-Z48)</f>
        <v/>
      </c>
      <c r="AA160" s="48">
        <f>MAX(AA23,AA21*Seasonality!$C$76*AA22)*(1-AA72)*(1-AA48)</f>
        <v/>
      </c>
      <c r="AB160" s="48">
        <f>MAX(AB23,AB21*Seasonality!$C$76*AB22)*(1-AB72)*(1-AB48)</f>
        <v/>
      </c>
      <c r="AC160" s="48">
        <f>MAX(AC23,AC21*Seasonality!$C$76*AC22)*(1-AC72)*(1-AC48)</f>
        <v/>
      </c>
      <c r="AD160" s="48">
        <f>MAX(AD23,AD21*Seasonality!$C$76*AD22)*(1-AD72)*(1-AD48)</f>
        <v/>
      </c>
      <c r="AE160" s="48">
        <f>MAX(AE23,AE21*Seasonality!$C$76*AE22)*(1-AE72)*(1-AE48)</f>
        <v/>
      </c>
      <c r="AF160" s="48">
        <f>MAX(AF23,AF21*Seasonality!$C$76*AF22)*(1-AF72)*(1-AF48)</f>
        <v/>
      </c>
      <c r="AG160" s="48">
        <f>MAX(AG23,AG21*Seasonality!$C$76*AG22)*(1-AG72)*(1-AG48)</f>
        <v/>
      </c>
      <c r="AH160" s="48">
        <f>MAX(AH23,AH21*Seasonality!$C$76*AH22)*(1-AH72)*(1-AH48)</f>
        <v/>
      </c>
      <c r="AI160" s="48">
        <f>MAX(AI23,AI21*Seasonality!$C$76*AI22)*(1-AI72)*(1-AI48)</f>
        <v/>
      </c>
      <c r="AJ160" s="48">
        <f>MAX(AJ23,AJ21*Seasonality!$C$76*AJ22)*(1-AJ72)*(1-AJ48)</f>
        <v/>
      </c>
      <c r="AK160" s="48">
        <f>MAX(AK23,AK21*Seasonality!$C$76*AK22)*(1-AK72)*(1-AK48)</f>
        <v/>
      </c>
      <c r="AL160" s="48">
        <f>MAX(AL23,AL21*Seasonality!$C$76*AL22)*(1-AL72)*(1-AL48)</f>
        <v/>
      </c>
      <c r="AM160" s="48">
        <f>MAX(AM23,AM21*Seasonality!$C$76*AM22)*(1-AM72)*(1-AM48)</f>
        <v/>
      </c>
      <c r="AN160" s="48">
        <f>MAX(AN23,AN21*Seasonality!$C$76*AN22)*(1-AN72)*(1-AN48)</f>
        <v/>
      </c>
      <c r="AO160" s="48">
        <f>MAX(AO23,AO21*Seasonality!$C$76*AO22)*(1-AO72)*(1-AO48)</f>
        <v/>
      </c>
      <c r="AP160" s="48">
        <f>MAX(AP23,AP21*Seasonality!$C$76*AP22)*(1-AP72)*(1-AP48)</f>
        <v/>
      </c>
      <c r="AQ160" s="48">
        <f>MAX(AQ23,AQ21*Seasonality!$C$76*AQ22)*(1-AQ72)*(1-AQ48)</f>
        <v/>
      </c>
      <c r="AR160" s="48">
        <f>MAX(AR23,AR21*Seasonality!$C$76*AR22)*(1-AR72)*(1-AR48)</f>
        <v/>
      </c>
      <c r="AS160" s="48">
        <f>MAX(AS23,AS21*Seasonality!$C$76*AS22)*(1-AS72)*(1-AS48)</f>
        <v/>
      </c>
      <c r="AT160" s="48">
        <f>MAX(AT23,AT21*Seasonality!$C$76*AT22)*(1-AT72)*(1-AT48)</f>
        <v/>
      </c>
      <c r="AU160" s="48">
        <f>MAX(AU23,AU21*Seasonality!$C$76*AU22)*(1-AU72)*(1-AU48)</f>
        <v/>
      </c>
      <c r="AV160" s="48">
        <f>MAX(AV23,AV21*Seasonality!$C$76*AV22)*(1-AV72)*(1-AV48)</f>
        <v/>
      </c>
    </row>
    <row r="161">
      <c r="B161" s="7" t="inlineStr">
        <is>
          <t>Revenue collected · month 41</t>
        </is>
      </c>
      <c r="C161" s="5" t="inlineStr">
        <is>
          <t>₹</t>
        </is>
      </c>
      <c r="D161" s="48">
        <f>MAX(D23,D21*Seasonality!$C$77*D22)*(1-D72)*(1-D48)</f>
        <v/>
      </c>
      <c r="E161" s="48">
        <f>MAX(E23,E21*Seasonality!$C$77*E22)*(1-E72)*(1-E48)</f>
        <v/>
      </c>
      <c r="F161" s="48">
        <f>MAX(F23,F21*Seasonality!$C$77*F22)*(1-F72)*(1-F48)</f>
        <v/>
      </c>
      <c r="G161" s="48">
        <f>MAX(G23,G21*Seasonality!$C$77*G22)*(1-G72)*(1-G48)</f>
        <v/>
      </c>
      <c r="H161" s="48">
        <f>MAX(H23,H21*Seasonality!$C$77*H22)*(1-H72)*(1-H48)</f>
        <v/>
      </c>
      <c r="I161" s="48">
        <f>MAX(I23,I21*Seasonality!$C$77*I22)*(1-I72)*(1-I48)</f>
        <v/>
      </c>
      <c r="J161" s="48">
        <f>MAX(J23,J21*Seasonality!$C$77*J22)*(1-J72)*(1-J48)</f>
        <v/>
      </c>
      <c r="K161" s="48">
        <f>MAX(K23,K21*Seasonality!$C$77*K22)*(1-K72)*(1-K48)</f>
        <v/>
      </c>
      <c r="L161" s="48">
        <f>MAX(L23,L21*Seasonality!$C$77*L22)*(1-L72)*(1-L48)</f>
        <v/>
      </c>
      <c r="M161" s="48">
        <f>MAX(M23,M21*Seasonality!$C$77*M22)*(1-M72)*(1-M48)</f>
        <v/>
      </c>
      <c r="N161" s="48">
        <f>MAX(N23,N21*Seasonality!$C$77*N22)*(1-N72)*(1-N48)</f>
        <v/>
      </c>
      <c r="O161" s="48">
        <f>MAX(O23,O21*Seasonality!$C$77*O22)*(1-O72)*(1-O48)</f>
        <v/>
      </c>
      <c r="P161" s="48">
        <f>MAX(P23,P21*Seasonality!$C$77*P22)*(1-P72)*(1-P48)</f>
        <v/>
      </c>
      <c r="Q161" s="48">
        <f>MAX(Q23,Q21*Seasonality!$C$77*Q22)*(1-Q72)*(1-Q48)</f>
        <v/>
      </c>
      <c r="R161" s="48">
        <f>MAX(R23,R21*Seasonality!$C$77*R22)*(1-R72)*(1-R48)</f>
        <v/>
      </c>
      <c r="S161" s="48">
        <f>MAX(S23,S21*Seasonality!$C$77*S22)*(1-S72)*(1-S48)</f>
        <v/>
      </c>
      <c r="T161" s="48">
        <f>MAX(T23,T21*Seasonality!$C$77*T22)*(1-T72)*(1-T48)</f>
        <v/>
      </c>
      <c r="U161" s="48">
        <f>MAX(U23,U21*Seasonality!$C$77*U22)*(1-U72)*(1-U48)</f>
        <v/>
      </c>
      <c r="V161" s="48">
        <f>MAX(V23,V21*Seasonality!$C$77*V22)*(1-V72)*(1-V48)</f>
        <v/>
      </c>
      <c r="W161" s="48">
        <f>MAX(W23,W21*Seasonality!$C$77*W22)*(1-W72)*(1-W48)</f>
        <v/>
      </c>
      <c r="X161" s="48">
        <f>MAX(X23,X21*Seasonality!$C$77*X22)*(1-X72)*(1-X48)</f>
        <v/>
      </c>
      <c r="Y161" s="48">
        <f>MAX(Y23,Y21*Seasonality!$C$77*Y22)*(1-Y72)*(1-Y48)</f>
        <v/>
      </c>
      <c r="Z161" s="48">
        <f>MAX(Z23,Z21*Seasonality!$C$77*Z22)*(1-Z72)*(1-Z48)</f>
        <v/>
      </c>
      <c r="AA161" s="48">
        <f>MAX(AA23,AA21*Seasonality!$C$77*AA22)*(1-AA72)*(1-AA48)</f>
        <v/>
      </c>
      <c r="AB161" s="48">
        <f>MAX(AB23,AB21*Seasonality!$C$77*AB22)*(1-AB72)*(1-AB48)</f>
        <v/>
      </c>
      <c r="AC161" s="48">
        <f>MAX(AC23,AC21*Seasonality!$C$77*AC22)*(1-AC72)*(1-AC48)</f>
        <v/>
      </c>
      <c r="AD161" s="48">
        <f>MAX(AD23,AD21*Seasonality!$C$77*AD22)*(1-AD72)*(1-AD48)</f>
        <v/>
      </c>
      <c r="AE161" s="48">
        <f>MAX(AE23,AE21*Seasonality!$C$77*AE22)*(1-AE72)*(1-AE48)</f>
        <v/>
      </c>
      <c r="AF161" s="48">
        <f>MAX(AF23,AF21*Seasonality!$C$77*AF22)*(1-AF72)*(1-AF48)</f>
        <v/>
      </c>
      <c r="AG161" s="48">
        <f>MAX(AG23,AG21*Seasonality!$C$77*AG22)*(1-AG72)*(1-AG48)</f>
        <v/>
      </c>
      <c r="AH161" s="48">
        <f>MAX(AH23,AH21*Seasonality!$C$77*AH22)*(1-AH72)*(1-AH48)</f>
        <v/>
      </c>
      <c r="AI161" s="48">
        <f>MAX(AI23,AI21*Seasonality!$C$77*AI22)*(1-AI72)*(1-AI48)</f>
        <v/>
      </c>
      <c r="AJ161" s="48">
        <f>MAX(AJ23,AJ21*Seasonality!$C$77*AJ22)*(1-AJ72)*(1-AJ48)</f>
        <v/>
      </c>
      <c r="AK161" s="48">
        <f>MAX(AK23,AK21*Seasonality!$C$77*AK22)*(1-AK72)*(1-AK48)</f>
        <v/>
      </c>
      <c r="AL161" s="48">
        <f>MAX(AL23,AL21*Seasonality!$C$77*AL22)*(1-AL72)*(1-AL48)</f>
        <v/>
      </c>
      <c r="AM161" s="48">
        <f>MAX(AM23,AM21*Seasonality!$C$77*AM22)*(1-AM72)*(1-AM48)</f>
        <v/>
      </c>
      <c r="AN161" s="48">
        <f>MAX(AN23,AN21*Seasonality!$C$77*AN22)*(1-AN72)*(1-AN48)</f>
        <v/>
      </c>
      <c r="AO161" s="48">
        <f>MAX(AO23,AO21*Seasonality!$C$77*AO22)*(1-AO72)*(1-AO48)</f>
        <v/>
      </c>
      <c r="AP161" s="48">
        <f>MAX(AP23,AP21*Seasonality!$C$77*AP22)*(1-AP72)*(1-AP48)</f>
        <v/>
      </c>
      <c r="AQ161" s="48">
        <f>MAX(AQ23,AQ21*Seasonality!$C$77*AQ22)*(1-AQ72)*(1-AQ48)</f>
        <v/>
      </c>
      <c r="AR161" s="48">
        <f>MAX(AR23,AR21*Seasonality!$C$77*AR22)*(1-AR72)*(1-AR48)</f>
        <v/>
      </c>
      <c r="AS161" s="48">
        <f>MAX(AS23,AS21*Seasonality!$C$77*AS22)*(1-AS72)*(1-AS48)</f>
        <v/>
      </c>
      <c r="AT161" s="48">
        <f>MAX(AT23,AT21*Seasonality!$C$77*AT22)*(1-AT72)*(1-AT48)</f>
        <v/>
      </c>
      <c r="AU161" s="48">
        <f>MAX(AU23,AU21*Seasonality!$C$77*AU22)*(1-AU72)*(1-AU48)</f>
        <v/>
      </c>
      <c r="AV161" s="48">
        <f>MAX(AV23,AV21*Seasonality!$C$77*AV22)*(1-AV72)*(1-AV48)</f>
        <v/>
      </c>
    </row>
    <row r="162">
      <c r="B162" s="7" t="inlineStr">
        <is>
          <t>Revenue collected · month 42</t>
        </is>
      </c>
      <c r="C162" s="5" t="inlineStr">
        <is>
          <t>₹</t>
        </is>
      </c>
      <c r="D162" s="48">
        <f>MAX(D23,D21*Seasonality!$C$78*D22)*(1-D72)*(1-D48)</f>
        <v/>
      </c>
      <c r="E162" s="48">
        <f>MAX(E23,E21*Seasonality!$C$78*E22)*(1-E72)*(1-E48)</f>
        <v/>
      </c>
      <c r="F162" s="48">
        <f>MAX(F23,F21*Seasonality!$C$78*F22)*(1-F72)*(1-F48)</f>
        <v/>
      </c>
      <c r="G162" s="48">
        <f>MAX(G23,G21*Seasonality!$C$78*G22)*(1-G72)*(1-G48)</f>
        <v/>
      </c>
      <c r="H162" s="48">
        <f>MAX(H23,H21*Seasonality!$C$78*H22)*(1-H72)*(1-H48)</f>
        <v/>
      </c>
      <c r="I162" s="48">
        <f>MAX(I23,I21*Seasonality!$C$78*I22)*(1-I72)*(1-I48)</f>
        <v/>
      </c>
      <c r="J162" s="48">
        <f>MAX(J23,J21*Seasonality!$C$78*J22)*(1-J72)*(1-J48)</f>
        <v/>
      </c>
      <c r="K162" s="48">
        <f>MAX(K23,K21*Seasonality!$C$78*K22)*(1-K72)*(1-K48)</f>
        <v/>
      </c>
      <c r="L162" s="48">
        <f>MAX(L23,L21*Seasonality!$C$78*L22)*(1-L72)*(1-L48)</f>
        <v/>
      </c>
      <c r="M162" s="48">
        <f>MAX(M23,M21*Seasonality!$C$78*M22)*(1-M72)*(1-M48)</f>
        <v/>
      </c>
      <c r="N162" s="48">
        <f>MAX(N23,N21*Seasonality!$C$78*N22)*(1-N72)*(1-N48)</f>
        <v/>
      </c>
      <c r="O162" s="48">
        <f>MAX(O23,O21*Seasonality!$C$78*O22)*(1-O72)*(1-O48)</f>
        <v/>
      </c>
      <c r="P162" s="48">
        <f>MAX(P23,P21*Seasonality!$C$78*P22)*(1-P72)*(1-P48)</f>
        <v/>
      </c>
      <c r="Q162" s="48">
        <f>MAX(Q23,Q21*Seasonality!$C$78*Q22)*(1-Q72)*(1-Q48)</f>
        <v/>
      </c>
      <c r="R162" s="48">
        <f>MAX(R23,R21*Seasonality!$C$78*R22)*(1-R72)*(1-R48)</f>
        <v/>
      </c>
      <c r="S162" s="48">
        <f>MAX(S23,S21*Seasonality!$C$78*S22)*(1-S72)*(1-S48)</f>
        <v/>
      </c>
      <c r="T162" s="48">
        <f>MAX(T23,T21*Seasonality!$C$78*T22)*(1-T72)*(1-T48)</f>
        <v/>
      </c>
      <c r="U162" s="48">
        <f>MAX(U23,U21*Seasonality!$C$78*U22)*(1-U72)*(1-U48)</f>
        <v/>
      </c>
      <c r="V162" s="48">
        <f>MAX(V23,V21*Seasonality!$C$78*V22)*(1-V72)*(1-V48)</f>
        <v/>
      </c>
      <c r="W162" s="48">
        <f>MAX(W23,W21*Seasonality!$C$78*W22)*(1-W72)*(1-W48)</f>
        <v/>
      </c>
      <c r="X162" s="48">
        <f>MAX(X23,X21*Seasonality!$C$78*X22)*(1-X72)*(1-X48)</f>
        <v/>
      </c>
      <c r="Y162" s="48">
        <f>MAX(Y23,Y21*Seasonality!$C$78*Y22)*(1-Y72)*(1-Y48)</f>
        <v/>
      </c>
      <c r="Z162" s="48">
        <f>MAX(Z23,Z21*Seasonality!$C$78*Z22)*(1-Z72)*(1-Z48)</f>
        <v/>
      </c>
      <c r="AA162" s="48">
        <f>MAX(AA23,AA21*Seasonality!$C$78*AA22)*(1-AA72)*(1-AA48)</f>
        <v/>
      </c>
      <c r="AB162" s="48">
        <f>MAX(AB23,AB21*Seasonality!$C$78*AB22)*(1-AB72)*(1-AB48)</f>
        <v/>
      </c>
      <c r="AC162" s="48">
        <f>MAX(AC23,AC21*Seasonality!$C$78*AC22)*(1-AC72)*(1-AC48)</f>
        <v/>
      </c>
      <c r="AD162" s="48">
        <f>MAX(AD23,AD21*Seasonality!$C$78*AD22)*(1-AD72)*(1-AD48)</f>
        <v/>
      </c>
      <c r="AE162" s="48">
        <f>MAX(AE23,AE21*Seasonality!$C$78*AE22)*(1-AE72)*(1-AE48)</f>
        <v/>
      </c>
      <c r="AF162" s="48">
        <f>MAX(AF23,AF21*Seasonality!$C$78*AF22)*(1-AF72)*(1-AF48)</f>
        <v/>
      </c>
      <c r="AG162" s="48">
        <f>MAX(AG23,AG21*Seasonality!$C$78*AG22)*(1-AG72)*(1-AG48)</f>
        <v/>
      </c>
      <c r="AH162" s="48">
        <f>MAX(AH23,AH21*Seasonality!$C$78*AH22)*(1-AH72)*(1-AH48)</f>
        <v/>
      </c>
      <c r="AI162" s="48">
        <f>MAX(AI23,AI21*Seasonality!$C$78*AI22)*(1-AI72)*(1-AI48)</f>
        <v/>
      </c>
      <c r="AJ162" s="48">
        <f>MAX(AJ23,AJ21*Seasonality!$C$78*AJ22)*(1-AJ72)*(1-AJ48)</f>
        <v/>
      </c>
      <c r="AK162" s="48">
        <f>MAX(AK23,AK21*Seasonality!$C$78*AK22)*(1-AK72)*(1-AK48)</f>
        <v/>
      </c>
      <c r="AL162" s="48">
        <f>MAX(AL23,AL21*Seasonality!$C$78*AL22)*(1-AL72)*(1-AL48)</f>
        <v/>
      </c>
      <c r="AM162" s="48">
        <f>MAX(AM23,AM21*Seasonality!$C$78*AM22)*(1-AM72)*(1-AM48)</f>
        <v/>
      </c>
      <c r="AN162" s="48">
        <f>MAX(AN23,AN21*Seasonality!$C$78*AN22)*(1-AN72)*(1-AN48)</f>
        <v/>
      </c>
      <c r="AO162" s="48">
        <f>MAX(AO23,AO21*Seasonality!$C$78*AO22)*(1-AO72)*(1-AO48)</f>
        <v/>
      </c>
      <c r="AP162" s="48">
        <f>MAX(AP23,AP21*Seasonality!$C$78*AP22)*(1-AP72)*(1-AP48)</f>
        <v/>
      </c>
      <c r="AQ162" s="48">
        <f>MAX(AQ23,AQ21*Seasonality!$C$78*AQ22)*(1-AQ72)*(1-AQ48)</f>
        <v/>
      </c>
      <c r="AR162" s="48">
        <f>MAX(AR23,AR21*Seasonality!$C$78*AR22)*(1-AR72)*(1-AR48)</f>
        <v/>
      </c>
      <c r="AS162" s="48">
        <f>MAX(AS23,AS21*Seasonality!$C$78*AS22)*(1-AS72)*(1-AS48)</f>
        <v/>
      </c>
      <c r="AT162" s="48">
        <f>MAX(AT23,AT21*Seasonality!$C$78*AT22)*(1-AT72)*(1-AT48)</f>
        <v/>
      </c>
      <c r="AU162" s="48">
        <f>MAX(AU23,AU21*Seasonality!$C$78*AU22)*(1-AU72)*(1-AU48)</f>
        <v/>
      </c>
      <c r="AV162" s="48">
        <f>MAX(AV23,AV21*Seasonality!$C$78*AV22)*(1-AV72)*(1-AV48)</f>
        <v/>
      </c>
    </row>
    <row r="163">
      <c r="B163" s="7" t="inlineStr">
        <is>
          <t>Revenue collected · month 43</t>
        </is>
      </c>
      <c r="C163" s="5" t="inlineStr">
        <is>
          <t>₹</t>
        </is>
      </c>
      <c r="D163" s="48">
        <f>MAX(D23,D21*Seasonality!$C$79*D22)*(1-D72)*(1-D48)</f>
        <v/>
      </c>
      <c r="E163" s="48">
        <f>MAX(E23,E21*Seasonality!$C$79*E22)*(1-E72)*(1-E48)</f>
        <v/>
      </c>
      <c r="F163" s="48">
        <f>MAX(F23,F21*Seasonality!$C$79*F22)*(1-F72)*(1-F48)</f>
        <v/>
      </c>
      <c r="G163" s="48">
        <f>MAX(G23,G21*Seasonality!$C$79*G22)*(1-G72)*(1-G48)</f>
        <v/>
      </c>
      <c r="H163" s="48">
        <f>MAX(H23,H21*Seasonality!$C$79*H22)*(1-H72)*(1-H48)</f>
        <v/>
      </c>
      <c r="I163" s="48">
        <f>MAX(I23,I21*Seasonality!$C$79*I22)*(1-I72)*(1-I48)</f>
        <v/>
      </c>
      <c r="J163" s="48">
        <f>MAX(J23,J21*Seasonality!$C$79*J22)*(1-J72)*(1-J48)</f>
        <v/>
      </c>
      <c r="K163" s="48">
        <f>MAX(K23,K21*Seasonality!$C$79*K22)*(1-K72)*(1-K48)</f>
        <v/>
      </c>
      <c r="L163" s="48">
        <f>MAX(L23,L21*Seasonality!$C$79*L22)*(1-L72)*(1-L48)</f>
        <v/>
      </c>
      <c r="M163" s="48">
        <f>MAX(M23,M21*Seasonality!$C$79*M22)*(1-M72)*(1-M48)</f>
        <v/>
      </c>
      <c r="N163" s="48">
        <f>MAX(N23,N21*Seasonality!$C$79*N22)*(1-N72)*(1-N48)</f>
        <v/>
      </c>
      <c r="O163" s="48">
        <f>MAX(O23,O21*Seasonality!$C$79*O22)*(1-O72)*(1-O48)</f>
        <v/>
      </c>
      <c r="P163" s="48">
        <f>MAX(P23,P21*Seasonality!$C$79*P22)*(1-P72)*(1-P48)</f>
        <v/>
      </c>
      <c r="Q163" s="48">
        <f>MAX(Q23,Q21*Seasonality!$C$79*Q22)*(1-Q72)*(1-Q48)</f>
        <v/>
      </c>
      <c r="R163" s="48">
        <f>MAX(R23,R21*Seasonality!$C$79*R22)*(1-R72)*(1-R48)</f>
        <v/>
      </c>
      <c r="S163" s="48">
        <f>MAX(S23,S21*Seasonality!$C$79*S22)*(1-S72)*(1-S48)</f>
        <v/>
      </c>
      <c r="T163" s="48">
        <f>MAX(T23,T21*Seasonality!$C$79*T22)*(1-T72)*(1-T48)</f>
        <v/>
      </c>
      <c r="U163" s="48">
        <f>MAX(U23,U21*Seasonality!$C$79*U22)*(1-U72)*(1-U48)</f>
        <v/>
      </c>
      <c r="V163" s="48">
        <f>MAX(V23,V21*Seasonality!$C$79*V22)*(1-V72)*(1-V48)</f>
        <v/>
      </c>
      <c r="W163" s="48">
        <f>MAX(W23,W21*Seasonality!$C$79*W22)*(1-W72)*(1-W48)</f>
        <v/>
      </c>
      <c r="X163" s="48">
        <f>MAX(X23,X21*Seasonality!$C$79*X22)*(1-X72)*(1-X48)</f>
        <v/>
      </c>
      <c r="Y163" s="48">
        <f>MAX(Y23,Y21*Seasonality!$C$79*Y22)*(1-Y72)*(1-Y48)</f>
        <v/>
      </c>
      <c r="Z163" s="48">
        <f>MAX(Z23,Z21*Seasonality!$C$79*Z22)*(1-Z72)*(1-Z48)</f>
        <v/>
      </c>
      <c r="AA163" s="48">
        <f>MAX(AA23,AA21*Seasonality!$C$79*AA22)*(1-AA72)*(1-AA48)</f>
        <v/>
      </c>
      <c r="AB163" s="48">
        <f>MAX(AB23,AB21*Seasonality!$C$79*AB22)*(1-AB72)*(1-AB48)</f>
        <v/>
      </c>
      <c r="AC163" s="48">
        <f>MAX(AC23,AC21*Seasonality!$C$79*AC22)*(1-AC72)*(1-AC48)</f>
        <v/>
      </c>
      <c r="AD163" s="48">
        <f>MAX(AD23,AD21*Seasonality!$C$79*AD22)*(1-AD72)*(1-AD48)</f>
        <v/>
      </c>
      <c r="AE163" s="48">
        <f>MAX(AE23,AE21*Seasonality!$C$79*AE22)*(1-AE72)*(1-AE48)</f>
        <v/>
      </c>
      <c r="AF163" s="48">
        <f>MAX(AF23,AF21*Seasonality!$C$79*AF22)*(1-AF72)*(1-AF48)</f>
        <v/>
      </c>
      <c r="AG163" s="48">
        <f>MAX(AG23,AG21*Seasonality!$C$79*AG22)*(1-AG72)*(1-AG48)</f>
        <v/>
      </c>
      <c r="AH163" s="48">
        <f>MAX(AH23,AH21*Seasonality!$C$79*AH22)*(1-AH72)*(1-AH48)</f>
        <v/>
      </c>
      <c r="AI163" s="48">
        <f>MAX(AI23,AI21*Seasonality!$C$79*AI22)*(1-AI72)*(1-AI48)</f>
        <v/>
      </c>
      <c r="AJ163" s="48">
        <f>MAX(AJ23,AJ21*Seasonality!$C$79*AJ22)*(1-AJ72)*(1-AJ48)</f>
        <v/>
      </c>
      <c r="AK163" s="48">
        <f>MAX(AK23,AK21*Seasonality!$C$79*AK22)*(1-AK72)*(1-AK48)</f>
        <v/>
      </c>
      <c r="AL163" s="48">
        <f>MAX(AL23,AL21*Seasonality!$C$79*AL22)*(1-AL72)*(1-AL48)</f>
        <v/>
      </c>
      <c r="AM163" s="48">
        <f>MAX(AM23,AM21*Seasonality!$C$79*AM22)*(1-AM72)*(1-AM48)</f>
        <v/>
      </c>
      <c r="AN163" s="48">
        <f>MAX(AN23,AN21*Seasonality!$C$79*AN22)*(1-AN72)*(1-AN48)</f>
        <v/>
      </c>
      <c r="AO163" s="48">
        <f>MAX(AO23,AO21*Seasonality!$C$79*AO22)*(1-AO72)*(1-AO48)</f>
        <v/>
      </c>
      <c r="AP163" s="48">
        <f>MAX(AP23,AP21*Seasonality!$C$79*AP22)*(1-AP72)*(1-AP48)</f>
        <v/>
      </c>
      <c r="AQ163" s="48">
        <f>MAX(AQ23,AQ21*Seasonality!$C$79*AQ22)*(1-AQ72)*(1-AQ48)</f>
        <v/>
      </c>
      <c r="AR163" s="48">
        <f>MAX(AR23,AR21*Seasonality!$C$79*AR22)*(1-AR72)*(1-AR48)</f>
        <v/>
      </c>
      <c r="AS163" s="48">
        <f>MAX(AS23,AS21*Seasonality!$C$79*AS22)*(1-AS72)*(1-AS48)</f>
        <v/>
      </c>
      <c r="AT163" s="48">
        <f>MAX(AT23,AT21*Seasonality!$C$79*AT22)*(1-AT72)*(1-AT48)</f>
        <v/>
      </c>
      <c r="AU163" s="48">
        <f>MAX(AU23,AU21*Seasonality!$C$79*AU22)*(1-AU72)*(1-AU48)</f>
        <v/>
      </c>
      <c r="AV163" s="48">
        <f>MAX(AV23,AV21*Seasonality!$C$79*AV22)*(1-AV72)*(1-AV48)</f>
        <v/>
      </c>
    </row>
    <row r="164">
      <c r="B164" s="7" t="inlineStr">
        <is>
          <t>Revenue collected · month 44</t>
        </is>
      </c>
      <c r="C164" s="5" t="inlineStr">
        <is>
          <t>₹</t>
        </is>
      </c>
      <c r="D164" s="48">
        <f>MAX(D23,D21*Seasonality!$C$80*D22)*(1-D72)*(1-D48)</f>
        <v/>
      </c>
      <c r="E164" s="48">
        <f>MAX(E23,E21*Seasonality!$C$80*E22)*(1-E72)*(1-E48)</f>
        <v/>
      </c>
      <c r="F164" s="48">
        <f>MAX(F23,F21*Seasonality!$C$80*F22)*(1-F72)*(1-F48)</f>
        <v/>
      </c>
      <c r="G164" s="48">
        <f>MAX(G23,G21*Seasonality!$C$80*G22)*(1-G72)*(1-G48)</f>
        <v/>
      </c>
      <c r="H164" s="48">
        <f>MAX(H23,H21*Seasonality!$C$80*H22)*(1-H72)*(1-H48)</f>
        <v/>
      </c>
      <c r="I164" s="48">
        <f>MAX(I23,I21*Seasonality!$C$80*I22)*(1-I72)*(1-I48)</f>
        <v/>
      </c>
      <c r="J164" s="48">
        <f>MAX(J23,J21*Seasonality!$C$80*J22)*(1-J72)*(1-J48)</f>
        <v/>
      </c>
      <c r="K164" s="48">
        <f>MAX(K23,K21*Seasonality!$C$80*K22)*(1-K72)*(1-K48)</f>
        <v/>
      </c>
      <c r="L164" s="48">
        <f>MAX(L23,L21*Seasonality!$C$80*L22)*(1-L72)*(1-L48)</f>
        <v/>
      </c>
      <c r="M164" s="48">
        <f>MAX(M23,M21*Seasonality!$C$80*M22)*(1-M72)*(1-M48)</f>
        <v/>
      </c>
      <c r="N164" s="48">
        <f>MAX(N23,N21*Seasonality!$C$80*N22)*(1-N72)*(1-N48)</f>
        <v/>
      </c>
      <c r="O164" s="48">
        <f>MAX(O23,O21*Seasonality!$C$80*O22)*(1-O72)*(1-O48)</f>
        <v/>
      </c>
      <c r="P164" s="48">
        <f>MAX(P23,P21*Seasonality!$C$80*P22)*(1-P72)*(1-P48)</f>
        <v/>
      </c>
      <c r="Q164" s="48">
        <f>MAX(Q23,Q21*Seasonality!$C$80*Q22)*(1-Q72)*(1-Q48)</f>
        <v/>
      </c>
      <c r="R164" s="48">
        <f>MAX(R23,R21*Seasonality!$C$80*R22)*(1-R72)*(1-R48)</f>
        <v/>
      </c>
      <c r="S164" s="48">
        <f>MAX(S23,S21*Seasonality!$C$80*S22)*(1-S72)*(1-S48)</f>
        <v/>
      </c>
      <c r="T164" s="48">
        <f>MAX(T23,T21*Seasonality!$C$80*T22)*(1-T72)*(1-T48)</f>
        <v/>
      </c>
      <c r="U164" s="48">
        <f>MAX(U23,U21*Seasonality!$C$80*U22)*(1-U72)*(1-U48)</f>
        <v/>
      </c>
      <c r="V164" s="48">
        <f>MAX(V23,V21*Seasonality!$C$80*V22)*(1-V72)*(1-V48)</f>
        <v/>
      </c>
      <c r="W164" s="48">
        <f>MAX(W23,W21*Seasonality!$C$80*W22)*(1-W72)*(1-W48)</f>
        <v/>
      </c>
      <c r="X164" s="48">
        <f>MAX(X23,X21*Seasonality!$C$80*X22)*(1-X72)*(1-X48)</f>
        <v/>
      </c>
      <c r="Y164" s="48">
        <f>MAX(Y23,Y21*Seasonality!$C$80*Y22)*(1-Y72)*(1-Y48)</f>
        <v/>
      </c>
      <c r="Z164" s="48">
        <f>MAX(Z23,Z21*Seasonality!$C$80*Z22)*(1-Z72)*(1-Z48)</f>
        <v/>
      </c>
      <c r="AA164" s="48">
        <f>MAX(AA23,AA21*Seasonality!$C$80*AA22)*(1-AA72)*(1-AA48)</f>
        <v/>
      </c>
      <c r="AB164" s="48">
        <f>MAX(AB23,AB21*Seasonality!$C$80*AB22)*(1-AB72)*(1-AB48)</f>
        <v/>
      </c>
      <c r="AC164" s="48">
        <f>MAX(AC23,AC21*Seasonality!$C$80*AC22)*(1-AC72)*(1-AC48)</f>
        <v/>
      </c>
      <c r="AD164" s="48">
        <f>MAX(AD23,AD21*Seasonality!$C$80*AD22)*(1-AD72)*(1-AD48)</f>
        <v/>
      </c>
      <c r="AE164" s="48">
        <f>MAX(AE23,AE21*Seasonality!$C$80*AE22)*(1-AE72)*(1-AE48)</f>
        <v/>
      </c>
      <c r="AF164" s="48">
        <f>MAX(AF23,AF21*Seasonality!$C$80*AF22)*(1-AF72)*(1-AF48)</f>
        <v/>
      </c>
      <c r="AG164" s="48">
        <f>MAX(AG23,AG21*Seasonality!$C$80*AG22)*(1-AG72)*(1-AG48)</f>
        <v/>
      </c>
      <c r="AH164" s="48">
        <f>MAX(AH23,AH21*Seasonality!$C$80*AH22)*(1-AH72)*(1-AH48)</f>
        <v/>
      </c>
      <c r="AI164" s="48">
        <f>MAX(AI23,AI21*Seasonality!$C$80*AI22)*(1-AI72)*(1-AI48)</f>
        <v/>
      </c>
      <c r="AJ164" s="48">
        <f>MAX(AJ23,AJ21*Seasonality!$C$80*AJ22)*(1-AJ72)*(1-AJ48)</f>
        <v/>
      </c>
      <c r="AK164" s="48">
        <f>MAX(AK23,AK21*Seasonality!$C$80*AK22)*(1-AK72)*(1-AK48)</f>
        <v/>
      </c>
      <c r="AL164" s="48">
        <f>MAX(AL23,AL21*Seasonality!$C$80*AL22)*(1-AL72)*(1-AL48)</f>
        <v/>
      </c>
      <c r="AM164" s="48">
        <f>MAX(AM23,AM21*Seasonality!$C$80*AM22)*(1-AM72)*(1-AM48)</f>
        <v/>
      </c>
      <c r="AN164" s="48">
        <f>MAX(AN23,AN21*Seasonality!$C$80*AN22)*(1-AN72)*(1-AN48)</f>
        <v/>
      </c>
      <c r="AO164" s="48">
        <f>MAX(AO23,AO21*Seasonality!$C$80*AO22)*(1-AO72)*(1-AO48)</f>
        <v/>
      </c>
      <c r="AP164" s="48">
        <f>MAX(AP23,AP21*Seasonality!$C$80*AP22)*(1-AP72)*(1-AP48)</f>
        <v/>
      </c>
      <c r="AQ164" s="48">
        <f>MAX(AQ23,AQ21*Seasonality!$C$80*AQ22)*(1-AQ72)*(1-AQ48)</f>
        <v/>
      </c>
      <c r="AR164" s="48">
        <f>MAX(AR23,AR21*Seasonality!$C$80*AR22)*(1-AR72)*(1-AR48)</f>
        <v/>
      </c>
      <c r="AS164" s="48">
        <f>MAX(AS23,AS21*Seasonality!$C$80*AS22)*(1-AS72)*(1-AS48)</f>
        <v/>
      </c>
      <c r="AT164" s="48">
        <f>MAX(AT23,AT21*Seasonality!$C$80*AT22)*(1-AT72)*(1-AT48)</f>
        <v/>
      </c>
      <c r="AU164" s="48">
        <f>MAX(AU23,AU21*Seasonality!$C$80*AU22)*(1-AU72)*(1-AU48)</f>
        <v/>
      </c>
      <c r="AV164" s="48">
        <f>MAX(AV23,AV21*Seasonality!$C$80*AV22)*(1-AV72)*(1-AV48)</f>
        <v/>
      </c>
    </row>
    <row r="165">
      <c r="B165" s="7" t="inlineStr">
        <is>
          <t>Revenue collected · month 45</t>
        </is>
      </c>
      <c r="C165" s="5" t="inlineStr">
        <is>
          <t>₹</t>
        </is>
      </c>
      <c r="D165" s="48">
        <f>MAX(D23,D21*Seasonality!$C$81*D22)*(1-D72)*(1-D48)</f>
        <v/>
      </c>
      <c r="E165" s="48">
        <f>MAX(E23,E21*Seasonality!$C$81*E22)*(1-E72)*(1-E48)</f>
        <v/>
      </c>
      <c r="F165" s="48">
        <f>MAX(F23,F21*Seasonality!$C$81*F22)*(1-F72)*(1-F48)</f>
        <v/>
      </c>
      <c r="G165" s="48">
        <f>MAX(G23,G21*Seasonality!$C$81*G22)*(1-G72)*(1-G48)</f>
        <v/>
      </c>
      <c r="H165" s="48">
        <f>MAX(H23,H21*Seasonality!$C$81*H22)*(1-H72)*(1-H48)</f>
        <v/>
      </c>
      <c r="I165" s="48">
        <f>MAX(I23,I21*Seasonality!$C$81*I22)*(1-I72)*(1-I48)</f>
        <v/>
      </c>
      <c r="J165" s="48">
        <f>MAX(J23,J21*Seasonality!$C$81*J22)*(1-J72)*(1-J48)</f>
        <v/>
      </c>
      <c r="K165" s="48">
        <f>MAX(K23,K21*Seasonality!$C$81*K22)*(1-K72)*(1-K48)</f>
        <v/>
      </c>
      <c r="L165" s="48">
        <f>MAX(L23,L21*Seasonality!$C$81*L22)*(1-L72)*(1-L48)</f>
        <v/>
      </c>
      <c r="M165" s="48">
        <f>MAX(M23,M21*Seasonality!$C$81*M22)*(1-M72)*(1-M48)</f>
        <v/>
      </c>
      <c r="N165" s="48">
        <f>MAX(N23,N21*Seasonality!$C$81*N22)*(1-N72)*(1-N48)</f>
        <v/>
      </c>
      <c r="O165" s="48">
        <f>MAX(O23,O21*Seasonality!$C$81*O22)*(1-O72)*(1-O48)</f>
        <v/>
      </c>
      <c r="P165" s="48">
        <f>MAX(P23,P21*Seasonality!$C$81*P22)*(1-P72)*(1-P48)</f>
        <v/>
      </c>
      <c r="Q165" s="48">
        <f>MAX(Q23,Q21*Seasonality!$C$81*Q22)*(1-Q72)*(1-Q48)</f>
        <v/>
      </c>
      <c r="R165" s="48">
        <f>MAX(R23,R21*Seasonality!$C$81*R22)*(1-R72)*(1-R48)</f>
        <v/>
      </c>
      <c r="S165" s="48">
        <f>MAX(S23,S21*Seasonality!$C$81*S22)*(1-S72)*(1-S48)</f>
        <v/>
      </c>
      <c r="T165" s="48">
        <f>MAX(T23,T21*Seasonality!$C$81*T22)*(1-T72)*(1-T48)</f>
        <v/>
      </c>
      <c r="U165" s="48">
        <f>MAX(U23,U21*Seasonality!$C$81*U22)*(1-U72)*(1-U48)</f>
        <v/>
      </c>
      <c r="V165" s="48">
        <f>MAX(V23,V21*Seasonality!$C$81*V22)*(1-V72)*(1-V48)</f>
        <v/>
      </c>
      <c r="W165" s="48">
        <f>MAX(W23,W21*Seasonality!$C$81*W22)*(1-W72)*(1-W48)</f>
        <v/>
      </c>
      <c r="X165" s="48">
        <f>MAX(X23,X21*Seasonality!$C$81*X22)*(1-X72)*(1-X48)</f>
        <v/>
      </c>
      <c r="Y165" s="48">
        <f>MAX(Y23,Y21*Seasonality!$C$81*Y22)*(1-Y72)*(1-Y48)</f>
        <v/>
      </c>
      <c r="Z165" s="48">
        <f>MAX(Z23,Z21*Seasonality!$C$81*Z22)*(1-Z72)*(1-Z48)</f>
        <v/>
      </c>
      <c r="AA165" s="48">
        <f>MAX(AA23,AA21*Seasonality!$C$81*AA22)*(1-AA72)*(1-AA48)</f>
        <v/>
      </c>
      <c r="AB165" s="48">
        <f>MAX(AB23,AB21*Seasonality!$C$81*AB22)*(1-AB72)*(1-AB48)</f>
        <v/>
      </c>
      <c r="AC165" s="48">
        <f>MAX(AC23,AC21*Seasonality!$C$81*AC22)*(1-AC72)*(1-AC48)</f>
        <v/>
      </c>
      <c r="AD165" s="48">
        <f>MAX(AD23,AD21*Seasonality!$C$81*AD22)*(1-AD72)*(1-AD48)</f>
        <v/>
      </c>
      <c r="AE165" s="48">
        <f>MAX(AE23,AE21*Seasonality!$C$81*AE22)*(1-AE72)*(1-AE48)</f>
        <v/>
      </c>
      <c r="AF165" s="48">
        <f>MAX(AF23,AF21*Seasonality!$C$81*AF22)*(1-AF72)*(1-AF48)</f>
        <v/>
      </c>
      <c r="AG165" s="48">
        <f>MAX(AG23,AG21*Seasonality!$C$81*AG22)*(1-AG72)*(1-AG48)</f>
        <v/>
      </c>
      <c r="AH165" s="48">
        <f>MAX(AH23,AH21*Seasonality!$C$81*AH22)*(1-AH72)*(1-AH48)</f>
        <v/>
      </c>
      <c r="AI165" s="48">
        <f>MAX(AI23,AI21*Seasonality!$C$81*AI22)*(1-AI72)*(1-AI48)</f>
        <v/>
      </c>
      <c r="AJ165" s="48">
        <f>MAX(AJ23,AJ21*Seasonality!$C$81*AJ22)*(1-AJ72)*(1-AJ48)</f>
        <v/>
      </c>
      <c r="AK165" s="48">
        <f>MAX(AK23,AK21*Seasonality!$C$81*AK22)*(1-AK72)*(1-AK48)</f>
        <v/>
      </c>
      <c r="AL165" s="48">
        <f>MAX(AL23,AL21*Seasonality!$C$81*AL22)*(1-AL72)*(1-AL48)</f>
        <v/>
      </c>
      <c r="AM165" s="48">
        <f>MAX(AM23,AM21*Seasonality!$C$81*AM22)*(1-AM72)*(1-AM48)</f>
        <v/>
      </c>
      <c r="AN165" s="48">
        <f>MAX(AN23,AN21*Seasonality!$C$81*AN22)*(1-AN72)*(1-AN48)</f>
        <v/>
      </c>
      <c r="AO165" s="48">
        <f>MAX(AO23,AO21*Seasonality!$C$81*AO22)*(1-AO72)*(1-AO48)</f>
        <v/>
      </c>
      <c r="AP165" s="48">
        <f>MAX(AP23,AP21*Seasonality!$C$81*AP22)*(1-AP72)*(1-AP48)</f>
        <v/>
      </c>
      <c r="AQ165" s="48">
        <f>MAX(AQ23,AQ21*Seasonality!$C$81*AQ22)*(1-AQ72)*(1-AQ48)</f>
        <v/>
      </c>
      <c r="AR165" s="48">
        <f>MAX(AR23,AR21*Seasonality!$C$81*AR22)*(1-AR72)*(1-AR48)</f>
        <v/>
      </c>
      <c r="AS165" s="48">
        <f>MAX(AS23,AS21*Seasonality!$C$81*AS22)*(1-AS72)*(1-AS48)</f>
        <v/>
      </c>
      <c r="AT165" s="48">
        <f>MAX(AT23,AT21*Seasonality!$C$81*AT22)*(1-AT72)*(1-AT48)</f>
        <v/>
      </c>
      <c r="AU165" s="48">
        <f>MAX(AU23,AU21*Seasonality!$C$81*AU22)*(1-AU72)*(1-AU48)</f>
        <v/>
      </c>
      <c r="AV165" s="48">
        <f>MAX(AV23,AV21*Seasonality!$C$81*AV22)*(1-AV72)*(1-AV48)</f>
        <v/>
      </c>
    </row>
    <row r="166">
      <c r="B166" s="7" t="inlineStr">
        <is>
          <t>Revenue collected · month 46</t>
        </is>
      </c>
      <c r="C166" s="5" t="inlineStr">
        <is>
          <t>₹</t>
        </is>
      </c>
      <c r="D166" s="48">
        <f>MAX(D23,D21*Seasonality!$C$82*D22)*(1-D72)*(1-D48)</f>
        <v/>
      </c>
      <c r="E166" s="48">
        <f>MAX(E23,E21*Seasonality!$C$82*E22)*(1-E72)*(1-E48)</f>
        <v/>
      </c>
      <c r="F166" s="48">
        <f>MAX(F23,F21*Seasonality!$C$82*F22)*(1-F72)*(1-F48)</f>
        <v/>
      </c>
      <c r="G166" s="48">
        <f>MAX(G23,G21*Seasonality!$C$82*G22)*(1-G72)*(1-G48)</f>
        <v/>
      </c>
      <c r="H166" s="48">
        <f>MAX(H23,H21*Seasonality!$C$82*H22)*(1-H72)*(1-H48)</f>
        <v/>
      </c>
      <c r="I166" s="48">
        <f>MAX(I23,I21*Seasonality!$C$82*I22)*(1-I72)*(1-I48)</f>
        <v/>
      </c>
      <c r="J166" s="48">
        <f>MAX(J23,J21*Seasonality!$C$82*J22)*(1-J72)*(1-J48)</f>
        <v/>
      </c>
      <c r="K166" s="48">
        <f>MAX(K23,K21*Seasonality!$C$82*K22)*(1-K72)*(1-K48)</f>
        <v/>
      </c>
      <c r="L166" s="48">
        <f>MAX(L23,L21*Seasonality!$C$82*L22)*(1-L72)*(1-L48)</f>
        <v/>
      </c>
      <c r="M166" s="48">
        <f>MAX(M23,M21*Seasonality!$C$82*M22)*(1-M72)*(1-M48)</f>
        <v/>
      </c>
      <c r="N166" s="48">
        <f>MAX(N23,N21*Seasonality!$C$82*N22)*(1-N72)*(1-N48)</f>
        <v/>
      </c>
      <c r="O166" s="48">
        <f>MAX(O23,O21*Seasonality!$C$82*O22)*(1-O72)*(1-O48)</f>
        <v/>
      </c>
      <c r="P166" s="48">
        <f>MAX(P23,P21*Seasonality!$C$82*P22)*(1-P72)*(1-P48)</f>
        <v/>
      </c>
      <c r="Q166" s="48">
        <f>MAX(Q23,Q21*Seasonality!$C$82*Q22)*(1-Q72)*(1-Q48)</f>
        <v/>
      </c>
      <c r="R166" s="48">
        <f>MAX(R23,R21*Seasonality!$C$82*R22)*(1-R72)*(1-R48)</f>
        <v/>
      </c>
      <c r="S166" s="48">
        <f>MAX(S23,S21*Seasonality!$C$82*S22)*(1-S72)*(1-S48)</f>
        <v/>
      </c>
      <c r="T166" s="48">
        <f>MAX(T23,T21*Seasonality!$C$82*T22)*(1-T72)*(1-T48)</f>
        <v/>
      </c>
      <c r="U166" s="48">
        <f>MAX(U23,U21*Seasonality!$C$82*U22)*(1-U72)*(1-U48)</f>
        <v/>
      </c>
      <c r="V166" s="48">
        <f>MAX(V23,V21*Seasonality!$C$82*V22)*(1-V72)*(1-V48)</f>
        <v/>
      </c>
      <c r="W166" s="48">
        <f>MAX(W23,W21*Seasonality!$C$82*W22)*(1-W72)*(1-W48)</f>
        <v/>
      </c>
      <c r="X166" s="48">
        <f>MAX(X23,X21*Seasonality!$C$82*X22)*(1-X72)*(1-X48)</f>
        <v/>
      </c>
      <c r="Y166" s="48">
        <f>MAX(Y23,Y21*Seasonality!$C$82*Y22)*(1-Y72)*(1-Y48)</f>
        <v/>
      </c>
      <c r="Z166" s="48">
        <f>MAX(Z23,Z21*Seasonality!$C$82*Z22)*(1-Z72)*(1-Z48)</f>
        <v/>
      </c>
      <c r="AA166" s="48">
        <f>MAX(AA23,AA21*Seasonality!$C$82*AA22)*(1-AA72)*(1-AA48)</f>
        <v/>
      </c>
      <c r="AB166" s="48">
        <f>MAX(AB23,AB21*Seasonality!$C$82*AB22)*(1-AB72)*(1-AB48)</f>
        <v/>
      </c>
      <c r="AC166" s="48">
        <f>MAX(AC23,AC21*Seasonality!$C$82*AC22)*(1-AC72)*(1-AC48)</f>
        <v/>
      </c>
      <c r="AD166" s="48">
        <f>MAX(AD23,AD21*Seasonality!$C$82*AD22)*(1-AD72)*(1-AD48)</f>
        <v/>
      </c>
      <c r="AE166" s="48">
        <f>MAX(AE23,AE21*Seasonality!$C$82*AE22)*(1-AE72)*(1-AE48)</f>
        <v/>
      </c>
      <c r="AF166" s="48">
        <f>MAX(AF23,AF21*Seasonality!$C$82*AF22)*(1-AF72)*(1-AF48)</f>
        <v/>
      </c>
      <c r="AG166" s="48">
        <f>MAX(AG23,AG21*Seasonality!$C$82*AG22)*(1-AG72)*(1-AG48)</f>
        <v/>
      </c>
      <c r="AH166" s="48">
        <f>MAX(AH23,AH21*Seasonality!$C$82*AH22)*(1-AH72)*(1-AH48)</f>
        <v/>
      </c>
      <c r="AI166" s="48">
        <f>MAX(AI23,AI21*Seasonality!$C$82*AI22)*(1-AI72)*(1-AI48)</f>
        <v/>
      </c>
      <c r="AJ166" s="48">
        <f>MAX(AJ23,AJ21*Seasonality!$C$82*AJ22)*(1-AJ72)*(1-AJ48)</f>
        <v/>
      </c>
      <c r="AK166" s="48">
        <f>MAX(AK23,AK21*Seasonality!$C$82*AK22)*(1-AK72)*(1-AK48)</f>
        <v/>
      </c>
      <c r="AL166" s="48">
        <f>MAX(AL23,AL21*Seasonality!$C$82*AL22)*(1-AL72)*(1-AL48)</f>
        <v/>
      </c>
      <c r="AM166" s="48">
        <f>MAX(AM23,AM21*Seasonality!$C$82*AM22)*(1-AM72)*(1-AM48)</f>
        <v/>
      </c>
      <c r="AN166" s="48">
        <f>MAX(AN23,AN21*Seasonality!$C$82*AN22)*(1-AN72)*(1-AN48)</f>
        <v/>
      </c>
      <c r="AO166" s="48">
        <f>MAX(AO23,AO21*Seasonality!$C$82*AO22)*(1-AO72)*(1-AO48)</f>
        <v/>
      </c>
      <c r="AP166" s="48">
        <f>MAX(AP23,AP21*Seasonality!$C$82*AP22)*(1-AP72)*(1-AP48)</f>
        <v/>
      </c>
      <c r="AQ166" s="48">
        <f>MAX(AQ23,AQ21*Seasonality!$C$82*AQ22)*(1-AQ72)*(1-AQ48)</f>
        <v/>
      </c>
      <c r="AR166" s="48">
        <f>MAX(AR23,AR21*Seasonality!$C$82*AR22)*(1-AR72)*(1-AR48)</f>
        <v/>
      </c>
      <c r="AS166" s="48">
        <f>MAX(AS23,AS21*Seasonality!$C$82*AS22)*(1-AS72)*(1-AS48)</f>
        <v/>
      </c>
      <c r="AT166" s="48">
        <f>MAX(AT23,AT21*Seasonality!$C$82*AT22)*(1-AT72)*(1-AT48)</f>
        <v/>
      </c>
      <c r="AU166" s="48">
        <f>MAX(AU23,AU21*Seasonality!$C$82*AU22)*(1-AU72)*(1-AU48)</f>
        <v/>
      </c>
      <c r="AV166" s="48">
        <f>MAX(AV23,AV21*Seasonality!$C$82*AV22)*(1-AV72)*(1-AV48)</f>
        <v/>
      </c>
    </row>
    <row r="167">
      <c r="B167" s="7" t="inlineStr">
        <is>
          <t>Revenue collected · month 47</t>
        </is>
      </c>
      <c r="C167" s="5" t="inlineStr">
        <is>
          <t>₹</t>
        </is>
      </c>
      <c r="D167" s="48">
        <f>MAX(D23,D21*Seasonality!$C$83*D22)*(1-D72)*(1-D48)</f>
        <v/>
      </c>
      <c r="E167" s="48">
        <f>MAX(E23,E21*Seasonality!$C$83*E22)*(1-E72)*(1-E48)</f>
        <v/>
      </c>
      <c r="F167" s="48">
        <f>MAX(F23,F21*Seasonality!$C$83*F22)*(1-F72)*(1-F48)</f>
        <v/>
      </c>
      <c r="G167" s="48">
        <f>MAX(G23,G21*Seasonality!$C$83*G22)*(1-G72)*(1-G48)</f>
        <v/>
      </c>
      <c r="H167" s="48">
        <f>MAX(H23,H21*Seasonality!$C$83*H22)*(1-H72)*(1-H48)</f>
        <v/>
      </c>
      <c r="I167" s="48">
        <f>MAX(I23,I21*Seasonality!$C$83*I22)*(1-I72)*(1-I48)</f>
        <v/>
      </c>
      <c r="J167" s="48">
        <f>MAX(J23,J21*Seasonality!$C$83*J22)*(1-J72)*(1-J48)</f>
        <v/>
      </c>
      <c r="K167" s="48">
        <f>MAX(K23,K21*Seasonality!$C$83*K22)*(1-K72)*(1-K48)</f>
        <v/>
      </c>
      <c r="L167" s="48">
        <f>MAX(L23,L21*Seasonality!$C$83*L22)*(1-L72)*(1-L48)</f>
        <v/>
      </c>
      <c r="M167" s="48">
        <f>MAX(M23,M21*Seasonality!$C$83*M22)*(1-M72)*(1-M48)</f>
        <v/>
      </c>
      <c r="N167" s="48">
        <f>MAX(N23,N21*Seasonality!$C$83*N22)*(1-N72)*(1-N48)</f>
        <v/>
      </c>
      <c r="O167" s="48">
        <f>MAX(O23,O21*Seasonality!$C$83*O22)*(1-O72)*(1-O48)</f>
        <v/>
      </c>
      <c r="P167" s="48">
        <f>MAX(P23,P21*Seasonality!$C$83*P22)*(1-P72)*(1-P48)</f>
        <v/>
      </c>
      <c r="Q167" s="48">
        <f>MAX(Q23,Q21*Seasonality!$C$83*Q22)*(1-Q72)*(1-Q48)</f>
        <v/>
      </c>
      <c r="R167" s="48">
        <f>MAX(R23,R21*Seasonality!$C$83*R22)*(1-R72)*(1-R48)</f>
        <v/>
      </c>
      <c r="S167" s="48">
        <f>MAX(S23,S21*Seasonality!$C$83*S22)*(1-S72)*(1-S48)</f>
        <v/>
      </c>
      <c r="T167" s="48">
        <f>MAX(T23,T21*Seasonality!$C$83*T22)*(1-T72)*(1-T48)</f>
        <v/>
      </c>
      <c r="U167" s="48">
        <f>MAX(U23,U21*Seasonality!$C$83*U22)*(1-U72)*(1-U48)</f>
        <v/>
      </c>
      <c r="V167" s="48">
        <f>MAX(V23,V21*Seasonality!$C$83*V22)*(1-V72)*(1-V48)</f>
        <v/>
      </c>
      <c r="W167" s="48">
        <f>MAX(W23,W21*Seasonality!$C$83*W22)*(1-W72)*(1-W48)</f>
        <v/>
      </c>
      <c r="X167" s="48">
        <f>MAX(X23,X21*Seasonality!$C$83*X22)*(1-X72)*(1-X48)</f>
        <v/>
      </c>
      <c r="Y167" s="48">
        <f>MAX(Y23,Y21*Seasonality!$C$83*Y22)*(1-Y72)*(1-Y48)</f>
        <v/>
      </c>
      <c r="Z167" s="48">
        <f>MAX(Z23,Z21*Seasonality!$C$83*Z22)*(1-Z72)*(1-Z48)</f>
        <v/>
      </c>
      <c r="AA167" s="48">
        <f>MAX(AA23,AA21*Seasonality!$C$83*AA22)*(1-AA72)*(1-AA48)</f>
        <v/>
      </c>
      <c r="AB167" s="48">
        <f>MAX(AB23,AB21*Seasonality!$C$83*AB22)*(1-AB72)*(1-AB48)</f>
        <v/>
      </c>
      <c r="AC167" s="48">
        <f>MAX(AC23,AC21*Seasonality!$C$83*AC22)*(1-AC72)*(1-AC48)</f>
        <v/>
      </c>
      <c r="AD167" s="48">
        <f>MAX(AD23,AD21*Seasonality!$C$83*AD22)*(1-AD72)*(1-AD48)</f>
        <v/>
      </c>
      <c r="AE167" s="48">
        <f>MAX(AE23,AE21*Seasonality!$C$83*AE22)*(1-AE72)*(1-AE48)</f>
        <v/>
      </c>
      <c r="AF167" s="48">
        <f>MAX(AF23,AF21*Seasonality!$C$83*AF22)*(1-AF72)*(1-AF48)</f>
        <v/>
      </c>
      <c r="AG167" s="48">
        <f>MAX(AG23,AG21*Seasonality!$C$83*AG22)*(1-AG72)*(1-AG48)</f>
        <v/>
      </c>
      <c r="AH167" s="48">
        <f>MAX(AH23,AH21*Seasonality!$C$83*AH22)*(1-AH72)*(1-AH48)</f>
        <v/>
      </c>
      <c r="AI167" s="48">
        <f>MAX(AI23,AI21*Seasonality!$C$83*AI22)*(1-AI72)*(1-AI48)</f>
        <v/>
      </c>
      <c r="AJ167" s="48">
        <f>MAX(AJ23,AJ21*Seasonality!$C$83*AJ22)*(1-AJ72)*(1-AJ48)</f>
        <v/>
      </c>
      <c r="AK167" s="48">
        <f>MAX(AK23,AK21*Seasonality!$C$83*AK22)*(1-AK72)*(1-AK48)</f>
        <v/>
      </c>
      <c r="AL167" s="48">
        <f>MAX(AL23,AL21*Seasonality!$C$83*AL22)*(1-AL72)*(1-AL48)</f>
        <v/>
      </c>
      <c r="AM167" s="48">
        <f>MAX(AM23,AM21*Seasonality!$C$83*AM22)*(1-AM72)*(1-AM48)</f>
        <v/>
      </c>
      <c r="AN167" s="48">
        <f>MAX(AN23,AN21*Seasonality!$C$83*AN22)*(1-AN72)*(1-AN48)</f>
        <v/>
      </c>
      <c r="AO167" s="48">
        <f>MAX(AO23,AO21*Seasonality!$C$83*AO22)*(1-AO72)*(1-AO48)</f>
        <v/>
      </c>
      <c r="AP167" s="48">
        <f>MAX(AP23,AP21*Seasonality!$C$83*AP22)*(1-AP72)*(1-AP48)</f>
        <v/>
      </c>
      <c r="AQ167" s="48">
        <f>MAX(AQ23,AQ21*Seasonality!$C$83*AQ22)*(1-AQ72)*(1-AQ48)</f>
        <v/>
      </c>
      <c r="AR167" s="48">
        <f>MAX(AR23,AR21*Seasonality!$C$83*AR22)*(1-AR72)*(1-AR48)</f>
        <v/>
      </c>
      <c r="AS167" s="48">
        <f>MAX(AS23,AS21*Seasonality!$C$83*AS22)*(1-AS72)*(1-AS48)</f>
        <v/>
      </c>
      <c r="AT167" s="48">
        <f>MAX(AT23,AT21*Seasonality!$C$83*AT22)*(1-AT72)*(1-AT48)</f>
        <v/>
      </c>
      <c r="AU167" s="48">
        <f>MAX(AU23,AU21*Seasonality!$C$83*AU22)*(1-AU72)*(1-AU48)</f>
        <v/>
      </c>
      <c r="AV167" s="48">
        <f>MAX(AV23,AV21*Seasonality!$C$83*AV22)*(1-AV72)*(1-AV48)</f>
        <v/>
      </c>
    </row>
    <row r="168">
      <c r="B168" s="7" t="inlineStr">
        <is>
          <t>Revenue collected · month 48</t>
        </is>
      </c>
      <c r="C168" s="5" t="inlineStr">
        <is>
          <t>₹</t>
        </is>
      </c>
      <c r="D168" s="48">
        <f>MAX(D23,D21*Seasonality!$C$84*D22)*(1-D72)*(1-D48)</f>
        <v/>
      </c>
      <c r="E168" s="48">
        <f>MAX(E23,E21*Seasonality!$C$84*E22)*(1-E72)*(1-E48)</f>
        <v/>
      </c>
      <c r="F168" s="48">
        <f>MAX(F23,F21*Seasonality!$C$84*F22)*(1-F72)*(1-F48)</f>
        <v/>
      </c>
      <c r="G168" s="48">
        <f>MAX(G23,G21*Seasonality!$C$84*G22)*(1-G72)*(1-G48)</f>
        <v/>
      </c>
      <c r="H168" s="48">
        <f>MAX(H23,H21*Seasonality!$C$84*H22)*(1-H72)*(1-H48)</f>
        <v/>
      </c>
      <c r="I168" s="48">
        <f>MAX(I23,I21*Seasonality!$C$84*I22)*(1-I72)*(1-I48)</f>
        <v/>
      </c>
      <c r="J168" s="48">
        <f>MAX(J23,J21*Seasonality!$C$84*J22)*(1-J72)*(1-J48)</f>
        <v/>
      </c>
      <c r="K168" s="48">
        <f>MAX(K23,K21*Seasonality!$C$84*K22)*(1-K72)*(1-K48)</f>
        <v/>
      </c>
      <c r="L168" s="48">
        <f>MAX(L23,L21*Seasonality!$C$84*L22)*(1-L72)*(1-L48)</f>
        <v/>
      </c>
      <c r="M168" s="48">
        <f>MAX(M23,M21*Seasonality!$C$84*M22)*(1-M72)*(1-M48)</f>
        <v/>
      </c>
      <c r="N168" s="48">
        <f>MAX(N23,N21*Seasonality!$C$84*N22)*(1-N72)*(1-N48)</f>
        <v/>
      </c>
      <c r="O168" s="48">
        <f>MAX(O23,O21*Seasonality!$C$84*O22)*(1-O72)*(1-O48)</f>
        <v/>
      </c>
      <c r="P168" s="48">
        <f>MAX(P23,P21*Seasonality!$C$84*P22)*(1-P72)*(1-P48)</f>
        <v/>
      </c>
      <c r="Q168" s="48">
        <f>MAX(Q23,Q21*Seasonality!$C$84*Q22)*(1-Q72)*(1-Q48)</f>
        <v/>
      </c>
      <c r="R168" s="48">
        <f>MAX(R23,R21*Seasonality!$C$84*R22)*(1-R72)*(1-R48)</f>
        <v/>
      </c>
      <c r="S168" s="48">
        <f>MAX(S23,S21*Seasonality!$C$84*S22)*(1-S72)*(1-S48)</f>
        <v/>
      </c>
      <c r="T168" s="48">
        <f>MAX(T23,T21*Seasonality!$C$84*T22)*(1-T72)*(1-T48)</f>
        <v/>
      </c>
      <c r="U168" s="48">
        <f>MAX(U23,U21*Seasonality!$C$84*U22)*(1-U72)*(1-U48)</f>
        <v/>
      </c>
      <c r="V168" s="48">
        <f>MAX(V23,V21*Seasonality!$C$84*V22)*(1-V72)*(1-V48)</f>
        <v/>
      </c>
      <c r="W168" s="48">
        <f>MAX(W23,W21*Seasonality!$C$84*W22)*(1-W72)*(1-W48)</f>
        <v/>
      </c>
      <c r="X168" s="48">
        <f>MAX(X23,X21*Seasonality!$C$84*X22)*(1-X72)*(1-X48)</f>
        <v/>
      </c>
      <c r="Y168" s="48">
        <f>MAX(Y23,Y21*Seasonality!$C$84*Y22)*(1-Y72)*(1-Y48)</f>
        <v/>
      </c>
      <c r="Z168" s="48">
        <f>MAX(Z23,Z21*Seasonality!$C$84*Z22)*(1-Z72)*(1-Z48)</f>
        <v/>
      </c>
      <c r="AA168" s="48">
        <f>MAX(AA23,AA21*Seasonality!$C$84*AA22)*(1-AA72)*(1-AA48)</f>
        <v/>
      </c>
      <c r="AB168" s="48">
        <f>MAX(AB23,AB21*Seasonality!$C$84*AB22)*(1-AB72)*(1-AB48)</f>
        <v/>
      </c>
      <c r="AC168" s="48">
        <f>MAX(AC23,AC21*Seasonality!$C$84*AC22)*(1-AC72)*(1-AC48)</f>
        <v/>
      </c>
      <c r="AD168" s="48">
        <f>MAX(AD23,AD21*Seasonality!$C$84*AD22)*(1-AD72)*(1-AD48)</f>
        <v/>
      </c>
      <c r="AE168" s="48">
        <f>MAX(AE23,AE21*Seasonality!$C$84*AE22)*(1-AE72)*(1-AE48)</f>
        <v/>
      </c>
      <c r="AF168" s="48">
        <f>MAX(AF23,AF21*Seasonality!$C$84*AF22)*(1-AF72)*(1-AF48)</f>
        <v/>
      </c>
      <c r="AG168" s="48">
        <f>MAX(AG23,AG21*Seasonality!$C$84*AG22)*(1-AG72)*(1-AG48)</f>
        <v/>
      </c>
      <c r="AH168" s="48">
        <f>MAX(AH23,AH21*Seasonality!$C$84*AH22)*(1-AH72)*(1-AH48)</f>
        <v/>
      </c>
      <c r="AI168" s="48">
        <f>MAX(AI23,AI21*Seasonality!$C$84*AI22)*(1-AI72)*(1-AI48)</f>
        <v/>
      </c>
      <c r="AJ168" s="48">
        <f>MAX(AJ23,AJ21*Seasonality!$C$84*AJ22)*(1-AJ72)*(1-AJ48)</f>
        <v/>
      </c>
      <c r="AK168" s="48">
        <f>MAX(AK23,AK21*Seasonality!$C$84*AK22)*(1-AK72)*(1-AK48)</f>
        <v/>
      </c>
      <c r="AL168" s="48">
        <f>MAX(AL23,AL21*Seasonality!$C$84*AL22)*(1-AL72)*(1-AL48)</f>
        <v/>
      </c>
      <c r="AM168" s="48">
        <f>MAX(AM23,AM21*Seasonality!$C$84*AM22)*(1-AM72)*(1-AM48)</f>
        <v/>
      </c>
      <c r="AN168" s="48">
        <f>MAX(AN23,AN21*Seasonality!$C$84*AN22)*(1-AN72)*(1-AN48)</f>
        <v/>
      </c>
      <c r="AO168" s="48">
        <f>MAX(AO23,AO21*Seasonality!$C$84*AO22)*(1-AO72)*(1-AO48)</f>
        <v/>
      </c>
      <c r="AP168" s="48">
        <f>MAX(AP23,AP21*Seasonality!$C$84*AP22)*(1-AP72)*(1-AP48)</f>
        <v/>
      </c>
      <c r="AQ168" s="48">
        <f>MAX(AQ23,AQ21*Seasonality!$C$84*AQ22)*(1-AQ72)*(1-AQ48)</f>
        <v/>
      </c>
      <c r="AR168" s="48">
        <f>MAX(AR23,AR21*Seasonality!$C$84*AR22)*(1-AR72)*(1-AR48)</f>
        <v/>
      </c>
      <c r="AS168" s="48">
        <f>MAX(AS23,AS21*Seasonality!$C$84*AS22)*(1-AS72)*(1-AS48)</f>
        <v/>
      </c>
      <c r="AT168" s="48">
        <f>MAX(AT23,AT21*Seasonality!$C$84*AT22)*(1-AT72)*(1-AT48)</f>
        <v/>
      </c>
      <c r="AU168" s="48">
        <f>MAX(AU23,AU21*Seasonality!$C$84*AU22)*(1-AU72)*(1-AU48)</f>
        <v/>
      </c>
      <c r="AV168" s="48">
        <f>MAX(AV23,AV21*Seasonality!$C$84*AV22)*(1-AV72)*(1-AV48)</f>
        <v/>
      </c>
    </row>
    <row r="169">
      <c r="B169" s="7" t="inlineStr">
        <is>
          <t>Revenue collected · month 49</t>
        </is>
      </c>
      <c r="C169" s="5" t="inlineStr">
        <is>
          <t>₹</t>
        </is>
      </c>
      <c r="D169" s="48">
        <f>MAX(D23,D21*Seasonality!$C$85*D22)*(1-D72)*(1-D48)</f>
        <v/>
      </c>
      <c r="E169" s="48">
        <f>MAX(E23,E21*Seasonality!$C$85*E22)*(1-E72)*(1-E48)</f>
        <v/>
      </c>
      <c r="F169" s="48">
        <f>MAX(F23,F21*Seasonality!$C$85*F22)*(1-F72)*(1-F48)</f>
        <v/>
      </c>
      <c r="G169" s="48">
        <f>MAX(G23,G21*Seasonality!$C$85*G22)*(1-G72)*(1-G48)</f>
        <v/>
      </c>
      <c r="H169" s="48">
        <f>MAX(H23,H21*Seasonality!$C$85*H22)*(1-H72)*(1-H48)</f>
        <v/>
      </c>
      <c r="I169" s="48">
        <f>MAX(I23,I21*Seasonality!$C$85*I22)*(1-I72)*(1-I48)</f>
        <v/>
      </c>
      <c r="J169" s="48">
        <f>MAX(J23,J21*Seasonality!$C$85*J22)*(1-J72)*(1-J48)</f>
        <v/>
      </c>
      <c r="K169" s="48">
        <f>MAX(K23,K21*Seasonality!$C$85*K22)*(1-K72)*(1-K48)</f>
        <v/>
      </c>
      <c r="L169" s="48">
        <f>MAX(L23,L21*Seasonality!$C$85*L22)*(1-L72)*(1-L48)</f>
        <v/>
      </c>
      <c r="M169" s="48">
        <f>MAX(M23,M21*Seasonality!$C$85*M22)*(1-M72)*(1-M48)</f>
        <v/>
      </c>
      <c r="N169" s="48">
        <f>MAX(N23,N21*Seasonality!$C$85*N22)*(1-N72)*(1-N48)</f>
        <v/>
      </c>
      <c r="O169" s="48">
        <f>MAX(O23,O21*Seasonality!$C$85*O22)*(1-O72)*(1-O48)</f>
        <v/>
      </c>
      <c r="P169" s="48">
        <f>MAX(P23,P21*Seasonality!$C$85*P22)*(1-P72)*(1-P48)</f>
        <v/>
      </c>
      <c r="Q169" s="48">
        <f>MAX(Q23,Q21*Seasonality!$C$85*Q22)*(1-Q72)*(1-Q48)</f>
        <v/>
      </c>
      <c r="R169" s="48">
        <f>MAX(R23,R21*Seasonality!$C$85*R22)*(1-R72)*(1-R48)</f>
        <v/>
      </c>
      <c r="S169" s="48">
        <f>MAX(S23,S21*Seasonality!$C$85*S22)*(1-S72)*(1-S48)</f>
        <v/>
      </c>
      <c r="T169" s="48">
        <f>MAX(T23,T21*Seasonality!$C$85*T22)*(1-T72)*(1-T48)</f>
        <v/>
      </c>
      <c r="U169" s="48">
        <f>MAX(U23,U21*Seasonality!$C$85*U22)*(1-U72)*(1-U48)</f>
        <v/>
      </c>
      <c r="V169" s="48">
        <f>MAX(V23,V21*Seasonality!$C$85*V22)*(1-V72)*(1-V48)</f>
        <v/>
      </c>
      <c r="W169" s="48">
        <f>MAX(W23,W21*Seasonality!$C$85*W22)*(1-W72)*(1-W48)</f>
        <v/>
      </c>
      <c r="X169" s="48">
        <f>MAX(X23,X21*Seasonality!$C$85*X22)*(1-X72)*(1-X48)</f>
        <v/>
      </c>
      <c r="Y169" s="48">
        <f>MAX(Y23,Y21*Seasonality!$C$85*Y22)*(1-Y72)*(1-Y48)</f>
        <v/>
      </c>
      <c r="Z169" s="48">
        <f>MAX(Z23,Z21*Seasonality!$C$85*Z22)*(1-Z72)*(1-Z48)</f>
        <v/>
      </c>
      <c r="AA169" s="48">
        <f>MAX(AA23,AA21*Seasonality!$C$85*AA22)*(1-AA72)*(1-AA48)</f>
        <v/>
      </c>
      <c r="AB169" s="48">
        <f>MAX(AB23,AB21*Seasonality!$C$85*AB22)*(1-AB72)*(1-AB48)</f>
        <v/>
      </c>
      <c r="AC169" s="48">
        <f>MAX(AC23,AC21*Seasonality!$C$85*AC22)*(1-AC72)*(1-AC48)</f>
        <v/>
      </c>
      <c r="AD169" s="48">
        <f>MAX(AD23,AD21*Seasonality!$C$85*AD22)*(1-AD72)*(1-AD48)</f>
        <v/>
      </c>
      <c r="AE169" s="48">
        <f>MAX(AE23,AE21*Seasonality!$C$85*AE22)*(1-AE72)*(1-AE48)</f>
        <v/>
      </c>
      <c r="AF169" s="48">
        <f>MAX(AF23,AF21*Seasonality!$C$85*AF22)*(1-AF72)*(1-AF48)</f>
        <v/>
      </c>
      <c r="AG169" s="48">
        <f>MAX(AG23,AG21*Seasonality!$C$85*AG22)*(1-AG72)*(1-AG48)</f>
        <v/>
      </c>
      <c r="AH169" s="48">
        <f>MAX(AH23,AH21*Seasonality!$C$85*AH22)*(1-AH72)*(1-AH48)</f>
        <v/>
      </c>
      <c r="AI169" s="48">
        <f>MAX(AI23,AI21*Seasonality!$C$85*AI22)*(1-AI72)*(1-AI48)</f>
        <v/>
      </c>
      <c r="AJ169" s="48">
        <f>MAX(AJ23,AJ21*Seasonality!$C$85*AJ22)*(1-AJ72)*(1-AJ48)</f>
        <v/>
      </c>
      <c r="AK169" s="48">
        <f>MAX(AK23,AK21*Seasonality!$C$85*AK22)*(1-AK72)*(1-AK48)</f>
        <v/>
      </c>
      <c r="AL169" s="48">
        <f>MAX(AL23,AL21*Seasonality!$C$85*AL22)*(1-AL72)*(1-AL48)</f>
        <v/>
      </c>
      <c r="AM169" s="48">
        <f>MAX(AM23,AM21*Seasonality!$C$85*AM22)*(1-AM72)*(1-AM48)</f>
        <v/>
      </c>
      <c r="AN169" s="48">
        <f>MAX(AN23,AN21*Seasonality!$C$85*AN22)*(1-AN72)*(1-AN48)</f>
        <v/>
      </c>
      <c r="AO169" s="48">
        <f>MAX(AO23,AO21*Seasonality!$C$85*AO22)*(1-AO72)*(1-AO48)</f>
        <v/>
      </c>
      <c r="AP169" s="48">
        <f>MAX(AP23,AP21*Seasonality!$C$85*AP22)*(1-AP72)*(1-AP48)</f>
        <v/>
      </c>
      <c r="AQ169" s="48">
        <f>MAX(AQ23,AQ21*Seasonality!$C$85*AQ22)*(1-AQ72)*(1-AQ48)</f>
        <v/>
      </c>
      <c r="AR169" s="48">
        <f>MAX(AR23,AR21*Seasonality!$C$85*AR22)*(1-AR72)*(1-AR48)</f>
        <v/>
      </c>
      <c r="AS169" s="48">
        <f>MAX(AS23,AS21*Seasonality!$C$85*AS22)*(1-AS72)*(1-AS48)</f>
        <v/>
      </c>
      <c r="AT169" s="48">
        <f>MAX(AT23,AT21*Seasonality!$C$85*AT22)*(1-AT72)*(1-AT48)</f>
        <v/>
      </c>
      <c r="AU169" s="48">
        <f>MAX(AU23,AU21*Seasonality!$C$85*AU22)*(1-AU72)*(1-AU48)</f>
        <v/>
      </c>
      <c r="AV169" s="48">
        <f>MAX(AV23,AV21*Seasonality!$C$85*AV22)*(1-AV72)*(1-AV48)</f>
        <v/>
      </c>
    </row>
    <row r="170">
      <c r="B170" s="7" t="inlineStr">
        <is>
          <t>Revenue collected · month 50</t>
        </is>
      </c>
      <c r="C170" s="5" t="inlineStr">
        <is>
          <t>₹</t>
        </is>
      </c>
      <c r="D170" s="48">
        <f>MAX(D23,D21*Seasonality!$C$86*D22)*(1-D72)*(1-D48)</f>
        <v/>
      </c>
      <c r="E170" s="48">
        <f>MAX(E23,E21*Seasonality!$C$86*E22)*(1-E72)*(1-E48)</f>
        <v/>
      </c>
      <c r="F170" s="48">
        <f>MAX(F23,F21*Seasonality!$C$86*F22)*(1-F72)*(1-F48)</f>
        <v/>
      </c>
      <c r="G170" s="48">
        <f>MAX(G23,G21*Seasonality!$C$86*G22)*(1-G72)*(1-G48)</f>
        <v/>
      </c>
      <c r="H170" s="48">
        <f>MAX(H23,H21*Seasonality!$C$86*H22)*(1-H72)*(1-H48)</f>
        <v/>
      </c>
      <c r="I170" s="48">
        <f>MAX(I23,I21*Seasonality!$C$86*I22)*(1-I72)*(1-I48)</f>
        <v/>
      </c>
      <c r="J170" s="48">
        <f>MAX(J23,J21*Seasonality!$C$86*J22)*(1-J72)*(1-J48)</f>
        <v/>
      </c>
      <c r="K170" s="48">
        <f>MAX(K23,K21*Seasonality!$C$86*K22)*(1-K72)*(1-K48)</f>
        <v/>
      </c>
      <c r="L170" s="48">
        <f>MAX(L23,L21*Seasonality!$C$86*L22)*(1-L72)*(1-L48)</f>
        <v/>
      </c>
      <c r="M170" s="48">
        <f>MAX(M23,M21*Seasonality!$C$86*M22)*(1-M72)*(1-M48)</f>
        <v/>
      </c>
      <c r="N170" s="48">
        <f>MAX(N23,N21*Seasonality!$C$86*N22)*(1-N72)*(1-N48)</f>
        <v/>
      </c>
      <c r="O170" s="48">
        <f>MAX(O23,O21*Seasonality!$C$86*O22)*(1-O72)*(1-O48)</f>
        <v/>
      </c>
      <c r="P170" s="48">
        <f>MAX(P23,P21*Seasonality!$C$86*P22)*(1-P72)*(1-P48)</f>
        <v/>
      </c>
      <c r="Q170" s="48">
        <f>MAX(Q23,Q21*Seasonality!$C$86*Q22)*(1-Q72)*(1-Q48)</f>
        <v/>
      </c>
      <c r="R170" s="48">
        <f>MAX(R23,R21*Seasonality!$C$86*R22)*(1-R72)*(1-R48)</f>
        <v/>
      </c>
      <c r="S170" s="48">
        <f>MAX(S23,S21*Seasonality!$C$86*S22)*(1-S72)*(1-S48)</f>
        <v/>
      </c>
      <c r="T170" s="48">
        <f>MAX(T23,T21*Seasonality!$C$86*T22)*(1-T72)*(1-T48)</f>
        <v/>
      </c>
      <c r="U170" s="48">
        <f>MAX(U23,U21*Seasonality!$C$86*U22)*(1-U72)*(1-U48)</f>
        <v/>
      </c>
      <c r="V170" s="48">
        <f>MAX(V23,V21*Seasonality!$C$86*V22)*(1-V72)*(1-V48)</f>
        <v/>
      </c>
      <c r="W170" s="48">
        <f>MAX(W23,W21*Seasonality!$C$86*W22)*(1-W72)*(1-W48)</f>
        <v/>
      </c>
      <c r="X170" s="48">
        <f>MAX(X23,X21*Seasonality!$C$86*X22)*(1-X72)*(1-X48)</f>
        <v/>
      </c>
      <c r="Y170" s="48">
        <f>MAX(Y23,Y21*Seasonality!$C$86*Y22)*(1-Y72)*(1-Y48)</f>
        <v/>
      </c>
      <c r="Z170" s="48">
        <f>MAX(Z23,Z21*Seasonality!$C$86*Z22)*(1-Z72)*(1-Z48)</f>
        <v/>
      </c>
      <c r="AA170" s="48">
        <f>MAX(AA23,AA21*Seasonality!$C$86*AA22)*(1-AA72)*(1-AA48)</f>
        <v/>
      </c>
      <c r="AB170" s="48">
        <f>MAX(AB23,AB21*Seasonality!$C$86*AB22)*(1-AB72)*(1-AB48)</f>
        <v/>
      </c>
      <c r="AC170" s="48">
        <f>MAX(AC23,AC21*Seasonality!$C$86*AC22)*(1-AC72)*(1-AC48)</f>
        <v/>
      </c>
      <c r="AD170" s="48">
        <f>MAX(AD23,AD21*Seasonality!$C$86*AD22)*(1-AD72)*(1-AD48)</f>
        <v/>
      </c>
      <c r="AE170" s="48">
        <f>MAX(AE23,AE21*Seasonality!$C$86*AE22)*(1-AE72)*(1-AE48)</f>
        <v/>
      </c>
      <c r="AF170" s="48">
        <f>MAX(AF23,AF21*Seasonality!$C$86*AF22)*(1-AF72)*(1-AF48)</f>
        <v/>
      </c>
      <c r="AG170" s="48">
        <f>MAX(AG23,AG21*Seasonality!$C$86*AG22)*(1-AG72)*(1-AG48)</f>
        <v/>
      </c>
      <c r="AH170" s="48">
        <f>MAX(AH23,AH21*Seasonality!$C$86*AH22)*(1-AH72)*(1-AH48)</f>
        <v/>
      </c>
      <c r="AI170" s="48">
        <f>MAX(AI23,AI21*Seasonality!$C$86*AI22)*(1-AI72)*(1-AI48)</f>
        <v/>
      </c>
      <c r="AJ170" s="48">
        <f>MAX(AJ23,AJ21*Seasonality!$C$86*AJ22)*(1-AJ72)*(1-AJ48)</f>
        <v/>
      </c>
      <c r="AK170" s="48">
        <f>MAX(AK23,AK21*Seasonality!$C$86*AK22)*(1-AK72)*(1-AK48)</f>
        <v/>
      </c>
      <c r="AL170" s="48">
        <f>MAX(AL23,AL21*Seasonality!$C$86*AL22)*(1-AL72)*(1-AL48)</f>
        <v/>
      </c>
      <c r="AM170" s="48">
        <f>MAX(AM23,AM21*Seasonality!$C$86*AM22)*(1-AM72)*(1-AM48)</f>
        <v/>
      </c>
      <c r="AN170" s="48">
        <f>MAX(AN23,AN21*Seasonality!$C$86*AN22)*(1-AN72)*(1-AN48)</f>
        <v/>
      </c>
      <c r="AO170" s="48">
        <f>MAX(AO23,AO21*Seasonality!$C$86*AO22)*(1-AO72)*(1-AO48)</f>
        <v/>
      </c>
      <c r="AP170" s="48">
        <f>MAX(AP23,AP21*Seasonality!$C$86*AP22)*(1-AP72)*(1-AP48)</f>
        <v/>
      </c>
      <c r="AQ170" s="48">
        <f>MAX(AQ23,AQ21*Seasonality!$C$86*AQ22)*(1-AQ72)*(1-AQ48)</f>
        <v/>
      </c>
      <c r="AR170" s="48">
        <f>MAX(AR23,AR21*Seasonality!$C$86*AR22)*(1-AR72)*(1-AR48)</f>
        <v/>
      </c>
      <c r="AS170" s="48">
        <f>MAX(AS23,AS21*Seasonality!$C$86*AS22)*(1-AS72)*(1-AS48)</f>
        <v/>
      </c>
      <c r="AT170" s="48">
        <f>MAX(AT23,AT21*Seasonality!$C$86*AT22)*(1-AT72)*(1-AT48)</f>
        <v/>
      </c>
      <c r="AU170" s="48">
        <f>MAX(AU23,AU21*Seasonality!$C$86*AU22)*(1-AU72)*(1-AU48)</f>
        <v/>
      </c>
      <c r="AV170" s="48">
        <f>MAX(AV23,AV21*Seasonality!$C$86*AV22)*(1-AV72)*(1-AV48)</f>
        <v/>
      </c>
    </row>
    <row r="171">
      <c r="B171" s="7" t="inlineStr">
        <is>
          <t>Revenue collected · month 51</t>
        </is>
      </c>
      <c r="C171" s="5" t="inlineStr">
        <is>
          <t>₹</t>
        </is>
      </c>
      <c r="D171" s="48">
        <f>MAX(D23,D21*Seasonality!$C$87*D22)*(1-D72)*(1-D48)</f>
        <v/>
      </c>
      <c r="E171" s="48">
        <f>MAX(E23,E21*Seasonality!$C$87*E22)*(1-E72)*(1-E48)</f>
        <v/>
      </c>
      <c r="F171" s="48">
        <f>MAX(F23,F21*Seasonality!$C$87*F22)*(1-F72)*(1-F48)</f>
        <v/>
      </c>
      <c r="G171" s="48">
        <f>MAX(G23,G21*Seasonality!$C$87*G22)*(1-G72)*(1-G48)</f>
        <v/>
      </c>
      <c r="H171" s="48">
        <f>MAX(H23,H21*Seasonality!$C$87*H22)*(1-H72)*(1-H48)</f>
        <v/>
      </c>
      <c r="I171" s="48">
        <f>MAX(I23,I21*Seasonality!$C$87*I22)*(1-I72)*(1-I48)</f>
        <v/>
      </c>
      <c r="J171" s="48">
        <f>MAX(J23,J21*Seasonality!$C$87*J22)*(1-J72)*(1-J48)</f>
        <v/>
      </c>
      <c r="K171" s="48">
        <f>MAX(K23,K21*Seasonality!$C$87*K22)*(1-K72)*(1-K48)</f>
        <v/>
      </c>
      <c r="L171" s="48">
        <f>MAX(L23,L21*Seasonality!$C$87*L22)*(1-L72)*(1-L48)</f>
        <v/>
      </c>
      <c r="M171" s="48">
        <f>MAX(M23,M21*Seasonality!$C$87*M22)*(1-M72)*(1-M48)</f>
        <v/>
      </c>
      <c r="N171" s="48">
        <f>MAX(N23,N21*Seasonality!$C$87*N22)*(1-N72)*(1-N48)</f>
        <v/>
      </c>
      <c r="O171" s="48">
        <f>MAX(O23,O21*Seasonality!$C$87*O22)*(1-O72)*(1-O48)</f>
        <v/>
      </c>
      <c r="P171" s="48">
        <f>MAX(P23,P21*Seasonality!$C$87*P22)*(1-P72)*(1-P48)</f>
        <v/>
      </c>
      <c r="Q171" s="48">
        <f>MAX(Q23,Q21*Seasonality!$C$87*Q22)*(1-Q72)*(1-Q48)</f>
        <v/>
      </c>
      <c r="R171" s="48">
        <f>MAX(R23,R21*Seasonality!$C$87*R22)*(1-R72)*(1-R48)</f>
        <v/>
      </c>
      <c r="S171" s="48">
        <f>MAX(S23,S21*Seasonality!$C$87*S22)*(1-S72)*(1-S48)</f>
        <v/>
      </c>
      <c r="T171" s="48">
        <f>MAX(T23,T21*Seasonality!$C$87*T22)*(1-T72)*(1-T48)</f>
        <v/>
      </c>
      <c r="U171" s="48">
        <f>MAX(U23,U21*Seasonality!$C$87*U22)*(1-U72)*(1-U48)</f>
        <v/>
      </c>
      <c r="V171" s="48">
        <f>MAX(V23,V21*Seasonality!$C$87*V22)*(1-V72)*(1-V48)</f>
        <v/>
      </c>
      <c r="W171" s="48">
        <f>MAX(W23,W21*Seasonality!$C$87*W22)*(1-W72)*(1-W48)</f>
        <v/>
      </c>
      <c r="X171" s="48">
        <f>MAX(X23,X21*Seasonality!$C$87*X22)*(1-X72)*(1-X48)</f>
        <v/>
      </c>
      <c r="Y171" s="48">
        <f>MAX(Y23,Y21*Seasonality!$C$87*Y22)*(1-Y72)*(1-Y48)</f>
        <v/>
      </c>
      <c r="Z171" s="48">
        <f>MAX(Z23,Z21*Seasonality!$C$87*Z22)*(1-Z72)*(1-Z48)</f>
        <v/>
      </c>
      <c r="AA171" s="48">
        <f>MAX(AA23,AA21*Seasonality!$C$87*AA22)*(1-AA72)*(1-AA48)</f>
        <v/>
      </c>
      <c r="AB171" s="48">
        <f>MAX(AB23,AB21*Seasonality!$C$87*AB22)*(1-AB72)*(1-AB48)</f>
        <v/>
      </c>
      <c r="AC171" s="48">
        <f>MAX(AC23,AC21*Seasonality!$C$87*AC22)*(1-AC72)*(1-AC48)</f>
        <v/>
      </c>
      <c r="AD171" s="48">
        <f>MAX(AD23,AD21*Seasonality!$C$87*AD22)*(1-AD72)*(1-AD48)</f>
        <v/>
      </c>
      <c r="AE171" s="48">
        <f>MAX(AE23,AE21*Seasonality!$C$87*AE22)*(1-AE72)*(1-AE48)</f>
        <v/>
      </c>
      <c r="AF171" s="48">
        <f>MAX(AF23,AF21*Seasonality!$C$87*AF22)*(1-AF72)*(1-AF48)</f>
        <v/>
      </c>
      <c r="AG171" s="48">
        <f>MAX(AG23,AG21*Seasonality!$C$87*AG22)*(1-AG72)*(1-AG48)</f>
        <v/>
      </c>
      <c r="AH171" s="48">
        <f>MAX(AH23,AH21*Seasonality!$C$87*AH22)*(1-AH72)*(1-AH48)</f>
        <v/>
      </c>
      <c r="AI171" s="48">
        <f>MAX(AI23,AI21*Seasonality!$C$87*AI22)*(1-AI72)*(1-AI48)</f>
        <v/>
      </c>
      <c r="AJ171" s="48">
        <f>MAX(AJ23,AJ21*Seasonality!$C$87*AJ22)*(1-AJ72)*(1-AJ48)</f>
        <v/>
      </c>
      <c r="AK171" s="48">
        <f>MAX(AK23,AK21*Seasonality!$C$87*AK22)*(1-AK72)*(1-AK48)</f>
        <v/>
      </c>
      <c r="AL171" s="48">
        <f>MAX(AL23,AL21*Seasonality!$C$87*AL22)*(1-AL72)*(1-AL48)</f>
        <v/>
      </c>
      <c r="AM171" s="48">
        <f>MAX(AM23,AM21*Seasonality!$C$87*AM22)*(1-AM72)*(1-AM48)</f>
        <v/>
      </c>
      <c r="AN171" s="48">
        <f>MAX(AN23,AN21*Seasonality!$C$87*AN22)*(1-AN72)*(1-AN48)</f>
        <v/>
      </c>
      <c r="AO171" s="48">
        <f>MAX(AO23,AO21*Seasonality!$C$87*AO22)*(1-AO72)*(1-AO48)</f>
        <v/>
      </c>
      <c r="AP171" s="48">
        <f>MAX(AP23,AP21*Seasonality!$C$87*AP22)*(1-AP72)*(1-AP48)</f>
        <v/>
      </c>
      <c r="AQ171" s="48">
        <f>MAX(AQ23,AQ21*Seasonality!$C$87*AQ22)*(1-AQ72)*(1-AQ48)</f>
        <v/>
      </c>
      <c r="AR171" s="48">
        <f>MAX(AR23,AR21*Seasonality!$C$87*AR22)*(1-AR72)*(1-AR48)</f>
        <v/>
      </c>
      <c r="AS171" s="48">
        <f>MAX(AS23,AS21*Seasonality!$C$87*AS22)*(1-AS72)*(1-AS48)</f>
        <v/>
      </c>
      <c r="AT171" s="48">
        <f>MAX(AT23,AT21*Seasonality!$C$87*AT22)*(1-AT72)*(1-AT48)</f>
        <v/>
      </c>
      <c r="AU171" s="48">
        <f>MAX(AU23,AU21*Seasonality!$C$87*AU22)*(1-AU72)*(1-AU48)</f>
        <v/>
      </c>
      <c r="AV171" s="48">
        <f>MAX(AV23,AV21*Seasonality!$C$87*AV22)*(1-AV72)*(1-AV48)</f>
        <v/>
      </c>
    </row>
    <row r="172">
      <c r="B172" s="7" t="inlineStr">
        <is>
          <t>Revenue collected · month 52</t>
        </is>
      </c>
      <c r="C172" s="5" t="inlineStr">
        <is>
          <t>₹</t>
        </is>
      </c>
      <c r="D172" s="48">
        <f>MAX(D23,D21*Seasonality!$C$88*D22)*(1-D72)*(1-D48)</f>
        <v/>
      </c>
      <c r="E172" s="48">
        <f>MAX(E23,E21*Seasonality!$C$88*E22)*(1-E72)*(1-E48)</f>
        <v/>
      </c>
      <c r="F172" s="48">
        <f>MAX(F23,F21*Seasonality!$C$88*F22)*(1-F72)*(1-F48)</f>
        <v/>
      </c>
      <c r="G172" s="48">
        <f>MAX(G23,G21*Seasonality!$C$88*G22)*(1-G72)*(1-G48)</f>
        <v/>
      </c>
      <c r="H172" s="48">
        <f>MAX(H23,H21*Seasonality!$C$88*H22)*(1-H72)*(1-H48)</f>
        <v/>
      </c>
      <c r="I172" s="48">
        <f>MAX(I23,I21*Seasonality!$C$88*I22)*(1-I72)*(1-I48)</f>
        <v/>
      </c>
      <c r="J172" s="48">
        <f>MAX(J23,J21*Seasonality!$C$88*J22)*(1-J72)*(1-J48)</f>
        <v/>
      </c>
      <c r="K172" s="48">
        <f>MAX(K23,K21*Seasonality!$C$88*K22)*(1-K72)*(1-K48)</f>
        <v/>
      </c>
      <c r="L172" s="48">
        <f>MAX(L23,L21*Seasonality!$C$88*L22)*(1-L72)*(1-L48)</f>
        <v/>
      </c>
      <c r="M172" s="48">
        <f>MAX(M23,M21*Seasonality!$C$88*M22)*(1-M72)*(1-M48)</f>
        <v/>
      </c>
      <c r="N172" s="48">
        <f>MAX(N23,N21*Seasonality!$C$88*N22)*(1-N72)*(1-N48)</f>
        <v/>
      </c>
      <c r="O172" s="48">
        <f>MAX(O23,O21*Seasonality!$C$88*O22)*(1-O72)*(1-O48)</f>
        <v/>
      </c>
      <c r="P172" s="48">
        <f>MAX(P23,P21*Seasonality!$C$88*P22)*(1-P72)*(1-P48)</f>
        <v/>
      </c>
      <c r="Q172" s="48">
        <f>MAX(Q23,Q21*Seasonality!$C$88*Q22)*(1-Q72)*(1-Q48)</f>
        <v/>
      </c>
      <c r="R172" s="48">
        <f>MAX(R23,R21*Seasonality!$C$88*R22)*(1-R72)*(1-R48)</f>
        <v/>
      </c>
      <c r="S172" s="48">
        <f>MAX(S23,S21*Seasonality!$C$88*S22)*(1-S72)*(1-S48)</f>
        <v/>
      </c>
      <c r="T172" s="48">
        <f>MAX(T23,T21*Seasonality!$C$88*T22)*(1-T72)*(1-T48)</f>
        <v/>
      </c>
      <c r="U172" s="48">
        <f>MAX(U23,U21*Seasonality!$C$88*U22)*(1-U72)*(1-U48)</f>
        <v/>
      </c>
      <c r="V172" s="48">
        <f>MAX(V23,V21*Seasonality!$C$88*V22)*(1-V72)*(1-V48)</f>
        <v/>
      </c>
      <c r="W172" s="48">
        <f>MAX(W23,W21*Seasonality!$C$88*W22)*(1-W72)*(1-W48)</f>
        <v/>
      </c>
      <c r="X172" s="48">
        <f>MAX(X23,X21*Seasonality!$C$88*X22)*(1-X72)*(1-X48)</f>
        <v/>
      </c>
      <c r="Y172" s="48">
        <f>MAX(Y23,Y21*Seasonality!$C$88*Y22)*(1-Y72)*(1-Y48)</f>
        <v/>
      </c>
      <c r="Z172" s="48">
        <f>MAX(Z23,Z21*Seasonality!$C$88*Z22)*(1-Z72)*(1-Z48)</f>
        <v/>
      </c>
      <c r="AA172" s="48">
        <f>MAX(AA23,AA21*Seasonality!$C$88*AA22)*(1-AA72)*(1-AA48)</f>
        <v/>
      </c>
      <c r="AB172" s="48">
        <f>MAX(AB23,AB21*Seasonality!$C$88*AB22)*(1-AB72)*(1-AB48)</f>
        <v/>
      </c>
      <c r="AC172" s="48">
        <f>MAX(AC23,AC21*Seasonality!$C$88*AC22)*(1-AC72)*(1-AC48)</f>
        <v/>
      </c>
      <c r="AD172" s="48">
        <f>MAX(AD23,AD21*Seasonality!$C$88*AD22)*(1-AD72)*(1-AD48)</f>
        <v/>
      </c>
      <c r="AE172" s="48">
        <f>MAX(AE23,AE21*Seasonality!$C$88*AE22)*(1-AE72)*(1-AE48)</f>
        <v/>
      </c>
      <c r="AF172" s="48">
        <f>MAX(AF23,AF21*Seasonality!$C$88*AF22)*(1-AF72)*(1-AF48)</f>
        <v/>
      </c>
      <c r="AG172" s="48">
        <f>MAX(AG23,AG21*Seasonality!$C$88*AG22)*(1-AG72)*(1-AG48)</f>
        <v/>
      </c>
      <c r="AH172" s="48">
        <f>MAX(AH23,AH21*Seasonality!$C$88*AH22)*(1-AH72)*(1-AH48)</f>
        <v/>
      </c>
      <c r="AI172" s="48">
        <f>MAX(AI23,AI21*Seasonality!$C$88*AI22)*(1-AI72)*(1-AI48)</f>
        <v/>
      </c>
      <c r="AJ172" s="48">
        <f>MAX(AJ23,AJ21*Seasonality!$C$88*AJ22)*(1-AJ72)*(1-AJ48)</f>
        <v/>
      </c>
      <c r="AK172" s="48">
        <f>MAX(AK23,AK21*Seasonality!$C$88*AK22)*(1-AK72)*(1-AK48)</f>
        <v/>
      </c>
      <c r="AL172" s="48">
        <f>MAX(AL23,AL21*Seasonality!$C$88*AL22)*(1-AL72)*(1-AL48)</f>
        <v/>
      </c>
      <c r="AM172" s="48">
        <f>MAX(AM23,AM21*Seasonality!$C$88*AM22)*(1-AM72)*(1-AM48)</f>
        <v/>
      </c>
      <c r="AN172" s="48">
        <f>MAX(AN23,AN21*Seasonality!$C$88*AN22)*(1-AN72)*(1-AN48)</f>
        <v/>
      </c>
      <c r="AO172" s="48">
        <f>MAX(AO23,AO21*Seasonality!$C$88*AO22)*(1-AO72)*(1-AO48)</f>
        <v/>
      </c>
      <c r="AP172" s="48">
        <f>MAX(AP23,AP21*Seasonality!$C$88*AP22)*(1-AP72)*(1-AP48)</f>
        <v/>
      </c>
      <c r="AQ172" s="48">
        <f>MAX(AQ23,AQ21*Seasonality!$C$88*AQ22)*(1-AQ72)*(1-AQ48)</f>
        <v/>
      </c>
      <c r="AR172" s="48">
        <f>MAX(AR23,AR21*Seasonality!$C$88*AR22)*(1-AR72)*(1-AR48)</f>
        <v/>
      </c>
      <c r="AS172" s="48">
        <f>MAX(AS23,AS21*Seasonality!$C$88*AS22)*(1-AS72)*(1-AS48)</f>
        <v/>
      </c>
      <c r="AT172" s="48">
        <f>MAX(AT23,AT21*Seasonality!$C$88*AT22)*(1-AT72)*(1-AT48)</f>
        <v/>
      </c>
      <c r="AU172" s="48">
        <f>MAX(AU23,AU21*Seasonality!$C$88*AU22)*(1-AU72)*(1-AU48)</f>
        <v/>
      </c>
      <c r="AV172" s="48">
        <f>MAX(AV23,AV21*Seasonality!$C$88*AV22)*(1-AV72)*(1-AV48)</f>
        <v/>
      </c>
    </row>
    <row r="173">
      <c r="B173" s="7" t="inlineStr">
        <is>
          <t>Revenue collected · month 53</t>
        </is>
      </c>
      <c r="C173" s="5" t="inlineStr">
        <is>
          <t>₹</t>
        </is>
      </c>
      <c r="D173" s="48">
        <f>MAX(D23,D21*Seasonality!$C$89*D22)*(1-D72)*(1-D48)</f>
        <v/>
      </c>
      <c r="E173" s="48">
        <f>MAX(E23,E21*Seasonality!$C$89*E22)*(1-E72)*(1-E48)</f>
        <v/>
      </c>
      <c r="F173" s="48">
        <f>MAX(F23,F21*Seasonality!$C$89*F22)*(1-F72)*(1-F48)</f>
        <v/>
      </c>
      <c r="G173" s="48">
        <f>MAX(G23,G21*Seasonality!$C$89*G22)*(1-G72)*(1-G48)</f>
        <v/>
      </c>
      <c r="H173" s="48">
        <f>MAX(H23,H21*Seasonality!$C$89*H22)*(1-H72)*(1-H48)</f>
        <v/>
      </c>
      <c r="I173" s="48">
        <f>MAX(I23,I21*Seasonality!$C$89*I22)*(1-I72)*(1-I48)</f>
        <v/>
      </c>
      <c r="J173" s="48">
        <f>MAX(J23,J21*Seasonality!$C$89*J22)*(1-J72)*(1-J48)</f>
        <v/>
      </c>
      <c r="K173" s="48">
        <f>MAX(K23,K21*Seasonality!$C$89*K22)*(1-K72)*(1-K48)</f>
        <v/>
      </c>
      <c r="L173" s="48">
        <f>MAX(L23,L21*Seasonality!$C$89*L22)*(1-L72)*(1-L48)</f>
        <v/>
      </c>
      <c r="M173" s="48">
        <f>MAX(M23,M21*Seasonality!$C$89*M22)*(1-M72)*(1-M48)</f>
        <v/>
      </c>
      <c r="N173" s="48">
        <f>MAX(N23,N21*Seasonality!$C$89*N22)*(1-N72)*(1-N48)</f>
        <v/>
      </c>
      <c r="O173" s="48">
        <f>MAX(O23,O21*Seasonality!$C$89*O22)*(1-O72)*(1-O48)</f>
        <v/>
      </c>
      <c r="P173" s="48">
        <f>MAX(P23,P21*Seasonality!$C$89*P22)*(1-P72)*(1-P48)</f>
        <v/>
      </c>
      <c r="Q173" s="48">
        <f>MAX(Q23,Q21*Seasonality!$C$89*Q22)*(1-Q72)*(1-Q48)</f>
        <v/>
      </c>
      <c r="R173" s="48">
        <f>MAX(R23,R21*Seasonality!$C$89*R22)*(1-R72)*(1-R48)</f>
        <v/>
      </c>
      <c r="S173" s="48">
        <f>MAX(S23,S21*Seasonality!$C$89*S22)*(1-S72)*(1-S48)</f>
        <v/>
      </c>
      <c r="T173" s="48">
        <f>MAX(T23,T21*Seasonality!$C$89*T22)*(1-T72)*(1-T48)</f>
        <v/>
      </c>
      <c r="U173" s="48">
        <f>MAX(U23,U21*Seasonality!$C$89*U22)*(1-U72)*(1-U48)</f>
        <v/>
      </c>
      <c r="V173" s="48">
        <f>MAX(V23,V21*Seasonality!$C$89*V22)*(1-V72)*(1-V48)</f>
        <v/>
      </c>
      <c r="W173" s="48">
        <f>MAX(W23,W21*Seasonality!$C$89*W22)*(1-W72)*(1-W48)</f>
        <v/>
      </c>
      <c r="X173" s="48">
        <f>MAX(X23,X21*Seasonality!$C$89*X22)*(1-X72)*(1-X48)</f>
        <v/>
      </c>
      <c r="Y173" s="48">
        <f>MAX(Y23,Y21*Seasonality!$C$89*Y22)*(1-Y72)*(1-Y48)</f>
        <v/>
      </c>
      <c r="Z173" s="48">
        <f>MAX(Z23,Z21*Seasonality!$C$89*Z22)*(1-Z72)*(1-Z48)</f>
        <v/>
      </c>
      <c r="AA173" s="48">
        <f>MAX(AA23,AA21*Seasonality!$C$89*AA22)*(1-AA72)*(1-AA48)</f>
        <v/>
      </c>
      <c r="AB173" s="48">
        <f>MAX(AB23,AB21*Seasonality!$C$89*AB22)*(1-AB72)*(1-AB48)</f>
        <v/>
      </c>
      <c r="AC173" s="48">
        <f>MAX(AC23,AC21*Seasonality!$C$89*AC22)*(1-AC72)*(1-AC48)</f>
        <v/>
      </c>
      <c r="AD173" s="48">
        <f>MAX(AD23,AD21*Seasonality!$C$89*AD22)*(1-AD72)*(1-AD48)</f>
        <v/>
      </c>
      <c r="AE173" s="48">
        <f>MAX(AE23,AE21*Seasonality!$C$89*AE22)*(1-AE72)*(1-AE48)</f>
        <v/>
      </c>
      <c r="AF173" s="48">
        <f>MAX(AF23,AF21*Seasonality!$C$89*AF22)*(1-AF72)*(1-AF48)</f>
        <v/>
      </c>
      <c r="AG173" s="48">
        <f>MAX(AG23,AG21*Seasonality!$C$89*AG22)*(1-AG72)*(1-AG48)</f>
        <v/>
      </c>
      <c r="AH173" s="48">
        <f>MAX(AH23,AH21*Seasonality!$C$89*AH22)*(1-AH72)*(1-AH48)</f>
        <v/>
      </c>
      <c r="AI173" s="48">
        <f>MAX(AI23,AI21*Seasonality!$C$89*AI22)*(1-AI72)*(1-AI48)</f>
        <v/>
      </c>
      <c r="AJ173" s="48">
        <f>MAX(AJ23,AJ21*Seasonality!$C$89*AJ22)*(1-AJ72)*(1-AJ48)</f>
        <v/>
      </c>
      <c r="AK173" s="48">
        <f>MAX(AK23,AK21*Seasonality!$C$89*AK22)*(1-AK72)*(1-AK48)</f>
        <v/>
      </c>
      <c r="AL173" s="48">
        <f>MAX(AL23,AL21*Seasonality!$C$89*AL22)*(1-AL72)*(1-AL48)</f>
        <v/>
      </c>
      <c r="AM173" s="48">
        <f>MAX(AM23,AM21*Seasonality!$C$89*AM22)*(1-AM72)*(1-AM48)</f>
        <v/>
      </c>
      <c r="AN173" s="48">
        <f>MAX(AN23,AN21*Seasonality!$C$89*AN22)*(1-AN72)*(1-AN48)</f>
        <v/>
      </c>
      <c r="AO173" s="48">
        <f>MAX(AO23,AO21*Seasonality!$C$89*AO22)*(1-AO72)*(1-AO48)</f>
        <v/>
      </c>
      <c r="AP173" s="48">
        <f>MAX(AP23,AP21*Seasonality!$C$89*AP22)*(1-AP72)*(1-AP48)</f>
        <v/>
      </c>
      <c r="AQ173" s="48">
        <f>MAX(AQ23,AQ21*Seasonality!$C$89*AQ22)*(1-AQ72)*(1-AQ48)</f>
        <v/>
      </c>
      <c r="AR173" s="48">
        <f>MAX(AR23,AR21*Seasonality!$C$89*AR22)*(1-AR72)*(1-AR48)</f>
        <v/>
      </c>
      <c r="AS173" s="48">
        <f>MAX(AS23,AS21*Seasonality!$C$89*AS22)*(1-AS72)*(1-AS48)</f>
        <v/>
      </c>
      <c r="AT173" s="48">
        <f>MAX(AT23,AT21*Seasonality!$C$89*AT22)*(1-AT72)*(1-AT48)</f>
        <v/>
      </c>
      <c r="AU173" s="48">
        <f>MAX(AU23,AU21*Seasonality!$C$89*AU22)*(1-AU72)*(1-AU48)</f>
        <v/>
      </c>
      <c r="AV173" s="48">
        <f>MAX(AV23,AV21*Seasonality!$C$89*AV22)*(1-AV72)*(1-AV48)</f>
        <v/>
      </c>
    </row>
    <row r="174">
      <c r="B174" s="7" t="inlineStr">
        <is>
          <t>Revenue collected · month 54</t>
        </is>
      </c>
      <c r="C174" s="5" t="inlineStr">
        <is>
          <t>₹</t>
        </is>
      </c>
      <c r="D174" s="48">
        <f>MAX(D23,D21*Seasonality!$C$90*D22)*(1-D72)*(1-D48)</f>
        <v/>
      </c>
      <c r="E174" s="48">
        <f>MAX(E23,E21*Seasonality!$C$90*E22)*(1-E72)*(1-E48)</f>
        <v/>
      </c>
      <c r="F174" s="48">
        <f>MAX(F23,F21*Seasonality!$C$90*F22)*(1-F72)*(1-F48)</f>
        <v/>
      </c>
      <c r="G174" s="48">
        <f>MAX(G23,G21*Seasonality!$C$90*G22)*(1-G72)*(1-G48)</f>
        <v/>
      </c>
      <c r="H174" s="48">
        <f>MAX(H23,H21*Seasonality!$C$90*H22)*(1-H72)*(1-H48)</f>
        <v/>
      </c>
      <c r="I174" s="48">
        <f>MAX(I23,I21*Seasonality!$C$90*I22)*(1-I72)*(1-I48)</f>
        <v/>
      </c>
      <c r="J174" s="48">
        <f>MAX(J23,J21*Seasonality!$C$90*J22)*(1-J72)*(1-J48)</f>
        <v/>
      </c>
      <c r="K174" s="48">
        <f>MAX(K23,K21*Seasonality!$C$90*K22)*(1-K72)*(1-K48)</f>
        <v/>
      </c>
      <c r="L174" s="48">
        <f>MAX(L23,L21*Seasonality!$C$90*L22)*(1-L72)*(1-L48)</f>
        <v/>
      </c>
      <c r="M174" s="48">
        <f>MAX(M23,M21*Seasonality!$C$90*M22)*(1-M72)*(1-M48)</f>
        <v/>
      </c>
      <c r="N174" s="48">
        <f>MAX(N23,N21*Seasonality!$C$90*N22)*(1-N72)*(1-N48)</f>
        <v/>
      </c>
      <c r="O174" s="48">
        <f>MAX(O23,O21*Seasonality!$C$90*O22)*(1-O72)*(1-O48)</f>
        <v/>
      </c>
      <c r="P174" s="48">
        <f>MAX(P23,P21*Seasonality!$C$90*P22)*(1-P72)*(1-P48)</f>
        <v/>
      </c>
      <c r="Q174" s="48">
        <f>MAX(Q23,Q21*Seasonality!$C$90*Q22)*(1-Q72)*(1-Q48)</f>
        <v/>
      </c>
      <c r="R174" s="48">
        <f>MAX(R23,R21*Seasonality!$C$90*R22)*(1-R72)*(1-R48)</f>
        <v/>
      </c>
      <c r="S174" s="48">
        <f>MAX(S23,S21*Seasonality!$C$90*S22)*(1-S72)*(1-S48)</f>
        <v/>
      </c>
      <c r="T174" s="48">
        <f>MAX(T23,T21*Seasonality!$C$90*T22)*(1-T72)*(1-T48)</f>
        <v/>
      </c>
      <c r="U174" s="48">
        <f>MAX(U23,U21*Seasonality!$C$90*U22)*(1-U72)*(1-U48)</f>
        <v/>
      </c>
      <c r="V174" s="48">
        <f>MAX(V23,V21*Seasonality!$C$90*V22)*(1-V72)*(1-V48)</f>
        <v/>
      </c>
      <c r="W174" s="48">
        <f>MAX(W23,W21*Seasonality!$C$90*W22)*(1-W72)*(1-W48)</f>
        <v/>
      </c>
      <c r="X174" s="48">
        <f>MAX(X23,X21*Seasonality!$C$90*X22)*(1-X72)*(1-X48)</f>
        <v/>
      </c>
      <c r="Y174" s="48">
        <f>MAX(Y23,Y21*Seasonality!$C$90*Y22)*(1-Y72)*(1-Y48)</f>
        <v/>
      </c>
      <c r="Z174" s="48">
        <f>MAX(Z23,Z21*Seasonality!$C$90*Z22)*(1-Z72)*(1-Z48)</f>
        <v/>
      </c>
      <c r="AA174" s="48">
        <f>MAX(AA23,AA21*Seasonality!$C$90*AA22)*(1-AA72)*(1-AA48)</f>
        <v/>
      </c>
      <c r="AB174" s="48">
        <f>MAX(AB23,AB21*Seasonality!$C$90*AB22)*(1-AB72)*(1-AB48)</f>
        <v/>
      </c>
      <c r="AC174" s="48">
        <f>MAX(AC23,AC21*Seasonality!$C$90*AC22)*(1-AC72)*(1-AC48)</f>
        <v/>
      </c>
      <c r="AD174" s="48">
        <f>MAX(AD23,AD21*Seasonality!$C$90*AD22)*(1-AD72)*(1-AD48)</f>
        <v/>
      </c>
      <c r="AE174" s="48">
        <f>MAX(AE23,AE21*Seasonality!$C$90*AE22)*(1-AE72)*(1-AE48)</f>
        <v/>
      </c>
      <c r="AF174" s="48">
        <f>MAX(AF23,AF21*Seasonality!$C$90*AF22)*(1-AF72)*(1-AF48)</f>
        <v/>
      </c>
      <c r="AG174" s="48">
        <f>MAX(AG23,AG21*Seasonality!$C$90*AG22)*(1-AG72)*(1-AG48)</f>
        <v/>
      </c>
      <c r="AH174" s="48">
        <f>MAX(AH23,AH21*Seasonality!$C$90*AH22)*(1-AH72)*(1-AH48)</f>
        <v/>
      </c>
      <c r="AI174" s="48">
        <f>MAX(AI23,AI21*Seasonality!$C$90*AI22)*(1-AI72)*(1-AI48)</f>
        <v/>
      </c>
      <c r="AJ174" s="48">
        <f>MAX(AJ23,AJ21*Seasonality!$C$90*AJ22)*(1-AJ72)*(1-AJ48)</f>
        <v/>
      </c>
      <c r="AK174" s="48">
        <f>MAX(AK23,AK21*Seasonality!$C$90*AK22)*(1-AK72)*(1-AK48)</f>
        <v/>
      </c>
      <c r="AL174" s="48">
        <f>MAX(AL23,AL21*Seasonality!$C$90*AL22)*(1-AL72)*(1-AL48)</f>
        <v/>
      </c>
      <c r="AM174" s="48">
        <f>MAX(AM23,AM21*Seasonality!$C$90*AM22)*(1-AM72)*(1-AM48)</f>
        <v/>
      </c>
      <c r="AN174" s="48">
        <f>MAX(AN23,AN21*Seasonality!$C$90*AN22)*(1-AN72)*(1-AN48)</f>
        <v/>
      </c>
      <c r="AO174" s="48">
        <f>MAX(AO23,AO21*Seasonality!$C$90*AO22)*(1-AO72)*(1-AO48)</f>
        <v/>
      </c>
      <c r="AP174" s="48">
        <f>MAX(AP23,AP21*Seasonality!$C$90*AP22)*(1-AP72)*(1-AP48)</f>
        <v/>
      </c>
      <c r="AQ174" s="48">
        <f>MAX(AQ23,AQ21*Seasonality!$C$90*AQ22)*(1-AQ72)*(1-AQ48)</f>
        <v/>
      </c>
      <c r="AR174" s="48">
        <f>MAX(AR23,AR21*Seasonality!$C$90*AR22)*(1-AR72)*(1-AR48)</f>
        <v/>
      </c>
      <c r="AS174" s="48">
        <f>MAX(AS23,AS21*Seasonality!$C$90*AS22)*(1-AS72)*(1-AS48)</f>
        <v/>
      </c>
      <c r="AT174" s="48">
        <f>MAX(AT23,AT21*Seasonality!$C$90*AT22)*(1-AT72)*(1-AT48)</f>
        <v/>
      </c>
      <c r="AU174" s="48">
        <f>MAX(AU23,AU21*Seasonality!$C$90*AU22)*(1-AU72)*(1-AU48)</f>
        <v/>
      </c>
      <c r="AV174" s="48">
        <f>MAX(AV23,AV21*Seasonality!$C$90*AV22)*(1-AV72)*(1-AV48)</f>
        <v/>
      </c>
    </row>
    <row r="175">
      <c r="B175" s="7" t="inlineStr">
        <is>
          <t>Revenue collected · month 55</t>
        </is>
      </c>
      <c r="C175" s="5" t="inlineStr">
        <is>
          <t>₹</t>
        </is>
      </c>
      <c r="D175" s="48">
        <f>MAX(D23,D21*Seasonality!$C$91*D22)*(1-D72)*(1-D48)</f>
        <v/>
      </c>
      <c r="E175" s="48">
        <f>MAX(E23,E21*Seasonality!$C$91*E22)*(1-E72)*(1-E48)</f>
        <v/>
      </c>
      <c r="F175" s="48">
        <f>MAX(F23,F21*Seasonality!$C$91*F22)*(1-F72)*(1-F48)</f>
        <v/>
      </c>
      <c r="G175" s="48">
        <f>MAX(G23,G21*Seasonality!$C$91*G22)*(1-G72)*(1-G48)</f>
        <v/>
      </c>
      <c r="H175" s="48">
        <f>MAX(H23,H21*Seasonality!$C$91*H22)*(1-H72)*(1-H48)</f>
        <v/>
      </c>
      <c r="I175" s="48">
        <f>MAX(I23,I21*Seasonality!$C$91*I22)*(1-I72)*(1-I48)</f>
        <v/>
      </c>
      <c r="J175" s="48">
        <f>MAX(J23,J21*Seasonality!$C$91*J22)*(1-J72)*(1-J48)</f>
        <v/>
      </c>
      <c r="K175" s="48">
        <f>MAX(K23,K21*Seasonality!$C$91*K22)*(1-K72)*(1-K48)</f>
        <v/>
      </c>
      <c r="L175" s="48">
        <f>MAX(L23,L21*Seasonality!$C$91*L22)*(1-L72)*(1-L48)</f>
        <v/>
      </c>
      <c r="M175" s="48">
        <f>MAX(M23,M21*Seasonality!$C$91*M22)*(1-M72)*(1-M48)</f>
        <v/>
      </c>
      <c r="N175" s="48">
        <f>MAX(N23,N21*Seasonality!$C$91*N22)*(1-N72)*(1-N48)</f>
        <v/>
      </c>
      <c r="O175" s="48">
        <f>MAX(O23,O21*Seasonality!$C$91*O22)*(1-O72)*(1-O48)</f>
        <v/>
      </c>
      <c r="P175" s="48">
        <f>MAX(P23,P21*Seasonality!$C$91*P22)*(1-P72)*(1-P48)</f>
        <v/>
      </c>
      <c r="Q175" s="48">
        <f>MAX(Q23,Q21*Seasonality!$C$91*Q22)*(1-Q72)*(1-Q48)</f>
        <v/>
      </c>
      <c r="R175" s="48">
        <f>MAX(R23,R21*Seasonality!$C$91*R22)*(1-R72)*(1-R48)</f>
        <v/>
      </c>
      <c r="S175" s="48">
        <f>MAX(S23,S21*Seasonality!$C$91*S22)*(1-S72)*(1-S48)</f>
        <v/>
      </c>
      <c r="T175" s="48">
        <f>MAX(T23,T21*Seasonality!$C$91*T22)*(1-T72)*(1-T48)</f>
        <v/>
      </c>
      <c r="U175" s="48">
        <f>MAX(U23,U21*Seasonality!$C$91*U22)*(1-U72)*(1-U48)</f>
        <v/>
      </c>
      <c r="V175" s="48">
        <f>MAX(V23,V21*Seasonality!$C$91*V22)*(1-V72)*(1-V48)</f>
        <v/>
      </c>
      <c r="W175" s="48">
        <f>MAX(W23,W21*Seasonality!$C$91*W22)*(1-W72)*(1-W48)</f>
        <v/>
      </c>
      <c r="X175" s="48">
        <f>MAX(X23,X21*Seasonality!$C$91*X22)*(1-X72)*(1-X48)</f>
        <v/>
      </c>
      <c r="Y175" s="48">
        <f>MAX(Y23,Y21*Seasonality!$C$91*Y22)*(1-Y72)*(1-Y48)</f>
        <v/>
      </c>
      <c r="Z175" s="48">
        <f>MAX(Z23,Z21*Seasonality!$C$91*Z22)*(1-Z72)*(1-Z48)</f>
        <v/>
      </c>
      <c r="AA175" s="48">
        <f>MAX(AA23,AA21*Seasonality!$C$91*AA22)*(1-AA72)*(1-AA48)</f>
        <v/>
      </c>
      <c r="AB175" s="48">
        <f>MAX(AB23,AB21*Seasonality!$C$91*AB22)*(1-AB72)*(1-AB48)</f>
        <v/>
      </c>
      <c r="AC175" s="48">
        <f>MAX(AC23,AC21*Seasonality!$C$91*AC22)*(1-AC72)*(1-AC48)</f>
        <v/>
      </c>
      <c r="AD175" s="48">
        <f>MAX(AD23,AD21*Seasonality!$C$91*AD22)*(1-AD72)*(1-AD48)</f>
        <v/>
      </c>
      <c r="AE175" s="48">
        <f>MAX(AE23,AE21*Seasonality!$C$91*AE22)*(1-AE72)*(1-AE48)</f>
        <v/>
      </c>
      <c r="AF175" s="48">
        <f>MAX(AF23,AF21*Seasonality!$C$91*AF22)*(1-AF72)*(1-AF48)</f>
        <v/>
      </c>
      <c r="AG175" s="48">
        <f>MAX(AG23,AG21*Seasonality!$C$91*AG22)*(1-AG72)*(1-AG48)</f>
        <v/>
      </c>
      <c r="AH175" s="48">
        <f>MAX(AH23,AH21*Seasonality!$C$91*AH22)*(1-AH72)*(1-AH48)</f>
        <v/>
      </c>
      <c r="AI175" s="48">
        <f>MAX(AI23,AI21*Seasonality!$C$91*AI22)*(1-AI72)*(1-AI48)</f>
        <v/>
      </c>
      <c r="AJ175" s="48">
        <f>MAX(AJ23,AJ21*Seasonality!$C$91*AJ22)*(1-AJ72)*(1-AJ48)</f>
        <v/>
      </c>
      <c r="AK175" s="48">
        <f>MAX(AK23,AK21*Seasonality!$C$91*AK22)*(1-AK72)*(1-AK48)</f>
        <v/>
      </c>
      <c r="AL175" s="48">
        <f>MAX(AL23,AL21*Seasonality!$C$91*AL22)*(1-AL72)*(1-AL48)</f>
        <v/>
      </c>
      <c r="AM175" s="48">
        <f>MAX(AM23,AM21*Seasonality!$C$91*AM22)*(1-AM72)*(1-AM48)</f>
        <v/>
      </c>
      <c r="AN175" s="48">
        <f>MAX(AN23,AN21*Seasonality!$C$91*AN22)*(1-AN72)*(1-AN48)</f>
        <v/>
      </c>
      <c r="AO175" s="48">
        <f>MAX(AO23,AO21*Seasonality!$C$91*AO22)*(1-AO72)*(1-AO48)</f>
        <v/>
      </c>
      <c r="AP175" s="48">
        <f>MAX(AP23,AP21*Seasonality!$C$91*AP22)*(1-AP72)*(1-AP48)</f>
        <v/>
      </c>
      <c r="AQ175" s="48">
        <f>MAX(AQ23,AQ21*Seasonality!$C$91*AQ22)*(1-AQ72)*(1-AQ48)</f>
        <v/>
      </c>
      <c r="AR175" s="48">
        <f>MAX(AR23,AR21*Seasonality!$C$91*AR22)*(1-AR72)*(1-AR48)</f>
        <v/>
      </c>
      <c r="AS175" s="48">
        <f>MAX(AS23,AS21*Seasonality!$C$91*AS22)*(1-AS72)*(1-AS48)</f>
        <v/>
      </c>
      <c r="AT175" s="48">
        <f>MAX(AT23,AT21*Seasonality!$C$91*AT22)*(1-AT72)*(1-AT48)</f>
        <v/>
      </c>
      <c r="AU175" s="48">
        <f>MAX(AU23,AU21*Seasonality!$C$91*AU22)*(1-AU72)*(1-AU48)</f>
        <v/>
      </c>
      <c r="AV175" s="48">
        <f>MAX(AV23,AV21*Seasonality!$C$91*AV22)*(1-AV72)*(1-AV48)</f>
        <v/>
      </c>
    </row>
    <row r="176">
      <c r="B176" s="7" t="inlineStr">
        <is>
          <t>Revenue collected · month 56</t>
        </is>
      </c>
      <c r="C176" s="5" t="inlineStr">
        <is>
          <t>₹</t>
        </is>
      </c>
      <c r="D176" s="48">
        <f>MAX(D23,D21*Seasonality!$C$92*D22)*(1-D72)*(1-D48)</f>
        <v/>
      </c>
      <c r="E176" s="48">
        <f>MAX(E23,E21*Seasonality!$C$92*E22)*(1-E72)*(1-E48)</f>
        <v/>
      </c>
      <c r="F176" s="48">
        <f>MAX(F23,F21*Seasonality!$C$92*F22)*(1-F72)*(1-F48)</f>
        <v/>
      </c>
      <c r="G176" s="48">
        <f>MAX(G23,G21*Seasonality!$C$92*G22)*(1-G72)*(1-G48)</f>
        <v/>
      </c>
      <c r="H176" s="48">
        <f>MAX(H23,H21*Seasonality!$C$92*H22)*(1-H72)*(1-H48)</f>
        <v/>
      </c>
      <c r="I176" s="48">
        <f>MAX(I23,I21*Seasonality!$C$92*I22)*(1-I72)*(1-I48)</f>
        <v/>
      </c>
      <c r="J176" s="48">
        <f>MAX(J23,J21*Seasonality!$C$92*J22)*(1-J72)*(1-J48)</f>
        <v/>
      </c>
      <c r="K176" s="48">
        <f>MAX(K23,K21*Seasonality!$C$92*K22)*(1-K72)*(1-K48)</f>
        <v/>
      </c>
      <c r="L176" s="48">
        <f>MAX(L23,L21*Seasonality!$C$92*L22)*(1-L72)*(1-L48)</f>
        <v/>
      </c>
      <c r="M176" s="48">
        <f>MAX(M23,M21*Seasonality!$C$92*M22)*(1-M72)*(1-M48)</f>
        <v/>
      </c>
      <c r="N176" s="48">
        <f>MAX(N23,N21*Seasonality!$C$92*N22)*(1-N72)*(1-N48)</f>
        <v/>
      </c>
      <c r="O176" s="48">
        <f>MAX(O23,O21*Seasonality!$C$92*O22)*(1-O72)*(1-O48)</f>
        <v/>
      </c>
      <c r="P176" s="48">
        <f>MAX(P23,P21*Seasonality!$C$92*P22)*(1-P72)*(1-P48)</f>
        <v/>
      </c>
      <c r="Q176" s="48">
        <f>MAX(Q23,Q21*Seasonality!$C$92*Q22)*(1-Q72)*(1-Q48)</f>
        <v/>
      </c>
      <c r="R176" s="48">
        <f>MAX(R23,R21*Seasonality!$C$92*R22)*(1-R72)*(1-R48)</f>
        <v/>
      </c>
      <c r="S176" s="48">
        <f>MAX(S23,S21*Seasonality!$C$92*S22)*(1-S72)*(1-S48)</f>
        <v/>
      </c>
      <c r="T176" s="48">
        <f>MAX(T23,T21*Seasonality!$C$92*T22)*(1-T72)*(1-T48)</f>
        <v/>
      </c>
      <c r="U176" s="48">
        <f>MAX(U23,U21*Seasonality!$C$92*U22)*(1-U72)*(1-U48)</f>
        <v/>
      </c>
      <c r="V176" s="48">
        <f>MAX(V23,V21*Seasonality!$C$92*V22)*(1-V72)*(1-V48)</f>
        <v/>
      </c>
      <c r="W176" s="48">
        <f>MAX(W23,W21*Seasonality!$C$92*W22)*(1-W72)*(1-W48)</f>
        <v/>
      </c>
      <c r="X176" s="48">
        <f>MAX(X23,X21*Seasonality!$C$92*X22)*(1-X72)*(1-X48)</f>
        <v/>
      </c>
      <c r="Y176" s="48">
        <f>MAX(Y23,Y21*Seasonality!$C$92*Y22)*(1-Y72)*(1-Y48)</f>
        <v/>
      </c>
      <c r="Z176" s="48">
        <f>MAX(Z23,Z21*Seasonality!$C$92*Z22)*(1-Z72)*(1-Z48)</f>
        <v/>
      </c>
      <c r="AA176" s="48">
        <f>MAX(AA23,AA21*Seasonality!$C$92*AA22)*(1-AA72)*(1-AA48)</f>
        <v/>
      </c>
      <c r="AB176" s="48">
        <f>MAX(AB23,AB21*Seasonality!$C$92*AB22)*(1-AB72)*(1-AB48)</f>
        <v/>
      </c>
      <c r="AC176" s="48">
        <f>MAX(AC23,AC21*Seasonality!$C$92*AC22)*(1-AC72)*(1-AC48)</f>
        <v/>
      </c>
      <c r="AD176" s="48">
        <f>MAX(AD23,AD21*Seasonality!$C$92*AD22)*(1-AD72)*(1-AD48)</f>
        <v/>
      </c>
      <c r="AE176" s="48">
        <f>MAX(AE23,AE21*Seasonality!$C$92*AE22)*(1-AE72)*(1-AE48)</f>
        <v/>
      </c>
      <c r="AF176" s="48">
        <f>MAX(AF23,AF21*Seasonality!$C$92*AF22)*(1-AF72)*(1-AF48)</f>
        <v/>
      </c>
      <c r="AG176" s="48">
        <f>MAX(AG23,AG21*Seasonality!$C$92*AG22)*(1-AG72)*(1-AG48)</f>
        <v/>
      </c>
      <c r="AH176" s="48">
        <f>MAX(AH23,AH21*Seasonality!$C$92*AH22)*(1-AH72)*(1-AH48)</f>
        <v/>
      </c>
      <c r="AI176" s="48">
        <f>MAX(AI23,AI21*Seasonality!$C$92*AI22)*(1-AI72)*(1-AI48)</f>
        <v/>
      </c>
      <c r="AJ176" s="48">
        <f>MAX(AJ23,AJ21*Seasonality!$C$92*AJ22)*(1-AJ72)*(1-AJ48)</f>
        <v/>
      </c>
      <c r="AK176" s="48">
        <f>MAX(AK23,AK21*Seasonality!$C$92*AK22)*(1-AK72)*(1-AK48)</f>
        <v/>
      </c>
      <c r="AL176" s="48">
        <f>MAX(AL23,AL21*Seasonality!$C$92*AL22)*(1-AL72)*(1-AL48)</f>
        <v/>
      </c>
      <c r="AM176" s="48">
        <f>MAX(AM23,AM21*Seasonality!$C$92*AM22)*(1-AM72)*(1-AM48)</f>
        <v/>
      </c>
      <c r="AN176" s="48">
        <f>MAX(AN23,AN21*Seasonality!$C$92*AN22)*(1-AN72)*(1-AN48)</f>
        <v/>
      </c>
      <c r="AO176" s="48">
        <f>MAX(AO23,AO21*Seasonality!$C$92*AO22)*(1-AO72)*(1-AO48)</f>
        <v/>
      </c>
      <c r="AP176" s="48">
        <f>MAX(AP23,AP21*Seasonality!$C$92*AP22)*(1-AP72)*(1-AP48)</f>
        <v/>
      </c>
      <c r="AQ176" s="48">
        <f>MAX(AQ23,AQ21*Seasonality!$C$92*AQ22)*(1-AQ72)*(1-AQ48)</f>
        <v/>
      </c>
      <c r="AR176" s="48">
        <f>MAX(AR23,AR21*Seasonality!$C$92*AR22)*(1-AR72)*(1-AR48)</f>
        <v/>
      </c>
      <c r="AS176" s="48">
        <f>MAX(AS23,AS21*Seasonality!$C$92*AS22)*(1-AS72)*(1-AS48)</f>
        <v/>
      </c>
      <c r="AT176" s="48">
        <f>MAX(AT23,AT21*Seasonality!$C$92*AT22)*(1-AT72)*(1-AT48)</f>
        <v/>
      </c>
      <c r="AU176" s="48">
        <f>MAX(AU23,AU21*Seasonality!$C$92*AU22)*(1-AU72)*(1-AU48)</f>
        <v/>
      </c>
      <c r="AV176" s="48">
        <f>MAX(AV23,AV21*Seasonality!$C$92*AV22)*(1-AV72)*(1-AV48)</f>
        <v/>
      </c>
    </row>
    <row r="177">
      <c r="B177" s="7" t="inlineStr">
        <is>
          <t>Revenue collected · month 57</t>
        </is>
      </c>
      <c r="C177" s="5" t="inlineStr">
        <is>
          <t>₹</t>
        </is>
      </c>
      <c r="D177" s="48">
        <f>MAX(D23,D21*Seasonality!$C$93*D22)*(1-D72)*(1-D48)</f>
        <v/>
      </c>
      <c r="E177" s="48">
        <f>MAX(E23,E21*Seasonality!$C$93*E22)*(1-E72)*(1-E48)</f>
        <v/>
      </c>
      <c r="F177" s="48">
        <f>MAX(F23,F21*Seasonality!$C$93*F22)*(1-F72)*(1-F48)</f>
        <v/>
      </c>
      <c r="G177" s="48">
        <f>MAX(G23,G21*Seasonality!$C$93*G22)*(1-G72)*(1-G48)</f>
        <v/>
      </c>
      <c r="H177" s="48">
        <f>MAX(H23,H21*Seasonality!$C$93*H22)*(1-H72)*(1-H48)</f>
        <v/>
      </c>
      <c r="I177" s="48">
        <f>MAX(I23,I21*Seasonality!$C$93*I22)*(1-I72)*(1-I48)</f>
        <v/>
      </c>
      <c r="J177" s="48">
        <f>MAX(J23,J21*Seasonality!$C$93*J22)*(1-J72)*(1-J48)</f>
        <v/>
      </c>
      <c r="K177" s="48">
        <f>MAX(K23,K21*Seasonality!$C$93*K22)*(1-K72)*(1-K48)</f>
        <v/>
      </c>
      <c r="L177" s="48">
        <f>MAX(L23,L21*Seasonality!$C$93*L22)*(1-L72)*(1-L48)</f>
        <v/>
      </c>
      <c r="M177" s="48">
        <f>MAX(M23,M21*Seasonality!$C$93*M22)*(1-M72)*(1-M48)</f>
        <v/>
      </c>
      <c r="N177" s="48">
        <f>MAX(N23,N21*Seasonality!$C$93*N22)*(1-N72)*(1-N48)</f>
        <v/>
      </c>
      <c r="O177" s="48">
        <f>MAX(O23,O21*Seasonality!$C$93*O22)*(1-O72)*(1-O48)</f>
        <v/>
      </c>
      <c r="P177" s="48">
        <f>MAX(P23,P21*Seasonality!$C$93*P22)*(1-P72)*(1-P48)</f>
        <v/>
      </c>
      <c r="Q177" s="48">
        <f>MAX(Q23,Q21*Seasonality!$C$93*Q22)*(1-Q72)*(1-Q48)</f>
        <v/>
      </c>
      <c r="R177" s="48">
        <f>MAX(R23,R21*Seasonality!$C$93*R22)*(1-R72)*(1-R48)</f>
        <v/>
      </c>
      <c r="S177" s="48">
        <f>MAX(S23,S21*Seasonality!$C$93*S22)*(1-S72)*(1-S48)</f>
        <v/>
      </c>
      <c r="T177" s="48">
        <f>MAX(T23,T21*Seasonality!$C$93*T22)*(1-T72)*(1-T48)</f>
        <v/>
      </c>
      <c r="U177" s="48">
        <f>MAX(U23,U21*Seasonality!$C$93*U22)*(1-U72)*(1-U48)</f>
        <v/>
      </c>
      <c r="V177" s="48">
        <f>MAX(V23,V21*Seasonality!$C$93*V22)*(1-V72)*(1-V48)</f>
        <v/>
      </c>
      <c r="W177" s="48">
        <f>MAX(W23,W21*Seasonality!$C$93*W22)*(1-W72)*(1-W48)</f>
        <v/>
      </c>
      <c r="X177" s="48">
        <f>MAX(X23,X21*Seasonality!$C$93*X22)*(1-X72)*(1-X48)</f>
        <v/>
      </c>
      <c r="Y177" s="48">
        <f>MAX(Y23,Y21*Seasonality!$C$93*Y22)*(1-Y72)*(1-Y48)</f>
        <v/>
      </c>
      <c r="Z177" s="48">
        <f>MAX(Z23,Z21*Seasonality!$C$93*Z22)*(1-Z72)*(1-Z48)</f>
        <v/>
      </c>
      <c r="AA177" s="48">
        <f>MAX(AA23,AA21*Seasonality!$C$93*AA22)*(1-AA72)*(1-AA48)</f>
        <v/>
      </c>
      <c r="AB177" s="48">
        <f>MAX(AB23,AB21*Seasonality!$C$93*AB22)*(1-AB72)*(1-AB48)</f>
        <v/>
      </c>
      <c r="AC177" s="48">
        <f>MAX(AC23,AC21*Seasonality!$C$93*AC22)*(1-AC72)*(1-AC48)</f>
        <v/>
      </c>
      <c r="AD177" s="48">
        <f>MAX(AD23,AD21*Seasonality!$C$93*AD22)*(1-AD72)*(1-AD48)</f>
        <v/>
      </c>
      <c r="AE177" s="48">
        <f>MAX(AE23,AE21*Seasonality!$C$93*AE22)*(1-AE72)*(1-AE48)</f>
        <v/>
      </c>
      <c r="AF177" s="48">
        <f>MAX(AF23,AF21*Seasonality!$C$93*AF22)*(1-AF72)*(1-AF48)</f>
        <v/>
      </c>
      <c r="AG177" s="48">
        <f>MAX(AG23,AG21*Seasonality!$C$93*AG22)*(1-AG72)*(1-AG48)</f>
        <v/>
      </c>
      <c r="AH177" s="48">
        <f>MAX(AH23,AH21*Seasonality!$C$93*AH22)*(1-AH72)*(1-AH48)</f>
        <v/>
      </c>
      <c r="AI177" s="48">
        <f>MAX(AI23,AI21*Seasonality!$C$93*AI22)*(1-AI72)*(1-AI48)</f>
        <v/>
      </c>
      <c r="AJ177" s="48">
        <f>MAX(AJ23,AJ21*Seasonality!$C$93*AJ22)*(1-AJ72)*(1-AJ48)</f>
        <v/>
      </c>
      <c r="AK177" s="48">
        <f>MAX(AK23,AK21*Seasonality!$C$93*AK22)*(1-AK72)*(1-AK48)</f>
        <v/>
      </c>
      <c r="AL177" s="48">
        <f>MAX(AL23,AL21*Seasonality!$C$93*AL22)*(1-AL72)*(1-AL48)</f>
        <v/>
      </c>
      <c r="AM177" s="48">
        <f>MAX(AM23,AM21*Seasonality!$C$93*AM22)*(1-AM72)*(1-AM48)</f>
        <v/>
      </c>
      <c r="AN177" s="48">
        <f>MAX(AN23,AN21*Seasonality!$C$93*AN22)*(1-AN72)*(1-AN48)</f>
        <v/>
      </c>
      <c r="AO177" s="48">
        <f>MAX(AO23,AO21*Seasonality!$C$93*AO22)*(1-AO72)*(1-AO48)</f>
        <v/>
      </c>
      <c r="AP177" s="48">
        <f>MAX(AP23,AP21*Seasonality!$C$93*AP22)*(1-AP72)*(1-AP48)</f>
        <v/>
      </c>
      <c r="AQ177" s="48">
        <f>MAX(AQ23,AQ21*Seasonality!$C$93*AQ22)*(1-AQ72)*(1-AQ48)</f>
        <v/>
      </c>
      <c r="AR177" s="48">
        <f>MAX(AR23,AR21*Seasonality!$C$93*AR22)*(1-AR72)*(1-AR48)</f>
        <v/>
      </c>
      <c r="AS177" s="48">
        <f>MAX(AS23,AS21*Seasonality!$C$93*AS22)*(1-AS72)*(1-AS48)</f>
        <v/>
      </c>
      <c r="AT177" s="48">
        <f>MAX(AT23,AT21*Seasonality!$C$93*AT22)*(1-AT72)*(1-AT48)</f>
        <v/>
      </c>
      <c r="AU177" s="48">
        <f>MAX(AU23,AU21*Seasonality!$C$93*AU22)*(1-AU72)*(1-AU48)</f>
        <v/>
      </c>
      <c r="AV177" s="48">
        <f>MAX(AV23,AV21*Seasonality!$C$93*AV22)*(1-AV72)*(1-AV48)</f>
        <v/>
      </c>
    </row>
    <row r="178">
      <c r="B178" s="7" t="inlineStr">
        <is>
          <t>Revenue collected · month 58</t>
        </is>
      </c>
      <c r="C178" s="5" t="inlineStr">
        <is>
          <t>₹</t>
        </is>
      </c>
      <c r="D178" s="48">
        <f>MAX(D23,D21*Seasonality!$C$94*D22)*(1-D72)*(1-D48)</f>
        <v/>
      </c>
      <c r="E178" s="48">
        <f>MAX(E23,E21*Seasonality!$C$94*E22)*(1-E72)*(1-E48)</f>
        <v/>
      </c>
      <c r="F178" s="48">
        <f>MAX(F23,F21*Seasonality!$C$94*F22)*(1-F72)*(1-F48)</f>
        <v/>
      </c>
      <c r="G178" s="48">
        <f>MAX(G23,G21*Seasonality!$C$94*G22)*(1-G72)*(1-G48)</f>
        <v/>
      </c>
      <c r="H178" s="48">
        <f>MAX(H23,H21*Seasonality!$C$94*H22)*(1-H72)*(1-H48)</f>
        <v/>
      </c>
      <c r="I178" s="48">
        <f>MAX(I23,I21*Seasonality!$C$94*I22)*(1-I72)*(1-I48)</f>
        <v/>
      </c>
      <c r="J178" s="48">
        <f>MAX(J23,J21*Seasonality!$C$94*J22)*(1-J72)*(1-J48)</f>
        <v/>
      </c>
      <c r="K178" s="48">
        <f>MAX(K23,K21*Seasonality!$C$94*K22)*(1-K72)*(1-K48)</f>
        <v/>
      </c>
      <c r="L178" s="48">
        <f>MAX(L23,L21*Seasonality!$C$94*L22)*(1-L72)*(1-L48)</f>
        <v/>
      </c>
      <c r="M178" s="48">
        <f>MAX(M23,M21*Seasonality!$C$94*M22)*(1-M72)*(1-M48)</f>
        <v/>
      </c>
      <c r="N178" s="48">
        <f>MAX(N23,N21*Seasonality!$C$94*N22)*(1-N72)*(1-N48)</f>
        <v/>
      </c>
      <c r="O178" s="48">
        <f>MAX(O23,O21*Seasonality!$C$94*O22)*(1-O72)*(1-O48)</f>
        <v/>
      </c>
      <c r="P178" s="48">
        <f>MAX(P23,P21*Seasonality!$C$94*P22)*(1-P72)*(1-P48)</f>
        <v/>
      </c>
      <c r="Q178" s="48">
        <f>MAX(Q23,Q21*Seasonality!$C$94*Q22)*(1-Q72)*(1-Q48)</f>
        <v/>
      </c>
      <c r="R178" s="48">
        <f>MAX(R23,R21*Seasonality!$C$94*R22)*(1-R72)*(1-R48)</f>
        <v/>
      </c>
      <c r="S178" s="48">
        <f>MAX(S23,S21*Seasonality!$C$94*S22)*(1-S72)*(1-S48)</f>
        <v/>
      </c>
      <c r="T178" s="48">
        <f>MAX(T23,T21*Seasonality!$C$94*T22)*(1-T72)*(1-T48)</f>
        <v/>
      </c>
      <c r="U178" s="48">
        <f>MAX(U23,U21*Seasonality!$C$94*U22)*(1-U72)*(1-U48)</f>
        <v/>
      </c>
      <c r="V178" s="48">
        <f>MAX(V23,V21*Seasonality!$C$94*V22)*(1-V72)*(1-V48)</f>
        <v/>
      </c>
      <c r="W178" s="48">
        <f>MAX(W23,W21*Seasonality!$C$94*W22)*(1-W72)*(1-W48)</f>
        <v/>
      </c>
      <c r="X178" s="48">
        <f>MAX(X23,X21*Seasonality!$C$94*X22)*(1-X72)*(1-X48)</f>
        <v/>
      </c>
      <c r="Y178" s="48">
        <f>MAX(Y23,Y21*Seasonality!$C$94*Y22)*(1-Y72)*(1-Y48)</f>
        <v/>
      </c>
      <c r="Z178" s="48">
        <f>MAX(Z23,Z21*Seasonality!$C$94*Z22)*(1-Z72)*(1-Z48)</f>
        <v/>
      </c>
      <c r="AA178" s="48">
        <f>MAX(AA23,AA21*Seasonality!$C$94*AA22)*(1-AA72)*(1-AA48)</f>
        <v/>
      </c>
      <c r="AB178" s="48">
        <f>MAX(AB23,AB21*Seasonality!$C$94*AB22)*(1-AB72)*(1-AB48)</f>
        <v/>
      </c>
      <c r="AC178" s="48">
        <f>MAX(AC23,AC21*Seasonality!$C$94*AC22)*(1-AC72)*(1-AC48)</f>
        <v/>
      </c>
      <c r="AD178" s="48">
        <f>MAX(AD23,AD21*Seasonality!$C$94*AD22)*(1-AD72)*(1-AD48)</f>
        <v/>
      </c>
      <c r="AE178" s="48">
        <f>MAX(AE23,AE21*Seasonality!$C$94*AE22)*(1-AE72)*(1-AE48)</f>
        <v/>
      </c>
      <c r="AF178" s="48">
        <f>MAX(AF23,AF21*Seasonality!$C$94*AF22)*(1-AF72)*(1-AF48)</f>
        <v/>
      </c>
      <c r="AG178" s="48">
        <f>MAX(AG23,AG21*Seasonality!$C$94*AG22)*(1-AG72)*(1-AG48)</f>
        <v/>
      </c>
      <c r="AH178" s="48">
        <f>MAX(AH23,AH21*Seasonality!$C$94*AH22)*(1-AH72)*(1-AH48)</f>
        <v/>
      </c>
      <c r="AI178" s="48">
        <f>MAX(AI23,AI21*Seasonality!$C$94*AI22)*(1-AI72)*(1-AI48)</f>
        <v/>
      </c>
      <c r="AJ178" s="48">
        <f>MAX(AJ23,AJ21*Seasonality!$C$94*AJ22)*(1-AJ72)*(1-AJ48)</f>
        <v/>
      </c>
      <c r="AK178" s="48">
        <f>MAX(AK23,AK21*Seasonality!$C$94*AK22)*(1-AK72)*(1-AK48)</f>
        <v/>
      </c>
      <c r="AL178" s="48">
        <f>MAX(AL23,AL21*Seasonality!$C$94*AL22)*(1-AL72)*(1-AL48)</f>
        <v/>
      </c>
      <c r="AM178" s="48">
        <f>MAX(AM23,AM21*Seasonality!$C$94*AM22)*(1-AM72)*(1-AM48)</f>
        <v/>
      </c>
      <c r="AN178" s="48">
        <f>MAX(AN23,AN21*Seasonality!$C$94*AN22)*(1-AN72)*(1-AN48)</f>
        <v/>
      </c>
      <c r="AO178" s="48">
        <f>MAX(AO23,AO21*Seasonality!$C$94*AO22)*(1-AO72)*(1-AO48)</f>
        <v/>
      </c>
      <c r="AP178" s="48">
        <f>MAX(AP23,AP21*Seasonality!$C$94*AP22)*(1-AP72)*(1-AP48)</f>
        <v/>
      </c>
      <c r="AQ178" s="48">
        <f>MAX(AQ23,AQ21*Seasonality!$C$94*AQ22)*(1-AQ72)*(1-AQ48)</f>
        <v/>
      </c>
      <c r="AR178" s="48">
        <f>MAX(AR23,AR21*Seasonality!$C$94*AR22)*(1-AR72)*(1-AR48)</f>
        <v/>
      </c>
      <c r="AS178" s="48">
        <f>MAX(AS23,AS21*Seasonality!$C$94*AS22)*(1-AS72)*(1-AS48)</f>
        <v/>
      </c>
      <c r="AT178" s="48">
        <f>MAX(AT23,AT21*Seasonality!$C$94*AT22)*(1-AT72)*(1-AT48)</f>
        <v/>
      </c>
      <c r="AU178" s="48">
        <f>MAX(AU23,AU21*Seasonality!$C$94*AU22)*(1-AU72)*(1-AU48)</f>
        <v/>
      </c>
      <c r="AV178" s="48">
        <f>MAX(AV23,AV21*Seasonality!$C$94*AV22)*(1-AV72)*(1-AV48)</f>
        <v/>
      </c>
    </row>
    <row r="179">
      <c r="B179" s="7" t="inlineStr">
        <is>
          <t>Revenue collected · month 59</t>
        </is>
      </c>
      <c r="C179" s="5" t="inlineStr">
        <is>
          <t>₹</t>
        </is>
      </c>
      <c r="D179" s="48">
        <f>MAX(D23,D21*Seasonality!$C$95*D22)*(1-D72)*(1-D48)</f>
        <v/>
      </c>
      <c r="E179" s="48">
        <f>MAX(E23,E21*Seasonality!$C$95*E22)*(1-E72)*(1-E48)</f>
        <v/>
      </c>
      <c r="F179" s="48">
        <f>MAX(F23,F21*Seasonality!$C$95*F22)*(1-F72)*(1-F48)</f>
        <v/>
      </c>
      <c r="G179" s="48">
        <f>MAX(G23,G21*Seasonality!$C$95*G22)*(1-G72)*(1-G48)</f>
        <v/>
      </c>
      <c r="H179" s="48">
        <f>MAX(H23,H21*Seasonality!$C$95*H22)*(1-H72)*(1-H48)</f>
        <v/>
      </c>
      <c r="I179" s="48">
        <f>MAX(I23,I21*Seasonality!$C$95*I22)*(1-I72)*(1-I48)</f>
        <v/>
      </c>
      <c r="J179" s="48">
        <f>MAX(J23,J21*Seasonality!$C$95*J22)*(1-J72)*(1-J48)</f>
        <v/>
      </c>
      <c r="K179" s="48">
        <f>MAX(K23,K21*Seasonality!$C$95*K22)*(1-K72)*(1-K48)</f>
        <v/>
      </c>
      <c r="L179" s="48">
        <f>MAX(L23,L21*Seasonality!$C$95*L22)*(1-L72)*(1-L48)</f>
        <v/>
      </c>
      <c r="M179" s="48">
        <f>MAX(M23,M21*Seasonality!$C$95*M22)*(1-M72)*(1-M48)</f>
        <v/>
      </c>
      <c r="N179" s="48">
        <f>MAX(N23,N21*Seasonality!$C$95*N22)*(1-N72)*(1-N48)</f>
        <v/>
      </c>
      <c r="O179" s="48">
        <f>MAX(O23,O21*Seasonality!$C$95*O22)*(1-O72)*(1-O48)</f>
        <v/>
      </c>
      <c r="P179" s="48">
        <f>MAX(P23,P21*Seasonality!$C$95*P22)*(1-P72)*(1-P48)</f>
        <v/>
      </c>
      <c r="Q179" s="48">
        <f>MAX(Q23,Q21*Seasonality!$C$95*Q22)*(1-Q72)*(1-Q48)</f>
        <v/>
      </c>
      <c r="R179" s="48">
        <f>MAX(R23,R21*Seasonality!$C$95*R22)*(1-R72)*(1-R48)</f>
        <v/>
      </c>
      <c r="S179" s="48">
        <f>MAX(S23,S21*Seasonality!$C$95*S22)*(1-S72)*(1-S48)</f>
        <v/>
      </c>
      <c r="T179" s="48">
        <f>MAX(T23,T21*Seasonality!$C$95*T22)*(1-T72)*(1-T48)</f>
        <v/>
      </c>
      <c r="U179" s="48">
        <f>MAX(U23,U21*Seasonality!$C$95*U22)*(1-U72)*(1-U48)</f>
        <v/>
      </c>
      <c r="V179" s="48">
        <f>MAX(V23,V21*Seasonality!$C$95*V22)*(1-V72)*(1-V48)</f>
        <v/>
      </c>
      <c r="W179" s="48">
        <f>MAX(W23,W21*Seasonality!$C$95*W22)*(1-W72)*(1-W48)</f>
        <v/>
      </c>
      <c r="X179" s="48">
        <f>MAX(X23,X21*Seasonality!$C$95*X22)*(1-X72)*(1-X48)</f>
        <v/>
      </c>
      <c r="Y179" s="48">
        <f>MAX(Y23,Y21*Seasonality!$C$95*Y22)*(1-Y72)*(1-Y48)</f>
        <v/>
      </c>
      <c r="Z179" s="48">
        <f>MAX(Z23,Z21*Seasonality!$C$95*Z22)*(1-Z72)*(1-Z48)</f>
        <v/>
      </c>
      <c r="AA179" s="48">
        <f>MAX(AA23,AA21*Seasonality!$C$95*AA22)*(1-AA72)*(1-AA48)</f>
        <v/>
      </c>
      <c r="AB179" s="48">
        <f>MAX(AB23,AB21*Seasonality!$C$95*AB22)*(1-AB72)*(1-AB48)</f>
        <v/>
      </c>
      <c r="AC179" s="48">
        <f>MAX(AC23,AC21*Seasonality!$C$95*AC22)*(1-AC72)*(1-AC48)</f>
        <v/>
      </c>
      <c r="AD179" s="48">
        <f>MAX(AD23,AD21*Seasonality!$C$95*AD22)*(1-AD72)*(1-AD48)</f>
        <v/>
      </c>
      <c r="AE179" s="48">
        <f>MAX(AE23,AE21*Seasonality!$C$95*AE22)*(1-AE72)*(1-AE48)</f>
        <v/>
      </c>
      <c r="AF179" s="48">
        <f>MAX(AF23,AF21*Seasonality!$C$95*AF22)*(1-AF72)*(1-AF48)</f>
        <v/>
      </c>
      <c r="AG179" s="48">
        <f>MAX(AG23,AG21*Seasonality!$C$95*AG22)*(1-AG72)*(1-AG48)</f>
        <v/>
      </c>
      <c r="AH179" s="48">
        <f>MAX(AH23,AH21*Seasonality!$C$95*AH22)*(1-AH72)*(1-AH48)</f>
        <v/>
      </c>
      <c r="AI179" s="48">
        <f>MAX(AI23,AI21*Seasonality!$C$95*AI22)*(1-AI72)*(1-AI48)</f>
        <v/>
      </c>
      <c r="AJ179" s="48">
        <f>MAX(AJ23,AJ21*Seasonality!$C$95*AJ22)*(1-AJ72)*(1-AJ48)</f>
        <v/>
      </c>
      <c r="AK179" s="48">
        <f>MAX(AK23,AK21*Seasonality!$C$95*AK22)*(1-AK72)*(1-AK48)</f>
        <v/>
      </c>
      <c r="AL179" s="48">
        <f>MAX(AL23,AL21*Seasonality!$C$95*AL22)*(1-AL72)*(1-AL48)</f>
        <v/>
      </c>
      <c r="AM179" s="48">
        <f>MAX(AM23,AM21*Seasonality!$C$95*AM22)*(1-AM72)*(1-AM48)</f>
        <v/>
      </c>
      <c r="AN179" s="48">
        <f>MAX(AN23,AN21*Seasonality!$C$95*AN22)*(1-AN72)*(1-AN48)</f>
        <v/>
      </c>
      <c r="AO179" s="48">
        <f>MAX(AO23,AO21*Seasonality!$C$95*AO22)*(1-AO72)*(1-AO48)</f>
        <v/>
      </c>
      <c r="AP179" s="48">
        <f>MAX(AP23,AP21*Seasonality!$C$95*AP22)*(1-AP72)*(1-AP48)</f>
        <v/>
      </c>
      <c r="AQ179" s="48">
        <f>MAX(AQ23,AQ21*Seasonality!$C$95*AQ22)*(1-AQ72)*(1-AQ48)</f>
        <v/>
      </c>
      <c r="AR179" s="48">
        <f>MAX(AR23,AR21*Seasonality!$C$95*AR22)*(1-AR72)*(1-AR48)</f>
        <v/>
      </c>
      <c r="AS179" s="48">
        <f>MAX(AS23,AS21*Seasonality!$C$95*AS22)*(1-AS72)*(1-AS48)</f>
        <v/>
      </c>
      <c r="AT179" s="48">
        <f>MAX(AT23,AT21*Seasonality!$C$95*AT22)*(1-AT72)*(1-AT48)</f>
        <v/>
      </c>
      <c r="AU179" s="48">
        <f>MAX(AU23,AU21*Seasonality!$C$95*AU22)*(1-AU72)*(1-AU48)</f>
        <v/>
      </c>
      <c r="AV179" s="48">
        <f>MAX(AV23,AV21*Seasonality!$C$95*AV22)*(1-AV72)*(1-AV48)</f>
        <v/>
      </c>
    </row>
    <row r="180">
      <c r="B180" s="7" t="inlineStr">
        <is>
          <t>Revenue collected · month 60</t>
        </is>
      </c>
      <c r="C180" s="5" t="inlineStr">
        <is>
          <t>₹</t>
        </is>
      </c>
      <c r="D180" s="48">
        <f>MAX(D23,D21*Seasonality!$C$96*D22)*(1-D72)*(1-D48)</f>
        <v/>
      </c>
      <c r="E180" s="48">
        <f>MAX(E23,E21*Seasonality!$C$96*E22)*(1-E72)*(1-E48)</f>
        <v/>
      </c>
      <c r="F180" s="48">
        <f>MAX(F23,F21*Seasonality!$C$96*F22)*(1-F72)*(1-F48)</f>
        <v/>
      </c>
      <c r="G180" s="48">
        <f>MAX(G23,G21*Seasonality!$C$96*G22)*(1-G72)*(1-G48)</f>
        <v/>
      </c>
      <c r="H180" s="48">
        <f>MAX(H23,H21*Seasonality!$C$96*H22)*(1-H72)*(1-H48)</f>
        <v/>
      </c>
      <c r="I180" s="48">
        <f>MAX(I23,I21*Seasonality!$C$96*I22)*(1-I72)*(1-I48)</f>
        <v/>
      </c>
      <c r="J180" s="48">
        <f>MAX(J23,J21*Seasonality!$C$96*J22)*(1-J72)*(1-J48)</f>
        <v/>
      </c>
      <c r="K180" s="48">
        <f>MAX(K23,K21*Seasonality!$C$96*K22)*(1-K72)*(1-K48)</f>
        <v/>
      </c>
      <c r="L180" s="48">
        <f>MAX(L23,L21*Seasonality!$C$96*L22)*(1-L72)*(1-L48)</f>
        <v/>
      </c>
      <c r="M180" s="48">
        <f>MAX(M23,M21*Seasonality!$C$96*M22)*(1-M72)*(1-M48)</f>
        <v/>
      </c>
      <c r="N180" s="48">
        <f>MAX(N23,N21*Seasonality!$C$96*N22)*(1-N72)*(1-N48)</f>
        <v/>
      </c>
      <c r="O180" s="48">
        <f>MAX(O23,O21*Seasonality!$C$96*O22)*(1-O72)*(1-O48)</f>
        <v/>
      </c>
      <c r="P180" s="48">
        <f>MAX(P23,P21*Seasonality!$C$96*P22)*(1-P72)*(1-P48)</f>
        <v/>
      </c>
      <c r="Q180" s="48">
        <f>MAX(Q23,Q21*Seasonality!$C$96*Q22)*(1-Q72)*(1-Q48)</f>
        <v/>
      </c>
      <c r="R180" s="48">
        <f>MAX(R23,R21*Seasonality!$C$96*R22)*(1-R72)*(1-R48)</f>
        <v/>
      </c>
      <c r="S180" s="48">
        <f>MAX(S23,S21*Seasonality!$C$96*S22)*(1-S72)*(1-S48)</f>
        <v/>
      </c>
      <c r="T180" s="48">
        <f>MAX(T23,T21*Seasonality!$C$96*T22)*(1-T72)*(1-T48)</f>
        <v/>
      </c>
      <c r="U180" s="48">
        <f>MAX(U23,U21*Seasonality!$C$96*U22)*(1-U72)*(1-U48)</f>
        <v/>
      </c>
      <c r="V180" s="48">
        <f>MAX(V23,V21*Seasonality!$C$96*V22)*(1-V72)*(1-V48)</f>
        <v/>
      </c>
      <c r="W180" s="48">
        <f>MAX(W23,W21*Seasonality!$C$96*W22)*(1-W72)*(1-W48)</f>
        <v/>
      </c>
      <c r="X180" s="48">
        <f>MAX(X23,X21*Seasonality!$C$96*X22)*(1-X72)*(1-X48)</f>
        <v/>
      </c>
      <c r="Y180" s="48">
        <f>MAX(Y23,Y21*Seasonality!$C$96*Y22)*(1-Y72)*(1-Y48)</f>
        <v/>
      </c>
      <c r="Z180" s="48">
        <f>MAX(Z23,Z21*Seasonality!$C$96*Z22)*(1-Z72)*(1-Z48)</f>
        <v/>
      </c>
      <c r="AA180" s="48">
        <f>MAX(AA23,AA21*Seasonality!$C$96*AA22)*(1-AA72)*(1-AA48)</f>
        <v/>
      </c>
      <c r="AB180" s="48">
        <f>MAX(AB23,AB21*Seasonality!$C$96*AB22)*(1-AB72)*(1-AB48)</f>
        <v/>
      </c>
      <c r="AC180" s="48">
        <f>MAX(AC23,AC21*Seasonality!$C$96*AC22)*(1-AC72)*(1-AC48)</f>
        <v/>
      </c>
      <c r="AD180" s="48">
        <f>MAX(AD23,AD21*Seasonality!$C$96*AD22)*(1-AD72)*(1-AD48)</f>
        <v/>
      </c>
      <c r="AE180" s="48">
        <f>MAX(AE23,AE21*Seasonality!$C$96*AE22)*(1-AE72)*(1-AE48)</f>
        <v/>
      </c>
      <c r="AF180" s="48">
        <f>MAX(AF23,AF21*Seasonality!$C$96*AF22)*(1-AF72)*(1-AF48)</f>
        <v/>
      </c>
      <c r="AG180" s="48">
        <f>MAX(AG23,AG21*Seasonality!$C$96*AG22)*(1-AG72)*(1-AG48)</f>
        <v/>
      </c>
      <c r="AH180" s="48">
        <f>MAX(AH23,AH21*Seasonality!$C$96*AH22)*(1-AH72)*(1-AH48)</f>
        <v/>
      </c>
      <c r="AI180" s="48">
        <f>MAX(AI23,AI21*Seasonality!$C$96*AI22)*(1-AI72)*(1-AI48)</f>
        <v/>
      </c>
      <c r="AJ180" s="48">
        <f>MAX(AJ23,AJ21*Seasonality!$C$96*AJ22)*(1-AJ72)*(1-AJ48)</f>
        <v/>
      </c>
      <c r="AK180" s="48">
        <f>MAX(AK23,AK21*Seasonality!$C$96*AK22)*(1-AK72)*(1-AK48)</f>
        <v/>
      </c>
      <c r="AL180" s="48">
        <f>MAX(AL23,AL21*Seasonality!$C$96*AL22)*(1-AL72)*(1-AL48)</f>
        <v/>
      </c>
      <c r="AM180" s="48">
        <f>MAX(AM23,AM21*Seasonality!$C$96*AM22)*(1-AM72)*(1-AM48)</f>
        <v/>
      </c>
      <c r="AN180" s="48">
        <f>MAX(AN23,AN21*Seasonality!$C$96*AN22)*(1-AN72)*(1-AN48)</f>
        <v/>
      </c>
      <c r="AO180" s="48">
        <f>MAX(AO23,AO21*Seasonality!$C$96*AO22)*(1-AO72)*(1-AO48)</f>
        <v/>
      </c>
      <c r="AP180" s="48">
        <f>MAX(AP23,AP21*Seasonality!$C$96*AP22)*(1-AP72)*(1-AP48)</f>
        <v/>
      </c>
      <c r="AQ180" s="48">
        <f>MAX(AQ23,AQ21*Seasonality!$C$96*AQ22)*(1-AQ72)*(1-AQ48)</f>
        <v/>
      </c>
      <c r="AR180" s="48">
        <f>MAX(AR23,AR21*Seasonality!$C$96*AR22)*(1-AR72)*(1-AR48)</f>
        <v/>
      </c>
      <c r="AS180" s="48">
        <f>MAX(AS23,AS21*Seasonality!$C$96*AS22)*(1-AS72)*(1-AS48)</f>
        <v/>
      </c>
      <c r="AT180" s="48">
        <f>MAX(AT23,AT21*Seasonality!$C$96*AT22)*(1-AT72)*(1-AT48)</f>
        <v/>
      </c>
      <c r="AU180" s="48">
        <f>MAX(AU23,AU21*Seasonality!$C$96*AU22)*(1-AU72)*(1-AU48)</f>
        <v/>
      </c>
      <c r="AV180" s="48">
        <f>MAX(AV23,AV21*Seasonality!$C$96*AV22)*(1-AV72)*(1-AV48)</f>
        <v/>
      </c>
    </row>
    <row r="181">
      <c r="B181" s="7" t="inlineStr">
        <is>
          <t>Contribution · month 1</t>
        </is>
      </c>
      <c r="C181" s="5" t="inlineStr">
        <is>
          <t>₹</t>
        </is>
      </c>
      <c r="D181" s="48">
        <f>D121-(D21*Seasonality!$C$37*D68+D70+D49*D121)-D106</f>
        <v/>
      </c>
      <c r="E181" s="48">
        <f>E121-(E21*Seasonality!$C$37*E68+E70+E49*E121)-E106</f>
        <v/>
      </c>
      <c r="F181" s="48">
        <f>F121-(F21*Seasonality!$C$37*F68+F70+F49*F121)-F106</f>
        <v/>
      </c>
      <c r="G181" s="48">
        <f>G121-(G21*Seasonality!$C$37*G68+G70+G49*G121)-G106</f>
        <v/>
      </c>
      <c r="H181" s="48">
        <f>H121-(H21*Seasonality!$C$37*H68+H70+H49*H121)-H106</f>
        <v/>
      </c>
      <c r="I181" s="48">
        <f>I121-(I21*Seasonality!$C$37*I68+I70+I49*I121)-I106</f>
        <v/>
      </c>
      <c r="J181" s="48">
        <f>J121-(J21*Seasonality!$C$37*J68+J70+J49*J121)-J106</f>
        <v/>
      </c>
      <c r="K181" s="48">
        <f>K121-(K21*Seasonality!$C$37*K68+K70+K49*K121)-K106</f>
        <v/>
      </c>
      <c r="L181" s="48">
        <f>L121-(L21*Seasonality!$C$37*L68+L70+L49*L121)-L106</f>
        <v/>
      </c>
      <c r="M181" s="48">
        <f>M121-(M21*Seasonality!$C$37*M68+M70+M49*M121)-M106</f>
        <v/>
      </c>
      <c r="N181" s="48">
        <f>N121-(N21*Seasonality!$C$37*N68+N70+N49*N121)-N106</f>
        <v/>
      </c>
      <c r="O181" s="48">
        <f>O121-(O21*Seasonality!$C$37*O68+O70+O49*O121)-O106</f>
        <v/>
      </c>
      <c r="P181" s="48">
        <f>P121-(P21*Seasonality!$C$37*P68+P70+P49*P121)-P106</f>
        <v/>
      </c>
      <c r="Q181" s="48">
        <f>Q121-(Q21*Seasonality!$C$37*Q68+Q70+Q49*Q121)-Q106</f>
        <v/>
      </c>
      <c r="R181" s="48">
        <f>R121-(R21*Seasonality!$C$37*R68+R70+R49*R121)-R106</f>
        <v/>
      </c>
      <c r="S181" s="48">
        <f>S121-(S21*Seasonality!$C$37*S68+S70+S49*S121)-S106</f>
        <v/>
      </c>
      <c r="T181" s="48">
        <f>T121-(T21*Seasonality!$C$37*T68+T70+T49*T121)-T106</f>
        <v/>
      </c>
      <c r="U181" s="48">
        <f>U121-(U21*Seasonality!$C$37*U68+U70+U49*U121)-U106</f>
        <v/>
      </c>
      <c r="V181" s="48">
        <f>V121-(V21*Seasonality!$C$37*V68+V70+V49*V121)-V106</f>
        <v/>
      </c>
      <c r="W181" s="48">
        <f>W121-(W21*Seasonality!$C$37*W68+W70+W49*W121)-W106</f>
        <v/>
      </c>
      <c r="X181" s="48">
        <f>X121-(X21*Seasonality!$C$37*X68+X70+X49*X121)-X106</f>
        <v/>
      </c>
      <c r="Y181" s="48">
        <f>Y121-(Y21*Seasonality!$C$37*Y68+Y70+Y49*Y121)-Y106</f>
        <v/>
      </c>
      <c r="Z181" s="48">
        <f>Z121-(Z21*Seasonality!$C$37*Z68+Z70+Z49*Z121)-Z106</f>
        <v/>
      </c>
      <c r="AA181" s="48">
        <f>AA121-(AA21*Seasonality!$C$37*AA68+AA70+AA49*AA121)-AA106</f>
        <v/>
      </c>
      <c r="AB181" s="48">
        <f>AB121-(AB21*Seasonality!$C$37*AB68+AB70+AB49*AB121)-AB106</f>
        <v/>
      </c>
      <c r="AC181" s="48">
        <f>AC121-(AC21*Seasonality!$C$37*AC68+AC70+AC49*AC121)-AC106</f>
        <v/>
      </c>
      <c r="AD181" s="48">
        <f>AD121-(AD21*Seasonality!$C$37*AD68+AD70+AD49*AD121)-AD106</f>
        <v/>
      </c>
      <c r="AE181" s="48">
        <f>AE121-(AE21*Seasonality!$C$37*AE68+AE70+AE49*AE121)-AE106</f>
        <v/>
      </c>
      <c r="AF181" s="48">
        <f>AF121-(AF21*Seasonality!$C$37*AF68+AF70+AF49*AF121)-AF106</f>
        <v/>
      </c>
      <c r="AG181" s="48">
        <f>AG121-(AG21*Seasonality!$C$37*AG68+AG70+AG49*AG121)-AG106</f>
        <v/>
      </c>
      <c r="AH181" s="48">
        <f>AH121-(AH21*Seasonality!$C$37*AH68+AH70+AH49*AH121)-AH106</f>
        <v/>
      </c>
      <c r="AI181" s="48">
        <f>AI121-(AI21*Seasonality!$C$37*AI68+AI70+AI49*AI121)-AI106</f>
        <v/>
      </c>
      <c r="AJ181" s="48">
        <f>AJ121-(AJ21*Seasonality!$C$37*AJ68+AJ70+AJ49*AJ121)-AJ106</f>
        <v/>
      </c>
      <c r="AK181" s="48">
        <f>AK121-(AK21*Seasonality!$C$37*AK68+AK70+AK49*AK121)-AK106</f>
        <v/>
      </c>
      <c r="AL181" s="48">
        <f>AL121-(AL21*Seasonality!$C$37*AL68+AL70+AL49*AL121)-AL106</f>
        <v/>
      </c>
      <c r="AM181" s="48">
        <f>AM121-(AM21*Seasonality!$C$37*AM68+AM70+AM49*AM121)-AM106</f>
        <v/>
      </c>
      <c r="AN181" s="48">
        <f>AN121-(AN21*Seasonality!$C$37*AN68+AN70+AN49*AN121)-AN106</f>
        <v/>
      </c>
      <c r="AO181" s="48">
        <f>AO121-(AO21*Seasonality!$C$37*AO68+AO70+AO49*AO121)-AO106</f>
        <v/>
      </c>
      <c r="AP181" s="48">
        <f>AP121-(AP21*Seasonality!$C$37*AP68+AP70+AP49*AP121)-AP106</f>
        <v/>
      </c>
      <c r="AQ181" s="48">
        <f>AQ121-(AQ21*Seasonality!$C$37*AQ68+AQ70+AQ49*AQ121)-AQ106</f>
        <v/>
      </c>
      <c r="AR181" s="48">
        <f>AR121-(AR21*Seasonality!$C$37*AR68+AR70+AR49*AR121)-AR106</f>
        <v/>
      </c>
      <c r="AS181" s="48">
        <f>AS121-(AS21*Seasonality!$C$37*AS68+AS70+AS49*AS121)-AS106</f>
        <v/>
      </c>
      <c r="AT181" s="48">
        <f>AT121-(AT21*Seasonality!$C$37*AT68+AT70+AT49*AT121)-AT106</f>
        <v/>
      </c>
      <c r="AU181" s="48">
        <f>AU121-(AU21*Seasonality!$C$37*AU68+AU70+AU49*AU121)-AU106</f>
        <v/>
      </c>
      <c r="AV181" s="48">
        <f>AV121-(AV21*Seasonality!$C$37*AV68+AV70+AV49*AV121)-AV106</f>
        <v/>
      </c>
    </row>
    <row r="182">
      <c r="B182" s="7" t="inlineStr">
        <is>
          <t>Contribution · month 2</t>
        </is>
      </c>
      <c r="C182" s="5" t="inlineStr">
        <is>
          <t>₹</t>
        </is>
      </c>
      <c r="D182" s="48">
        <f>D122-(D21*Seasonality!$C$38*D68+D70+D49*D122)-D106</f>
        <v/>
      </c>
      <c r="E182" s="48">
        <f>E122-(E21*Seasonality!$C$38*E68+E70+E49*E122)-E106</f>
        <v/>
      </c>
      <c r="F182" s="48">
        <f>F122-(F21*Seasonality!$C$38*F68+F70+F49*F122)-F106</f>
        <v/>
      </c>
      <c r="G182" s="48">
        <f>G122-(G21*Seasonality!$C$38*G68+G70+G49*G122)-G106</f>
        <v/>
      </c>
      <c r="H182" s="48">
        <f>H122-(H21*Seasonality!$C$38*H68+H70+H49*H122)-H106</f>
        <v/>
      </c>
      <c r="I182" s="48">
        <f>I122-(I21*Seasonality!$C$38*I68+I70+I49*I122)-I106</f>
        <v/>
      </c>
      <c r="J182" s="48">
        <f>J122-(J21*Seasonality!$C$38*J68+J70+J49*J122)-J106</f>
        <v/>
      </c>
      <c r="K182" s="48">
        <f>K122-(K21*Seasonality!$C$38*K68+K70+K49*K122)-K106</f>
        <v/>
      </c>
      <c r="L182" s="48">
        <f>L122-(L21*Seasonality!$C$38*L68+L70+L49*L122)-L106</f>
        <v/>
      </c>
      <c r="M182" s="48">
        <f>M122-(M21*Seasonality!$C$38*M68+M70+M49*M122)-M106</f>
        <v/>
      </c>
      <c r="N182" s="48">
        <f>N122-(N21*Seasonality!$C$38*N68+N70+N49*N122)-N106</f>
        <v/>
      </c>
      <c r="O182" s="48">
        <f>O122-(O21*Seasonality!$C$38*O68+O70+O49*O122)-O106</f>
        <v/>
      </c>
      <c r="P182" s="48">
        <f>P122-(P21*Seasonality!$C$38*P68+P70+P49*P122)-P106</f>
        <v/>
      </c>
      <c r="Q182" s="48">
        <f>Q122-(Q21*Seasonality!$C$38*Q68+Q70+Q49*Q122)-Q106</f>
        <v/>
      </c>
      <c r="R182" s="48">
        <f>R122-(R21*Seasonality!$C$38*R68+R70+R49*R122)-R106</f>
        <v/>
      </c>
      <c r="S182" s="48">
        <f>S122-(S21*Seasonality!$C$38*S68+S70+S49*S122)-S106</f>
        <v/>
      </c>
      <c r="T182" s="48">
        <f>T122-(T21*Seasonality!$C$38*T68+T70+T49*T122)-T106</f>
        <v/>
      </c>
      <c r="U182" s="48">
        <f>U122-(U21*Seasonality!$C$38*U68+U70+U49*U122)-U106</f>
        <v/>
      </c>
      <c r="V182" s="48">
        <f>V122-(V21*Seasonality!$C$38*V68+V70+V49*V122)-V106</f>
        <v/>
      </c>
      <c r="W182" s="48">
        <f>W122-(W21*Seasonality!$C$38*W68+W70+W49*W122)-W106</f>
        <v/>
      </c>
      <c r="X182" s="48">
        <f>X122-(X21*Seasonality!$C$38*X68+X70+X49*X122)-X106</f>
        <v/>
      </c>
      <c r="Y182" s="48">
        <f>Y122-(Y21*Seasonality!$C$38*Y68+Y70+Y49*Y122)-Y106</f>
        <v/>
      </c>
      <c r="Z182" s="48">
        <f>Z122-(Z21*Seasonality!$C$38*Z68+Z70+Z49*Z122)-Z106</f>
        <v/>
      </c>
      <c r="AA182" s="48">
        <f>AA122-(AA21*Seasonality!$C$38*AA68+AA70+AA49*AA122)-AA106</f>
        <v/>
      </c>
      <c r="AB182" s="48">
        <f>AB122-(AB21*Seasonality!$C$38*AB68+AB70+AB49*AB122)-AB106</f>
        <v/>
      </c>
      <c r="AC182" s="48">
        <f>AC122-(AC21*Seasonality!$C$38*AC68+AC70+AC49*AC122)-AC106</f>
        <v/>
      </c>
      <c r="AD182" s="48">
        <f>AD122-(AD21*Seasonality!$C$38*AD68+AD70+AD49*AD122)-AD106</f>
        <v/>
      </c>
      <c r="AE182" s="48">
        <f>AE122-(AE21*Seasonality!$C$38*AE68+AE70+AE49*AE122)-AE106</f>
        <v/>
      </c>
      <c r="AF182" s="48">
        <f>AF122-(AF21*Seasonality!$C$38*AF68+AF70+AF49*AF122)-AF106</f>
        <v/>
      </c>
      <c r="AG182" s="48">
        <f>AG122-(AG21*Seasonality!$C$38*AG68+AG70+AG49*AG122)-AG106</f>
        <v/>
      </c>
      <c r="AH182" s="48">
        <f>AH122-(AH21*Seasonality!$C$38*AH68+AH70+AH49*AH122)-AH106</f>
        <v/>
      </c>
      <c r="AI182" s="48">
        <f>AI122-(AI21*Seasonality!$C$38*AI68+AI70+AI49*AI122)-AI106</f>
        <v/>
      </c>
      <c r="AJ182" s="48">
        <f>AJ122-(AJ21*Seasonality!$C$38*AJ68+AJ70+AJ49*AJ122)-AJ106</f>
        <v/>
      </c>
      <c r="AK182" s="48">
        <f>AK122-(AK21*Seasonality!$C$38*AK68+AK70+AK49*AK122)-AK106</f>
        <v/>
      </c>
      <c r="AL182" s="48">
        <f>AL122-(AL21*Seasonality!$C$38*AL68+AL70+AL49*AL122)-AL106</f>
        <v/>
      </c>
      <c r="AM182" s="48">
        <f>AM122-(AM21*Seasonality!$C$38*AM68+AM70+AM49*AM122)-AM106</f>
        <v/>
      </c>
      <c r="AN182" s="48">
        <f>AN122-(AN21*Seasonality!$C$38*AN68+AN70+AN49*AN122)-AN106</f>
        <v/>
      </c>
      <c r="AO182" s="48">
        <f>AO122-(AO21*Seasonality!$C$38*AO68+AO70+AO49*AO122)-AO106</f>
        <v/>
      </c>
      <c r="AP182" s="48">
        <f>AP122-(AP21*Seasonality!$C$38*AP68+AP70+AP49*AP122)-AP106</f>
        <v/>
      </c>
      <c r="AQ182" s="48">
        <f>AQ122-(AQ21*Seasonality!$C$38*AQ68+AQ70+AQ49*AQ122)-AQ106</f>
        <v/>
      </c>
      <c r="AR182" s="48">
        <f>AR122-(AR21*Seasonality!$C$38*AR68+AR70+AR49*AR122)-AR106</f>
        <v/>
      </c>
      <c r="AS182" s="48">
        <f>AS122-(AS21*Seasonality!$C$38*AS68+AS70+AS49*AS122)-AS106</f>
        <v/>
      </c>
      <c r="AT182" s="48">
        <f>AT122-(AT21*Seasonality!$C$38*AT68+AT70+AT49*AT122)-AT106</f>
        <v/>
      </c>
      <c r="AU182" s="48">
        <f>AU122-(AU21*Seasonality!$C$38*AU68+AU70+AU49*AU122)-AU106</f>
        <v/>
      </c>
      <c r="AV182" s="48">
        <f>AV122-(AV21*Seasonality!$C$38*AV68+AV70+AV49*AV122)-AV106</f>
        <v/>
      </c>
    </row>
    <row r="183">
      <c r="B183" s="7" t="inlineStr">
        <is>
          <t>Contribution · month 3</t>
        </is>
      </c>
      <c r="C183" s="5" t="inlineStr">
        <is>
          <t>₹</t>
        </is>
      </c>
      <c r="D183" s="48">
        <f>D123-(D21*Seasonality!$C$39*D68+D70+D49*D123)-D106</f>
        <v/>
      </c>
      <c r="E183" s="48">
        <f>E123-(E21*Seasonality!$C$39*E68+E70+E49*E123)-E106</f>
        <v/>
      </c>
      <c r="F183" s="48">
        <f>F123-(F21*Seasonality!$C$39*F68+F70+F49*F123)-F106</f>
        <v/>
      </c>
      <c r="G183" s="48">
        <f>G123-(G21*Seasonality!$C$39*G68+G70+G49*G123)-G106</f>
        <v/>
      </c>
      <c r="H183" s="48">
        <f>H123-(H21*Seasonality!$C$39*H68+H70+H49*H123)-H106</f>
        <v/>
      </c>
      <c r="I183" s="48">
        <f>I123-(I21*Seasonality!$C$39*I68+I70+I49*I123)-I106</f>
        <v/>
      </c>
      <c r="J183" s="48">
        <f>J123-(J21*Seasonality!$C$39*J68+J70+J49*J123)-J106</f>
        <v/>
      </c>
      <c r="K183" s="48">
        <f>K123-(K21*Seasonality!$C$39*K68+K70+K49*K123)-K106</f>
        <v/>
      </c>
      <c r="L183" s="48">
        <f>L123-(L21*Seasonality!$C$39*L68+L70+L49*L123)-L106</f>
        <v/>
      </c>
      <c r="M183" s="48">
        <f>M123-(M21*Seasonality!$C$39*M68+M70+M49*M123)-M106</f>
        <v/>
      </c>
      <c r="N183" s="48">
        <f>N123-(N21*Seasonality!$C$39*N68+N70+N49*N123)-N106</f>
        <v/>
      </c>
      <c r="O183" s="48">
        <f>O123-(O21*Seasonality!$C$39*O68+O70+O49*O123)-O106</f>
        <v/>
      </c>
      <c r="P183" s="48">
        <f>P123-(P21*Seasonality!$C$39*P68+P70+P49*P123)-P106</f>
        <v/>
      </c>
      <c r="Q183" s="48">
        <f>Q123-(Q21*Seasonality!$C$39*Q68+Q70+Q49*Q123)-Q106</f>
        <v/>
      </c>
      <c r="R183" s="48">
        <f>R123-(R21*Seasonality!$C$39*R68+R70+R49*R123)-R106</f>
        <v/>
      </c>
      <c r="S183" s="48">
        <f>S123-(S21*Seasonality!$C$39*S68+S70+S49*S123)-S106</f>
        <v/>
      </c>
      <c r="T183" s="48">
        <f>T123-(T21*Seasonality!$C$39*T68+T70+T49*T123)-T106</f>
        <v/>
      </c>
      <c r="U183" s="48">
        <f>U123-(U21*Seasonality!$C$39*U68+U70+U49*U123)-U106</f>
        <v/>
      </c>
      <c r="V183" s="48">
        <f>V123-(V21*Seasonality!$C$39*V68+V70+V49*V123)-V106</f>
        <v/>
      </c>
      <c r="W183" s="48">
        <f>W123-(W21*Seasonality!$C$39*W68+W70+W49*W123)-W106</f>
        <v/>
      </c>
      <c r="X183" s="48">
        <f>X123-(X21*Seasonality!$C$39*X68+X70+X49*X123)-X106</f>
        <v/>
      </c>
      <c r="Y183" s="48">
        <f>Y123-(Y21*Seasonality!$C$39*Y68+Y70+Y49*Y123)-Y106</f>
        <v/>
      </c>
      <c r="Z183" s="48">
        <f>Z123-(Z21*Seasonality!$C$39*Z68+Z70+Z49*Z123)-Z106</f>
        <v/>
      </c>
      <c r="AA183" s="48">
        <f>AA123-(AA21*Seasonality!$C$39*AA68+AA70+AA49*AA123)-AA106</f>
        <v/>
      </c>
      <c r="AB183" s="48">
        <f>AB123-(AB21*Seasonality!$C$39*AB68+AB70+AB49*AB123)-AB106</f>
        <v/>
      </c>
      <c r="AC183" s="48">
        <f>AC123-(AC21*Seasonality!$C$39*AC68+AC70+AC49*AC123)-AC106</f>
        <v/>
      </c>
      <c r="AD183" s="48">
        <f>AD123-(AD21*Seasonality!$C$39*AD68+AD70+AD49*AD123)-AD106</f>
        <v/>
      </c>
      <c r="AE183" s="48">
        <f>AE123-(AE21*Seasonality!$C$39*AE68+AE70+AE49*AE123)-AE106</f>
        <v/>
      </c>
      <c r="AF183" s="48">
        <f>AF123-(AF21*Seasonality!$C$39*AF68+AF70+AF49*AF123)-AF106</f>
        <v/>
      </c>
      <c r="AG183" s="48">
        <f>AG123-(AG21*Seasonality!$C$39*AG68+AG70+AG49*AG123)-AG106</f>
        <v/>
      </c>
      <c r="AH183" s="48">
        <f>AH123-(AH21*Seasonality!$C$39*AH68+AH70+AH49*AH123)-AH106</f>
        <v/>
      </c>
      <c r="AI183" s="48">
        <f>AI123-(AI21*Seasonality!$C$39*AI68+AI70+AI49*AI123)-AI106</f>
        <v/>
      </c>
      <c r="AJ183" s="48">
        <f>AJ123-(AJ21*Seasonality!$C$39*AJ68+AJ70+AJ49*AJ123)-AJ106</f>
        <v/>
      </c>
      <c r="AK183" s="48">
        <f>AK123-(AK21*Seasonality!$C$39*AK68+AK70+AK49*AK123)-AK106</f>
        <v/>
      </c>
      <c r="AL183" s="48">
        <f>AL123-(AL21*Seasonality!$C$39*AL68+AL70+AL49*AL123)-AL106</f>
        <v/>
      </c>
      <c r="AM183" s="48">
        <f>AM123-(AM21*Seasonality!$C$39*AM68+AM70+AM49*AM123)-AM106</f>
        <v/>
      </c>
      <c r="AN183" s="48">
        <f>AN123-(AN21*Seasonality!$C$39*AN68+AN70+AN49*AN123)-AN106</f>
        <v/>
      </c>
      <c r="AO183" s="48">
        <f>AO123-(AO21*Seasonality!$C$39*AO68+AO70+AO49*AO123)-AO106</f>
        <v/>
      </c>
      <c r="AP183" s="48">
        <f>AP123-(AP21*Seasonality!$C$39*AP68+AP70+AP49*AP123)-AP106</f>
        <v/>
      </c>
      <c r="AQ183" s="48">
        <f>AQ123-(AQ21*Seasonality!$C$39*AQ68+AQ70+AQ49*AQ123)-AQ106</f>
        <v/>
      </c>
      <c r="AR183" s="48">
        <f>AR123-(AR21*Seasonality!$C$39*AR68+AR70+AR49*AR123)-AR106</f>
        <v/>
      </c>
      <c r="AS183" s="48">
        <f>AS123-(AS21*Seasonality!$C$39*AS68+AS70+AS49*AS123)-AS106</f>
        <v/>
      </c>
      <c r="AT183" s="48">
        <f>AT123-(AT21*Seasonality!$C$39*AT68+AT70+AT49*AT123)-AT106</f>
        <v/>
      </c>
      <c r="AU183" s="48">
        <f>AU123-(AU21*Seasonality!$C$39*AU68+AU70+AU49*AU123)-AU106</f>
        <v/>
      </c>
      <c r="AV183" s="48">
        <f>AV123-(AV21*Seasonality!$C$39*AV68+AV70+AV49*AV123)-AV106</f>
        <v/>
      </c>
    </row>
    <row r="184">
      <c r="B184" s="7" t="inlineStr">
        <is>
          <t>Contribution · month 4</t>
        </is>
      </c>
      <c r="C184" s="5" t="inlineStr">
        <is>
          <t>₹</t>
        </is>
      </c>
      <c r="D184" s="48">
        <f>D124-(D21*Seasonality!$C$40*D68+D70+D49*D124)-D106</f>
        <v/>
      </c>
      <c r="E184" s="48">
        <f>E124-(E21*Seasonality!$C$40*E68+E70+E49*E124)-E106</f>
        <v/>
      </c>
      <c r="F184" s="48">
        <f>F124-(F21*Seasonality!$C$40*F68+F70+F49*F124)-F106</f>
        <v/>
      </c>
      <c r="G184" s="48">
        <f>G124-(G21*Seasonality!$C$40*G68+G70+G49*G124)-G106</f>
        <v/>
      </c>
      <c r="H184" s="48">
        <f>H124-(H21*Seasonality!$C$40*H68+H70+H49*H124)-H106</f>
        <v/>
      </c>
      <c r="I184" s="48">
        <f>I124-(I21*Seasonality!$C$40*I68+I70+I49*I124)-I106</f>
        <v/>
      </c>
      <c r="J184" s="48">
        <f>J124-(J21*Seasonality!$C$40*J68+J70+J49*J124)-J106</f>
        <v/>
      </c>
      <c r="K184" s="48">
        <f>K124-(K21*Seasonality!$C$40*K68+K70+K49*K124)-K106</f>
        <v/>
      </c>
      <c r="L184" s="48">
        <f>L124-(L21*Seasonality!$C$40*L68+L70+L49*L124)-L106</f>
        <v/>
      </c>
      <c r="M184" s="48">
        <f>M124-(M21*Seasonality!$C$40*M68+M70+M49*M124)-M106</f>
        <v/>
      </c>
      <c r="N184" s="48">
        <f>N124-(N21*Seasonality!$C$40*N68+N70+N49*N124)-N106</f>
        <v/>
      </c>
      <c r="O184" s="48">
        <f>O124-(O21*Seasonality!$C$40*O68+O70+O49*O124)-O106</f>
        <v/>
      </c>
      <c r="P184" s="48">
        <f>P124-(P21*Seasonality!$C$40*P68+P70+P49*P124)-P106</f>
        <v/>
      </c>
      <c r="Q184" s="48">
        <f>Q124-(Q21*Seasonality!$C$40*Q68+Q70+Q49*Q124)-Q106</f>
        <v/>
      </c>
      <c r="R184" s="48">
        <f>R124-(R21*Seasonality!$C$40*R68+R70+R49*R124)-R106</f>
        <v/>
      </c>
      <c r="S184" s="48">
        <f>S124-(S21*Seasonality!$C$40*S68+S70+S49*S124)-S106</f>
        <v/>
      </c>
      <c r="T184" s="48">
        <f>T124-(T21*Seasonality!$C$40*T68+T70+T49*T124)-T106</f>
        <v/>
      </c>
      <c r="U184" s="48">
        <f>U124-(U21*Seasonality!$C$40*U68+U70+U49*U124)-U106</f>
        <v/>
      </c>
      <c r="V184" s="48">
        <f>V124-(V21*Seasonality!$C$40*V68+V70+V49*V124)-V106</f>
        <v/>
      </c>
      <c r="W184" s="48">
        <f>W124-(W21*Seasonality!$C$40*W68+W70+W49*W124)-W106</f>
        <v/>
      </c>
      <c r="X184" s="48">
        <f>X124-(X21*Seasonality!$C$40*X68+X70+X49*X124)-X106</f>
        <v/>
      </c>
      <c r="Y184" s="48">
        <f>Y124-(Y21*Seasonality!$C$40*Y68+Y70+Y49*Y124)-Y106</f>
        <v/>
      </c>
      <c r="Z184" s="48">
        <f>Z124-(Z21*Seasonality!$C$40*Z68+Z70+Z49*Z124)-Z106</f>
        <v/>
      </c>
      <c r="AA184" s="48">
        <f>AA124-(AA21*Seasonality!$C$40*AA68+AA70+AA49*AA124)-AA106</f>
        <v/>
      </c>
      <c r="AB184" s="48">
        <f>AB124-(AB21*Seasonality!$C$40*AB68+AB70+AB49*AB124)-AB106</f>
        <v/>
      </c>
      <c r="AC184" s="48">
        <f>AC124-(AC21*Seasonality!$C$40*AC68+AC70+AC49*AC124)-AC106</f>
        <v/>
      </c>
      <c r="AD184" s="48">
        <f>AD124-(AD21*Seasonality!$C$40*AD68+AD70+AD49*AD124)-AD106</f>
        <v/>
      </c>
      <c r="AE184" s="48">
        <f>AE124-(AE21*Seasonality!$C$40*AE68+AE70+AE49*AE124)-AE106</f>
        <v/>
      </c>
      <c r="AF184" s="48">
        <f>AF124-(AF21*Seasonality!$C$40*AF68+AF70+AF49*AF124)-AF106</f>
        <v/>
      </c>
      <c r="AG184" s="48">
        <f>AG124-(AG21*Seasonality!$C$40*AG68+AG70+AG49*AG124)-AG106</f>
        <v/>
      </c>
      <c r="AH184" s="48">
        <f>AH124-(AH21*Seasonality!$C$40*AH68+AH70+AH49*AH124)-AH106</f>
        <v/>
      </c>
      <c r="AI184" s="48">
        <f>AI124-(AI21*Seasonality!$C$40*AI68+AI70+AI49*AI124)-AI106</f>
        <v/>
      </c>
      <c r="AJ184" s="48">
        <f>AJ124-(AJ21*Seasonality!$C$40*AJ68+AJ70+AJ49*AJ124)-AJ106</f>
        <v/>
      </c>
      <c r="AK184" s="48">
        <f>AK124-(AK21*Seasonality!$C$40*AK68+AK70+AK49*AK124)-AK106</f>
        <v/>
      </c>
      <c r="AL184" s="48">
        <f>AL124-(AL21*Seasonality!$C$40*AL68+AL70+AL49*AL124)-AL106</f>
        <v/>
      </c>
      <c r="AM184" s="48">
        <f>AM124-(AM21*Seasonality!$C$40*AM68+AM70+AM49*AM124)-AM106</f>
        <v/>
      </c>
      <c r="AN184" s="48">
        <f>AN124-(AN21*Seasonality!$C$40*AN68+AN70+AN49*AN124)-AN106</f>
        <v/>
      </c>
      <c r="AO184" s="48">
        <f>AO124-(AO21*Seasonality!$C$40*AO68+AO70+AO49*AO124)-AO106</f>
        <v/>
      </c>
      <c r="AP184" s="48">
        <f>AP124-(AP21*Seasonality!$C$40*AP68+AP70+AP49*AP124)-AP106</f>
        <v/>
      </c>
      <c r="AQ184" s="48">
        <f>AQ124-(AQ21*Seasonality!$C$40*AQ68+AQ70+AQ49*AQ124)-AQ106</f>
        <v/>
      </c>
      <c r="AR184" s="48">
        <f>AR124-(AR21*Seasonality!$C$40*AR68+AR70+AR49*AR124)-AR106</f>
        <v/>
      </c>
      <c r="AS184" s="48">
        <f>AS124-(AS21*Seasonality!$C$40*AS68+AS70+AS49*AS124)-AS106</f>
        <v/>
      </c>
      <c r="AT184" s="48">
        <f>AT124-(AT21*Seasonality!$C$40*AT68+AT70+AT49*AT124)-AT106</f>
        <v/>
      </c>
      <c r="AU184" s="48">
        <f>AU124-(AU21*Seasonality!$C$40*AU68+AU70+AU49*AU124)-AU106</f>
        <v/>
      </c>
      <c r="AV184" s="48">
        <f>AV124-(AV21*Seasonality!$C$40*AV68+AV70+AV49*AV124)-AV106</f>
        <v/>
      </c>
    </row>
    <row r="185">
      <c r="B185" s="7" t="inlineStr">
        <is>
          <t>Contribution · month 5</t>
        </is>
      </c>
      <c r="C185" s="5" t="inlineStr">
        <is>
          <t>₹</t>
        </is>
      </c>
      <c r="D185" s="48">
        <f>D125-(D21*Seasonality!$C$41*D68+D70+D49*D125)-D106</f>
        <v/>
      </c>
      <c r="E185" s="48">
        <f>E125-(E21*Seasonality!$C$41*E68+E70+E49*E125)-E106</f>
        <v/>
      </c>
      <c r="F185" s="48">
        <f>F125-(F21*Seasonality!$C$41*F68+F70+F49*F125)-F106</f>
        <v/>
      </c>
      <c r="G185" s="48">
        <f>G125-(G21*Seasonality!$C$41*G68+G70+G49*G125)-G106</f>
        <v/>
      </c>
      <c r="H185" s="48">
        <f>H125-(H21*Seasonality!$C$41*H68+H70+H49*H125)-H106</f>
        <v/>
      </c>
      <c r="I185" s="48">
        <f>I125-(I21*Seasonality!$C$41*I68+I70+I49*I125)-I106</f>
        <v/>
      </c>
      <c r="J185" s="48">
        <f>J125-(J21*Seasonality!$C$41*J68+J70+J49*J125)-J106</f>
        <v/>
      </c>
      <c r="K185" s="48">
        <f>K125-(K21*Seasonality!$C$41*K68+K70+K49*K125)-K106</f>
        <v/>
      </c>
      <c r="L185" s="48">
        <f>L125-(L21*Seasonality!$C$41*L68+L70+L49*L125)-L106</f>
        <v/>
      </c>
      <c r="M185" s="48">
        <f>M125-(M21*Seasonality!$C$41*M68+M70+M49*M125)-M106</f>
        <v/>
      </c>
      <c r="N185" s="48">
        <f>N125-(N21*Seasonality!$C$41*N68+N70+N49*N125)-N106</f>
        <v/>
      </c>
      <c r="O185" s="48">
        <f>O125-(O21*Seasonality!$C$41*O68+O70+O49*O125)-O106</f>
        <v/>
      </c>
      <c r="P185" s="48">
        <f>P125-(P21*Seasonality!$C$41*P68+P70+P49*P125)-P106</f>
        <v/>
      </c>
      <c r="Q185" s="48">
        <f>Q125-(Q21*Seasonality!$C$41*Q68+Q70+Q49*Q125)-Q106</f>
        <v/>
      </c>
      <c r="R185" s="48">
        <f>R125-(R21*Seasonality!$C$41*R68+R70+R49*R125)-R106</f>
        <v/>
      </c>
      <c r="S185" s="48">
        <f>S125-(S21*Seasonality!$C$41*S68+S70+S49*S125)-S106</f>
        <v/>
      </c>
      <c r="T185" s="48">
        <f>T125-(T21*Seasonality!$C$41*T68+T70+T49*T125)-T106</f>
        <v/>
      </c>
      <c r="U185" s="48">
        <f>U125-(U21*Seasonality!$C$41*U68+U70+U49*U125)-U106</f>
        <v/>
      </c>
      <c r="V185" s="48">
        <f>V125-(V21*Seasonality!$C$41*V68+V70+V49*V125)-V106</f>
        <v/>
      </c>
      <c r="W185" s="48">
        <f>W125-(W21*Seasonality!$C$41*W68+W70+W49*W125)-W106</f>
        <v/>
      </c>
      <c r="X185" s="48">
        <f>X125-(X21*Seasonality!$C$41*X68+X70+X49*X125)-X106</f>
        <v/>
      </c>
      <c r="Y185" s="48">
        <f>Y125-(Y21*Seasonality!$C$41*Y68+Y70+Y49*Y125)-Y106</f>
        <v/>
      </c>
      <c r="Z185" s="48">
        <f>Z125-(Z21*Seasonality!$C$41*Z68+Z70+Z49*Z125)-Z106</f>
        <v/>
      </c>
      <c r="AA185" s="48">
        <f>AA125-(AA21*Seasonality!$C$41*AA68+AA70+AA49*AA125)-AA106</f>
        <v/>
      </c>
      <c r="AB185" s="48">
        <f>AB125-(AB21*Seasonality!$C$41*AB68+AB70+AB49*AB125)-AB106</f>
        <v/>
      </c>
      <c r="AC185" s="48">
        <f>AC125-(AC21*Seasonality!$C$41*AC68+AC70+AC49*AC125)-AC106</f>
        <v/>
      </c>
      <c r="AD185" s="48">
        <f>AD125-(AD21*Seasonality!$C$41*AD68+AD70+AD49*AD125)-AD106</f>
        <v/>
      </c>
      <c r="AE185" s="48">
        <f>AE125-(AE21*Seasonality!$C$41*AE68+AE70+AE49*AE125)-AE106</f>
        <v/>
      </c>
      <c r="AF185" s="48">
        <f>AF125-(AF21*Seasonality!$C$41*AF68+AF70+AF49*AF125)-AF106</f>
        <v/>
      </c>
      <c r="AG185" s="48">
        <f>AG125-(AG21*Seasonality!$C$41*AG68+AG70+AG49*AG125)-AG106</f>
        <v/>
      </c>
      <c r="AH185" s="48">
        <f>AH125-(AH21*Seasonality!$C$41*AH68+AH70+AH49*AH125)-AH106</f>
        <v/>
      </c>
      <c r="AI185" s="48">
        <f>AI125-(AI21*Seasonality!$C$41*AI68+AI70+AI49*AI125)-AI106</f>
        <v/>
      </c>
      <c r="AJ185" s="48">
        <f>AJ125-(AJ21*Seasonality!$C$41*AJ68+AJ70+AJ49*AJ125)-AJ106</f>
        <v/>
      </c>
      <c r="AK185" s="48">
        <f>AK125-(AK21*Seasonality!$C$41*AK68+AK70+AK49*AK125)-AK106</f>
        <v/>
      </c>
      <c r="AL185" s="48">
        <f>AL125-(AL21*Seasonality!$C$41*AL68+AL70+AL49*AL125)-AL106</f>
        <v/>
      </c>
      <c r="AM185" s="48">
        <f>AM125-(AM21*Seasonality!$C$41*AM68+AM70+AM49*AM125)-AM106</f>
        <v/>
      </c>
      <c r="AN185" s="48">
        <f>AN125-(AN21*Seasonality!$C$41*AN68+AN70+AN49*AN125)-AN106</f>
        <v/>
      </c>
      <c r="AO185" s="48">
        <f>AO125-(AO21*Seasonality!$C$41*AO68+AO70+AO49*AO125)-AO106</f>
        <v/>
      </c>
      <c r="AP185" s="48">
        <f>AP125-(AP21*Seasonality!$C$41*AP68+AP70+AP49*AP125)-AP106</f>
        <v/>
      </c>
      <c r="AQ185" s="48">
        <f>AQ125-(AQ21*Seasonality!$C$41*AQ68+AQ70+AQ49*AQ125)-AQ106</f>
        <v/>
      </c>
      <c r="AR185" s="48">
        <f>AR125-(AR21*Seasonality!$C$41*AR68+AR70+AR49*AR125)-AR106</f>
        <v/>
      </c>
      <c r="AS185" s="48">
        <f>AS125-(AS21*Seasonality!$C$41*AS68+AS70+AS49*AS125)-AS106</f>
        <v/>
      </c>
      <c r="AT185" s="48">
        <f>AT125-(AT21*Seasonality!$C$41*AT68+AT70+AT49*AT125)-AT106</f>
        <v/>
      </c>
      <c r="AU185" s="48">
        <f>AU125-(AU21*Seasonality!$C$41*AU68+AU70+AU49*AU125)-AU106</f>
        <v/>
      </c>
      <c r="AV185" s="48">
        <f>AV125-(AV21*Seasonality!$C$41*AV68+AV70+AV49*AV125)-AV106</f>
        <v/>
      </c>
    </row>
    <row r="186">
      <c r="B186" s="7" t="inlineStr">
        <is>
          <t>Contribution · month 6</t>
        </is>
      </c>
      <c r="C186" s="5" t="inlineStr">
        <is>
          <t>₹</t>
        </is>
      </c>
      <c r="D186" s="48">
        <f>D126-(D21*Seasonality!$C$42*D68+D70+D49*D126)-D106</f>
        <v/>
      </c>
      <c r="E186" s="48">
        <f>E126-(E21*Seasonality!$C$42*E68+E70+E49*E126)-E106</f>
        <v/>
      </c>
      <c r="F186" s="48">
        <f>F126-(F21*Seasonality!$C$42*F68+F70+F49*F126)-F106</f>
        <v/>
      </c>
      <c r="G186" s="48">
        <f>G126-(G21*Seasonality!$C$42*G68+G70+G49*G126)-G106</f>
        <v/>
      </c>
      <c r="H186" s="48">
        <f>H126-(H21*Seasonality!$C$42*H68+H70+H49*H126)-H106</f>
        <v/>
      </c>
      <c r="I186" s="48">
        <f>I126-(I21*Seasonality!$C$42*I68+I70+I49*I126)-I106</f>
        <v/>
      </c>
      <c r="J186" s="48">
        <f>J126-(J21*Seasonality!$C$42*J68+J70+J49*J126)-J106</f>
        <v/>
      </c>
      <c r="K186" s="48">
        <f>K126-(K21*Seasonality!$C$42*K68+K70+K49*K126)-K106</f>
        <v/>
      </c>
      <c r="L186" s="48">
        <f>L126-(L21*Seasonality!$C$42*L68+L70+L49*L126)-L106</f>
        <v/>
      </c>
      <c r="M186" s="48">
        <f>M126-(M21*Seasonality!$C$42*M68+M70+M49*M126)-M106</f>
        <v/>
      </c>
      <c r="N186" s="48">
        <f>N126-(N21*Seasonality!$C$42*N68+N70+N49*N126)-N106</f>
        <v/>
      </c>
      <c r="O186" s="48">
        <f>O126-(O21*Seasonality!$C$42*O68+O70+O49*O126)-O106</f>
        <v/>
      </c>
      <c r="P186" s="48">
        <f>P126-(P21*Seasonality!$C$42*P68+P70+P49*P126)-P106</f>
        <v/>
      </c>
      <c r="Q186" s="48">
        <f>Q126-(Q21*Seasonality!$C$42*Q68+Q70+Q49*Q126)-Q106</f>
        <v/>
      </c>
      <c r="R186" s="48">
        <f>R126-(R21*Seasonality!$C$42*R68+R70+R49*R126)-R106</f>
        <v/>
      </c>
      <c r="S186" s="48">
        <f>S126-(S21*Seasonality!$C$42*S68+S70+S49*S126)-S106</f>
        <v/>
      </c>
      <c r="T186" s="48">
        <f>T126-(T21*Seasonality!$C$42*T68+T70+T49*T126)-T106</f>
        <v/>
      </c>
      <c r="U186" s="48">
        <f>U126-(U21*Seasonality!$C$42*U68+U70+U49*U126)-U106</f>
        <v/>
      </c>
      <c r="V186" s="48">
        <f>V126-(V21*Seasonality!$C$42*V68+V70+V49*V126)-V106</f>
        <v/>
      </c>
      <c r="W186" s="48">
        <f>W126-(W21*Seasonality!$C$42*W68+W70+W49*W126)-W106</f>
        <v/>
      </c>
      <c r="X186" s="48">
        <f>X126-(X21*Seasonality!$C$42*X68+X70+X49*X126)-X106</f>
        <v/>
      </c>
      <c r="Y186" s="48">
        <f>Y126-(Y21*Seasonality!$C$42*Y68+Y70+Y49*Y126)-Y106</f>
        <v/>
      </c>
      <c r="Z186" s="48">
        <f>Z126-(Z21*Seasonality!$C$42*Z68+Z70+Z49*Z126)-Z106</f>
        <v/>
      </c>
      <c r="AA186" s="48">
        <f>AA126-(AA21*Seasonality!$C$42*AA68+AA70+AA49*AA126)-AA106</f>
        <v/>
      </c>
      <c r="AB186" s="48">
        <f>AB126-(AB21*Seasonality!$C$42*AB68+AB70+AB49*AB126)-AB106</f>
        <v/>
      </c>
      <c r="AC186" s="48">
        <f>AC126-(AC21*Seasonality!$C$42*AC68+AC70+AC49*AC126)-AC106</f>
        <v/>
      </c>
      <c r="AD186" s="48">
        <f>AD126-(AD21*Seasonality!$C$42*AD68+AD70+AD49*AD126)-AD106</f>
        <v/>
      </c>
      <c r="AE186" s="48">
        <f>AE126-(AE21*Seasonality!$C$42*AE68+AE70+AE49*AE126)-AE106</f>
        <v/>
      </c>
      <c r="AF186" s="48">
        <f>AF126-(AF21*Seasonality!$C$42*AF68+AF70+AF49*AF126)-AF106</f>
        <v/>
      </c>
      <c r="AG186" s="48">
        <f>AG126-(AG21*Seasonality!$C$42*AG68+AG70+AG49*AG126)-AG106</f>
        <v/>
      </c>
      <c r="AH186" s="48">
        <f>AH126-(AH21*Seasonality!$C$42*AH68+AH70+AH49*AH126)-AH106</f>
        <v/>
      </c>
      <c r="AI186" s="48">
        <f>AI126-(AI21*Seasonality!$C$42*AI68+AI70+AI49*AI126)-AI106</f>
        <v/>
      </c>
      <c r="AJ186" s="48">
        <f>AJ126-(AJ21*Seasonality!$C$42*AJ68+AJ70+AJ49*AJ126)-AJ106</f>
        <v/>
      </c>
      <c r="AK186" s="48">
        <f>AK126-(AK21*Seasonality!$C$42*AK68+AK70+AK49*AK126)-AK106</f>
        <v/>
      </c>
      <c r="AL186" s="48">
        <f>AL126-(AL21*Seasonality!$C$42*AL68+AL70+AL49*AL126)-AL106</f>
        <v/>
      </c>
      <c r="AM186" s="48">
        <f>AM126-(AM21*Seasonality!$C$42*AM68+AM70+AM49*AM126)-AM106</f>
        <v/>
      </c>
      <c r="AN186" s="48">
        <f>AN126-(AN21*Seasonality!$C$42*AN68+AN70+AN49*AN126)-AN106</f>
        <v/>
      </c>
      <c r="AO186" s="48">
        <f>AO126-(AO21*Seasonality!$C$42*AO68+AO70+AO49*AO126)-AO106</f>
        <v/>
      </c>
      <c r="AP186" s="48">
        <f>AP126-(AP21*Seasonality!$C$42*AP68+AP70+AP49*AP126)-AP106</f>
        <v/>
      </c>
      <c r="AQ186" s="48">
        <f>AQ126-(AQ21*Seasonality!$C$42*AQ68+AQ70+AQ49*AQ126)-AQ106</f>
        <v/>
      </c>
      <c r="AR186" s="48">
        <f>AR126-(AR21*Seasonality!$C$42*AR68+AR70+AR49*AR126)-AR106</f>
        <v/>
      </c>
      <c r="AS186" s="48">
        <f>AS126-(AS21*Seasonality!$C$42*AS68+AS70+AS49*AS126)-AS106</f>
        <v/>
      </c>
      <c r="AT186" s="48">
        <f>AT126-(AT21*Seasonality!$C$42*AT68+AT70+AT49*AT126)-AT106</f>
        <v/>
      </c>
      <c r="AU186" s="48">
        <f>AU126-(AU21*Seasonality!$C$42*AU68+AU70+AU49*AU126)-AU106</f>
        <v/>
      </c>
      <c r="AV186" s="48">
        <f>AV126-(AV21*Seasonality!$C$42*AV68+AV70+AV49*AV126)-AV106</f>
        <v/>
      </c>
    </row>
    <row r="187">
      <c r="B187" s="7" t="inlineStr">
        <is>
          <t>Contribution · month 7</t>
        </is>
      </c>
      <c r="C187" s="5" t="inlineStr">
        <is>
          <t>₹</t>
        </is>
      </c>
      <c r="D187" s="48">
        <f>D127-(D21*Seasonality!$C$43*D68+D70+D49*D127)-D106</f>
        <v/>
      </c>
      <c r="E187" s="48">
        <f>E127-(E21*Seasonality!$C$43*E68+E70+E49*E127)-E106</f>
        <v/>
      </c>
      <c r="F187" s="48">
        <f>F127-(F21*Seasonality!$C$43*F68+F70+F49*F127)-F106</f>
        <v/>
      </c>
      <c r="G187" s="48">
        <f>G127-(G21*Seasonality!$C$43*G68+G70+G49*G127)-G106</f>
        <v/>
      </c>
      <c r="H187" s="48">
        <f>H127-(H21*Seasonality!$C$43*H68+H70+H49*H127)-H106</f>
        <v/>
      </c>
      <c r="I187" s="48">
        <f>I127-(I21*Seasonality!$C$43*I68+I70+I49*I127)-I106</f>
        <v/>
      </c>
      <c r="J187" s="48">
        <f>J127-(J21*Seasonality!$C$43*J68+J70+J49*J127)-J106</f>
        <v/>
      </c>
      <c r="K187" s="48">
        <f>K127-(K21*Seasonality!$C$43*K68+K70+K49*K127)-K106</f>
        <v/>
      </c>
      <c r="L187" s="48">
        <f>L127-(L21*Seasonality!$C$43*L68+L70+L49*L127)-L106</f>
        <v/>
      </c>
      <c r="M187" s="48">
        <f>M127-(M21*Seasonality!$C$43*M68+M70+M49*M127)-M106</f>
        <v/>
      </c>
      <c r="N187" s="48">
        <f>N127-(N21*Seasonality!$C$43*N68+N70+N49*N127)-N106</f>
        <v/>
      </c>
      <c r="O187" s="48">
        <f>O127-(O21*Seasonality!$C$43*O68+O70+O49*O127)-O106</f>
        <v/>
      </c>
      <c r="P187" s="48">
        <f>P127-(P21*Seasonality!$C$43*P68+P70+P49*P127)-P106</f>
        <v/>
      </c>
      <c r="Q187" s="48">
        <f>Q127-(Q21*Seasonality!$C$43*Q68+Q70+Q49*Q127)-Q106</f>
        <v/>
      </c>
      <c r="R187" s="48">
        <f>R127-(R21*Seasonality!$C$43*R68+R70+R49*R127)-R106</f>
        <v/>
      </c>
      <c r="S187" s="48">
        <f>S127-(S21*Seasonality!$C$43*S68+S70+S49*S127)-S106</f>
        <v/>
      </c>
      <c r="T187" s="48">
        <f>T127-(T21*Seasonality!$C$43*T68+T70+T49*T127)-T106</f>
        <v/>
      </c>
      <c r="U187" s="48">
        <f>U127-(U21*Seasonality!$C$43*U68+U70+U49*U127)-U106</f>
        <v/>
      </c>
      <c r="V187" s="48">
        <f>V127-(V21*Seasonality!$C$43*V68+V70+V49*V127)-V106</f>
        <v/>
      </c>
      <c r="W187" s="48">
        <f>W127-(W21*Seasonality!$C$43*W68+W70+W49*W127)-W106</f>
        <v/>
      </c>
      <c r="X187" s="48">
        <f>X127-(X21*Seasonality!$C$43*X68+X70+X49*X127)-X106</f>
        <v/>
      </c>
      <c r="Y187" s="48">
        <f>Y127-(Y21*Seasonality!$C$43*Y68+Y70+Y49*Y127)-Y106</f>
        <v/>
      </c>
      <c r="Z187" s="48">
        <f>Z127-(Z21*Seasonality!$C$43*Z68+Z70+Z49*Z127)-Z106</f>
        <v/>
      </c>
      <c r="AA187" s="48">
        <f>AA127-(AA21*Seasonality!$C$43*AA68+AA70+AA49*AA127)-AA106</f>
        <v/>
      </c>
      <c r="AB187" s="48">
        <f>AB127-(AB21*Seasonality!$C$43*AB68+AB70+AB49*AB127)-AB106</f>
        <v/>
      </c>
      <c r="AC187" s="48">
        <f>AC127-(AC21*Seasonality!$C$43*AC68+AC70+AC49*AC127)-AC106</f>
        <v/>
      </c>
      <c r="AD187" s="48">
        <f>AD127-(AD21*Seasonality!$C$43*AD68+AD70+AD49*AD127)-AD106</f>
        <v/>
      </c>
      <c r="AE187" s="48">
        <f>AE127-(AE21*Seasonality!$C$43*AE68+AE70+AE49*AE127)-AE106</f>
        <v/>
      </c>
      <c r="AF187" s="48">
        <f>AF127-(AF21*Seasonality!$C$43*AF68+AF70+AF49*AF127)-AF106</f>
        <v/>
      </c>
      <c r="AG187" s="48">
        <f>AG127-(AG21*Seasonality!$C$43*AG68+AG70+AG49*AG127)-AG106</f>
        <v/>
      </c>
      <c r="AH187" s="48">
        <f>AH127-(AH21*Seasonality!$C$43*AH68+AH70+AH49*AH127)-AH106</f>
        <v/>
      </c>
      <c r="AI187" s="48">
        <f>AI127-(AI21*Seasonality!$C$43*AI68+AI70+AI49*AI127)-AI106</f>
        <v/>
      </c>
      <c r="AJ187" s="48">
        <f>AJ127-(AJ21*Seasonality!$C$43*AJ68+AJ70+AJ49*AJ127)-AJ106</f>
        <v/>
      </c>
      <c r="AK187" s="48">
        <f>AK127-(AK21*Seasonality!$C$43*AK68+AK70+AK49*AK127)-AK106</f>
        <v/>
      </c>
      <c r="AL187" s="48">
        <f>AL127-(AL21*Seasonality!$C$43*AL68+AL70+AL49*AL127)-AL106</f>
        <v/>
      </c>
      <c r="AM187" s="48">
        <f>AM127-(AM21*Seasonality!$C$43*AM68+AM70+AM49*AM127)-AM106</f>
        <v/>
      </c>
      <c r="AN187" s="48">
        <f>AN127-(AN21*Seasonality!$C$43*AN68+AN70+AN49*AN127)-AN106</f>
        <v/>
      </c>
      <c r="AO187" s="48">
        <f>AO127-(AO21*Seasonality!$C$43*AO68+AO70+AO49*AO127)-AO106</f>
        <v/>
      </c>
      <c r="AP187" s="48">
        <f>AP127-(AP21*Seasonality!$C$43*AP68+AP70+AP49*AP127)-AP106</f>
        <v/>
      </c>
      <c r="AQ187" s="48">
        <f>AQ127-(AQ21*Seasonality!$C$43*AQ68+AQ70+AQ49*AQ127)-AQ106</f>
        <v/>
      </c>
      <c r="AR187" s="48">
        <f>AR127-(AR21*Seasonality!$C$43*AR68+AR70+AR49*AR127)-AR106</f>
        <v/>
      </c>
      <c r="AS187" s="48">
        <f>AS127-(AS21*Seasonality!$C$43*AS68+AS70+AS49*AS127)-AS106</f>
        <v/>
      </c>
      <c r="AT187" s="48">
        <f>AT127-(AT21*Seasonality!$C$43*AT68+AT70+AT49*AT127)-AT106</f>
        <v/>
      </c>
      <c r="AU187" s="48">
        <f>AU127-(AU21*Seasonality!$C$43*AU68+AU70+AU49*AU127)-AU106</f>
        <v/>
      </c>
      <c r="AV187" s="48">
        <f>AV127-(AV21*Seasonality!$C$43*AV68+AV70+AV49*AV127)-AV106</f>
        <v/>
      </c>
    </row>
    <row r="188">
      <c r="B188" s="7" t="inlineStr">
        <is>
          <t>Contribution · month 8</t>
        </is>
      </c>
      <c r="C188" s="5" t="inlineStr">
        <is>
          <t>₹</t>
        </is>
      </c>
      <c r="D188" s="48">
        <f>D128-(D21*Seasonality!$C$44*D68+D70+D49*D128)-D106</f>
        <v/>
      </c>
      <c r="E188" s="48">
        <f>E128-(E21*Seasonality!$C$44*E68+E70+E49*E128)-E106</f>
        <v/>
      </c>
      <c r="F188" s="48">
        <f>F128-(F21*Seasonality!$C$44*F68+F70+F49*F128)-F106</f>
        <v/>
      </c>
      <c r="G188" s="48">
        <f>G128-(G21*Seasonality!$C$44*G68+G70+G49*G128)-G106</f>
        <v/>
      </c>
      <c r="H188" s="48">
        <f>H128-(H21*Seasonality!$C$44*H68+H70+H49*H128)-H106</f>
        <v/>
      </c>
      <c r="I188" s="48">
        <f>I128-(I21*Seasonality!$C$44*I68+I70+I49*I128)-I106</f>
        <v/>
      </c>
      <c r="J188" s="48">
        <f>J128-(J21*Seasonality!$C$44*J68+J70+J49*J128)-J106</f>
        <v/>
      </c>
      <c r="K188" s="48">
        <f>K128-(K21*Seasonality!$C$44*K68+K70+K49*K128)-K106</f>
        <v/>
      </c>
      <c r="L188" s="48">
        <f>L128-(L21*Seasonality!$C$44*L68+L70+L49*L128)-L106</f>
        <v/>
      </c>
      <c r="M188" s="48">
        <f>M128-(M21*Seasonality!$C$44*M68+M70+M49*M128)-M106</f>
        <v/>
      </c>
      <c r="N188" s="48">
        <f>N128-(N21*Seasonality!$C$44*N68+N70+N49*N128)-N106</f>
        <v/>
      </c>
      <c r="O188" s="48">
        <f>O128-(O21*Seasonality!$C$44*O68+O70+O49*O128)-O106</f>
        <v/>
      </c>
      <c r="P188" s="48">
        <f>P128-(P21*Seasonality!$C$44*P68+P70+P49*P128)-P106</f>
        <v/>
      </c>
      <c r="Q188" s="48">
        <f>Q128-(Q21*Seasonality!$C$44*Q68+Q70+Q49*Q128)-Q106</f>
        <v/>
      </c>
      <c r="R188" s="48">
        <f>R128-(R21*Seasonality!$C$44*R68+R70+R49*R128)-R106</f>
        <v/>
      </c>
      <c r="S188" s="48">
        <f>S128-(S21*Seasonality!$C$44*S68+S70+S49*S128)-S106</f>
        <v/>
      </c>
      <c r="T188" s="48">
        <f>T128-(T21*Seasonality!$C$44*T68+T70+T49*T128)-T106</f>
        <v/>
      </c>
      <c r="U188" s="48">
        <f>U128-(U21*Seasonality!$C$44*U68+U70+U49*U128)-U106</f>
        <v/>
      </c>
      <c r="V188" s="48">
        <f>V128-(V21*Seasonality!$C$44*V68+V70+V49*V128)-V106</f>
        <v/>
      </c>
      <c r="W188" s="48">
        <f>W128-(W21*Seasonality!$C$44*W68+W70+W49*W128)-W106</f>
        <v/>
      </c>
      <c r="X188" s="48">
        <f>X128-(X21*Seasonality!$C$44*X68+X70+X49*X128)-X106</f>
        <v/>
      </c>
      <c r="Y188" s="48">
        <f>Y128-(Y21*Seasonality!$C$44*Y68+Y70+Y49*Y128)-Y106</f>
        <v/>
      </c>
      <c r="Z188" s="48">
        <f>Z128-(Z21*Seasonality!$C$44*Z68+Z70+Z49*Z128)-Z106</f>
        <v/>
      </c>
      <c r="AA188" s="48">
        <f>AA128-(AA21*Seasonality!$C$44*AA68+AA70+AA49*AA128)-AA106</f>
        <v/>
      </c>
      <c r="AB188" s="48">
        <f>AB128-(AB21*Seasonality!$C$44*AB68+AB70+AB49*AB128)-AB106</f>
        <v/>
      </c>
      <c r="AC188" s="48">
        <f>AC128-(AC21*Seasonality!$C$44*AC68+AC70+AC49*AC128)-AC106</f>
        <v/>
      </c>
      <c r="AD188" s="48">
        <f>AD128-(AD21*Seasonality!$C$44*AD68+AD70+AD49*AD128)-AD106</f>
        <v/>
      </c>
      <c r="AE188" s="48">
        <f>AE128-(AE21*Seasonality!$C$44*AE68+AE70+AE49*AE128)-AE106</f>
        <v/>
      </c>
      <c r="AF188" s="48">
        <f>AF128-(AF21*Seasonality!$C$44*AF68+AF70+AF49*AF128)-AF106</f>
        <v/>
      </c>
      <c r="AG188" s="48">
        <f>AG128-(AG21*Seasonality!$C$44*AG68+AG70+AG49*AG128)-AG106</f>
        <v/>
      </c>
      <c r="AH188" s="48">
        <f>AH128-(AH21*Seasonality!$C$44*AH68+AH70+AH49*AH128)-AH106</f>
        <v/>
      </c>
      <c r="AI188" s="48">
        <f>AI128-(AI21*Seasonality!$C$44*AI68+AI70+AI49*AI128)-AI106</f>
        <v/>
      </c>
      <c r="AJ188" s="48">
        <f>AJ128-(AJ21*Seasonality!$C$44*AJ68+AJ70+AJ49*AJ128)-AJ106</f>
        <v/>
      </c>
      <c r="AK188" s="48">
        <f>AK128-(AK21*Seasonality!$C$44*AK68+AK70+AK49*AK128)-AK106</f>
        <v/>
      </c>
      <c r="AL188" s="48">
        <f>AL128-(AL21*Seasonality!$C$44*AL68+AL70+AL49*AL128)-AL106</f>
        <v/>
      </c>
      <c r="AM188" s="48">
        <f>AM128-(AM21*Seasonality!$C$44*AM68+AM70+AM49*AM128)-AM106</f>
        <v/>
      </c>
      <c r="AN188" s="48">
        <f>AN128-(AN21*Seasonality!$C$44*AN68+AN70+AN49*AN128)-AN106</f>
        <v/>
      </c>
      <c r="AO188" s="48">
        <f>AO128-(AO21*Seasonality!$C$44*AO68+AO70+AO49*AO128)-AO106</f>
        <v/>
      </c>
      <c r="AP188" s="48">
        <f>AP128-(AP21*Seasonality!$C$44*AP68+AP70+AP49*AP128)-AP106</f>
        <v/>
      </c>
      <c r="AQ188" s="48">
        <f>AQ128-(AQ21*Seasonality!$C$44*AQ68+AQ70+AQ49*AQ128)-AQ106</f>
        <v/>
      </c>
      <c r="AR188" s="48">
        <f>AR128-(AR21*Seasonality!$C$44*AR68+AR70+AR49*AR128)-AR106</f>
        <v/>
      </c>
      <c r="AS188" s="48">
        <f>AS128-(AS21*Seasonality!$C$44*AS68+AS70+AS49*AS128)-AS106</f>
        <v/>
      </c>
      <c r="AT188" s="48">
        <f>AT128-(AT21*Seasonality!$C$44*AT68+AT70+AT49*AT128)-AT106</f>
        <v/>
      </c>
      <c r="AU188" s="48">
        <f>AU128-(AU21*Seasonality!$C$44*AU68+AU70+AU49*AU128)-AU106</f>
        <v/>
      </c>
      <c r="AV188" s="48">
        <f>AV128-(AV21*Seasonality!$C$44*AV68+AV70+AV49*AV128)-AV106</f>
        <v/>
      </c>
    </row>
    <row r="189">
      <c r="B189" s="7" t="inlineStr">
        <is>
          <t>Contribution · month 9</t>
        </is>
      </c>
      <c r="C189" s="5" t="inlineStr">
        <is>
          <t>₹</t>
        </is>
      </c>
      <c r="D189" s="48">
        <f>D129-(D21*Seasonality!$C$45*D68+D70+D49*D129)-D106</f>
        <v/>
      </c>
      <c r="E189" s="48">
        <f>E129-(E21*Seasonality!$C$45*E68+E70+E49*E129)-E106</f>
        <v/>
      </c>
      <c r="F189" s="48">
        <f>F129-(F21*Seasonality!$C$45*F68+F70+F49*F129)-F106</f>
        <v/>
      </c>
      <c r="G189" s="48">
        <f>G129-(G21*Seasonality!$C$45*G68+G70+G49*G129)-G106</f>
        <v/>
      </c>
      <c r="H189" s="48">
        <f>H129-(H21*Seasonality!$C$45*H68+H70+H49*H129)-H106</f>
        <v/>
      </c>
      <c r="I189" s="48">
        <f>I129-(I21*Seasonality!$C$45*I68+I70+I49*I129)-I106</f>
        <v/>
      </c>
      <c r="J189" s="48">
        <f>J129-(J21*Seasonality!$C$45*J68+J70+J49*J129)-J106</f>
        <v/>
      </c>
      <c r="K189" s="48">
        <f>K129-(K21*Seasonality!$C$45*K68+K70+K49*K129)-K106</f>
        <v/>
      </c>
      <c r="L189" s="48">
        <f>L129-(L21*Seasonality!$C$45*L68+L70+L49*L129)-L106</f>
        <v/>
      </c>
      <c r="M189" s="48">
        <f>M129-(M21*Seasonality!$C$45*M68+M70+M49*M129)-M106</f>
        <v/>
      </c>
      <c r="N189" s="48">
        <f>N129-(N21*Seasonality!$C$45*N68+N70+N49*N129)-N106</f>
        <v/>
      </c>
      <c r="O189" s="48">
        <f>O129-(O21*Seasonality!$C$45*O68+O70+O49*O129)-O106</f>
        <v/>
      </c>
      <c r="P189" s="48">
        <f>P129-(P21*Seasonality!$C$45*P68+P70+P49*P129)-P106</f>
        <v/>
      </c>
      <c r="Q189" s="48">
        <f>Q129-(Q21*Seasonality!$C$45*Q68+Q70+Q49*Q129)-Q106</f>
        <v/>
      </c>
      <c r="R189" s="48">
        <f>R129-(R21*Seasonality!$C$45*R68+R70+R49*R129)-R106</f>
        <v/>
      </c>
      <c r="S189" s="48">
        <f>S129-(S21*Seasonality!$C$45*S68+S70+S49*S129)-S106</f>
        <v/>
      </c>
      <c r="T189" s="48">
        <f>T129-(T21*Seasonality!$C$45*T68+T70+T49*T129)-T106</f>
        <v/>
      </c>
      <c r="U189" s="48">
        <f>U129-(U21*Seasonality!$C$45*U68+U70+U49*U129)-U106</f>
        <v/>
      </c>
      <c r="V189" s="48">
        <f>V129-(V21*Seasonality!$C$45*V68+V70+V49*V129)-V106</f>
        <v/>
      </c>
      <c r="W189" s="48">
        <f>W129-(W21*Seasonality!$C$45*W68+W70+W49*W129)-W106</f>
        <v/>
      </c>
      <c r="X189" s="48">
        <f>X129-(X21*Seasonality!$C$45*X68+X70+X49*X129)-X106</f>
        <v/>
      </c>
      <c r="Y189" s="48">
        <f>Y129-(Y21*Seasonality!$C$45*Y68+Y70+Y49*Y129)-Y106</f>
        <v/>
      </c>
      <c r="Z189" s="48">
        <f>Z129-(Z21*Seasonality!$C$45*Z68+Z70+Z49*Z129)-Z106</f>
        <v/>
      </c>
      <c r="AA189" s="48">
        <f>AA129-(AA21*Seasonality!$C$45*AA68+AA70+AA49*AA129)-AA106</f>
        <v/>
      </c>
      <c r="AB189" s="48">
        <f>AB129-(AB21*Seasonality!$C$45*AB68+AB70+AB49*AB129)-AB106</f>
        <v/>
      </c>
      <c r="AC189" s="48">
        <f>AC129-(AC21*Seasonality!$C$45*AC68+AC70+AC49*AC129)-AC106</f>
        <v/>
      </c>
      <c r="AD189" s="48">
        <f>AD129-(AD21*Seasonality!$C$45*AD68+AD70+AD49*AD129)-AD106</f>
        <v/>
      </c>
      <c r="AE189" s="48">
        <f>AE129-(AE21*Seasonality!$C$45*AE68+AE70+AE49*AE129)-AE106</f>
        <v/>
      </c>
      <c r="AF189" s="48">
        <f>AF129-(AF21*Seasonality!$C$45*AF68+AF70+AF49*AF129)-AF106</f>
        <v/>
      </c>
      <c r="AG189" s="48">
        <f>AG129-(AG21*Seasonality!$C$45*AG68+AG70+AG49*AG129)-AG106</f>
        <v/>
      </c>
      <c r="AH189" s="48">
        <f>AH129-(AH21*Seasonality!$C$45*AH68+AH70+AH49*AH129)-AH106</f>
        <v/>
      </c>
      <c r="AI189" s="48">
        <f>AI129-(AI21*Seasonality!$C$45*AI68+AI70+AI49*AI129)-AI106</f>
        <v/>
      </c>
      <c r="AJ189" s="48">
        <f>AJ129-(AJ21*Seasonality!$C$45*AJ68+AJ70+AJ49*AJ129)-AJ106</f>
        <v/>
      </c>
      <c r="AK189" s="48">
        <f>AK129-(AK21*Seasonality!$C$45*AK68+AK70+AK49*AK129)-AK106</f>
        <v/>
      </c>
      <c r="AL189" s="48">
        <f>AL129-(AL21*Seasonality!$C$45*AL68+AL70+AL49*AL129)-AL106</f>
        <v/>
      </c>
      <c r="AM189" s="48">
        <f>AM129-(AM21*Seasonality!$C$45*AM68+AM70+AM49*AM129)-AM106</f>
        <v/>
      </c>
      <c r="AN189" s="48">
        <f>AN129-(AN21*Seasonality!$C$45*AN68+AN70+AN49*AN129)-AN106</f>
        <v/>
      </c>
      <c r="AO189" s="48">
        <f>AO129-(AO21*Seasonality!$C$45*AO68+AO70+AO49*AO129)-AO106</f>
        <v/>
      </c>
      <c r="AP189" s="48">
        <f>AP129-(AP21*Seasonality!$C$45*AP68+AP70+AP49*AP129)-AP106</f>
        <v/>
      </c>
      <c r="AQ189" s="48">
        <f>AQ129-(AQ21*Seasonality!$C$45*AQ68+AQ70+AQ49*AQ129)-AQ106</f>
        <v/>
      </c>
      <c r="AR189" s="48">
        <f>AR129-(AR21*Seasonality!$C$45*AR68+AR70+AR49*AR129)-AR106</f>
        <v/>
      </c>
      <c r="AS189" s="48">
        <f>AS129-(AS21*Seasonality!$C$45*AS68+AS70+AS49*AS129)-AS106</f>
        <v/>
      </c>
      <c r="AT189" s="48">
        <f>AT129-(AT21*Seasonality!$C$45*AT68+AT70+AT49*AT129)-AT106</f>
        <v/>
      </c>
      <c r="AU189" s="48">
        <f>AU129-(AU21*Seasonality!$C$45*AU68+AU70+AU49*AU129)-AU106</f>
        <v/>
      </c>
      <c r="AV189" s="48">
        <f>AV129-(AV21*Seasonality!$C$45*AV68+AV70+AV49*AV129)-AV106</f>
        <v/>
      </c>
    </row>
    <row r="190">
      <c r="B190" s="7" t="inlineStr">
        <is>
          <t>Contribution · month 10</t>
        </is>
      </c>
      <c r="C190" s="5" t="inlineStr">
        <is>
          <t>₹</t>
        </is>
      </c>
      <c r="D190" s="48">
        <f>D130-(D21*Seasonality!$C$46*D68+D70+D49*D130)-D106</f>
        <v/>
      </c>
      <c r="E190" s="48">
        <f>E130-(E21*Seasonality!$C$46*E68+E70+E49*E130)-E106</f>
        <v/>
      </c>
      <c r="F190" s="48">
        <f>F130-(F21*Seasonality!$C$46*F68+F70+F49*F130)-F106</f>
        <v/>
      </c>
      <c r="G190" s="48">
        <f>G130-(G21*Seasonality!$C$46*G68+G70+G49*G130)-G106</f>
        <v/>
      </c>
      <c r="H190" s="48">
        <f>H130-(H21*Seasonality!$C$46*H68+H70+H49*H130)-H106</f>
        <v/>
      </c>
      <c r="I190" s="48">
        <f>I130-(I21*Seasonality!$C$46*I68+I70+I49*I130)-I106</f>
        <v/>
      </c>
      <c r="J190" s="48">
        <f>J130-(J21*Seasonality!$C$46*J68+J70+J49*J130)-J106</f>
        <v/>
      </c>
      <c r="K190" s="48">
        <f>K130-(K21*Seasonality!$C$46*K68+K70+K49*K130)-K106</f>
        <v/>
      </c>
      <c r="L190" s="48">
        <f>L130-(L21*Seasonality!$C$46*L68+L70+L49*L130)-L106</f>
        <v/>
      </c>
      <c r="M190" s="48">
        <f>M130-(M21*Seasonality!$C$46*M68+M70+M49*M130)-M106</f>
        <v/>
      </c>
      <c r="N190" s="48">
        <f>N130-(N21*Seasonality!$C$46*N68+N70+N49*N130)-N106</f>
        <v/>
      </c>
      <c r="O190" s="48">
        <f>O130-(O21*Seasonality!$C$46*O68+O70+O49*O130)-O106</f>
        <v/>
      </c>
      <c r="P190" s="48">
        <f>P130-(P21*Seasonality!$C$46*P68+P70+P49*P130)-P106</f>
        <v/>
      </c>
      <c r="Q190" s="48">
        <f>Q130-(Q21*Seasonality!$C$46*Q68+Q70+Q49*Q130)-Q106</f>
        <v/>
      </c>
      <c r="R190" s="48">
        <f>R130-(R21*Seasonality!$C$46*R68+R70+R49*R130)-R106</f>
        <v/>
      </c>
      <c r="S190" s="48">
        <f>S130-(S21*Seasonality!$C$46*S68+S70+S49*S130)-S106</f>
        <v/>
      </c>
      <c r="T190" s="48">
        <f>T130-(T21*Seasonality!$C$46*T68+T70+T49*T130)-T106</f>
        <v/>
      </c>
      <c r="U190" s="48">
        <f>U130-(U21*Seasonality!$C$46*U68+U70+U49*U130)-U106</f>
        <v/>
      </c>
      <c r="V190" s="48">
        <f>V130-(V21*Seasonality!$C$46*V68+V70+V49*V130)-V106</f>
        <v/>
      </c>
      <c r="W190" s="48">
        <f>W130-(W21*Seasonality!$C$46*W68+W70+W49*W130)-W106</f>
        <v/>
      </c>
      <c r="X190" s="48">
        <f>X130-(X21*Seasonality!$C$46*X68+X70+X49*X130)-X106</f>
        <v/>
      </c>
      <c r="Y190" s="48">
        <f>Y130-(Y21*Seasonality!$C$46*Y68+Y70+Y49*Y130)-Y106</f>
        <v/>
      </c>
      <c r="Z190" s="48">
        <f>Z130-(Z21*Seasonality!$C$46*Z68+Z70+Z49*Z130)-Z106</f>
        <v/>
      </c>
      <c r="AA190" s="48">
        <f>AA130-(AA21*Seasonality!$C$46*AA68+AA70+AA49*AA130)-AA106</f>
        <v/>
      </c>
      <c r="AB190" s="48">
        <f>AB130-(AB21*Seasonality!$C$46*AB68+AB70+AB49*AB130)-AB106</f>
        <v/>
      </c>
      <c r="AC190" s="48">
        <f>AC130-(AC21*Seasonality!$C$46*AC68+AC70+AC49*AC130)-AC106</f>
        <v/>
      </c>
      <c r="AD190" s="48">
        <f>AD130-(AD21*Seasonality!$C$46*AD68+AD70+AD49*AD130)-AD106</f>
        <v/>
      </c>
      <c r="AE190" s="48">
        <f>AE130-(AE21*Seasonality!$C$46*AE68+AE70+AE49*AE130)-AE106</f>
        <v/>
      </c>
      <c r="AF190" s="48">
        <f>AF130-(AF21*Seasonality!$C$46*AF68+AF70+AF49*AF130)-AF106</f>
        <v/>
      </c>
      <c r="AG190" s="48">
        <f>AG130-(AG21*Seasonality!$C$46*AG68+AG70+AG49*AG130)-AG106</f>
        <v/>
      </c>
      <c r="AH190" s="48">
        <f>AH130-(AH21*Seasonality!$C$46*AH68+AH70+AH49*AH130)-AH106</f>
        <v/>
      </c>
      <c r="AI190" s="48">
        <f>AI130-(AI21*Seasonality!$C$46*AI68+AI70+AI49*AI130)-AI106</f>
        <v/>
      </c>
      <c r="AJ190" s="48">
        <f>AJ130-(AJ21*Seasonality!$C$46*AJ68+AJ70+AJ49*AJ130)-AJ106</f>
        <v/>
      </c>
      <c r="AK190" s="48">
        <f>AK130-(AK21*Seasonality!$C$46*AK68+AK70+AK49*AK130)-AK106</f>
        <v/>
      </c>
      <c r="AL190" s="48">
        <f>AL130-(AL21*Seasonality!$C$46*AL68+AL70+AL49*AL130)-AL106</f>
        <v/>
      </c>
      <c r="AM190" s="48">
        <f>AM130-(AM21*Seasonality!$C$46*AM68+AM70+AM49*AM130)-AM106</f>
        <v/>
      </c>
      <c r="AN190" s="48">
        <f>AN130-(AN21*Seasonality!$C$46*AN68+AN70+AN49*AN130)-AN106</f>
        <v/>
      </c>
      <c r="AO190" s="48">
        <f>AO130-(AO21*Seasonality!$C$46*AO68+AO70+AO49*AO130)-AO106</f>
        <v/>
      </c>
      <c r="AP190" s="48">
        <f>AP130-(AP21*Seasonality!$C$46*AP68+AP70+AP49*AP130)-AP106</f>
        <v/>
      </c>
      <c r="AQ190" s="48">
        <f>AQ130-(AQ21*Seasonality!$C$46*AQ68+AQ70+AQ49*AQ130)-AQ106</f>
        <v/>
      </c>
      <c r="AR190" s="48">
        <f>AR130-(AR21*Seasonality!$C$46*AR68+AR70+AR49*AR130)-AR106</f>
        <v/>
      </c>
      <c r="AS190" s="48">
        <f>AS130-(AS21*Seasonality!$C$46*AS68+AS70+AS49*AS130)-AS106</f>
        <v/>
      </c>
      <c r="AT190" s="48">
        <f>AT130-(AT21*Seasonality!$C$46*AT68+AT70+AT49*AT130)-AT106</f>
        <v/>
      </c>
      <c r="AU190" s="48">
        <f>AU130-(AU21*Seasonality!$C$46*AU68+AU70+AU49*AU130)-AU106</f>
        <v/>
      </c>
      <c r="AV190" s="48">
        <f>AV130-(AV21*Seasonality!$C$46*AV68+AV70+AV49*AV130)-AV106</f>
        <v/>
      </c>
    </row>
    <row r="191">
      <c r="B191" s="7" t="inlineStr">
        <is>
          <t>Contribution · month 11</t>
        </is>
      </c>
      <c r="C191" s="5" t="inlineStr">
        <is>
          <t>₹</t>
        </is>
      </c>
      <c r="D191" s="48">
        <f>D131-(D21*Seasonality!$C$47*D68+D70+D49*D131)-D106</f>
        <v/>
      </c>
      <c r="E191" s="48">
        <f>E131-(E21*Seasonality!$C$47*E68+E70+E49*E131)-E106</f>
        <v/>
      </c>
      <c r="F191" s="48">
        <f>F131-(F21*Seasonality!$C$47*F68+F70+F49*F131)-F106</f>
        <v/>
      </c>
      <c r="G191" s="48">
        <f>G131-(G21*Seasonality!$C$47*G68+G70+G49*G131)-G106</f>
        <v/>
      </c>
      <c r="H191" s="48">
        <f>H131-(H21*Seasonality!$C$47*H68+H70+H49*H131)-H106</f>
        <v/>
      </c>
      <c r="I191" s="48">
        <f>I131-(I21*Seasonality!$C$47*I68+I70+I49*I131)-I106</f>
        <v/>
      </c>
      <c r="J191" s="48">
        <f>J131-(J21*Seasonality!$C$47*J68+J70+J49*J131)-J106</f>
        <v/>
      </c>
      <c r="K191" s="48">
        <f>K131-(K21*Seasonality!$C$47*K68+K70+K49*K131)-K106</f>
        <v/>
      </c>
      <c r="L191" s="48">
        <f>L131-(L21*Seasonality!$C$47*L68+L70+L49*L131)-L106</f>
        <v/>
      </c>
      <c r="M191" s="48">
        <f>M131-(M21*Seasonality!$C$47*M68+M70+M49*M131)-M106</f>
        <v/>
      </c>
      <c r="N191" s="48">
        <f>N131-(N21*Seasonality!$C$47*N68+N70+N49*N131)-N106</f>
        <v/>
      </c>
      <c r="O191" s="48">
        <f>O131-(O21*Seasonality!$C$47*O68+O70+O49*O131)-O106</f>
        <v/>
      </c>
      <c r="P191" s="48">
        <f>P131-(P21*Seasonality!$C$47*P68+P70+P49*P131)-P106</f>
        <v/>
      </c>
      <c r="Q191" s="48">
        <f>Q131-(Q21*Seasonality!$C$47*Q68+Q70+Q49*Q131)-Q106</f>
        <v/>
      </c>
      <c r="R191" s="48">
        <f>R131-(R21*Seasonality!$C$47*R68+R70+R49*R131)-R106</f>
        <v/>
      </c>
      <c r="S191" s="48">
        <f>S131-(S21*Seasonality!$C$47*S68+S70+S49*S131)-S106</f>
        <v/>
      </c>
      <c r="T191" s="48">
        <f>T131-(T21*Seasonality!$C$47*T68+T70+T49*T131)-T106</f>
        <v/>
      </c>
      <c r="U191" s="48">
        <f>U131-(U21*Seasonality!$C$47*U68+U70+U49*U131)-U106</f>
        <v/>
      </c>
      <c r="V191" s="48">
        <f>V131-(V21*Seasonality!$C$47*V68+V70+V49*V131)-V106</f>
        <v/>
      </c>
      <c r="W191" s="48">
        <f>W131-(W21*Seasonality!$C$47*W68+W70+W49*W131)-W106</f>
        <v/>
      </c>
      <c r="X191" s="48">
        <f>X131-(X21*Seasonality!$C$47*X68+X70+X49*X131)-X106</f>
        <v/>
      </c>
      <c r="Y191" s="48">
        <f>Y131-(Y21*Seasonality!$C$47*Y68+Y70+Y49*Y131)-Y106</f>
        <v/>
      </c>
      <c r="Z191" s="48">
        <f>Z131-(Z21*Seasonality!$C$47*Z68+Z70+Z49*Z131)-Z106</f>
        <v/>
      </c>
      <c r="AA191" s="48">
        <f>AA131-(AA21*Seasonality!$C$47*AA68+AA70+AA49*AA131)-AA106</f>
        <v/>
      </c>
      <c r="AB191" s="48">
        <f>AB131-(AB21*Seasonality!$C$47*AB68+AB70+AB49*AB131)-AB106</f>
        <v/>
      </c>
      <c r="AC191" s="48">
        <f>AC131-(AC21*Seasonality!$C$47*AC68+AC70+AC49*AC131)-AC106</f>
        <v/>
      </c>
      <c r="AD191" s="48">
        <f>AD131-(AD21*Seasonality!$C$47*AD68+AD70+AD49*AD131)-AD106</f>
        <v/>
      </c>
      <c r="AE191" s="48">
        <f>AE131-(AE21*Seasonality!$C$47*AE68+AE70+AE49*AE131)-AE106</f>
        <v/>
      </c>
      <c r="AF191" s="48">
        <f>AF131-(AF21*Seasonality!$C$47*AF68+AF70+AF49*AF131)-AF106</f>
        <v/>
      </c>
      <c r="AG191" s="48">
        <f>AG131-(AG21*Seasonality!$C$47*AG68+AG70+AG49*AG131)-AG106</f>
        <v/>
      </c>
      <c r="AH191" s="48">
        <f>AH131-(AH21*Seasonality!$C$47*AH68+AH70+AH49*AH131)-AH106</f>
        <v/>
      </c>
      <c r="AI191" s="48">
        <f>AI131-(AI21*Seasonality!$C$47*AI68+AI70+AI49*AI131)-AI106</f>
        <v/>
      </c>
      <c r="AJ191" s="48">
        <f>AJ131-(AJ21*Seasonality!$C$47*AJ68+AJ70+AJ49*AJ131)-AJ106</f>
        <v/>
      </c>
      <c r="AK191" s="48">
        <f>AK131-(AK21*Seasonality!$C$47*AK68+AK70+AK49*AK131)-AK106</f>
        <v/>
      </c>
      <c r="AL191" s="48">
        <f>AL131-(AL21*Seasonality!$C$47*AL68+AL70+AL49*AL131)-AL106</f>
        <v/>
      </c>
      <c r="AM191" s="48">
        <f>AM131-(AM21*Seasonality!$C$47*AM68+AM70+AM49*AM131)-AM106</f>
        <v/>
      </c>
      <c r="AN191" s="48">
        <f>AN131-(AN21*Seasonality!$C$47*AN68+AN70+AN49*AN131)-AN106</f>
        <v/>
      </c>
      <c r="AO191" s="48">
        <f>AO131-(AO21*Seasonality!$C$47*AO68+AO70+AO49*AO131)-AO106</f>
        <v/>
      </c>
      <c r="AP191" s="48">
        <f>AP131-(AP21*Seasonality!$C$47*AP68+AP70+AP49*AP131)-AP106</f>
        <v/>
      </c>
      <c r="AQ191" s="48">
        <f>AQ131-(AQ21*Seasonality!$C$47*AQ68+AQ70+AQ49*AQ131)-AQ106</f>
        <v/>
      </c>
      <c r="AR191" s="48">
        <f>AR131-(AR21*Seasonality!$C$47*AR68+AR70+AR49*AR131)-AR106</f>
        <v/>
      </c>
      <c r="AS191" s="48">
        <f>AS131-(AS21*Seasonality!$C$47*AS68+AS70+AS49*AS131)-AS106</f>
        <v/>
      </c>
      <c r="AT191" s="48">
        <f>AT131-(AT21*Seasonality!$C$47*AT68+AT70+AT49*AT131)-AT106</f>
        <v/>
      </c>
      <c r="AU191" s="48">
        <f>AU131-(AU21*Seasonality!$C$47*AU68+AU70+AU49*AU131)-AU106</f>
        <v/>
      </c>
      <c r="AV191" s="48">
        <f>AV131-(AV21*Seasonality!$C$47*AV68+AV70+AV49*AV131)-AV106</f>
        <v/>
      </c>
    </row>
    <row r="192">
      <c r="B192" s="7" t="inlineStr">
        <is>
          <t>Contribution · month 12</t>
        </is>
      </c>
      <c r="C192" s="5" t="inlineStr">
        <is>
          <t>₹</t>
        </is>
      </c>
      <c r="D192" s="48">
        <f>D132-(D21*Seasonality!$C$48*D68+D70+D49*D132)-D106</f>
        <v/>
      </c>
      <c r="E192" s="48">
        <f>E132-(E21*Seasonality!$C$48*E68+E70+E49*E132)-E106</f>
        <v/>
      </c>
      <c r="F192" s="48">
        <f>F132-(F21*Seasonality!$C$48*F68+F70+F49*F132)-F106</f>
        <v/>
      </c>
      <c r="G192" s="48">
        <f>G132-(G21*Seasonality!$C$48*G68+G70+G49*G132)-G106</f>
        <v/>
      </c>
      <c r="H192" s="48">
        <f>H132-(H21*Seasonality!$C$48*H68+H70+H49*H132)-H106</f>
        <v/>
      </c>
      <c r="I192" s="48">
        <f>I132-(I21*Seasonality!$C$48*I68+I70+I49*I132)-I106</f>
        <v/>
      </c>
      <c r="J192" s="48">
        <f>J132-(J21*Seasonality!$C$48*J68+J70+J49*J132)-J106</f>
        <v/>
      </c>
      <c r="K192" s="48">
        <f>K132-(K21*Seasonality!$C$48*K68+K70+K49*K132)-K106</f>
        <v/>
      </c>
      <c r="L192" s="48">
        <f>L132-(L21*Seasonality!$C$48*L68+L70+L49*L132)-L106</f>
        <v/>
      </c>
      <c r="M192" s="48">
        <f>M132-(M21*Seasonality!$C$48*M68+M70+M49*M132)-M106</f>
        <v/>
      </c>
      <c r="N192" s="48">
        <f>N132-(N21*Seasonality!$C$48*N68+N70+N49*N132)-N106</f>
        <v/>
      </c>
      <c r="O192" s="48">
        <f>O132-(O21*Seasonality!$C$48*O68+O70+O49*O132)-O106</f>
        <v/>
      </c>
      <c r="P192" s="48">
        <f>P132-(P21*Seasonality!$C$48*P68+P70+P49*P132)-P106</f>
        <v/>
      </c>
      <c r="Q192" s="48">
        <f>Q132-(Q21*Seasonality!$C$48*Q68+Q70+Q49*Q132)-Q106</f>
        <v/>
      </c>
      <c r="R192" s="48">
        <f>R132-(R21*Seasonality!$C$48*R68+R70+R49*R132)-R106</f>
        <v/>
      </c>
      <c r="S192" s="48">
        <f>S132-(S21*Seasonality!$C$48*S68+S70+S49*S132)-S106</f>
        <v/>
      </c>
      <c r="T192" s="48">
        <f>T132-(T21*Seasonality!$C$48*T68+T70+T49*T132)-T106</f>
        <v/>
      </c>
      <c r="U192" s="48">
        <f>U132-(U21*Seasonality!$C$48*U68+U70+U49*U132)-U106</f>
        <v/>
      </c>
      <c r="V192" s="48">
        <f>V132-(V21*Seasonality!$C$48*V68+V70+V49*V132)-V106</f>
        <v/>
      </c>
      <c r="W192" s="48">
        <f>W132-(W21*Seasonality!$C$48*W68+W70+W49*W132)-W106</f>
        <v/>
      </c>
      <c r="X192" s="48">
        <f>X132-(X21*Seasonality!$C$48*X68+X70+X49*X132)-X106</f>
        <v/>
      </c>
      <c r="Y192" s="48">
        <f>Y132-(Y21*Seasonality!$C$48*Y68+Y70+Y49*Y132)-Y106</f>
        <v/>
      </c>
      <c r="Z192" s="48">
        <f>Z132-(Z21*Seasonality!$C$48*Z68+Z70+Z49*Z132)-Z106</f>
        <v/>
      </c>
      <c r="AA192" s="48">
        <f>AA132-(AA21*Seasonality!$C$48*AA68+AA70+AA49*AA132)-AA106</f>
        <v/>
      </c>
      <c r="AB192" s="48">
        <f>AB132-(AB21*Seasonality!$C$48*AB68+AB70+AB49*AB132)-AB106</f>
        <v/>
      </c>
      <c r="AC192" s="48">
        <f>AC132-(AC21*Seasonality!$C$48*AC68+AC70+AC49*AC132)-AC106</f>
        <v/>
      </c>
      <c r="AD192" s="48">
        <f>AD132-(AD21*Seasonality!$C$48*AD68+AD70+AD49*AD132)-AD106</f>
        <v/>
      </c>
      <c r="AE192" s="48">
        <f>AE132-(AE21*Seasonality!$C$48*AE68+AE70+AE49*AE132)-AE106</f>
        <v/>
      </c>
      <c r="AF192" s="48">
        <f>AF132-(AF21*Seasonality!$C$48*AF68+AF70+AF49*AF132)-AF106</f>
        <v/>
      </c>
      <c r="AG192" s="48">
        <f>AG132-(AG21*Seasonality!$C$48*AG68+AG70+AG49*AG132)-AG106</f>
        <v/>
      </c>
      <c r="AH192" s="48">
        <f>AH132-(AH21*Seasonality!$C$48*AH68+AH70+AH49*AH132)-AH106</f>
        <v/>
      </c>
      <c r="AI192" s="48">
        <f>AI132-(AI21*Seasonality!$C$48*AI68+AI70+AI49*AI132)-AI106</f>
        <v/>
      </c>
      <c r="AJ192" s="48">
        <f>AJ132-(AJ21*Seasonality!$C$48*AJ68+AJ70+AJ49*AJ132)-AJ106</f>
        <v/>
      </c>
      <c r="AK192" s="48">
        <f>AK132-(AK21*Seasonality!$C$48*AK68+AK70+AK49*AK132)-AK106</f>
        <v/>
      </c>
      <c r="AL192" s="48">
        <f>AL132-(AL21*Seasonality!$C$48*AL68+AL70+AL49*AL132)-AL106</f>
        <v/>
      </c>
      <c r="AM192" s="48">
        <f>AM132-(AM21*Seasonality!$C$48*AM68+AM70+AM49*AM132)-AM106</f>
        <v/>
      </c>
      <c r="AN192" s="48">
        <f>AN132-(AN21*Seasonality!$C$48*AN68+AN70+AN49*AN132)-AN106</f>
        <v/>
      </c>
      <c r="AO192" s="48">
        <f>AO132-(AO21*Seasonality!$C$48*AO68+AO70+AO49*AO132)-AO106</f>
        <v/>
      </c>
      <c r="AP192" s="48">
        <f>AP132-(AP21*Seasonality!$C$48*AP68+AP70+AP49*AP132)-AP106</f>
        <v/>
      </c>
      <c r="AQ192" s="48">
        <f>AQ132-(AQ21*Seasonality!$C$48*AQ68+AQ70+AQ49*AQ132)-AQ106</f>
        <v/>
      </c>
      <c r="AR192" s="48">
        <f>AR132-(AR21*Seasonality!$C$48*AR68+AR70+AR49*AR132)-AR106</f>
        <v/>
      </c>
      <c r="AS192" s="48">
        <f>AS132-(AS21*Seasonality!$C$48*AS68+AS70+AS49*AS132)-AS106</f>
        <v/>
      </c>
      <c r="AT192" s="48">
        <f>AT132-(AT21*Seasonality!$C$48*AT68+AT70+AT49*AT132)-AT106</f>
        <v/>
      </c>
      <c r="AU192" s="48">
        <f>AU132-(AU21*Seasonality!$C$48*AU68+AU70+AU49*AU132)-AU106</f>
        <v/>
      </c>
      <c r="AV192" s="48">
        <f>AV132-(AV21*Seasonality!$C$48*AV68+AV70+AV49*AV132)-AV106</f>
        <v/>
      </c>
    </row>
    <row r="193">
      <c r="B193" s="7" t="inlineStr">
        <is>
          <t>Contribution · month 13</t>
        </is>
      </c>
      <c r="C193" s="5" t="inlineStr">
        <is>
          <t>₹</t>
        </is>
      </c>
      <c r="D193" s="48">
        <f>D133-(D21*Seasonality!$C$49*D68+D70+D49*D133)-D106</f>
        <v/>
      </c>
      <c r="E193" s="48">
        <f>E133-(E21*Seasonality!$C$49*E68+E70+E49*E133)-E106</f>
        <v/>
      </c>
      <c r="F193" s="48">
        <f>F133-(F21*Seasonality!$C$49*F68+F70+F49*F133)-F106</f>
        <v/>
      </c>
      <c r="G193" s="48">
        <f>G133-(G21*Seasonality!$C$49*G68+G70+G49*G133)-G106</f>
        <v/>
      </c>
      <c r="H193" s="48">
        <f>H133-(H21*Seasonality!$C$49*H68+H70+H49*H133)-H106</f>
        <v/>
      </c>
      <c r="I193" s="48">
        <f>I133-(I21*Seasonality!$C$49*I68+I70+I49*I133)-I106</f>
        <v/>
      </c>
      <c r="J193" s="48">
        <f>J133-(J21*Seasonality!$C$49*J68+J70+J49*J133)-J106</f>
        <v/>
      </c>
      <c r="K193" s="48">
        <f>K133-(K21*Seasonality!$C$49*K68+K70+K49*K133)-K106</f>
        <v/>
      </c>
      <c r="L193" s="48">
        <f>L133-(L21*Seasonality!$C$49*L68+L70+L49*L133)-L106</f>
        <v/>
      </c>
      <c r="M193" s="48">
        <f>M133-(M21*Seasonality!$C$49*M68+M70+M49*M133)-M106</f>
        <v/>
      </c>
      <c r="N193" s="48">
        <f>N133-(N21*Seasonality!$C$49*N68+N70+N49*N133)-N106</f>
        <v/>
      </c>
      <c r="O193" s="48">
        <f>O133-(O21*Seasonality!$C$49*O68+O70+O49*O133)-O106</f>
        <v/>
      </c>
      <c r="P193" s="48">
        <f>P133-(P21*Seasonality!$C$49*P68+P70+P49*P133)-P106</f>
        <v/>
      </c>
      <c r="Q193" s="48">
        <f>Q133-(Q21*Seasonality!$C$49*Q68+Q70+Q49*Q133)-Q106</f>
        <v/>
      </c>
      <c r="R193" s="48">
        <f>R133-(R21*Seasonality!$C$49*R68+R70+R49*R133)-R106</f>
        <v/>
      </c>
      <c r="S193" s="48">
        <f>S133-(S21*Seasonality!$C$49*S68+S70+S49*S133)-S106</f>
        <v/>
      </c>
      <c r="T193" s="48">
        <f>T133-(T21*Seasonality!$C$49*T68+T70+T49*T133)-T106</f>
        <v/>
      </c>
      <c r="U193" s="48">
        <f>U133-(U21*Seasonality!$C$49*U68+U70+U49*U133)-U106</f>
        <v/>
      </c>
      <c r="V193" s="48">
        <f>V133-(V21*Seasonality!$C$49*V68+V70+V49*V133)-V106</f>
        <v/>
      </c>
      <c r="W193" s="48">
        <f>W133-(W21*Seasonality!$C$49*W68+W70+W49*W133)-W106</f>
        <v/>
      </c>
      <c r="X193" s="48">
        <f>X133-(X21*Seasonality!$C$49*X68+X70+X49*X133)-X106</f>
        <v/>
      </c>
      <c r="Y193" s="48">
        <f>Y133-(Y21*Seasonality!$C$49*Y68+Y70+Y49*Y133)-Y106</f>
        <v/>
      </c>
      <c r="Z193" s="48">
        <f>Z133-(Z21*Seasonality!$C$49*Z68+Z70+Z49*Z133)-Z106</f>
        <v/>
      </c>
      <c r="AA193" s="48">
        <f>AA133-(AA21*Seasonality!$C$49*AA68+AA70+AA49*AA133)-AA106</f>
        <v/>
      </c>
      <c r="AB193" s="48">
        <f>AB133-(AB21*Seasonality!$C$49*AB68+AB70+AB49*AB133)-AB106</f>
        <v/>
      </c>
      <c r="AC193" s="48">
        <f>AC133-(AC21*Seasonality!$C$49*AC68+AC70+AC49*AC133)-AC106</f>
        <v/>
      </c>
      <c r="AD193" s="48">
        <f>AD133-(AD21*Seasonality!$C$49*AD68+AD70+AD49*AD133)-AD106</f>
        <v/>
      </c>
      <c r="AE193" s="48">
        <f>AE133-(AE21*Seasonality!$C$49*AE68+AE70+AE49*AE133)-AE106</f>
        <v/>
      </c>
      <c r="AF193" s="48">
        <f>AF133-(AF21*Seasonality!$C$49*AF68+AF70+AF49*AF133)-AF106</f>
        <v/>
      </c>
      <c r="AG193" s="48">
        <f>AG133-(AG21*Seasonality!$C$49*AG68+AG70+AG49*AG133)-AG106</f>
        <v/>
      </c>
      <c r="AH193" s="48">
        <f>AH133-(AH21*Seasonality!$C$49*AH68+AH70+AH49*AH133)-AH106</f>
        <v/>
      </c>
      <c r="AI193" s="48">
        <f>AI133-(AI21*Seasonality!$C$49*AI68+AI70+AI49*AI133)-AI106</f>
        <v/>
      </c>
      <c r="AJ193" s="48">
        <f>AJ133-(AJ21*Seasonality!$C$49*AJ68+AJ70+AJ49*AJ133)-AJ106</f>
        <v/>
      </c>
      <c r="AK193" s="48">
        <f>AK133-(AK21*Seasonality!$C$49*AK68+AK70+AK49*AK133)-AK106</f>
        <v/>
      </c>
      <c r="AL193" s="48">
        <f>AL133-(AL21*Seasonality!$C$49*AL68+AL70+AL49*AL133)-AL106</f>
        <v/>
      </c>
      <c r="AM193" s="48">
        <f>AM133-(AM21*Seasonality!$C$49*AM68+AM70+AM49*AM133)-AM106</f>
        <v/>
      </c>
      <c r="AN193" s="48">
        <f>AN133-(AN21*Seasonality!$C$49*AN68+AN70+AN49*AN133)-AN106</f>
        <v/>
      </c>
      <c r="AO193" s="48">
        <f>AO133-(AO21*Seasonality!$C$49*AO68+AO70+AO49*AO133)-AO106</f>
        <v/>
      </c>
      <c r="AP193" s="48">
        <f>AP133-(AP21*Seasonality!$C$49*AP68+AP70+AP49*AP133)-AP106</f>
        <v/>
      </c>
      <c r="AQ193" s="48">
        <f>AQ133-(AQ21*Seasonality!$C$49*AQ68+AQ70+AQ49*AQ133)-AQ106</f>
        <v/>
      </c>
      <c r="AR193" s="48">
        <f>AR133-(AR21*Seasonality!$C$49*AR68+AR70+AR49*AR133)-AR106</f>
        <v/>
      </c>
      <c r="AS193" s="48">
        <f>AS133-(AS21*Seasonality!$C$49*AS68+AS70+AS49*AS133)-AS106</f>
        <v/>
      </c>
      <c r="AT193" s="48">
        <f>AT133-(AT21*Seasonality!$C$49*AT68+AT70+AT49*AT133)-AT106</f>
        <v/>
      </c>
      <c r="AU193" s="48">
        <f>AU133-(AU21*Seasonality!$C$49*AU68+AU70+AU49*AU133)-AU106</f>
        <v/>
      </c>
      <c r="AV193" s="48">
        <f>AV133-(AV21*Seasonality!$C$49*AV68+AV70+AV49*AV133)-AV106</f>
        <v/>
      </c>
    </row>
    <row r="194">
      <c r="B194" s="7" t="inlineStr">
        <is>
          <t>Contribution · month 14</t>
        </is>
      </c>
      <c r="C194" s="5" t="inlineStr">
        <is>
          <t>₹</t>
        </is>
      </c>
      <c r="D194" s="48">
        <f>D134-(D21*Seasonality!$C$50*D68+D70+D49*D134)-D106</f>
        <v/>
      </c>
      <c r="E194" s="48">
        <f>E134-(E21*Seasonality!$C$50*E68+E70+E49*E134)-E106</f>
        <v/>
      </c>
      <c r="F194" s="48">
        <f>F134-(F21*Seasonality!$C$50*F68+F70+F49*F134)-F106</f>
        <v/>
      </c>
      <c r="G194" s="48">
        <f>G134-(G21*Seasonality!$C$50*G68+G70+G49*G134)-G106</f>
        <v/>
      </c>
      <c r="H194" s="48">
        <f>H134-(H21*Seasonality!$C$50*H68+H70+H49*H134)-H106</f>
        <v/>
      </c>
      <c r="I194" s="48">
        <f>I134-(I21*Seasonality!$C$50*I68+I70+I49*I134)-I106</f>
        <v/>
      </c>
      <c r="J194" s="48">
        <f>J134-(J21*Seasonality!$C$50*J68+J70+J49*J134)-J106</f>
        <v/>
      </c>
      <c r="K194" s="48">
        <f>K134-(K21*Seasonality!$C$50*K68+K70+K49*K134)-K106</f>
        <v/>
      </c>
      <c r="L194" s="48">
        <f>L134-(L21*Seasonality!$C$50*L68+L70+L49*L134)-L106</f>
        <v/>
      </c>
      <c r="M194" s="48">
        <f>M134-(M21*Seasonality!$C$50*M68+M70+M49*M134)-M106</f>
        <v/>
      </c>
      <c r="N194" s="48">
        <f>N134-(N21*Seasonality!$C$50*N68+N70+N49*N134)-N106</f>
        <v/>
      </c>
      <c r="O194" s="48">
        <f>O134-(O21*Seasonality!$C$50*O68+O70+O49*O134)-O106</f>
        <v/>
      </c>
      <c r="P194" s="48">
        <f>P134-(P21*Seasonality!$C$50*P68+P70+P49*P134)-P106</f>
        <v/>
      </c>
      <c r="Q194" s="48">
        <f>Q134-(Q21*Seasonality!$C$50*Q68+Q70+Q49*Q134)-Q106</f>
        <v/>
      </c>
      <c r="R194" s="48">
        <f>R134-(R21*Seasonality!$C$50*R68+R70+R49*R134)-R106</f>
        <v/>
      </c>
      <c r="S194" s="48">
        <f>S134-(S21*Seasonality!$C$50*S68+S70+S49*S134)-S106</f>
        <v/>
      </c>
      <c r="T194" s="48">
        <f>T134-(T21*Seasonality!$C$50*T68+T70+T49*T134)-T106</f>
        <v/>
      </c>
      <c r="U194" s="48">
        <f>U134-(U21*Seasonality!$C$50*U68+U70+U49*U134)-U106</f>
        <v/>
      </c>
      <c r="V194" s="48">
        <f>V134-(V21*Seasonality!$C$50*V68+V70+V49*V134)-V106</f>
        <v/>
      </c>
      <c r="W194" s="48">
        <f>W134-(W21*Seasonality!$C$50*W68+W70+W49*W134)-W106</f>
        <v/>
      </c>
      <c r="X194" s="48">
        <f>X134-(X21*Seasonality!$C$50*X68+X70+X49*X134)-X106</f>
        <v/>
      </c>
      <c r="Y194" s="48">
        <f>Y134-(Y21*Seasonality!$C$50*Y68+Y70+Y49*Y134)-Y106</f>
        <v/>
      </c>
      <c r="Z194" s="48">
        <f>Z134-(Z21*Seasonality!$C$50*Z68+Z70+Z49*Z134)-Z106</f>
        <v/>
      </c>
      <c r="AA194" s="48">
        <f>AA134-(AA21*Seasonality!$C$50*AA68+AA70+AA49*AA134)-AA106</f>
        <v/>
      </c>
      <c r="AB194" s="48">
        <f>AB134-(AB21*Seasonality!$C$50*AB68+AB70+AB49*AB134)-AB106</f>
        <v/>
      </c>
      <c r="AC194" s="48">
        <f>AC134-(AC21*Seasonality!$C$50*AC68+AC70+AC49*AC134)-AC106</f>
        <v/>
      </c>
      <c r="AD194" s="48">
        <f>AD134-(AD21*Seasonality!$C$50*AD68+AD70+AD49*AD134)-AD106</f>
        <v/>
      </c>
      <c r="AE194" s="48">
        <f>AE134-(AE21*Seasonality!$C$50*AE68+AE70+AE49*AE134)-AE106</f>
        <v/>
      </c>
      <c r="AF194" s="48">
        <f>AF134-(AF21*Seasonality!$C$50*AF68+AF70+AF49*AF134)-AF106</f>
        <v/>
      </c>
      <c r="AG194" s="48">
        <f>AG134-(AG21*Seasonality!$C$50*AG68+AG70+AG49*AG134)-AG106</f>
        <v/>
      </c>
      <c r="AH194" s="48">
        <f>AH134-(AH21*Seasonality!$C$50*AH68+AH70+AH49*AH134)-AH106</f>
        <v/>
      </c>
      <c r="AI194" s="48">
        <f>AI134-(AI21*Seasonality!$C$50*AI68+AI70+AI49*AI134)-AI106</f>
        <v/>
      </c>
      <c r="AJ194" s="48">
        <f>AJ134-(AJ21*Seasonality!$C$50*AJ68+AJ70+AJ49*AJ134)-AJ106</f>
        <v/>
      </c>
      <c r="AK194" s="48">
        <f>AK134-(AK21*Seasonality!$C$50*AK68+AK70+AK49*AK134)-AK106</f>
        <v/>
      </c>
      <c r="AL194" s="48">
        <f>AL134-(AL21*Seasonality!$C$50*AL68+AL70+AL49*AL134)-AL106</f>
        <v/>
      </c>
      <c r="AM194" s="48">
        <f>AM134-(AM21*Seasonality!$C$50*AM68+AM70+AM49*AM134)-AM106</f>
        <v/>
      </c>
      <c r="AN194" s="48">
        <f>AN134-(AN21*Seasonality!$C$50*AN68+AN70+AN49*AN134)-AN106</f>
        <v/>
      </c>
      <c r="AO194" s="48">
        <f>AO134-(AO21*Seasonality!$C$50*AO68+AO70+AO49*AO134)-AO106</f>
        <v/>
      </c>
      <c r="AP194" s="48">
        <f>AP134-(AP21*Seasonality!$C$50*AP68+AP70+AP49*AP134)-AP106</f>
        <v/>
      </c>
      <c r="AQ194" s="48">
        <f>AQ134-(AQ21*Seasonality!$C$50*AQ68+AQ70+AQ49*AQ134)-AQ106</f>
        <v/>
      </c>
      <c r="AR194" s="48">
        <f>AR134-(AR21*Seasonality!$C$50*AR68+AR70+AR49*AR134)-AR106</f>
        <v/>
      </c>
      <c r="AS194" s="48">
        <f>AS134-(AS21*Seasonality!$C$50*AS68+AS70+AS49*AS134)-AS106</f>
        <v/>
      </c>
      <c r="AT194" s="48">
        <f>AT134-(AT21*Seasonality!$C$50*AT68+AT70+AT49*AT134)-AT106</f>
        <v/>
      </c>
      <c r="AU194" s="48">
        <f>AU134-(AU21*Seasonality!$C$50*AU68+AU70+AU49*AU134)-AU106</f>
        <v/>
      </c>
      <c r="AV194" s="48">
        <f>AV134-(AV21*Seasonality!$C$50*AV68+AV70+AV49*AV134)-AV106</f>
        <v/>
      </c>
    </row>
    <row r="195">
      <c r="B195" s="7" t="inlineStr">
        <is>
          <t>Contribution · month 15</t>
        </is>
      </c>
      <c r="C195" s="5" t="inlineStr">
        <is>
          <t>₹</t>
        </is>
      </c>
      <c r="D195" s="48">
        <f>D135-(D21*Seasonality!$C$51*D68+D70+D49*D135)-D106</f>
        <v/>
      </c>
      <c r="E195" s="48">
        <f>E135-(E21*Seasonality!$C$51*E68+E70+E49*E135)-E106</f>
        <v/>
      </c>
      <c r="F195" s="48">
        <f>F135-(F21*Seasonality!$C$51*F68+F70+F49*F135)-F106</f>
        <v/>
      </c>
      <c r="G195" s="48">
        <f>G135-(G21*Seasonality!$C$51*G68+G70+G49*G135)-G106</f>
        <v/>
      </c>
      <c r="H195" s="48">
        <f>H135-(H21*Seasonality!$C$51*H68+H70+H49*H135)-H106</f>
        <v/>
      </c>
      <c r="I195" s="48">
        <f>I135-(I21*Seasonality!$C$51*I68+I70+I49*I135)-I106</f>
        <v/>
      </c>
      <c r="J195" s="48">
        <f>J135-(J21*Seasonality!$C$51*J68+J70+J49*J135)-J106</f>
        <v/>
      </c>
      <c r="K195" s="48">
        <f>K135-(K21*Seasonality!$C$51*K68+K70+K49*K135)-K106</f>
        <v/>
      </c>
      <c r="L195" s="48">
        <f>L135-(L21*Seasonality!$C$51*L68+L70+L49*L135)-L106</f>
        <v/>
      </c>
      <c r="M195" s="48">
        <f>M135-(M21*Seasonality!$C$51*M68+M70+M49*M135)-M106</f>
        <v/>
      </c>
      <c r="N195" s="48">
        <f>N135-(N21*Seasonality!$C$51*N68+N70+N49*N135)-N106</f>
        <v/>
      </c>
      <c r="O195" s="48">
        <f>O135-(O21*Seasonality!$C$51*O68+O70+O49*O135)-O106</f>
        <v/>
      </c>
      <c r="P195" s="48">
        <f>P135-(P21*Seasonality!$C$51*P68+P70+P49*P135)-P106</f>
        <v/>
      </c>
      <c r="Q195" s="48">
        <f>Q135-(Q21*Seasonality!$C$51*Q68+Q70+Q49*Q135)-Q106</f>
        <v/>
      </c>
      <c r="R195" s="48">
        <f>R135-(R21*Seasonality!$C$51*R68+R70+R49*R135)-R106</f>
        <v/>
      </c>
      <c r="S195" s="48">
        <f>S135-(S21*Seasonality!$C$51*S68+S70+S49*S135)-S106</f>
        <v/>
      </c>
      <c r="T195" s="48">
        <f>T135-(T21*Seasonality!$C$51*T68+T70+T49*T135)-T106</f>
        <v/>
      </c>
      <c r="U195" s="48">
        <f>U135-(U21*Seasonality!$C$51*U68+U70+U49*U135)-U106</f>
        <v/>
      </c>
      <c r="V195" s="48">
        <f>V135-(V21*Seasonality!$C$51*V68+V70+V49*V135)-V106</f>
        <v/>
      </c>
      <c r="W195" s="48">
        <f>W135-(W21*Seasonality!$C$51*W68+W70+W49*W135)-W106</f>
        <v/>
      </c>
      <c r="X195" s="48">
        <f>X135-(X21*Seasonality!$C$51*X68+X70+X49*X135)-X106</f>
        <v/>
      </c>
      <c r="Y195" s="48">
        <f>Y135-(Y21*Seasonality!$C$51*Y68+Y70+Y49*Y135)-Y106</f>
        <v/>
      </c>
      <c r="Z195" s="48">
        <f>Z135-(Z21*Seasonality!$C$51*Z68+Z70+Z49*Z135)-Z106</f>
        <v/>
      </c>
      <c r="AA195" s="48">
        <f>AA135-(AA21*Seasonality!$C$51*AA68+AA70+AA49*AA135)-AA106</f>
        <v/>
      </c>
      <c r="AB195" s="48">
        <f>AB135-(AB21*Seasonality!$C$51*AB68+AB70+AB49*AB135)-AB106</f>
        <v/>
      </c>
      <c r="AC195" s="48">
        <f>AC135-(AC21*Seasonality!$C$51*AC68+AC70+AC49*AC135)-AC106</f>
        <v/>
      </c>
      <c r="AD195" s="48">
        <f>AD135-(AD21*Seasonality!$C$51*AD68+AD70+AD49*AD135)-AD106</f>
        <v/>
      </c>
      <c r="AE195" s="48">
        <f>AE135-(AE21*Seasonality!$C$51*AE68+AE70+AE49*AE135)-AE106</f>
        <v/>
      </c>
      <c r="AF195" s="48">
        <f>AF135-(AF21*Seasonality!$C$51*AF68+AF70+AF49*AF135)-AF106</f>
        <v/>
      </c>
      <c r="AG195" s="48">
        <f>AG135-(AG21*Seasonality!$C$51*AG68+AG70+AG49*AG135)-AG106</f>
        <v/>
      </c>
      <c r="AH195" s="48">
        <f>AH135-(AH21*Seasonality!$C$51*AH68+AH70+AH49*AH135)-AH106</f>
        <v/>
      </c>
      <c r="AI195" s="48">
        <f>AI135-(AI21*Seasonality!$C$51*AI68+AI70+AI49*AI135)-AI106</f>
        <v/>
      </c>
      <c r="AJ195" s="48">
        <f>AJ135-(AJ21*Seasonality!$C$51*AJ68+AJ70+AJ49*AJ135)-AJ106</f>
        <v/>
      </c>
      <c r="AK195" s="48">
        <f>AK135-(AK21*Seasonality!$C$51*AK68+AK70+AK49*AK135)-AK106</f>
        <v/>
      </c>
      <c r="AL195" s="48">
        <f>AL135-(AL21*Seasonality!$C$51*AL68+AL70+AL49*AL135)-AL106</f>
        <v/>
      </c>
      <c r="AM195" s="48">
        <f>AM135-(AM21*Seasonality!$C$51*AM68+AM70+AM49*AM135)-AM106</f>
        <v/>
      </c>
      <c r="AN195" s="48">
        <f>AN135-(AN21*Seasonality!$C$51*AN68+AN70+AN49*AN135)-AN106</f>
        <v/>
      </c>
      <c r="AO195" s="48">
        <f>AO135-(AO21*Seasonality!$C$51*AO68+AO70+AO49*AO135)-AO106</f>
        <v/>
      </c>
      <c r="AP195" s="48">
        <f>AP135-(AP21*Seasonality!$C$51*AP68+AP70+AP49*AP135)-AP106</f>
        <v/>
      </c>
      <c r="AQ195" s="48">
        <f>AQ135-(AQ21*Seasonality!$C$51*AQ68+AQ70+AQ49*AQ135)-AQ106</f>
        <v/>
      </c>
      <c r="AR195" s="48">
        <f>AR135-(AR21*Seasonality!$C$51*AR68+AR70+AR49*AR135)-AR106</f>
        <v/>
      </c>
      <c r="AS195" s="48">
        <f>AS135-(AS21*Seasonality!$C$51*AS68+AS70+AS49*AS135)-AS106</f>
        <v/>
      </c>
      <c r="AT195" s="48">
        <f>AT135-(AT21*Seasonality!$C$51*AT68+AT70+AT49*AT135)-AT106</f>
        <v/>
      </c>
      <c r="AU195" s="48">
        <f>AU135-(AU21*Seasonality!$C$51*AU68+AU70+AU49*AU135)-AU106</f>
        <v/>
      </c>
      <c r="AV195" s="48">
        <f>AV135-(AV21*Seasonality!$C$51*AV68+AV70+AV49*AV135)-AV106</f>
        <v/>
      </c>
    </row>
    <row r="196">
      <c r="B196" s="7" t="inlineStr">
        <is>
          <t>Contribution · month 16</t>
        </is>
      </c>
      <c r="C196" s="5" t="inlineStr">
        <is>
          <t>₹</t>
        </is>
      </c>
      <c r="D196" s="48">
        <f>D136-(D21*Seasonality!$C$52*D68+D70+D49*D136)-D106</f>
        <v/>
      </c>
      <c r="E196" s="48">
        <f>E136-(E21*Seasonality!$C$52*E68+E70+E49*E136)-E106</f>
        <v/>
      </c>
      <c r="F196" s="48">
        <f>F136-(F21*Seasonality!$C$52*F68+F70+F49*F136)-F106</f>
        <v/>
      </c>
      <c r="G196" s="48">
        <f>G136-(G21*Seasonality!$C$52*G68+G70+G49*G136)-G106</f>
        <v/>
      </c>
      <c r="H196" s="48">
        <f>H136-(H21*Seasonality!$C$52*H68+H70+H49*H136)-H106</f>
        <v/>
      </c>
      <c r="I196" s="48">
        <f>I136-(I21*Seasonality!$C$52*I68+I70+I49*I136)-I106</f>
        <v/>
      </c>
      <c r="J196" s="48">
        <f>J136-(J21*Seasonality!$C$52*J68+J70+J49*J136)-J106</f>
        <v/>
      </c>
      <c r="K196" s="48">
        <f>K136-(K21*Seasonality!$C$52*K68+K70+K49*K136)-K106</f>
        <v/>
      </c>
      <c r="L196" s="48">
        <f>L136-(L21*Seasonality!$C$52*L68+L70+L49*L136)-L106</f>
        <v/>
      </c>
      <c r="M196" s="48">
        <f>M136-(M21*Seasonality!$C$52*M68+M70+M49*M136)-M106</f>
        <v/>
      </c>
      <c r="N196" s="48">
        <f>N136-(N21*Seasonality!$C$52*N68+N70+N49*N136)-N106</f>
        <v/>
      </c>
      <c r="O196" s="48">
        <f>O136-(O21*Seasonality!$C$52*O68+O70+O49*O136)-O106</f>
        <v/>
      </c>
      <c r="P196" s="48">
        <f>P136-(P21*Seasonality!$C$52*P68+P70+P49*P136)-P106</f>
        <v/>
      </c>
      <c r="Q196" s="48">
        <f>Q136-(Q21*Seasonality!$C$52*Q68+Q70+Q49*Q136)-Q106</f>
        <v/>
      </c>
      <c r="R196" s="48">
        <f>R136-(R21*Seasonality!$C$52*R68+R70+R49*R136)-R106</f>
        <v/>
      </c>
      <c r="S196" s="48">
        <f>S136-(S21*Seasonality!$C$52*S68+S70+S49*S136)-S106</f>
        <v/>
      </c>
      <c r="T196" s="48">
        <f>T136-(T21*Seasonality!$C$52*T68+T70+T49*T136)-T106</f>
        <v/>
      </c>
      <c r="U196" s="48">
        <f>U136-(U21*Seasonality!$C$52*U68+U70+U49*U136)-U106</f>
        <v/>
      </c>
      <c r="V196" s="48">
        <f>V136-(V21*Seasonality!$C$52*V68+V70+V49*V136)-V106</f>
        <v/>
      </c>
      <c r="W196" s="48">
        <f>W136-(W21*Seasonality!$C$52*W68+W70+W49*W136)-W106</f>
        <v/>
      </c>
      <c r="X196" s="48">
        <f>X136-(X21*Seasonality!$C$52*X68+X70+X49*X136)-X106</f>
        <v/>
      </c>
      <c r="Y196" s="48">
        <f>Y136-(Y21*Seasonality!$C$52*Y68+Y70+Y49*Y136)-Y106</f>
        <v/>
      </c>
      <c r="Z196" s="48">
        <f>Z136-(Z21*Seasonality!$C$52*Z68+Z70+Z49*Z136)-Z106</f>
        <v/>
      </c>
      <c r="AA196" s="48">
        <f>AA136-(AA21*Seasonality!$C$52*AA68+AA70+AA49*AA136)-AA106</f>
        <v/>
      </c>
      <c r="AB196" s="48">
        <f>AB136-(AB21*Seasonality!$C$52*AB68+AB70+AB49*AB136)-AB106</f>
        <v/>
      </c>
      <c r="AC196" s="48">
        <f>AC136-(AC21*Seasonality!$C$52*AC68+AC70+AC49*AC136)-AC106</f>
        <v/>
      </c>
      <c r="AD196" s="48">
        <f>AD136-(AD21*Seasonality!$C$52*AD68+AD70+AD49*AD136)-AD106</f>
        <v/>
      </c>
      <c r="AE196" s="48">
        <f>AE136-(AE21*Seasonality!$C$52*AE68+AE70+AE49*AE136)-AE106</f>
        <v/>
      </c>
      <c r="AF196" s="48">
        <f>AF136-(AF21*Seasonality!$C$52*AF68+AF70+AF49*AF136)-AF106</f>
        <v/>
      </c>
      <c r="AG196" s="48">
        <f>AG136-(AG21*Seasonality!$C$52*AG68+AG70+AG49*AG136)-AG106</f>
        <v/>
      </c>
      <c r="AH196" s="48">
        <f>AH136-(AH21*Seasonality!$C$52*AH68+AH70+AH49*AH136)-AH106</f>
        <v/>
      </c>
      <c r="AI196" s="48">
        <f>AI136-(AI21*Seasonality!$C$52*AI68+AI70+AI49*AI136)-AI106</f>
        <v/>
      </c>
      <c r="AJ196" s="48">
        <f>AJ136-(AJ21*Seasonality!$C$52*AJ68+AJ70+AJ49*AJ136)-AJ106</f>
        <v/>
      </c>
      <c r="AK196" s="48">
        <f>AK136-(AK21*Seasonality!$C$52*AK68+AK70+AK49*AK136)-AK106</f>
        <v/>
      </c>
      <c r="AL196" s="48">
        <f>AL136-(AL21*Seasonality!$C$52*AL68+AL70+AL49*AL136)-AL106</f>
        <v/>
      </c>
      <c r="AM196" s="48">
        <f>AM136-(AM21*Seasonality!$C$52*AM68+AM70+AM49*AM136)-AM106</f>
        <v/>
      </c>
      <c r="AN196" s="48">
        <f>AN136-(AN21*Seasonality!$C$52*AN68+AN70+AN49*AN136)-AN106</f>
        <v/>
      </c>
      <c r="AO196" s="48">
        <f>AO136-(AO21*Seasonality!$C$52*AO68+AO70+AO49*AO136)-AO106</f>
        <v/>
      </c>
      <c r="AP196" s="48">
        <f>AP136-(AP21*Seasonality!$C$52*AP68+AP70+AP49*AP136)-AP106</f>
        <v/>
      </c>
      <c r="AQ196" s="48">
        <f>AQ136-(AQ21*Seasonality!$C$52*AQ68+AQ70+AQ49*AQ136)-AQ106</f>
        <v/>
      </c>
      <c r="AR196" s="48">
        <f>AR136-(AR21*Seasonality!$C$52*AR68+AR70+AR49*AR136)-AR106</f>
        <v/>
      </c>
      <c r="AS196" s="48">
        <f>AS136-(AS21*Seasonality!$C$52*AS68+AS70+AS49*AS136)-AS106</f>
        <v/>
      </c>
      <c r="AT196" s="48">
        <f>AT136-(AT21*Seasonality!$C$52*AT68+AT70+AT49*AT136)-AT106</f>
        <v/>
      </c>
      <c r="AU196" s="48">
        <f>AU136-(AU21*Seasonality!$C$52*AU68+AU70+AU49*AU136)-AU106</f>
        <v/>
      </c>
      <c r="AV196" s="48">
        <f>AV136-(AV21*Seasonality!$C$52*AV68+AV70+AV49*AV136)-AV106</f>
        <v/>
      </c>
    </row>
    <row r="197">
      <c r="B197" s="7" t="inlineStr">
        <is>
          <t>Contribution · month 17</t>
        </is>
      </c>
      <c r="C197" s="5" t="inlineStr">
        <is>
          <t>₹</t>
        </is>
      </c>
      <c r="D197" s="48">
        <f>D137-(D21*Seasonality!$C$53*D68+D70+D49*D137)-D106</f>
        <v/>
      </c>
      <c r="E197" s="48">
        <f>E137-(E21*Seasonality!$C$53*E68+E70+E49*E137)-E106</f>
        <v/>
      </c>
      <c r="F197" s="48">
        <f>F137-(F21*Seasonality!$C$53*F68+F70+F49*F137)-F106</f>
        <v/>
      </c>
      <c r="G197" s="48">
        <f>G137-(G21*Seasonality!$C$53*G68+G70+G49*G137)-G106</f>
        <v/>
      </c>
      <c r="H197" s="48">
        <f>H137-(H21*Seasonality!$C$53*H68+H70+H49*H137)-H106</f>
        <v/>
      </c>
      <c r="I197" s="48">
        <f>I137-(I21*Seasonality!$C$53*I68+I70+I49*I137)-I106</f>
        <v/>
      </c>
      <c r="J197" s="48">
        <f>J137-(J21*Seasonality!$C$53*J68+J70+J49*J137)-J106</f>
        <v/>
      </c>
      <c r="K197" s="48">
        <f>K137-(K21*Seasonality!$C$53*K68+K70+K49*K137)-K106</f>
        <v/>
      </c>
      <c r="L197" s="48">
        <f>L137-(L21*Seasonality!$C$53*L68+L70+L49*L137)-L106</f>
        <v/>
      </c>
      <c r="M197" s="48">
        <f>M137-(M21*Seasonality!$C$53*M68+M70+M49*M137)-M106</f>
        <v/>
      </c>
      <c r="N197" s="48">
        <f>N137-(N21*Seasonality!$C$53*N68+N70+N49*N137)-N106</f>
        <v/>
      </c>
      <c r="O197" s="48">
        <f>O137-(O21*Seasonality!$C$53*O68+O70+O49*O137)-O106</f>
        <v/>
      </c>
      <c r="P197" s="48">
        <f>P137-(P21*Seasonality!$C$53*P68+P70+P49*P137)-P106</f>
        <v/>
      </c>
      <c r="Q197" s="48">
        <f>Q137-(Q21*Seasonality!$C$53*Q68+Q70+Q49*Q137)-Q106</f>
        <v/>
      </c>
      <c r="R197" s="48">
        <f>R137-(R21*Seasonality!$C$53*R68+R70+R49*R137)-R106</f>
        <v/>
      </c>
      <c r="S197" s="48">
        <f>S137-(S21*Seasonality!$C$53*S68+S70+S49*S137)-S106</f>
        <v/>
      </c>
      <c r="T197" s="48">
        <f>T137-(T21*Seasonality!$C$53*T68+T70+T49*T137)-T106</f>
        <v/>
      </c>
      <c r="U197" s="48">
        <f>U137-(U21*Seasonality!$C$53*U68+U70+U49*U137)-U106</f>
        <v/>
      </c>
      <c r="V197" s="48">
        <f>V137-(V21*Seasonality!$C$53*V68+V70+V49*V137)-V106</f>
        <v/>
      </c>
      <c r="W197" s="48">
        <f>W137-(W21*Seasonality!$C$53*W68+W70+W49*W137)-W106</f>
        <v/>
      </c>
      <c r="X197" s="48">
        <f>X137-(X21*Seasonality!$C$53*X68+X70+X49*X137)-X106</f>
        <v/>
      </c>
      <c r="Y197" s="48">
        <f>Y137-(Y21*Seasonality!$C$53*Y68+Y70+Y49*Y137)-Y106</f>
        <v/>
      </c>
      <c r="Z197" s="48">
        <f>Z137-(Z21*Seasonality!$C$53*Z68+Z70+Z49*Z137)-Z106</f>
        <v/>
      </c>
      <c r="AA197" s="48">
        <f>AA137-(AA21*Seasonality!$C$53*AA68+AA70+AA49*AA137)-AA106</f>
        <v/>
      </c>
      <c r="AB197" s="48">
        <f>AB137-(AB21*Seasonality!$C$53*AB68+AB70+AB49*AB137)-AB106</f>
        <v/>
      </c>
      <c r="AC197" s="48">
        <f>AC137-(AC21*Seasonality!$C$53*AC68+AC70+AC49*AC137)-AC106</f>
        <v/>
      </c>
      <c r="AD197" s="48">
        <f>AD137-(AD21*Seasonality!$C$53*AD68+AD70+AD49*AD137)-AD106</f>
        <v/>
      </c>
      <c r="AE197" s="48">
        <f>AE137-(AE21*Seasonality!$C$53*AE68+AE70+AE49*AE137)-AE106</f>
        <v/>
      </c>
      <c r="AF197" s="48">
        <f>AF137-(AF21*Seasonality!$C$53*AF68+AF70+AF49*AF137)-AF106</f>
        <v/>
      </c>
      <c r="AG197" s="48">
        <f>AG137-(AG21*Seasonality!$C$53*AG68+AG70+AG49*AG137)-AG106</f>
        <v/>
      </c>
      <c r="AH197" s="48">
        <f>AH137-(AH21*Seasonality!$C$53*AH68+AH70+AH49*AH137)-AH106</f>
        <v/>
      </c>
      <c r="AI197" s="48">
        <f>AI137-(AI21*Seasonality!$C$53*AI68+AI70+AI49*AI137)-AI106</f>
        <v/>
      </c>
      <c r="AJ197" s="48">
        <f>AJ137-(AJ21*Seasonality!$C$53*AJ68+AJ70+AJ49*AJ137)-AJ106</f>
        <v/>
      </c>
      <c r="AK197" s="48">
        <f>AK137-(AK21*Seasonality!$C$53*AK68+AK70+AK49*AK137)-AK106</f>
        <v/>
      </c>
      <c r="AL197" s="48">
        <f>AL137-(AL21*Seasonality!$C$53*AL68+AL70+AL49*AL137)-AL106</f>
        <v/>
      </c>
      <c r="AM197" s="48">
        <f>AM137-(AM21*Seasonality!$C$53*AM68+AM70+AM49*AM137)-AM106</f>
        <v/>
      </c>
      <c r="AN197" s="48">
        <f>AN137-(AN21*Seasonality!$C$53*AN68+AN70+AN49*AN137)-AN106</f>
        <v/>
      </c>
      <c r="AO197" s="48">
        <f>AO137-(AO21*Seasonality!$C$53*AO68+AO70+AO49*AO137)-AO106</f>
        <v/>
      </c>
      <c r="AP197" s="48">
        <f>AP137-(AP21*Seasonality!$C$53*AP68+AP70+AP49*AP137)-AP106</f>
        <v/>
      </c>
      <c r="AQ197" s="48">
        <f>AQ137-(AQ21*Seasonality!$C$53*AQ68+AQ70+AQ49*AQ137)-AQ106</f>
        <v/>
      </c>
      <c r="AR197" s="48">
        <f>AR137-(AR21*Seasonality!$C$53*AR68+AR70+AR49*AR137)-AR106</f>
        <v/>
      </c>
      <c r="AS197" s="48">
        <f>AS137-(AS21*Seasonality!$C$53*AS68+AS70+AS49*AS137)-AS106</f>
        <v/>
      </c>
      <c r="AT197" s="48">
        <f>AT137-(AT21*Seasonality!$C$53*AT68+AT70+AT49*AT137)-AT106</f>
        <v/>
      </c>
      <c r="AU197" s="48">
        <f>AU137-(AU21*Seasonality!$C$53*AU68+AU70+AU49*AU137)-AU106</f>
        <v/>
      </c>
      <c r="AV197" s="48">
        <f>AV137-(AV21*Seasonality!$C$53*AV68+AV70+AV49*AV137)-AV106</f>
        <v/>
      </c>
    </row>
    <row r="198">
      <c r="B198" s="7" t="inlineStr">
        <is>
          <t>Contribution · month 18</t>
        </is>
      </c>
      <c r="C198" s="5" t="inlineStr">
        <is>
          <t>₹</t>
        </is>
      </c>
      <c r="D198" s="48">
        <f>D138-(D21*Seasonality!$C$54*D68+D70+D49*D138)-D106</f>
        <v/>
      </c>
      <c r="E198" s="48">
        <f>E138-(E21*Seasonality!$C$54*E68+E70+E49*E138)-E106</f>
        <v/>
      </c>
      <c r="F198" s="48">
        <f>F138-(F21*Seasonality!$C$54*F68+F70+F49*F138)-F106</f>
        <v/>
      </c>
      <c r="G198" s="48">
        <f>G138-(G21*Seasonality!$C$54*G68+G70+G49*G138)-G106</f>
        <v/>
      </c>
      <c r="H198" s="48">
        <f>H138-(H21*Seasonality!$C$54*H68+H70+H49*H138)-H106</f>
        <v/>
      </c>
      <c r="I198" s="48">
        <f>I138-(I21*Seasonality!$C$54*I68+I70+I49*I138)-I106</f>
        <v/>
      </c>
      <c r="J198" s="48">
        <f>J138-(J21*Seasonality!$C$54*J68+J70+J49*J138)-J106</f>
        <v/>
      </c>
      <c r="K198" s="48">
        <f>K138-(K21*Seasonality!$C$54*K68+K70+K49*K138)-K106</f>
        <v/>
      </c>
      <c r="L198" s="48">
        <f>L138-(L21*Seasonality!$C$54*L68+L70+L49*L138)-L106</f>
        <v/>
      </c>
      <c r="M198" s="48">
        <f>M138-(M21*Seasonality!$C$54*M68+M70+M49*M138)-M106</f>
        <v/>
      </c>
      <c r="N198" s="48">
        <f>N138-(N21*Seasonality!$C$54*N68+N70+N49*N138)-N106</f>
        <v/>
      </c>
      <c r="O198" s="48">
        <f>O138-(O21*Seasonality!$C$54*O68+O70+O49*O138)-O106</f>
        <v/>
      </c>
      <c r="P198" s="48">
        <f>P138-(P21*Seasonality!$C$54*P68+P70+P49*P138)-P106</f>
        <v/>
      </c>
      <c r="Q198" s="48">
        <f>Q138-(Q21*Seasonality!$C$54*Q68+Q70+Q49*Q138)-Q106</f>
        <v/>
      </c>
      <c r="R198" s="48">
        <f>R138-(R21*Seasonality!$C$54*R68+R70+R49*R138)-R106</f>
        <v/>
      </c>
      <c r="S198" s="48">
        <f>S138-(S21*Seasonality!$C$54*S68+S70+S49*S138)-S106</f>
        <v/>
      </c>
      <c r="T198" s="48">
        <f>T138-(T21*Seasonality!$C$54*T68+T70+T49*T138)-T106</f>
        <v/>
      </c>
      <c r="U198" s="48">
        <f>U138-(U21*Seasonality!$C$54*U68+U70+U49*U138)-U106</f>
        <v/>
      </c>
      <c r="V198" s="48">
        <f>V138-(V21*Seasonality!$C$54*V68+V70+V49*V138)-V106</f>
        <v/>
      </c>
      <c r="W198" s="48">
        <f>W138-(W21*Seasonality!$C$54*W68+W70+W49*W138)-W106</f>
        <v/>
      </c>
      <c r="X198" s="48">
        <f>X138-(X21*Seasonality!$C$54*X68+X70+X49*X138)-X106</f>
        <v/>
      </c>
      <c r="Y198" s="48">
        <f>Y138-(Y21*Seasonality!$C$54*Y68+Y70+Y49*Y138)-Y106</f>
        <v/>
      </c>
      <c r="Z198" s="48">
        <f>Z138-(Z21*Seasonality!$C$54*Z68+Z70+Z49*Z138)-Z106</f>
        <v/>
      </c>
      <c r="AA198" s="48">
        <f>AA138-(AA21*Seasonality!$C$54*AA68+AA70+AA49*AA138)-AA106</f>
        <v/>
      </c>
      <c r="AB198" s="48">
        <f>AB138-(AB21*Seasonality!$C$54*AB68+AB70+AB49*AB138)-AB106</f>
        <v/>
      </c>
      <c r="AC198" s="48">
        <f>AC138-(AC21*Seasonality!$C$54*AC68+AC70+AC49*AC138)-AC106</f>
        <v/>
      </c>
      <c r="AD198" s="48">
        <f>AD138-(AD21*Seasonality!$C$54*AD68+AD70+AD49*AD138)-AD106</f>
        <v/>
      </c>
      <c r="AE198" s="48">
        <f>AE138-(AE21*Seasonality!$C$54*AE68+AE70+AE49*AE138)-AE106</f>
        <v/>
      </c>
      <c r="AF198" s="48">
        <f>AF138-(AF21*Seasonality!$C$54*AF68+AF70+AF49*AF138)-AF106</f>
        <v/>
      </c>
      <c r="AG198" s="48">
        <f>AG138-(AG21*Seasonality!$C$54*AG68+AG70+AG49*AG138)-AG106</f>
        <v/>
      </c>
      <c r="AH198" s="48">
        <f>AH138-(AH21*Seasonality!$C$54*AH68+AH70+AH49*AH138)-AH106</f>
        <v/>
      </c>
      <c r="AI198" s="48">
        <f>AI138-(AI21*Seasonality!$C$54*AI68+AI70+AI49*AI138)-AI106</f>
        <v/>
      </c>
      <c r="AJ198" s="48">
        <f>AJ138-(AJ21*Seasonality!$C$54*AJ68+AJ70+AJ49*AJ138)-AJ106</f>
        <v/>
      </c>
      <c r="AK198" s="48">
        <f>AK138-(AK21*Seasonality!$C$54*AK68+AK70+AK49*AK138)-AK106</f>
        <v/>
      </c>
      <c r="AL198" s="48">
        <f>AL138-(AL21*Seasonality!$C$54*AL68+AL70+AL49*AL138)-AL106</f>
        <v/>
      </c>
      <c r="AM198" s="48">
        <f>AM138-(AM21*Seasonality!$C$54*AM68+AM70+AM49*AM138)-AM106</f>
        <v/>
      </c>
      <c r="AN198" s="48">
        <f>AN138-(AN21*Seasonality!$C$54*AN68+AN70+AN49*AN138)-AN106</f>
        <v/>
      </c>
      <c r="AO198" s="48">
        <f>AO138-(AO21*Seasonality!$C$54*AO68+AO70+AO49*AO138)-AO106</f>
        <v/>
      </c>
      <c r="AP198" s="48">
        <f>AP138-(AP21*Seasonality!$C$54*AP68+AP70+AP49*AP138)-AP106</f>
        <v/>
      </c>
      <c r="AQ198" s="48">
        <f>AQ138-(AQ21*Seasonality!$C$54*AQ68+AQ70+AQ49*AQ138)-AQ106</f>
        <v/>
      </c>
      <c r="AR198" s="48">
        <f>AR138-(AR21*Seasonality!$C$54*AR68+AR70+AR49*AR138)-AR106</f>
        <v/>
      </c>
      <c r="AS198" s="48">
        <f>AS138-(AS21*Seasonality!$C$54*AS68+AS70+AS49*AS138)-AS106</f>
        <v/>
      </c>
      <c r="AT198" s="48">
        <f>AT138-(AT21*Seasonality!$C$54*AT68+AT70+AT49*AT138)-AT106</f>
        <v/>
      </c>
      <c r="AU198" s="48">
        <f>AU138-(AU21*Seasonality!$C$54*AU68+AU70+AU49*AU138)-AU106</f>
        <v/>
      </c>
      <c r="AV198" s="48">
        <f>AV138-(AV21*Seasonality!$C$54*AV68+AV70+AV49*AV138)-AV106</f>
        <v/>
      </c>
    </row>
    <row r="199">
      <c r="B199" s="7" t="inlineStr">
        <is>
          <t>Contribution · month 19</t>
        </is>
      </c>
      <c r="C199" s="5" t="inlineStr">
        <is>
          <t>₹</t>
        </is>
      </c>
      <c r="D199" s="48">
        <f>D139-(D21*Seasonality!$C$55*D68+D70+D49*D139)-D106</f>
        <v/>
      </c>
      <c r="E199" s="48">
        <f>E139-(E21*Seasonality!$C$55*E68+E70+E49*E139)-E106</f>
        <v/>
      </c>
      <c r="F199" s="48">
        <f>F139-(F21*Seasonality!$C$55*F68+F70+F49*F139)-F106</f>
        <v/>
      </c>
      <c r="G199" s="48">
        <f>G139-(G21*Seasonality!$C$55*G68+G70+G49*G139)-G106</f>
        <v/>
      </c>
      <c r="H199" s="48">
        <f>H139-(H21*Seasonality!$C$55*H68+H70+H49*H139)-H106</f>
        <v/>
      </c>
      <c r="I199" s="48">
        <f>I139-(I21*Seasonality!$C$55*I68+I70+I49*I139)-I106</f>
        <v/>
      </c>
      <c r="J199" s="48">
        <f>J139-(J21*Seasonality!$C$55*J68+J70+J49*J139)-J106</f>
        <v/>
      </c>
      <c r="K199" s="48">
        <f>K139-(K21*Seasonality!$C$55*K68+K70+K49*K139)-K106</f>
        <v/>
      </c>
      <c r="L199" s="48">
        <f>L139-(L21*Seasonality!$C$55*L68+L70+L49*L139)-L106</f>
        <v/>
      </c>
      <c r="M199" s="48">
        <f>M139-(M21*Seasonality!$C$55*M68+M70+M49*M139)-M106</f>
        <v/>
      </c>
      <c r="N199" s="48">
        <f>N139-(N21*Seasonality!$C$55*N68+N70+N49*N139)-N106</f>
        <v/>
      </c>
      <c r="O199" s="48">
        <f>O139-(O21*Seasonality!$C$55*O68+O70+O49*O139)-O106</f>
        <v/>
      </c>
      <c r="P199" s="48">
        <f>P139-(P21*Seasonality!$C$55*P68+P70+P49*P139)-P106</f>
        <v/>
      </c>
      <c r="Q199" s="48">
        <f>Q139-(Q21*Seasonality!$C$55*Q68+Q70+Q49*Q139)-Q106</f>
        <v/>
      </c>
      <c r="R199" s="48">
        <f>R139-(R21*Seasonality!$C$55*R68+R70+R49*R139)-R106</f>
        <v/>
      </c>
      <c r="S199" s="48">
        <f>S139-(S21*Seasonality!$C$55*S68+S70+S49*S139)-S106</f>
        <v/>
      </c>
      <c r="T199" s="48">
        <f>T139-(T21*Seasonality!$C$55*T68+T70+T49*T139)-T106</f>
        <v/>
      </c>
      <c r="U199" s="48">
        <f>U139-(U21*Seasonality!$C$55*U68+U70+U49*U139)-U106</f>
        <v/>
      </c>
      <c r="V199" s="48">
        <f>V139-(V21*Seasonality!$C$55*V68+V70+V49*V139)-V106</f>
        <v/>
      </c>
      <c r="W199" s="48">
        <f>W139-(W21*Seasonality!$C$55*W68+W70+W49*W139)-W106</f>
        <v/>
      </c>
      <c r="X199" s="48">
        <f>X139-(X21*Seasonality!$C$55*X68+X70+X49*X139)-X106</f>
        <v/>
      </c>
      <c r="Y199" s="48">
        <f>Y139-(Y21*Seasonality!$C$55*Y68+Y70+Y49*Y139)-Y106</f>
        <v/>
      </c>
      <c r="Z199" s="48">
        <f>Z139-(Z21*Seasonality!$C$55*Z68+Z70+Z49*Z139)-Z106</f>
        <v/>
      </c>
      <c r="AA199" s="48">
        <f>AA139-(AA21*Seasonality!$C$55*AA68+AA70+AA49*AA139)-AA106</f>
        <v/>
      </c>
      <c r="AB199" s="48">
        <f>AB139-(AB21*Seasonality!$C$55*AB68+AB70+AB49*AB139)-AB106</f>
        <v/>
      </c>
      <c r="AC199" s="48">
        <f>AC139-(AC21*Seasonality!$C$55*AC68+AC70+AC49*AC139)-AC106</f>
        <v/>
      </c>
      <c r="AD199" s="48">
        <f>AD139-(AD21*Seasonality!$C$55*AD68+AD70+AD49*AD139)-AD106</f>
        <v/>
      </c>
      <c r="AE199" s="48">
        <f>AE139-(AE21*Seasonality!$C$55*AE68+AE70+AE49*AE139)-AE106</f>
        <v/>
      </c>
      <c r="AF199" s="48">
        <f>AF139-(AF21*Seasonality!$C$55*AF68+AF70+AF49*AF139)-AF106</f>
        <v/>
      </c>
      <c r="AG199" s="48">
        <f>AG139-(AG21*Seasonality!$C$55*AG68+AG70+AG49*AG139)-AG106</f>
        <v/>
      </c>
      <c r="AH199" s="48">
        <f>AH139-(AH21*Seasonality!$C$55*AH68+AH70+AH49*AH139)-AH106</f>
        <v/>
      </c>
      <c r="AI199" s="48">
        <f>AI139-(AI21*Seasonality!$C$55*AI68+AI70+AI49*AI139)-AI106</f>
        <v/>
      </c>
      <c r="AJ199" s="48">
        <f>AJ139-(AJ21*Seasonality!$C$55*AJ68+AJ70+AJ49*AJ139)-AJ106</f>
        <v/>
      </c>
      <c r="AK199" s="48">
        <f>AK139-(AK21*Seasonality!$C$55*AK68+AK70+AK49*AK139)-AK106</f>
        <v/>
      </c>
      <c r="AL199" s="48">
        <f>AL139-(AL21*Seasonality!$C$55*AL68+AL70+AL49*AL139)-AL106</f>
        <v/>
      </c>
      <c r="AM199" s="48">
        <f>AM139-(AM21*Seasonality!$C$55*AM68+AM70+AM49*AM139)-AM106</f>
        <v/>
      </c>
      <c r="AN199" s="48">
        <f>AN139-(AN21*Seasonality!$C$55*AN68+AN70+AN49*AN139)-AN106</f>
        <v/>
      </c>
      <c r="AO199" s="48">
        <f>AO139-(AO21*Seasonality!$C$55*AO68+AO70+AO49*AO139)-AO106</f>
        <v/>
      </c>
      <c r="AP199" s="48">
        <f>AP139-(AP21*Seasonality!$C$55*AP68+AP70+AP49*AP139)-AP106</f>
        <v/>
      </c>
      <c r="AQ199" s="48">
        <f>AQ139-(AQ21*Seasonality!$C$55*AQ68+AQ70+AQ49*AQ139)-AQ106</f>
        <v/>
      </c>
      <c r="AR199" s="48">
        <f>AR139-(AR21*Seasonality!$C$55*AR68+AR70+AR49*AR139)-AR106</f>
        <v/>
      </c>
      <c r="AS199" s="48">
        <f>AS139-(AS21*Seasonality!$C$55*AS68+AS70+AS49*AS139)-AS106</f>
        <v/>
      </c>
      <c r="AT199" s="48">
        <f>AT139-(AT21*Seasonality!$C$55*AT68+AT70+AT49*AT139)-AT106</f>
        <v/>
      </c>
      <c r="AU199" s="48">
        <f>AU139-(AU21*Seasonality!$C$55*AU68+AU70+AU49*AU139)-AU106</f>
        <v/>
      </c>
      <c r="AV199" s="48">
        <f>AV139-(AV21*Seasonality!$C$55*AV68+AV70+AV49*AV139)-AV106</f>
        <v/>
      </c>
    </row>
    <row r="200">
      <c r="B200" s="7" t="inlineStr">
        <is>
          <t>Contribution · month 20</t>
        </is>
      </c>
      <c r="C200" s="5" t="inlineStr">
        <is>
          <t>₹</t>
        </is>
      </c>
      <c r="D200" s="48">
        <f>D140-(D21*Seasonality!$C$56*D68+D70+D49*D140)-D106</f>
        <v/>
      </c>
      <c r="E200" s="48">
        <f>E140-(E21*Seasonality!$C$56*E68+E70+E49*E140)-E106</f>
        <v/>
      </c>
      <c r="F200" s="48">
        <f>F140-(F21*Seasonality!$C$56*F68+F70+F49*F140)-F106</f>
        <v/>
      </c>
      <c r="G200" s="48">
        <f>G140-(G21*Seasonality!$C$56*G68+G70+G49*G140)-G106</f>
        <v/>
      </c>
      <c r="H200" s="48">
        <f>H140-(H21*Seasonality!$C$56*H68+H70+H49*H140)-H106</f>
        <v/>
      </c>
      <c r="I200" s="48">
        <f>I140-(I21*Seasonality!$C$56*I68+I70+I49*I140)-I106</f>
        <v/>
      </c>
      <c r="J200" s="48">
        <f>J140-(J21*Seasonality!$C$56*J68+J70+J49*J140)-J106</f>
        <v/>
      </c>
      <c r="K200" s="48">
        <f>K140-(K21*Seasonality!$C$56*K68+K70+K49*K140)-K106</f>
        <v/>
      </c>
      <c r="L200" s="48">
        <f>L140-(L21*Seasonality!$C$56*L68+L70+L49*L140)-L106</f>
        <v/>
      </c>
      <c r="M200" s="48">
        <f>M140-(M21*Seasonality!$C$56*M68+M70+M49*M140)-M106</f>
        <v/>
      </c>
      <c r="N200" s="48">
        <f>N140-(N21*Seasonality!$C$56*N68+N70+N49*N140)-N106</f>
        <v/>
      </c>
      <c r="O200" s="48">
        <f>O140-(O21*Seasonality!$C$56*O68+O70+O49*O140)-O106</f>
        <v/>
      </c>
      <c r="P200" s="48">
        <f>P140-(P21*Seasonality!$C$56*P68+P70+P49*P140)-P106</f>
        <v/>
      </c>
      <c r="Q200" s="48">
        <f>Q140-(Q21*Seasonality!$C$56*Q68+Q70+Q49*Q140)-Q106</f>
        <v/>
      </c>
      <c r="R200" s="48">
        <f>R140-(R21*Seasonality!$C$56*R68+R70+R49*R140)-R106</f>
        <v/>
      </c>
      <c r="S200" s="48">
        <f>S140-(S21*Seasonality!$C$56*S68+S70+S49*S140)-S106</f>
        <v/>
      </c>
      <c r="T200" s="48">
        <f>T140-(T21*Seasonality!$C$56*T68+T70+T49*T140)-T106</f>
        <v/>
      </c>
      <c r="U200" s="48">
        <f>U140-(U21*Seasonality!$C$56*U68+U70+U49*U140)-U106</f>
        <v/>
      </c>
      <c r="V200" s="48">
        <f>V140-(V21*Seasonality!$C$56*V68+V70+V49*V140)-V106</f>
        <v/>
      </c>
      <c r="W200" s="48">
        <f>W140-(W21*Seasonality!$C$56*W68+W70+W49*W140)-W106</f>
        <v/>
      </c>
      <c r="X200" s="48">
        <f>X140-(X21*Seasonality!$C$56*X68+X70+X49*X140)-X106</f>
        <v/>
      </c>
      <c r="Y200" s="48">
        <f>Y140-(Y21*Seasonality!$C$56*Y68+Y70+Y49*Y140)-Y106</f>
        <v/>
      </c>
      <c r="Z200" s="48">
        <f>Z140-(Z21*Seasonality!$C$56*Z68+Z70+Z49*Z140)-Z106</f>
        <v/>
      </c>
      <c r="AA200" s="48">
        <f>AA140-(AA21*Seasonality!$C$56*AA68+AA70+AA49*AA140)-AA106</f>
        <v/>
      </c>
      <c r="AB200" s="48">
        <f>AB140-(AB21*Seasonality!$C$56*AB68+AB70+AB49*AB140)-AB106</f>
        <v/>
      </c>
      <c r="AC200" s="48">
        <f>AC140-(AC21*Seasonality!$C$56*AC68+AC70+AC49*AC140)-AC106</f>
        <v/>
      </c>
      <c r="AD200" s="48">
        <f>AD140-(AD21*Seasonality!$C$56*AD68+AD70+AD49*AD140)-AD106</f>
        <v/>
      </c>
      <c r="AE200" s="48">
        <f>AE140-(AE21*Seasonality!$C$56*AE68+AE70+AE49*AE140)-AE106</f>
        <v/>
      </c>
      <c r="AF200" s="48">
        <f>AF140-(AF21*Seasonality!$C$56*AF68+AF70+AF49*AF140)-AF106</f>
        <v/>
      </c>
      <c r="AG200" s="48">
        <f>AG140-(AG21*Seasonality!$C$56*AG68+AG70+AG49*AG140)-AG106</f>
        <v/>
      </c>
      <c r="AH200" s="48">
        <f>AH140-(AH21*Seasonality!$C$56*AH68+AH70+AH49*AH140)-AH106</f>
        <v/>
      </c>
      <c r="AI200" s="48">
        <f>AI140-(AI21*Seasonality!$C$56*AI68+AI70+AI49*AI140)-AI106</f>
        <v/>
      </c>
      <c r="AJ200" s="48">
        <f>AJ140-(AJ21*Seasonality!$C$56*AJ68+AJ70+AJ49*AJ140)-AJ106</f>
        <v/>
      </c>
      <c r="AK200" s="48">
        <f>AK140-(AK21*Seasonality!$C$56*AK68+AK70+AK49*AK140)-AK106</f>
        <v/>
      </c>
      <c r="AL200" s="48">
        <f>AL140-(AL21*Seasonality!$C$56*AL68+AL70+AL49*AL140)-AL106</f>
        <v/>
      </c>
      <c r="AM200" s="48">
        <f>AM140-(AM21*Seasonality!$C$56*AM68+AM70+AM49*AM140)-AM106</f>
        <v/>
      </c>
      <c r="AN200" s="48">
        <f>AN140-(AN21*Seasonality!$C$56*AN68+AN70+AN49*AN140)-AN106</f>
        <v/>
      </c>
      <c r="AO200" s="48">
        <f>AO140-(AO21*Seasonality!$C$56*AO68+AO70+AO49*AO140)-AO106</f>
        <v/>
      </c>
      <c r="AP200" s="48">
        <f>AP140-(AP21*Seasonality!$C$56*AP68+AP70+AP49*AP140)-AP106</f>
        <v/>
      </c>
      <c r="AQ200" s="48">
        <f>AQ140-(AQ21*Seasonality!$C$56*AQ68+AQ70+AQ49*AQ140)-AQ106</f>
        <v/>
      </c>
      <c r="AR200" s="48">
        <f>AR140-(AR21*Seasonality!$C$56*AR68+AR70+AR49*AR140)-AR106</f>
        <v/>
      </c>
      <c r="AS200" s="48">
        <f>AS140-(AS21*Seasonality!$C$56*AS68+AS70+AS49*AS140)-AS106</f>
        <v/>
      </c>
      <c r="AT200" s="48">
        <f>AT140-(AT21*Seasonality!$C$56*AT68+AT70+AT49*AT140)-AT106</f>
        <v/>
      </c>
      <c r="AU200" s="48">
        <f>AU140-(AU21*Seasonality!$C$56*AU68+AU70+AU49*AU140)-AU106</f>
        <v/>
      </c>
      <c r="AV200" s="48">
        <f>AV140-(AV21*Seasonality!$C$56*AV68+AV70+AV49*AV140)-AV106</f>
        <v/>
      </c>
    </row>
    <row r="201">
      <c r="B201" s="7" t="inlineStr">
        <is>
          <t>Contribution · month 21</t>
        </is>
      </c>
      <c r="C201" s="5" t="inlineStr">
        <is>
          <t>₹</t>
        </is>
      </c>
      <c r="D201" s="48">
        <f>D141-(D21*Seasonality!$C$57*D68+D70+D49*D141)-D106</f>
        <v/>
      </c>
      <c r="E201" s="48">
        <f>E141-(E21*Seasonality!$C$57*E68+E70+E49*E141)-E106</f>
        <v/>
      </c>
      <c r="F201" s="48">
        <f>F141-(F21*Seasonality!$C$57*F68+F70+F49*F141)-F106</f>
        <v/>
      </c>
      <c r="G201" s="48">
        <f>G141-(G21*Seasonality!$C$57*G68+G70+G49*G141)-G106</f>
        <v/>
      </c>
      <c r="H201" s="48">
        <f>H141-(H21*Seasonality!$C$57*H68+H70+H49*H141)-H106</f>
        <v/>
      </c>
      <c r="I201" s="48">
        <f>I141-(I21*Seasonality!$C$57*I68+I70+I49*I141)-I106</f>
        <v/>
      </c>
      <c r="J201" s="48">
        <f>J141-(J21*Seasonality!$C$57*J68+J70+J49*J141)-J106</f>
        <v/>
      </c>
      <c r="K201" s="48">
        <f>K141-(K21*Seasonality!$C$57*K68+K70+K49*K141)-K106</f>
        <v/>
      </c>
      <c r="L201" s="48">
        <f>L141-(L21*Seasonality!$C$57*L68+L70+L49*L141)-L106</f>
        <v/>
      </c>
      <c r="M201" s="48">
        <f>M141-(M21*Seasonality!$C$57*M68+M70+M49*M141)-M106</f>
        <v/>
      </c>
      <c r="N201" s="48">
        <f>N141-(N21*Seasonality!$C$57*N68+N70+N49*N141)-N106</f>
        <v/>
      </c>
      <c r="O201" s="48">
        <f>O141-(O21*Seasonality!$C$57*O68+O70+O49*O141)-O106</f>
        <v/>
      </c>
      <c r="P201" s="48">
        <f>P141-(P21*Seasonality!$C$57*P68+P70+P49*P141)-P106</f>
        <v/>
      </c>
      <c r="Q201" s="48">
        <f>Q141-(Q21*Seasonality!$C$57*Q68+Q70+Q49*Q141)-Q106</f>
        <v/>
      </c>
      <c r="R201" s="48">
        <f>R141-(R21*Seasonality!$C$57*R68+R70+R49*R141)-R106</f>
        <v/>
      </c>
      <c r="S201" s="48">
        <f>S141-(S21*Seasonality!$C$57*S68+S70+S49*S141)-S106</f>
        <v/>
      </c>
      <c r="T201" s="48">
        <f>T141-(T21*Seasonality!$C$57*T68+T70+T49*T141)-T106</f>
        <v/>
      </c>
      <c r="U201" s="48">
        <f>U141-(U21*Seasonality!$C$57*U68+U70+U49*U141)-U106</f>
        <v/>
      </c>
      <c r="V201" s="48">
        <f>V141-(V21*Seasonality!$C$57*V68+V70+V49*V141)-V106</f>
        <v/>
      </c>
      <c r="W201" s="48">
        <f>W141-(W21*Seasonality!$C$57*W68+W70+W49*W141)-W106</f>
        <v/>
      </c>
      <c r="X201" s="48">
        <f>X141-(X21*Seasonality!$C$57*X68+X70+X49*X141)-X106</f>
        <v/>
      </c>
      <c r="Y201" s="48">
        <f>Y141-(Y21*Seasonality!$C$57*Y68+Y70+Y49*Y141)-Y106</f>
        <v/>
      </c>
      <c r="Z201" s="48">
        <f>Z141-(Z21*Seasonality!$C$57*Z68+Z70+Z49*Z141)-Z106</f>
        <v/>
      </c>
      <c r="AA201" s="48">
        <f>AA141-(AA21*Seasonality!$C$57*AA68+AA70+AA49*AA141)-AA106</f>
        <v/>
      </c>
      <c r="AB201" s="48">
        <f>AB141-(AB21*Seasonality!$C$57*AB68+AB70+AB49*AB141)-AB106</f>
        <v/>
      </c>
      <c r="AC201" s="48">
        <f>AC141-(AC21*Seasonality!$C$57*AC68+AC70+AC49*AC141)-AC106</f>
        <v/>
      </c>
      <c r="AD201" s="48">
        <f>AD141-(AD21*Seasonality!$C$57*AD68+AD70+AD49*AD141)-AD106</f>
        <v/>
      </c>
      <c r="AE201" s="48">
        <f>AE141-(AE21*Seasonality!$C$57*AE68+AE70+AE49*AE141)-AE106</f>
        <v/>
      </c>
      <c r="AF201" s="48">
        <f>AF141-(AF21*Seasonality!$C$57*AF68+AF70+AF49*AF141)-AF106</f>
        <v/>
      </c>
      <c r="AG201" s="48">
        <f>AG141-(AG21*Seasonality!$C$57*AG68+AG70+AG49*AG141)-AG106</f>
        <v/>
      </c>
      <c r="AH201" s="48">
        <f>AH141-(AH21*Seasonality!$C$57*AH68+AH70+AH49*AH141)-AH106</f>
        <v/>
      </c>
      <c r="AI201" s="48">
        <f>AI141-(AI21*Seasonality!$C$57*AI68+AI70+AI49*AI141)-AI106</f>
        <v/>
      </c>
      <c r="AJ201" s="48">
        <f>AJ141-(AJ21*Seasonality!$C$57*AJ68+AJ70+AJ49*AJ141)-AJ106</f>
        <v/>
      </c>
      <c r="AK201" s="48">
        <f>AK141-(AK21*Seasonality!$C$57*AK68+AK70+AK49*AK141)-AK106</f>
        <v/>
      </c>
      <c r="AL201" s="48">
        <f>AL141-(AL21*Seasonality!$C$57*AL68+AL70+AL49*AL141)-AL106</f>
        <v/>
      </c>
      <c r="AM201" s="48">
        <f>AM141-(AM21*Seasonality!$C$57*AM68+AM70+AM49*AM141)-AM106</f>
        <v/>
      </c>
      <c r="AN201" s="48">
        <f>AN141-(AN21*Seasonality!$C$57*AN68+AN70+AN49*AN141)-AN106</f>
        <v/>
      </c>
      <c r="AO201" s="48">
        <f>AO141-(AO21*Seasonality!$C$57*AO68+AO70+AO49*AO141)-AO106</f>
        <v/>
      </c>
      <c r="AP201" s="48">
        <f>AP141-(AP21*Seasonality!$C$57*AP68+AP70+AP49*AP141)-AP106</f>
        <v/>
      </c>
      <c r="AQ201" s="48">
        <f>AQ141-(AQ21*Seasonality!$C$57*AQ68+AQ70+AQ49*AQ141)-AQ106</f>
        <v/>
      </c>
      <c r="AR201" s="48">
        <f>AR141-(AR21*Seasonality!$C$57*AR68+AR70+AR49*AR141)-AR106</f>
        <v/>
      </c>
      <c r="AS201" s="48">
        <f>AS141-(AS21*Seasonality!$C$57*AS68+AS70+AS49*AS141)-AS106</f>
        <v/>
      </c>
      <c r="AT201" s="48">
        <f>AT141-(AT21*Seasonality!$C$57*AT68+AT70+AT49*AT141)-AT106</f>
        <v/>
      </c>
      <c r="AU201" s="48">
        <f>AU141-(AU21*Seasonality!$C$57*AU68+AU70+AU49*AU141)-AU106</f>
        <v/>
      </c>
      <c r="AV201" s="48">
        <f>AV141-(AV21*Seasonality!$C$57*AV68+AV70+AV49*AV141)-AV106</f>
        <v/>
      </c>
    </row>
    <row r="202">
      <c r="B202" s="7" t="inlineStr">
        <is>
          <t>Contribution · month 22</t>
        </is>
      </c>
      <c r="C202" s="5" t="inlineStr">
        <is>
          <t>₹</t>
        </is>
      </c>
      <c r="D202" s="48">
        <f>D142-(D21*Seasonality!$C$58*D68+D70+D49*D142)-D106</f>
        <v/>
      </c>
      <c r="E202" s="48">
        <f>E142-(E21*Seasonality!$C$58*E68+E70+E49*E142)-E106</f>
        <v/>
      </c>
      <c r="F202" s="48">
        <f>F142-(F21*Seasonality!$C$58*F68+F70+F49*F142)-F106</f>
        <v/>
      </c>
      <c r="G202" s="48">
        <f>G142-(G21*Seasonality!$C$58*G68+G70+G49*G142)-G106</f>
        <v/>
      </c>
      <c r="H202" s="48">
        <f>H142-(H21*Seasonality!$C$58*H68+H70+H49*H142)-H106</f>
        <v/>
      </c>
      <c r="I202" s="48">
        <f>I142-(I21*Seasonality!$C$58*I68+I70+I49*I142)-I106</f>
        <v/>
      </c>
      <c r="J202" s="48">
        <f>J142-(J21*Seasonality!$C$58*J68+J70+J49*J142)-J106</f>
        <v/>
      </c>
      <c r="K202" s="48">
        <f>K142-(K21*Seasonality!$C$58*K68+K70+K49*K142)-K106</f>
        <v/>
      </c>
      <c r="L202" s="48">
        <f>L142-(L21*Seasonality!$C$58*L68+L70+L49*L142)-L106</f>
        <v/>
      </c>
      <c r="M202" s="48">
        <f>M142-(M21*Seasonality!$C$58*M68+M70+M49*M142)-M106</f>
        <v/>
      </c>
      <c r="N202" s="48">
        <f>N142-(N21*Seasonality!$C$58*N68+N70+N49*N142)-N106</f>
        <v/>
      </c>
      <c r="O202" s="48">
        <f>O142-(O21*Seasonality!$C$58*O68+O70+O49*O142)-O106</f>
        <v/>
      </c>
      <c r="P202" s="48">
        <f>P142-(P21*Seasonality!$C$58*P68+P70+P49*P142)-P106</f>
        <v/>
      </c>
      <c r="Q202" s="48">
        <f>Q142-(Q21*Seasonality!$C$58*Q68+Q70+Q49*Q142)-Q106</f>
        <v/>
      </c>
      <c r="R202" s="48">
        <f>R142-(R21*Seasonality!$C$58*R68+R70+R49*R142)-R106</f>
        <v/>
      </c>
      <c r="S202" s="48">
        <f>S142-(S21*Seasonality!$C$58*S68+S70+S49*S142)-S106</f>
        <v/>
      </c>
      <c r="T202" s="48">
        <f>T142-(T21*Seasonality!$C$58*T68+T70+T49*T142)-T106</f>
        <v/>
      </c>
      <c r="U202" s="48">
        <f>U142-(U21*Seasonality!$C$58*U68+U70+U49*U142)-U106</f>
        <v/>
      </c>
      <c r="V202" s="48">
        <f>V142-(V21*Seasonality!$C$58*V68+V70+V49*V142)-V106</f>
        <v/>
      </c>
      <c r="W202" s="48">
        <f>W142-(W21*Seasonality!$C$58*W68+W70+W49*W142)-W106</f>
        <v/>
      </c>
      <c r="X202" s="48">
        <f>X142-(X21*Seasonality!$C$58*X68+X70+X49*X142)-X106</f>
        <v/>
      </c>
      <c r="Y202" s="48">
        <f>Y142-(Y21*Seasonality!$C$58*Y68+Y70+Y49*Y142)-Y106</f>
        <v/>
      </c>
      <c r="Z202" s="48">
        <f>Z142-(Z21*Seasonality!$C$58*Z68+Z70+Z49*Z142)-Z106</f>
        <v/>
      </c>
      <c r="AA202" s="48">
        <f>AA142-(AA21*Seasonality!$C$58*AA68+AA70+AA49*AA142)-AA106</f>
        <v/>
      </c>
      <c r="AB202" s="48">
        <f>AB142-(AB21*Seasonality!$C$58*AB68+AB70+AB49*AB142)-AB106</f>
        <v/>
      </c>
      <c r="AC202" s="48">
        <f>AC142-(AC21*Seasonality!$C$58*AC68+AC70+AC49*AC142)-AC106</f>
        <v/>
      </c>
      <c r="AD202" s="48">
        <f>AD142-(AD21*Seasonality!$C$58*AD68+AD70+AD49*AD142)-AD106</f>
        <v/>
      </c>
      <c r="AE202" s="48">
        <f>AE142-(AE21*Seasonality!$C$58*AE68+AE70+AE49*AE142)-AE106</f>
        <v/>
      </c>
      <c r="AF202" s="48">
        <f>AF142-(AF21*Seasonality!$C$58*AF68+AF70+AF49*AF142)-AF106</f>
        <v/>
      </c>
      <c r="AG202" s="48">
        <f>AG142-(AG21*Seasonality!$C$58*AG68+AG70+AG49*AG142)-AG106</f>
        <v/>
      </c>
      <c r="AH202" s="48">
        <f>AH142-(AH21*Seasonality!$C$58*AH68+AH70+AH49*AH142)-AH106</f>
        <v/>
      </c>
      <c r="AI202" s="48">
        <f>AI142-(AI21*Seasonality!$C$58*AI68+AI70+AI49*AI142)-AI106</f>
        <v/>
      </c>
      <c r="AJ202" s="48">
        <f>AJ142-(AJ21*Seasonality!$C$58*AJ68+AJ70+AJ49*AJ142)-AJ106</f>
        <v/>
      </c>
      <c r="AK202" s="48">
        <f>AK142-(AK21*Seasonality!$C$58*AK68+AK70+AK49*AK142)-AK106</f>
        <v/>
      </c>
      <c r="AL202" s="48">
        <f>AL142-(AL21*Seasonality!$C$58*AL68+AL70+AL49*AL142)-AL106</f>
        <v/>
      </c>
      <c r="AM202" s="48">
        <f>AM142-(AM21*Seasonality!$C$58*AM68+AM70+AM49*AM142)-AM106</f>
        <v/>
      </c>
      <c r="AN202" s="48">
        <f>AN142-(AN21*Seasonality!$C$58*AN68+AN70+AN49*AN142)-AN106</f>
        <v/>
      </c>
      <c r="AO202" s="48">
        <f>AO142-(AO21*Seasonality!$C$58*AO68+AO70+AO49*AO142)-AO106</f>
        <v/>
      </c>
      <c r="AP202" s="48">
        <f>AP142-(AP21*Seasonality!$C$58*AP68+AP70+AP49*AP142)-AP106</f>
        <v/>
      </c>
      <c r="AQ202" s="48">
        <f>AQ142-(AQ21*Seasonality!$C$58*AQ68+AQ70+AQ49*AQ142)-AQ106</f>
        <v/>
      </c>
      <c r="AR202" s="48">
        <f>AR142-(AR21*Seasonality!$C$58*AR68+AR70+AR49*AR142)-AR106</f>
        <v/>
      </c>
      <c r="AS202" s="48">
        <f>AS142-(AS21*Seasonality!$C$58*AS68+AS70+AS49*AS142)-AS106</f>
        <v/>
      </c>
      <c r="AT202" s="48">
        <f>AT142-(AT21*Seasonality!$C$58*AT68+AT70+AT49*AT142)-AT106</f>
        <v/>
      </c>
      <c r="AU202" s="48">
        <f>AU142-(AU21*Seasonality!$C$58*AU68+AU70+AU49*AU142)-AU106</f>
        <v/>
      </c>
      <c r="AV202" s="48">
        <f>AV142-(AV21*Seasonality!$C$58*AV68+AV70+AV49*AV142)-AV106</f>
        <v/>
      </c>
    </row>
    <row r="203">
      <c r="B203" s="7" t="inlineStr">
        <is>
          <t>Contribution · month 23</t>
        </is>
      </c>
      <c r="C203" s="5" t="inlineStr">
        <is>
          <t>₹</t>
        </is>
      </c>
      <c r="D203" s="48">
        <f>D143-(D21*Seasonality!$C$59*D68+D70+D49*D143)-D106</f>
        <v/>
      </c>
      <c r="E203" s="48">
        <f>E143-(E21*Seasonality!$C$59*E68+E70+E49*E143)-E106</f>
        <v/>
      </c>
      <c r="F203" s="48">
        <f>F143-(F21*Seasonality!$C$59*F68+F70+F49*F143)-F106</f>
        <v/>
      </c>
      <c r="G203" s="48">
        <f>G143-(G21*Seasonality!$C$59*G68+G70+G49*G143)-G106</f>
        <v/>
      </c>
      <c r="H203" s="48">
        <f>H143-(H21*Seasonality!$C$59*H68+H70+H49*H143)-H106</f>
        <v/>
      </c>
      <c r="I203" s="48">
        <f>I143-(I21*Seasonality!$C$59*I68+I70+I49*I143)-I106</f>
        <v/>
      </c>
      <c r="J203" s="48">
        <f>J143-(J21*Seasonality!$C$59*J68+J70+J49*J143)-J106</f>
        <v/>
      </c>
      <c r="K203" s="48">
        <f>K143-(K21*Seasonality!$C$59*K68+K70+K49*K143)-K106</f>
        <v/>
      </c>
      <c r="L203" s="48">
        <f>L143-(L21*Seasonality!$C$59*L68+L70+L49*L143)-L106</f>
        <v/>
      </c>
      <c r="M203" s="48">
        <f>M143-(M21*Seasonality!$C$59*M68+M70+M49*M143)-M106</f>
        <v/>
      </c>
      <c r="N203" s="48">
        <f>N143-(N21*Seasonality!$C$59*N68+N70+N49*N143)-N106</f>
        <v/>
      </c>
      <c r="O203" s="48">
        <f>O143-(O21*Seasonality!$C$59*O68+O70+O49*O143)-O106</f>
        <v/>
      </c>
      <c r="P203" s="48">
        <f>P143-(P21*Seasonality!$C$59*P68+P70+P49*P143)-P106</f>
        <v/>
      </c>
      <c r="Q203" s="48">
        <f>Q143-(Q21*Seasonality!$C$59*Q68+Q70+Q49*Q143)-Q106</f>
        <v/>
      </c>
      <c r="R203" s="48">
        <f>R143-(R21*Seasonality!$C$59*R68+R70+R49*R143)-R106</f>
        <v/>
      </c>
      <c r="S203" s="48">
        <f>S143-(S21*Seasonality!$C$59*S68+S70+S49*S143)-S106</f>
        <v/>
      </c>
      <c r="T203" s="48">
        <f>T143-(T21*Seasonality!$C$59*T68+T70+T49*T143)-T106</f>
        <v/>
      </c>
      <c r="U203" s="48">
        <f>U143-(U21*Seasonality!$C$59*U68+U70+U49*U143)-U106</f>
        <v/>
      </c>
      <c r="V203" s="48">
        <f>V143-(V21*Seasonality!$C$59*V68+V70+V49*V143)-V106</f>
        <v/>
      </c>
      <c r="W203" s="48">
        <f>W143-(W21*Seasonality!$C$59*W68+W70+W49*W143)-W106</f>
        <v/>
      </c>
      <c r="X203" s="48">
        <f>X143-(X21*Seasonality!$C$59*X68+X70+X49*X143)-X106</f>
        <v/>
      </c>
      <c r="Y203" s="48">
        <f>Y143-(Y21*Seasonality!$C$59*Y68+Y70+Y49*Y143)-Y106</f>
        <v/>
      </c>
      <c r="Z203" s="48">
        <f>Z143-(Z21*Seasonality!$C$59*Z68+Z70+Z49*Z143)-Z106</f>
        <v/>
      </c>
      <c r="AA203" s="48">
        <f>AA143-(AA21*Seasonality!$C$59*AA68+AA70+AA49*AA143)-AA106</f>
        <v/>
      </c>
      <c r="AB203" s="48">
        <f>AB143-(AB21*Seasonality!$C$59*AB68+AB70+AB49*AB143)-AB106</f>
        <v/>
      </c>
      <c r="AC203" s="48">
        <f>AC143-(AC21*Seasonality!$C$59*AC68+AC70+AC49*AC143)-AC106</f>
        <v/>
      </c>
      <c r="AD203" s="48">
        <f>AD143-(AD21*Seasonality!$C$59*AD68+AD70+AD49*AD143)-AD106</f>
        <v/>
      </c>
      <c r="AE203" s="48">
        <f>AE143-(AE21*Seasonality!$C$59*AE68+AE70+AE49*AE143)-AE106</f>
        <v/>
      </c>
      <c r="AF203" s="48">
        <f>AF143-(AF21*Seasonality!$C$59*AF68+AF70+AF49*AF143)-AF106</f>
        <v/>
      </c>
      <c r="AG203" s="48">
        <f>AG143-(AG21*Seasonality!$C$59*AG68+AG70+AG49*AG143)-AG106</f>
        <v/>
      </c>
      <c r="AH203" s="48">
        <f>AH143-(AH21*Seasonality!$C$59*AH68+AH70+AH49*AH143)-AH106</f>
        <v/>
      </c>
      <c r="AI203" s="48">
        <f>AI143-(AI21*Seasonality!$C$59*AI68+AI70+AI49*AI143)-AI106</f>
        <v/>
      </c>
      <c r="AJ203" s="48">
        <f>AJ143-(AJ21*Seasonality!$C$59*AJ68+AJ70+AJ49*AJ143)-AJ106</f>
        <v/>
      </c>
      <c r="AK203" s="48">
        <f>AK143-(AK21*Seasonality!$C$59*AK68+AK70+AK49*AK143)-AK106</f>
        <v/>
      </c>
      <c r="AL203" s="48">
        <f>AL143-(AL21*Seasonality!$C$59*AL68+AL70+AL49*AL143)-AL106</f>
        <v/>
      </c>
      <c r="AM203" s="48">
        <f>AM143-(AM21*Seasonality!$C$59*AM68+AM70+AM49*AM143)-AM106</f>
        <v/>
      </c>
      <c r="AN203" s="48">
        <f>AN143-(AN21*Seasonality!$C$59*AN68+AN70+AN49*AN143)-AN106</f>
        <v/>
      </c>
      <c r="AO203" s="48">
        <f>AO143-(AO21*Seasonality!$C$59*AO68+AO70+AO49*AO143)-AO106</f>
        <v/>
      </c>
      <c r="AP203" s="48">
        <f>AP143-(AP21*Seasonality!$C$59*AP68+AP70+AP49*AP143)-AP106</f>
        <v/>
      </c>
      <c r="AQ203" s="48">
        <f>AQ143-(AQ21*Seasonality!$C$59*AQ68+AQ70+AQ49*AQ143)-AQ106</f>
        <v/>
      </c>
      <c r="AR203" s="48">
        <f>AR143-(AR21*Seasonality!$C$59*AR68+AR70+AR49*AR143)-AR106</f>
        <v/>
      </c>
      <c r="AS203" s="48">
        <f>AS143-(AS21*Seasonality!$C$59*AS68+AS70+AS49*AS143)-AS106</f>
        <v/>
      </c>
      <c r="AT203" s="48">
        <f>AT143-(AT21*Seasonality!$C$59*AT68+AT70+AT49*AT143)-AT106</f>
        <v/>
      </c>
      <c r="AU203" s="48">
        <f>AU143-(AU21*Seasonality!$C$59*AU68+AU70+AU49*AU143)-AU106</f>
        <v/>
      </c>
      <c r="AV203" s="48">
        <f>AV143-(AV21*Seasonality!$C$59*AV68+AV70+AV49*AV143)-AV106</f>
        <v/>
      </c>
    </row>
    <row r="204">
      <c r="B204" s="7" t="inlineStr">
        <is>
          <t>Contribution · month 24</t>
        </is>
      </c>
      <c r="C204" s="5" t="inlineStr">
        <is>
          <t>₹</t>
        </is>
      </c>
      <c r="D204" s="48">
        <f>D144-(D21*Seasonality!$C$60*D68+D70+D49*D144)-D106</f>
        <v/>
      </c>
      <c r="E204" s="48">
        <f>E144-(E21*Seasonality!$C$60*E68+E70+E49*E144)-E106</f>
        <v/>
      </c>
      <c r="F204" s="48">
        <f>F144-(F21*Seasonality!$C$60*F68+F70+F49*F144)-F106</f>
        <v/>
      </c>
      <c r="G204" s="48">
        <f>G144-(G21*Seasonality!$C$60*G68+G70+G49*G144)-G106</f>
        <v/>
      </c>
      <c r="H204" s="48">
        <f>H144-(H21*Seasonality!$C$60*H68+H70+H49*H144)-H106</f>
        <v/>
      </c>
      <c r="I204" s="48">
        <f>I144-(I21*Seasonality!$C$60*I68+I70+I49*I144)-I106</f>
        <v/>
      </c>
      <c r="J204" s="48">
        <f>J144-(J21*Seasonality!$C$60*J68+J70+J49*J144)-J106</f>
        <v/>
      </c>
      <c r="K204" s="48">
        <f>K144-(K21*Seasonality!$C$60*K68+K70+K49*K144)-K106</f>
        <v/>
      </c>
      <c r="L204" s="48">
        <f>L144-(L21*Seasonality!$C$60*L68+L70+L49*L144)-L106</f>
        <v/>
      </c>
      <c r="M204" s="48">
        <f>M144-(M21*Seasonality!$C$60*M68+M70+M49*M144)-M106</f>
        <v/>
      </c>
      <c r="N204" s="48">
        <f>N144-(N21*Seasonality!$C$60*N68+N70+N49*N144)-N106</f>
        <v/>
      </c>
      <c r="O204" s="48">
        <f>O144-(O21*Seasonality!$C$60*O68+O70+O49*O144)-O106</f>
        <v/>
      </c>
      <c r="P204" s="48">
        <f>P144-(P21*Seasonality!$C$60*P68+P70+P49*P144)-P106</f>
        <v/>
      </c>
      <c r="Q204" s="48">
        <f>Q144-(Q21*Seasonality!$C$60*Q68+Q70+Q49*Q144)-Q106</f>
        <v/>
      </c>
      <c r="R204" s="48">
        <f>R144-(R21*Seasonality!$C$60*R68+R70+R49*R144)-R106</f>
        <v/>
      </c>
      <c r="S204" s="48">
        <f>S144-(S21*Seasonality!$C$60*S68+S70+S49*S144)-S106</f>
        <v/>
      </c>
      <c r="T204" s="48">
        <f>T144-(T21*Seasonality!$C$60*T68+T70+T49*T144)-T106</f>
        <v/>
      </c>
      <c r="U204" s="48">
        <f>U144-(U21*Seasonality!$C$60*U68+U70+U49*U144)-U106</f>
        <v/>
      </c>
      <c r="V204" s="48">
        <f>V144-(V21*Seasonality!$C$60*V68+V70+V49*V144)-V106</f>
        <v/>
      </c>
      <c r="W204" s="48">
        <f>W144-(W21*Seasonality!$C$60*W68+W70+W49*W144)-W106</f>
        <v/>
      </c>
      <c r="X204" s="48">
        <f>X144-(X21*Seasonality!$C$60*X68+X70+X49*X144)-X106</f>
        <v/>
      </c>
      <c r="Y204" s="48">
        <f>Y144-(Y21*Seasonality!$C$60*Y68+Y70+Y49*Y144)-Y106</f>
        <v/>
      </c>
      <c r="Z204" s="48">
        <f>Z144-(Z21*Seasonality!$C$60*Z68+Z70+Z49*Z144)-Z106</f>
        <v/>
      </c>
      <c r="AA204" s="48">
        <f>AA144-(AA21*Seasonality!$C$60*AA68+AA70+AA49*AA144)-AA106</f>
        <v/>
      </c>
      <c r="AB204" s="48">
        <f>AB144-(AB21*Seasonality!$C$60*AB68+AB70+AB49*AB144)-AB106</f>
        <v/>
      </c>
      <c r="AC204" s="48">
        <f>AC144-(AC21*Seasonality!$C$60*AC68+AC70+AC49*AC144)-AC106</f>
        <v/>
      </c>
      <c r="AD204" s="48">
        <f>AD144-(AD21*Seasonality!$C$60*AD68+AD70+AD49*AD144)-AD106</f>
        <v/>
      </c>
      <c r="AE204" s="48">
        <f>AE144-(AE21*Seasonality!$C$60*AE68+AE70+AE49*AE144)-AE106</f>
        <v/>
      </c>
      <c r="AF204" s="48">
        <f>AF144-(AF21*Seasonality!$C$60*AF68+AF70+AF49*AF144)-AF106</f>
        <v/>
      </c>
      <c r="AG204" s="48">
        <f>AG144-(AG21*Seasonality!$C$60*AG68+AG70+AG49*AG144)-AG106</f>
        <v/>
      </c>
      <c r="AH204" s="48">
        <f>AH144-(AH21*Seasonality!$C$60*AH68+AH70+AH49*AH144)-AH106</f>
        <v/>
      </c>
      <c r="AI204" s="48">
        <f>AI144-(AI21*Seasonality!$C$60*AI68+AI70+AI49*AI144)-AI106</f>
        <v/>
      </c>
      <c r="AJ204" s="48">
        <f>AJ144-(AJ21*Seasonality!$C$60*AJ68+AJ70+AJ49*AJ144)-AJ106</f>
        <v/>
      </c>
      <c r="AK204" s="48">
        <f>AK144-(AK21*Seasonality!$C$60*AK68+AK70+AK49*AK144)-AK106</f>
        <v/>
      </c>
      <c r="AL204" s="48">
        <f>AL144-(AL21*Seasonality!$C$60*AL68+AL70+AL49*AL144)-AL106</f>
        <v/>
      </c>
      <c r="AM204" s="48">
        <f>AM144-(AM21*Seasonality!$C$60*AM68+AM70+AM49*AM144)-AM106</f>
        <v/>
      </c>
      <c r="AN204" s="48">
        <f>AN144-(AN21*Seasonality!$C$60*AN68+AN70+AN49*AN144)-AN106</f>
        <v/>
      </c>
      <c r="AO204" s="48">
        <f>AO144-(AO21*Seasonality!$C$60*AO68+AO70+AO49*AO144)-AO106</f>
        <v/>
      </c>
      <c r="AP204" s="48">
        <f>AP144-(AP21*Seasonality!$C$60*AP68+AP70+AP49*AP144)-AP106</f>
        <v/>
      </c>
      <c r="AQ204" s="48">
        <f>AQ144-(AQ21*Seasonality!$C$60*AQ68+AQ70+AQ49*AQ144)-AQ106</f>
        <v/>
      </c>
      <c r="AR204" s="48">
        <f>AR144-(AR21*Seasonality!$C$60*AR68+AR70+AR49*AR144)-AR106</f>
        <v/>
      </c>
      <c r="AS204" s="48">
        <f>AS144-(AS21*Seasonality!$C$60*AS68+AS70+AS49*AS144)-AS106</f>
        <v/>
      </c>
      <c r="AT204" s="48">
        <f>AT144-(AT21*Seasonality!$C$60*AT68+AT70+AT49*AT144)-AT106</f>
        <v/>
      </c>
      <c r="AU204" s="48">
        <f>AU144-(AU21*Seasonality!$C$60*AU68+AU70+AU49*AU144)-AU106</f>
        <v/>
      </c>
      <c r="AV204" s="48">
        <f>AV144-(AV21*Seasonality!$C$60*AV68+AV70+AV49*AV144)-AV106</f>
        <v/>
      </c>
    </row>
    <row r="205">
      <c r="B205" s="7" t="inlineStr">
        <is>
          <t>Contribution · month 25</t>
        </is>
      </c>
      <c r="C205" s="5" t="inlineStr">
        <is>
          <t>₹</t>
        </is>
      </c>
      <c r="D205" s="48">
        <f>D145-(D21*Seasonality!$C$61*D68+D70+D49*D145)-D106</f>
        <v/>
      </c>
      <c r="E205" s="48">
        <f>E145-(E21*Seasonality!$C$61*E68+E70+E49*E145)-E106</f>
        <v/>
      </c>
      <c r="F205" s="48">
        <f>F145-(F21*Seasonality!$C$61*F68+F70+F49*F145)-F106</f>
        <v/>
      </c>
      <c r="G205" s="48">
        <f>G145-(G21*Seasonality!$C$61*G68+G70+G49*G145)-G106</f>
        <v/>
      </c>
      <c r="H205" s="48">
        <f>H145-(H21*Seasonality!$C$61*H68+H70+H49*H145)-H106</f>
        <v/>
      </c>
      <c r="I205" s="48">
        <f>I145-(I21*Seasonality!$C$61*I68+I70+I49*I145)-I106</f>
        <v/>
      </c>
      <c r="J205" s="48">
        <f>J145-(J21*Seasonality!$C$61*J68+J70+J49*J145)-J106</f>
        <v/>
      </c>
      <c r="K205" s="48">
        <f>K145-(K21*Seasonality!$C$61*K68+K70+K49*K145)-K106</f>
        <v/>
      </c>
      <c r="L205" s="48">
        <f>L145-(L21*Seasonality!$C$61*L68+L70+L49*L145)-L106</f>
        <v/>
      </c>
      <c r="M205" s="48">
        <f>M145-(M21*Seasonality!$C$61*M68+M70+M49*M145)-M106</f>
        <v/>
      </c>
      <c r="N205" s="48">
        <f>N145-(N21*Seasonality!$C$61*N68+N70+N49*N145)-N106</f>
        <v/>
      </c>
      <c r="O205" s="48">
        <f>O145-(O21*Seasonality!$C$61*O68+O70+O49*O145)-O106</f>
        <v/>
      </c>
      <c r="P205" s="48">
        <f>P145-(P21*Seasonality!$C$61*P68+P70+P49*P145)-P106</f>
        <v/>
      </c>
      <c r="Q205" s="48">
        <f>Q145-(Q21*Seasonality!$C$61*Q68+Q70+Q49*Q145)-Q106</f>
        <v/>
      </c>
      <c r="R205" s="48">
        <f>R145-(R21*Seasonality!$C$61*R68+R70+R49*R145)-R106</f>
        <v/>
      </c>
      <c r="S205" s="48">
        <f>S145-(S21*Seasonality!$C$61*S68+S70+S49*S145)-S106</f>
        <v/>
      </c>
      <c r="T205" s="48">
        <f>T145-(T21*Seasonality!$C$61*T68+T70+T49*T145)-T106</f>
        <v/>
      </c>
      <c r="U205" s="48">
        <f>U145-(U21*Seasonality!$C$61*U68+U70+U49*U145)-U106</f>
        <v/>
      </c>
      <c r="V205" s="48">
        <f>V145-(V21*Seasonality!$C$61*V68+V70+V49*V145)-V106</f>
        <v/>
      </c>
      <c r="W205" s="48">
        <f>W145-(W21*Seasonality!$C$61*W68+W70+W49*W145)-W106</f>
        <v/>
      </c>
      <c r="X205" s="48">
        <f>X145-(X21*Seasonality!$C$61*X68+X70+X49*X145)-X106</f>
        <v/>
      </c>
      <c r="Y205" s="48">
        <f>Y145-(Y21*Seasonality!$C$61*Y68+Y70+Y49*Y145)-Y106</f>
        <v/>
      </c>
      <c r="Z205" s="48">
        <f>Z145-(Z21*Seasonality!$C$61*Z68+Z70+Z49*Z145)-Z106</f>
        <v/>
      </c>
      <c r="AA205" s="48">
        <f>AA145-(AA21*Seasonality!$C$61*AA68+AA70+AA49*AA145)-AA106</f>
        <v/>
      </c>
      <c r="AB205" s="48">
        <f>AB145-(AB21*Seasonality!$C$61*AB68+AB70+AB49*AB145)-AB106</f>
        <v/>
      </c>
      <c r="AC205" s="48">
        <f>AC145-(AC21*Seasonality!$C$61*AC68+AC70+AC49*AC145)-AC106</f>
        <v/>
      </c>
      <c r="AD205" s="48">
        <f>AD145-(AD21*Seasonality!$C$61*AD68+AD70+AD49*AD145)-AD106</f>
        <v/>
      </c>
      <c r="AE205" s="48">
        <f>AE145-(AE21*Seasonality!$C$61*AE68+AE70+AE49*AE145)-AE106</f>
        <v/>
      </c>
      <c r="AF205" s="48">
        <f>AF145-(AF21*Seasonality!$C$61*AF68+AF70+AF49*AF145)-AF106</f>
        <v/>
      </c>
      <c r="AG205" s="48">
        <f>AG145-(AG21*Seasonality!$C$61*AG68+AG70+AG49*AG145)-AG106</f>
        <v/>
      </c>
      <c r="AH205" s="48">
        <f>AH145-(AH21*Seasonality!$C$61*AH68+AH70+AH49*AH145)-AH106</f>
        <v/>
      </c>
      <c r="AI205" s="48">
        <f>AI145-(AI21*Seasonality!$C$61*AI68+AI70+AI49*AI145)-AI106</f>
        <v/>
      </c>
      <c r="AJ205" s="48">
        <f>AJ145-(AJ21*Seasonality!$C$61*AJ68+AJ70+AJ49*AJ145)-AJ106</f>
        <v/>
      </c>
      <c r="AK205" s="48">
        <f>AK145-(AK21*Seasonality!$C$61*AK68+AK70+AK49*AK145)-AK106</f>
        <v/>
      </c>
      <c r="AL205" s="48">
        <f>AL145-(AL21*Seasonality!$C$61*AL68+AL70+AL49*AL145)-AL106</f>
        <v/>
      </c>
      <c r="AM205" s="48">
        <f>AM145-(AM21*Seasonality!$C$61*AM68+AM70+AM49*AM145)-AM106</f>
        <v/>
      </c>
      <c r="AN205" s="48">
        <f>AN145-(AN21*Seasonality!$C$61*AN68+AN70+AN49*AN145)-AN106</f>
        <v/>
      </c>
      <c r="AO205" s="48">
        <f>AO145-(AO21*Seasonality!$C$61*AO68+AO70+AO49*AO145)-AO106</f>
        <v/>
      </c>
      <c r="AP205" s="48">
        <f>AP145-(AP21*Seasonality!$C$61*AP68+AP70+AP49*AP145)-AP106</f>
        <v/>
      </c>
      <c r="AQ205" s="48">
        <f>AQ145-(AQ21*Seasonality!$C$61*AQ68+AQ70+AQ49*AQ145)-AQ106</f>
        <v/>
      </c>
      <c r="AR205" s="48">
        <f>AR145-(AR21*Seasonality!$C$61*AR68+AR70+AR49*AR145)-AR106</f>
        <v/>
      </c>
      <c r="AS205" s="48">
        <f>AS145-(AS21*Seasonality!$C$61*AS68+AS70+AS49*AS145)-AS106</f>
        <v/>
      </c>
      <c r="AT205" s="48">
        <f>AT145-(AT21*Seasonality!$C$61*AT68+AT70+AT49*AT145)-AT106</f>
        <v/>
      </c>
      <c r="AU205" s="48">
        <f>AU145-(AU21*Seasonality!$C$61*AU68+AU70+AU49*AU145)-AU106</f>
        <v/>
      </c>
      <c r="AV205" s="48">
        <f>AV145-(AV21*Seasonality!$C$61*AV68+AV70+AV49*AV145)-AV106</f>
        <v/>
      </c>
    </row>
    <row r="206">
      <c r="B206" s="7" t="inlineStr">
        <is>
          <t>Contribution · month 26</t>
        </is>
      </c>
      <c r="C206" s="5" t="inlineStr">
        <is>
          <t>₹</t>
        </is>
      </c>
      <c r="D206" s="48">
        <f>D146-(D21*Seasonality!$C$62*D68+D70+D49*D146)-D106</f>
        <v/>
      </c>
      <c r="E206" s="48">
        <f>E146-(E21*Seasonality!$C$62*E68+E70+E49*E146)-E106</f>
        <v/>
      </c>
      <c r="F206" s="48">
        <f>F146-(F21*Seasonality!$C$62*F68+F70+F49*F146)-F106</f>
        <v/>
      </c>
      <c r="G206" s="48">
        <f>G146-(G21*Seasonality!$C$62*G68+G70+G49*G146)-G106</f>
        <v/>
      </c>
      <c r="H206" s="48">
        <f>H146-(H21*Seasonality!$C$62*H68+H70+H49*H146)-H106</f>
        <v/>
      </c>
      <c r="I206" s="48">
        <f>I146-(I21*Seasonality!$C$62*I68+I70+I49*I146)-I106</f>
        <v/>
      </c>
      <c r="J206" s="48">
        <f>J146-(J21*Seasonality!$C$62*J68+J70+J49*J146)-J106</f>
        <v/>
      </c>
      <c r="K206" s="48">
        <f>K146-(K21*Seasonality!$C$62*K68+K70+K49*K146)-K106</f>
        <v/>
      </c>
      <c r="L206" s="48">
        <f>L146-(L21*Seasonality!$C$62*L68+L70+L49*L146)-L106</f>
        <v/>
      </c>
      <c r="M206" s="48">
        <f>M146-(M21*Seasonality!$C$62*M68+M70+M49*M146)-M106</f>
        <v/>
      </c>
      <c r="N206" s="48">
        <f>N146-(N21*Seasonality!$C$62*N68+N70+N49*N146)-N106</f>
        <v/>
      </c>
      <c r="O206" s="48">
        <f>O146-(O21*Seasonality!$C$62*O68+O70+O49*O146)-O106</f>
        <v/>
      </c>
      <c r="P206" s="48">
        <f>P146-(P21*Seasonality!$C$62*P68+P70+P49*P146)-P106</f>
        <v/>
      </c>
      <c r="Q206" s="48">
        <f>Q146-(Q21*Seasonality!$C$62*Q68+Q70+Q49*Q146)-Q106</f>
        <v/>
      </c>
      <c r="R206" s="48">
        <f>R146-(R21*Seasonality!$C$62*R68+R70+R49*R146)-R106</f>
        <v/>
      </c>
      <c r="S206" s="48">
        <f>S146-(S21*Seasonality!$C$62*S68+S70+S49*S146)-S106</f>
        <v/>
      </c>
      <c r="T206" s="48">
        <f>T146-(T21*Seasonality!$C$62*T68+T70+T49*T146)-T106</f>
        <v/>
      </c>
      <c r="U206" s="48">
        <f>U146-(U21*Seasonality!$C$62*U68+U70+U49*U146)-U106</f>
        <v/>
      </c>
      <c r="V206" s="48">
        <f>V146-(V21*Seasonality!$C$62*V68+V70+V49*V146)-V106</f>
        <v/>
      </c>
      <c r="W206" s="48">
        <f>W146-(W21*Seasonality!$C$62*W68+W70+W49*W146)-W106</f>
        <v/>
      </c>
      <c r="X206" s="48">
        <f>X146-(X21*Seasonality!$C$62*X68+X70+X49*X146)-X106</f>
        <v/>
      </c>
      <c r="Y206" s="48">
        <f>Y146-(Y21*Seasonality!$C$62*Y68+Y70+Y49*Y146)-Y106</f>
        <v/>
      </c>
      <c r="Z206" s="48">
        <f>Z146-(Z21*Seasonality!$C$62*Z68+Z70+Z49*Z146)-Z106</f>
        <v/>
      </c>
      <c r="AA206" s="48">
        <f>AA146-(AA21*Seasonality!$C$62*AA68+AA70+AA49*AA146)-AA106</f>
        <v/>
      </c>
      <c r="AB206" s="48">
        <f>AB146-(AB21*Seasonality!$C$62*AB68+AB70+AB49*AB146)-AB106</f>
        <v/>
      </c>
      <c r="AC206" s="48">
        <f>AC146-(AC21*Seasonality!$C$62*AC68+AC70+AC49*AC146)-AC106</f>
        <v/>
      </c>
      <c r="AD206" s="48">
        <f>AD146-(AD21*Seasonality!$C$62*AD68+AD70+AD49*AD146)-AD106</f>
        <v/>
      </c>
      <c r="AE206" s="48">
        <f>AE146-(AE21*Seasonality!$C$62*AE68+AE70+AE49*AE146)-AE106</f>
        <v/>
      </c>
      <c r="AF206" s="48">
        <f>AF146-(AF21*Seasonality!$C$62*AF68+AF70+AF49*AF146)-AF106</f>
        <v/>
      </c>
      <c r="AG206" s="48">
        <f>AG146-(AG21*Seasonality!$C$62*AG68+AG70+AG49*AG146)-AG106</f>
        <v/>
      </c>
      <c r="AH206" s="48">
        <f>AH146-(AH21*Seasonality!$C$62*AH68+AH70+AH49*AH146)-AH106</f>
        <v/>
      </c>
      <c r="AI206" s="48">
        <f>AI146-(AI21*Seasonality!$C$62*AI68+AI70+AI49*AI146)-AI106</f>
        <v/>
      </c>
      <c r="AJ206" s="48">
        <f>AJ146-(AJ21*Seasonality!$C$62*AJ68+AJ70+AJ49*AJ146)-AJ106</f>
        <v/>
      </c>
      <c r="AK206" s="48">
        <f>AK146-(AK21*Seasonality!$C$62*AK68+AK70+AK49*AK146)-AK106</f>
        <v/>
      </c>
      <c r="AL206" s="48">
        <f>AL146-(AL21*Seasonality!$C$62*AL68+AL70+AL49*AL146)-AL106</f>
        <v/>
      </c>
      <c r="AM206" s="48">
        <f>AM146-(AM21*Seasonality!$C$62*AM68+AM70+AM49*AM146)-AM106</f>
        <v/>
      </c>
      <c r="AN206" s="48">
        <f>AN146-(AN21*Seasonality!$C$62*AN68+AN70+AN49*AN146)-AN106</f>
        <v/>
      </c>
      <c r="AO206" s="48">
        <f>AO146-(AO21*Seasonality!$C$62*AO68+AO70+AO49*AO146)-AO106</f>
        <v/>
      </c>
      <c r="AP206" s="48">
        <f>AP146-(AP21*Seasonality!$C$62*AP68+AP70+AP49*AP146)-AP106</f>
        <v/>
      </c>
      <c r="AQ206" s="48">
        <f>AQ146-(AQ21*Seasonality!$C$62*AQ68+AQ70+AQ49*AQ146)-AQ106</f>
        <v/>
      </c>
      <c r="AR206" s="48">
        <f>AR146-(AR21*Seasonality!$C$62*AR68+AR70+AR49*AR146)-AR106</f>
        <v/>
      </c>
      <c r="AS206" s="48">
        <f>AS146-(AS21*Seasonality!$C$62*AS68+AS70+AS49*AS146)-AS106</f>
        <v/>
      </c>
      <c r="AT206" s="48">
        <f>AT146-(AT21*Seasonality!$C$62*AT68+AT70+AT49*AT146)-AT106</f>
        <v/>
      </c>
      <c r="AU206" s="48">
        <f>AU146-(AU21*Seasonality!$C$62*AU68+AU70+AU49*AU146)-AU106</f>
        <v/>
      </c>
      <c r="AV206" s="48">
        <f>AV146-(AV21*Seasonality!$C$62*AV68+AV70+AV49*AV146)-AV106</f>
        <v/>
      </c>
    </row>
    <row r="207">
      <c r="B207" s="7" t="inlineStr">
        <is>
          <t>Contribution · month 27</t>
        </is>
      </c>
      <c r="C207" s="5" t="inlineStr">
        <is>
          <t>₹</t>
        </is>
      </c>
      <c r="D207" s="48">
        <f>D147-(D21*Seasonality!$C$63*D68+D70+D49*D147)-D106</f>
        <v/>
      </c>
      <c r="E207" s="48">
        <f>E147-(E21*Seasonality!$C$63*E68+E70+E49*E147)-E106</f>
        <v/>
      </c>
      <c r="F207" s="48">
        <f>F147-(F21*Seasonality!$C$63*F68+F70+F49*F147)-F106</f>
        <v/>
      </c>
      <c r="G207" s="48">
        <f>G147-(G21*Seasonality!$C$63*G68+G70+G49*G147)-G106</f>
        <v/>
      </c>
      <c r="H207" s="48">
        <f>H147-(H21*Seasonality!$C$63*H68+H70+H49*H147)-H106</f>
        <v/>
      </c>
      <c r="I207" s="48">
        <f>I147-(I21*Seasonality!$C$63*I68+I70+I49*I147)-I106</f>
        <v/>
      </c>
      <c r="J207" s="48">
        <f>J147-(J21*Seasonality!$C$63*J68+J70+J49*J147)-J106</f>
        <v/>
      </c>
      <c r="K207" s="48">
        <f>K147-(K21*Seasonality!$C$63*K68+K70+K49*K147)-K106</f>
        <v/>
      </c>
      <c r="L207" s="48">
        <f>L147-(L21*Seasonality!$C$63*L68+L70+L49*L147)-L106</f>
        <v/>
      </c>
      <c r="M207" s="48">
        <f>M147-(M21*Seasonality!$C$63*M68+M70+M49*M147)-M106</f>
        <v/>
      </c>
      <c r="N207" s="48">
        <f>N147-(N21*Seasonality!$C$63*N68+N70+N49*N147)-N106</f>
        <v/>
      </c>
      <c r="O207" s="48">
        <f>O147-(O21*Seasonality!$C$63*O68+O70+O49*O147)-O106</f>
        <v/>
      </c>
      <c r="P207" s="48">
        <f>P147-(P21*Seasonality!$C$63*P68+P70+P49*P147)-P106</f>
        <v/>
      </c>
      <c r="Q207" s="48">
        <f>Q147-(Q21*Seasonality!$C$63*Q68+Q70+Q49*Q147)-Q106</f>
        <v/>
      </c>
      <c r="R207" s="48">
        <f>R147-(R21*Seasonality!$C$63*R68+R70+R49*R147)-R106</f>
        <v/>
      </c>
      <c r="S207" s="48">
        <f>S147-(S21*Seasonality!$C$63*S68+S70+S49*S147)-S106</f>
        <v/>
      </c>
      <c r="T207" s="48">
        <f>T147-(T21*Seasonality!$C$63*T68+T70+T49*T147)-T106</f>
        <v/>
      </c>
      <c r="U207" s="48">
        <f>U147-(U21*Seasonality!$C$63*U68+U70+U49*U147)-U106</f>
        <v/>
      </c>
      <c r="V207" s="48">
        <f>V147-(V21*Seasonality!$C$63*V68+V70+V49*V147)-V106</f>
        <v/>
      </c>
      <c r="W207" s="48">
        <f>W147-(W21*Seasonality!$C$63*W68+W70+W49*W147)-W106</f>
        <v/>
      </c>
      <c r="X207" s="48">
        <f>X147-(X21*Seasonality!$C$63*X68+X70+X49*X147)-X106</f>
        <v/>
      </c>
      <c r="Y207" s="48">
        <f>Y147-(Y21*Seasonality!$C$63*Y68+Y70+Y49*Y147)-Y106</f>
        <v/>
      </c>
      <c r="Z207" s="48">
        <f>Z147-(Z21*Seasonality!$C$63*Z68+Z70+Z49*Z147)-Z106</f>
        <v/>
      </c>
      <c r="AA207" s="48">
        <f>AA147-(AA21*Seasonality!$C$63*AA68+AA70+AA49*AA147)-AA106</f>
        <v/>
      </c>
      <c r="AB207" s="48">
        <f>AB147-(AB21*Seasonality!$C$63*AB68+AB70+AB49*AB147)-AB106</f>
        <v/>
      </c>
      <c r="AC207" s="48">
        <f>AC147-(AC21*Seasonality!$C$63*AC68+AC70+AC49*AC147)-AC106</f>
        <v/>
      </c>
      <c r="AD207" s="48">
        <f>AD147-(AD21*Seasonality!$C$63*AD68+AD70+AD49*AD147)-AD106</f>
        <v/>
      </c>
      <c r="AE207" s="48">
        <f>AE147-(AE21*Seasonality!$C$63*AE68+AE70+AE49*AE147)-AE106</f>
        <v/>
      </c>
      <c r="AF207" s="48">
        <f>AF147-(AF21*Seasonality!$C$63*AF68+AF70+AF49*AF147)-AF106</f>
        <v/>
      </c>
      <c r="AG207" s="48">
        <f>AG147-(AG21*Seasonality!$C$63*AG68+AG70+AG49*AG147)-AG106</f>
        <v/>
      </c>
      <c r="AH207" s="48">
        <f>AH147-(AH21*Seasonality!$C$63*AH68+AH70+AH49*AH147)-AH106</f>
        <v/>
      </c>
      <c r="AI207" s="48">
        <f>AI147-(AI21*Seasonality!$C$63*AI68+AI70+AI49*AI147)-AI106</f>
        <v/>
      </c>
      <c r="AJ207" s="48">
        <f>AJ147-(AJ21*Seasonality!$C$63*AJ68+AJ70+AJ49*AJ147)-AJ106</f>
        <v/>
      </c>
      <c r="AK207" s="48">
        <f>AK147-(AK21*Seasonality!$C$63*AK68+AK70+AK49*AK147)-AK106</f>
        <v/>
      </c>
      <c r="AL207" s="48">
        <f>AL147-(AL21*Seasonality!$C$63*AL68+AL70+AL49*AL147)-AL106</f>
        <v/>
      </c>
      <c r="AM207" s="48">
        <f>AM147-(AM21*Seasonality!$C$63*AM68+AM70+AM49*AM147)-AM106</f>
        <v/>
      </c>
      <c r="AN207" s="48">
        <f>AN147-(AN21*Seasonality!$C$63*AN68+AN70+AN49*AN147)-AN106</f>
        <v/>
      </c>
      <c r="AO207" s="48">
        <f>AO147-(AO21*Seasonality!$C$63*AO68+AO70+AO49*AO147)-AO106</f>
        <v/>
      </c>
      <c r="AP207" s="48">
        <f>AP147-(AP21*Seasonality!$C$63*AP68+AP70+AP49*AP147)-AP106</f>
        <v/>
      </c>
      <c r="AQ207" s="48">
        <f>AQ147-(AQ21*Seasonality!$C$63*AQ68+AQ70+AQ49*AQ147)-AQ106</f>
        <v/>
      </c>
      <c r="AR207" s="48">
        <f>AR147-(AR21*Seasonality!$C$63*AR68+AR70+AR49*AR147)-AR106</f>
        <v/>
      </c>
      <c r="AS207" s="48">
        <f>AS147-(AS21*Seasonality!$C$63*AS68+AS70+AS49*AS147)-AS106</f>
        <v/>
      </c>
      <c r="AT207" s="48">
        <f>AT147-(AT21*Seasonality!$C$63*AT68+AT70+AT49*AT147)-AT106</f>
        <v/>
      </c>
      <c r="AU207" s="48">
        <f>AU147-(AU21*Seasonality!$C$63*AU68+AU70+AU49*AU147)-AU106</f>
        <v/>
      </c>
      <c r="AV207" s="48">
        <f>AV147-(AV21*Seasonality!$C$63*AV68+AV70+AV49*AV147)-AV106</f>
        <v/>
      </c>
    </row>
    <row r="208">
      <c r="B208" s="7" t="inlineStr">
        <is>
          <t>Contribution · month 28</t>
        </is>
      </c>
      <c r="C208" s="5" t="inlineStr">
        <is>
          <t>₹</t>
        </is>
      </c>
      <c r="D208" s="48">
        <f>D148-(D21*Seasonality!$C$64*D68+D70+D49*D148)-D106</f>
        <v/>
      </c>
      <c r="E208" s="48">
        <f>E148-(E21*Seasonality!$C$64*E68+E70+E49*E148)-E106</f>
        <v/>
      </c>
      <c r="F208" s="48">
        <f>F148-(F21*Seasonality!$C$64*F68+F70+F49*F148)-F106</f>
        <v/>
      </c>
      <c r="G208" s="48">
        <f>G148-(G21*Seasonality!$C$64*G68+G70+G49*G148)-G106</f>
        <v/>
      </c>
      <c r="H208" s="48">
        <f>H148-(H21*Seasonality!$C$64*H68+H70+H49*H148)-H106</f>
        <v/>
      </c>
      <c r="I208" s="48">
        <f>I148-(I21*Seasonality!$C$64*I68+I70+I49*I148)-I106</f>
        <v/>
      </c>
      <c r="J208" s="48">
        <f>J148-(J21*Seasonality!$C$64*J68+J70+J49*J148)-J106</f>
        <v/>
      </c>
      <c r="K208" s="48">
        <f>K148-(K21*Seasonality!$C$64*K68+K70+K49*K148)-K106</f>
        <v/>
      </c>
      <c r="L208" s="48">
        <f>L148-(L21*Seasonality!$C$64*L68+L70+L49*L148)-L106</f>
        <v/>
      </c>
      <c r="M208" s="48">
        <f>M148-(M21*Seasonality!$C$64*M68+M70+M49*M148)-M106</f>
        <v/>
      </c>
      <c r="N208" s="48">
        <f>N148-(N21*Seasonality!$C$64*N68+N70+N49*N148)-N106</f>
        <v/>
      </c>
      <c r="O208" s="48">
        <f>O148-(O21*Seasonality!$C$64*O68+O70+O49*O148)-O106</f>
        <v/>
      </c>
      <c r="P208" s="48">
        <f>P148-(P21*Seasonality!$C$64*P68+P70+P49*P148)-P106</f>
        <v/>
      </c>
      <c r="Q208" s="48">
        <f>Q148-(Q21*Seasonality!$C$64*Q68+Q70+Q49*Q148)-Q106</f>
        <v/>
      </c>
      <c r="R208" s="48">
        <f>R148-(R21*Seasonality!$C$64*R68+R70+R49*R148)-R106</f>
        <v/>
      </c>
      <c r="S208" s="48">
        <f>S148-(S21*Seasonality!$C$64*S68+S70+S49*S148)-S106</f>
        <v/>
      </c>
      <c r="T208" s="48">
        <f>T148-(T21*Seasonality!$C$64*T68+T70+T49*T148)-T106</f>
        <v/>
      </c>
      <c r="U208" s="48">
        <f>U148-(U21*Seasonality!$C$64*U68+U70+U49*U148)-U106</f>
        <v/>
      </c>
      <c r="V208" s="48">
        <f>V148-(V21*Seasonality!$C$64*V68+V70+V49*V148)-V106</f>
        <v/>
      </c>
      <c r="W208" s="48">
        <f>W148-(W21*Seasonality!$C$64*W68+W70+W49*W148)-W106</f>
        <v/>
      </c>
      <c r="X208" s="48">
        <f>X148-(X21*Seasonality!$C$64*X68+X70+X49*X148)-X106</f>
        <v/>
      </c>
      <c r="Y208" s="48">
        <f>Y148-(Y21*Seasonality!$C$64*Y68+Y70+Y49*Y148)-Y106</f>
        <v/>
      </c>
      <c r="Z208" s="48">
        <f>Z148-(Z21*Seasonality!$C$64*Z68+Z70+Z49*Z148)-Z106</f>
        <v/>
      </c>
      <c r="AA208" s="48">
        <f>AA148-(AA21*Seasonality!$C$64*AA68+AA70+AA49*AA148)-AA106</f>
        <v/>
      </c>
      <c r="AB208" s="48">
        <f>AB148-(AB21*Seasonality!$C$64*AB68+AB70+AB49*AB148)-AB106</f>
        <v/>
      </c>
      <c r="AC208" s="48">
        <f>AC148-(AC21*Seasonality!$C$64*AC68+AC70+AC49*AC148)-AC106</f>
        <v/>
      </c>
      <c r="AD208" s="48">
        <f>AD148-(AD21*Seasonality!$C$64*AD68+AD70+AD49*AD148)-AD106</f>
        <v/>
      </c>
      <c r="AE208" s="48">
        <f>AE148-(AE21*Seasonality!$C$64*AE68+AE70+AE49*AE148)-AE106</f>
        <v/>
      </c>
      <c r="AF208" s="48">
        <f>AF148-(AF21*Seasonality!$C$64*AF68+AF70+AF49*AF148)-AF106</f>
        <v/>
      </c>
      <c r="AG208" s="48">
        <f>AG148-(AG21*Seasonality!$C$64*AG68+AG70+AG49*AG148)-AG106</f>
        <v/>
      </c>
      <c r="AH208" s="48">
        <f>AH148-(AH21*Seasonality!$C$64*AH68+AH70+AH49*AH148)-AH106</f>
        <v/>
      </c>
      <c r="AI208" s="48">
        <f>AI148-(AI21*Seasonality!$C$64*AI68+AI70+AI49*AI148)-AI106</f>
        <v/>
      </c>
      <c r="AJ208" s="48">
        <f>AJ148-(AJ21*Seasonality!$C$64*AJ68+AJ70+AJ49*AJ148)-AJ106</f>
        <v/>
      </c>
      <c r="AK208" s="48">
        <f>AK148-(AK21*Seasonality!$C$64*AK68+AK70+AK49*AK148)-AK106</f>
        <v/>
      </c>
      <c r="AL208" s="48">
        <f>AL148-(AL21*Seasonality!$C$64*AL68+AL70+AL49*AL148)-AL106</f>
        <v/>
      </c>
      <c r="AM208" s="48">
        <f>AM148-(AM21*Seasonality!$C$64*AM68+AM70+AM49*AM148)-AM106</f>
        <v/>
      </c>
      <c r="AN208" s="48">
        <f>AN148-(AN21*Seasonality!$C$64*AN68+AN70+AN49*AN148)-AN106</f>
        <v/>
      </c>
      <c r="AO208" s="48">
        <f>AO148-(AO21*Seasonality!$C$64*AO68+AO70+AO49*AO148)-AO106</f>
        <v/>
      </c>
      <c r="AP208" s="48">
        <f>AP148-(AP21*Seasonality!$C$64*AP68+AP70+AP49*AP148)-AP106</f>
        <v/>
      </c>
      <c r="AQ208" s="48">
        <f>AQ148-(AQ21*Seasonality!$C$64*AQ68+AQ70+AQ49*AQ148)-AQ106</f>
        <v/>
      </c>
      <c r="AR208" s="48">
        <f>AR148-(AR21*Seasonality!$C$64*AR68+AR70+AR49*AR148)-AR106</f>
        <v/>
      </c>
      <c r="AS208" s="48">
        <f>AS148-(AS21*Seasonality!$C$64*AS68+AS70+AS49*AS148)-AS106</f>
        <v/>
      </c>
      <c r="AT208" s="48">
        <f>AT148-(AT21*Seasonality!$C$64*AT68+AT70+AT49*AT148)-AT106</f>
        <v/>
      </c>
      <c r="AU208" s="48">
        <f>AU148-(AU21*Seasonality!$C$64*AU68+AU70+AU49*AU148)-AU106</f>
        <v/>
      </c>
      <c r="AV208" s="48">
        <f>AV148-(AV21*Seasonality!$C$64*AV68+AV70+AV49*AV148)-AV106</f>
        <v/>
      </c>
    </row>
    <row r="209">
      <c r="B209" s="7" t="inlineStr">
        <is>
          <t>Contribution · month 29</t>
        </is>
      </c>
      <c r="C209" s="5" t="inlineStr">
        <is>
          <t>₹</t>
        </is>
      </c>
      <c r="D209" s="48">
        <f>D149-(D21*Seasonality!$C$65*D68+D70+D49*D149)-D106</f>
        <v/>
      </c>
      <c r="E209" s="48">
        <f>E149-(E21*Seasonality!$C$65*E68+E70+E49*E149)-E106</f>
        <v/>
      </c>
      <c r="F209" s="48">
        <f>F149-(F21*Seasonality!$C$65*F68+F70+F49*F149)-F106</f>
        <v/>
      </c>
      <c r="G209" s="48">
        <f>G149-(G21*Seasonality!$C$65*G68+G70+G49*G149)-G106</f>
        <v/>
      </c>
      <c r="H209" s="48">
        <f>H149-(H21*Seasonality!$C$65*H68+H70+H49*H149)-H106</f>
        <v/>
      </c>
      <c r="I209" s="48">
        <f>I149-(I21*Seasonality!$C$65*I68+I70+I49*I149)-I106</f>
        <v/>
      </c>
      <c r="J209" s="48">
        <f>J149-(J21*Seasonality!$C$65*J68+J70+J49*J149)-J106</f>
        <v/>
      </c>
      <c r="K209" s="48">
        <f>K149-(K21*Seasonality!$C$65*K68+K70+K49*K149)-K106</f>
        <v/>
      </c>
      <c r="L209" s="48">
        <f>L149-(L21*Seasonality!$C$65*L68+L70+L49*L149)-L106</f>
        <v/>
      </c>
      <c r="M209" s="48">
        <f>M149-(M21*Seasonality!$C$65*M68+M70+M49*M149)-M106</f>
        <v/>
      </c>
      <c r="N209" s="48">
        <f>N149-(N21*Seasonality!$C$65*N68+N70+N49*N149)-N106</f>
        <v/>
      </c>
      <c r="O209" s="48">
        <f>O149-(O21*Seasonality!$C$65*O68+O70+O49*O149)-O106</f>
        <v/>
      </c>
      <c r="P209" s="48">
        <f>P149-(P21*Seasonality!$C$65*P68+P70+P49*P149)-P106</f>
        <v/>
      </c>
      <c r="Q209" s="48">
        <f>Q149-(Q21*Seasonality!$C$65*Q68+Q70+Q49*Q149)-Q106</f>
        <v/>
      </c>
      <c r="R209" s="48">
        <f>R149-(R21*Seasonality!$C$65*R68+R70+R49*R149)-R106</f>
        <v/>
      </c>
      <c r="S209" s="48">
        <f>S149-(S21*Seasonality!$C$65*S68+S70+S49*S149)-S106</f>
        <v/>
      </c>
      <c r="T209" s="48">
        <f>T149-(T21*Seasonality!$C$65*T68+T70+T49*T149)-T106</f>
        <v/>
      </c>
      <c r="U209" s="48">
        <f>U149-(U21*Seasonality!$C$65*U68+U70+U49*U149)-U106</f>
        <v/>
      </c>
      <c r="V209" s="48">
        <f>V149-(V21*Seasonality!$C$65*V68+V70+V49*V149)-V106</f>
        <v/>
      </c>
      <c r="W209" s="48">
        <f>W149-(W21*Seasonality!$C$65*W68+W70+W49*W149)-W106</f>
        <v/>
      </c>
      <c r="X209" s="48">
        <f>X149-(X21*Seasonality!$C$65*X68+X70+X49*X149)-X106</f>
        <v/>
      </c>
      <c r="Y209" s="48">
        <f>Y149-(Y21*Seasonality!$C$65*Y68+Y70+Y49*Y149)-Y106</f>
        <v/>
      </c>
      <c r="Z209" s="48">
        <f>Z149-(Z21*Seasonality!$C$65*Z68+Z70+Z49*Z149)-Z106</f>
        <v/>
      </c>
      <c r="AA209" s="48">
        <f>AA149-(AA21*Seasonality!$C$65*AA68+AA70+AA49*AA149)-AA106</f>
        <v/>
      </c>
      <c r="AB209" s="48">
        <f>AB149-(AB21*Seasonality!$C$65*AB68+AB70+AB49*AB149)-AB106</f>
        <v/>
      </c>
      <c r="AC209" s="48">
        <f>AC149-(AC21*Seasonality!$C$65*AC68+AC70+AC49*AC149)-AC106</f>
        <v/>
      </c>
      <c r="AD209" s="48">
        <f>AD149-(AD21*Seasonality!$C$65*AD68+AD70+AD49*AD149)-AD106</f>
        <v/>
      </c>
      <c r="AE209" s="48">
        <f>AE149-(AE21*Seasonality!$C$65*AE68+AE70+AE49*AE149)-AE106</f>
        <v/>
      </c>
      <c r="AF209" s="48">
        <f>AF149-(AF21*Seasonality!$C$65*AF68+AF70+AF49*AF149)-AF106</f>
        <v/>
      </c>
      <c r="AG209" s="48">
        <f>AG149-(AG21*Seasonality!$C$65*AG68+AG70+AG49*AG149)-AG106</f>
        <v/>
      </c>
      <c r="AH209" s="48">
        <f>AH149-(AH21*Seasonality!$C$65*AH68+AH70+AH49*AH149)-AH106</f>
        <v/>
      </c>
      <c r="AI209" s="48">
        <f>AI149-(AI21*Seasonality!$C$65*AI68+AI70+AI49*AI149)-AI106</f>
        <v/>
      </c>
      <c r="AJ209" s="48">
        <f>AJ149-(AJ21*Seasonality!$C$65*AJ68+AJ70+AJ49*AJ149)-AJ106</f>
        <v/>
      </c>
      <c r="AK209" s="48">
        <f>AK149-(AK21*Seasonality!$C$65*AK68+AK70+AK49*AK149)-AK106</f>
        <v/>
      </c>
      <c r="AL209" s="48">
        <f>AL149-(AL21*Seasonality!$C$65*AL68+AL70+AL49*AL149)-AL106</f>
        <v/>
      </c>
      <c r="AM209" s="48">
        <f>AM149-(AM21*Seasonality!$C$65*AM68+AM70+AM49*AM149)-AM106</f>
        <v/>
      </c>
      <c r="AN209" s="48">
        <f>AN149-(AN21*Seasonality!$C$65*AN68+AN70+AN49*AN149)-AN106</f>
        <v/>
      </c>
      <c r="AO209" s="48">
        <f>AO149-(AO21*Seasonality!$C$65*AO68+AO70+AO49*AO149)-AO106</f>
        <v/>
      </c>
      <c r="AP209" s="48">
        <f>AP149-(AP21*Seasonality!$C$65*AP68+AP70+AP49*AP149)-AP106</f>
        <v/>
      </c>
      <c r="AQ209" s="48">
        <f>AQ149-(AQ21*Seasonality!$C$65*AQ68+AQ70+AQ49*AQ149)-AQ106</f>
        <v/>
      </c>
      <c r="AR209" s="48">
        <f>AR149-(AR21*Seasonality!$C$65*AR68+AR70+AR49*AR149)-AR106</f>
        <v/>
      </c>
      <c r="AS209" s="48">
        <f>AS149-(AS21*Seasonality!$C$65*AS68+AS70+AS49*AS149)-AS106</f>
        <v/>
      </c>
      <c r="AT209" s="48">
        <f>AT149-(AT21*Seasonality!$C$65*AT68+AT70+AT49*AT149)-AT106</f>
        <v/>
      </c>
      <c r="AU209" s="48">
        <f>AU149-(AU21*Seasonality!$C$65*AU68+AU70+AU49*AU149)-AU106</f>
        <v/>
      </c>
      <c r="AV209" s="48">
        <f>AV149-(AV21*Seasonality!$C$65*AV68+AV70+AV49*AV149)-AV106</f>
        <v/>
      </c>
    </row>
    <row r="210">
      <c r="B210" s="7" t="inlineStr">
        <is>
          <t>Contribution · month 30</t>
        </is>
      </c>
      <c r="C210" s="5" t="inlineStr">
        <is>
          <t>₹</t>
        </is>
      </c>
      <c r="D210" s="48">
        <f>D150-(D21*Seasonality!$C$66*D68+D70+D49*D150)-D106</f>
        <v/>
      </c>
      <c r="E210" s="48">
        <f>E150-(E21*Seasonality!$C$66*E68+E70+E49*E150)-E106</f>
        <v/>
      </c>
      <c r="F210" s="48">
        <f>F150-(F21*Seasonality!$C$66*F68+F70+F49*F150)-F106</f>
        <v/>
      </c>
      <c r="G210" s="48">
        <f>G150-(G21*Seasonality!$C$66*G68+G70+G49*G150)-G106</f>
        <v/>
      </c>
      <c r="H210" s="48">
        <f>H150-(H21*Seasonality!$C$66*H68+H70+H49*H150)-H106</f>
        <v/>
      </c>
      <c r="I210" s="48">
        <f>I150-(I21*Seasonality!$C$66*I68+I70+I49*I150)-I106</f>
        <v/>
      </c>
      <c r="J210" s="48">
        <f>J150-(J21*Seasonality!$C$66*J68+J70+J49*J150)-J106</f>
        <v/>
      </c>
      <c r="K210" s="48">
        <f>K150-(K21*Seasonality!$C$66*K68+K70+K49*K150)-K106</f>
        <v/>
      </c>
      <c r="L210" s="48">
        <f>L150-(L21*Seasonality!$C$66*L68+L70+L49*L150)-L106</f>
        <v/>
      </c>
      <c r="M210" s="48">
        <f>M150-(M21*Seasonality!$C$66*M68+M70+M49*M150)-M106</f>
        <v/>
      </c>
      <c r="N210" s="48">
        <f>N150-(N21*Seasonality!$C$66*N68+N70+N49*N150)-N106</f>
        <v/>
      </c>
      <c r="O210" s="48">
        <f>O150-(O21*Seasonality!$C$66*O68+O70+O49*O150)-O106</f>
        <v/>
      </c>
      <c r="P210" s="48">
        <f>P150-(P21*Seasonality!$C$66*P68+P70+P49*P150)-P106</f>
        <v/>
      </c>
      <c r="Q210" s="48">
        <f>Q150-(Q21*Seasonality!$C$66*Q68+Q70+Q49*Q150)-Q106</f>
        <v/>
      </c>
      <c r="R210" s="48">
        <f>R150-(R21*Seasonality!$C$66*R68+R70+R49*R150)-R106</f>
        <v/>
      </c>
      <c r="S210" s="48">
        <f>S150-(S21*Seasonality!$C$66*S68+S70+S49*S150)-S106</f>
        <v/>
      </c>
      <c r="T210" s="48">
        <f>T150-(T21*Seasonality!$C$66*T68+T70+T49*T150)-T106</f>
        <v/>
      </c>
      <c r="U210" s="48">
        <f>U150-(U21*Seasonality!$C$66*U68+U70+U49*U150)-U106</f>
        <v/>
      </c>
      <c r="V210" s="48">
        <f>V150-(V21*Seasonality!$C$66*V68+V70+V49*V150)-V106</f>
        <v/>
      </c>
      <c r="W210" s="48">
        <f>W150-(W21*Seasonality!$C$66*W68+W70+W49*W150)-W106</f>
        <v/>
      </c>
      <c r="X210" s="48">
        <f>X150-(X21*Seasonality!$C$66*X68+X70+X49*X150)-X106</f>
        <v/>
      </c>
      <c r="Y210" s="48">
        <f>Y150-(Y21*Seasonality!$C$66*Y68+Y70+Y49*Y150)-Y106</f>
        <v/>
      </c>
      <c r="Z210" s="48">
        <f>Z150-(Z21*Seasonality!$C$66*Z68+Z70+Z49*Z150)-Z106</f>
        <v/>
      </c>
      <c r="AA210" s="48">
        <f>AA150-(AA21*Seasonality!$C$66*AA68+AA70+AA49*AA150)-AA106</f>
        <v/>
      </c>
      <c r="AB210" s="48">
        <f>AB150-(AB21*Seasonality!$C$66*AB68+AB70+AB49*AB150)-AB106</f>
        <v/>
      </c>
      <c r="AC210" s="48">
        <f>AC150-(AC21*Seasonality!$C$66*AC68+AC70+AC49*AC150)-AC106</f>
        <v/>
      </c>
      <c r="AD210" s="48">
        <f>AD150-(AD21*Seasonality!$C$66*AD68+AD70+AD49*AD150)-AD106</f>
        <v/>
      </c>
      <c r="AE210" s="48">
        <f>AE150-(AE21*Seasonality!$C$66*AE68+AE70+AE49*AE150)-AE106</f>
        <v/>
      </c>
      <c r="AF210" s="48">
        <f>AF150-(AF21*Seasonality!$C$66*AF68+AF70+AF49*AF150)-AF106</f>
        <v/>
      </c>
      <c r="AG210" s="48">
        <f>AG150-(AG21*Seasonality!$C$66*AG68+AG70+AG49*AG150)-AG106</f>
        <v/>
      </c>
      <c r="AH210" s="48">
        <f>AH150-(AH21*Seasonality!$C$66*AH68+AH70+AH49*AH150)-AH106</f>
        <v/>
      </c>
      <c r="AI210" s="48">
        <f>AI150-(AI21*Seasonality!$C$66*AI68+AI70+AI49*AI150)-AI106</f>
        <v/>
      </c>
      <c r="AJ210" s="48">
        <f>AJ150-(AJ21*Seasonality!$C$66*AJ68+AJ70+AJ49*AJ150)-AJ106</f>
        <v/>
      </c>
      <c r="AK210" s="48">
        <f>AK150-(AK21*Seasonality!$C$66*AK68+AK70+AK49*AK150)-AK106</f>
        <v/>
      </c>
      <c r="AL210" s="48">
        <f>AL150-(AL21*Seasonality!$C$66*AL68+AL70+AL49*AL150)-AL106</f>
        <v/>
      </c>
      <c r="AM210" s="48">
        <f>AM150-(AM21*Seasonality!$C$66*AM68+AM70+AM49*AM150)-AM106</f>
        <v/>
      </c>
      <c r="AN210" s="48">
        <f>AN150-(AN21*Seasonality!$C$66*AN68+AN70+AN49*AN150)-AN106</f>
        <v/>
      </c>
      <c r="AO210" s="48">
        <f>AO150-(AO21*Seasonality!$C$66*AO68+AO70+AO49*AO150)-AO106</f>
        <v/>
      </c>
      <c r="AP210" s="48">
        <f>AP150-(AP21*Seasonality!$C$66*AP68+AP70+AP49*AP150)-AP106</f>
        <v/>
      </c>
      <c r="AQ210" s="48">
        <f>AQ150-(AQ21*Seasonality!$C$66*AQ68+AQ70+AQ49*AQ150)-AQ106</f>
        <v/>
      </c>
      <c r="AR210" s="48">
        <f>AR150-(AR21*Seasonality!$C$66*AR68+AR70+AR49*AR150)-AR106</f>
        <v/>
      </c>
      <c r="AS210" s="48">
        <f>AS150-(AS21*Seasonality!$C$66*AS68+AS70+AS49*AS150)-AS106</f>
        <v/>
      </c>
      <c r="AT210" s="48">
        <f>AT150-(AT21*Seasonality!$C$66*AT68+AT70+AT49*AT150)-AT106</f>
        <v/>
      </c>
      <c r="AU210" s="48">
        <f>AU150-(AU21*Seasonality!$C$66*AU68+AU70+AU49*AU150)-AU106</f>
        <v/>
      </c>
      <c r="AV210" s="48">
        <f>AV150-(AV21*Seasonality!$C$66*AV68+AV70+AV49*AV150)-AV106</f>
        <v/>
      </c>
    </row>
    <row r="211">
      <c r="B211" s="7" t="inlineStr">
        <is>
          <t>Contribution · month 31</t>
        </is>
      </c>
      <c r="C211" s="5" t="inlineStr">
        <is>
          <t>₹</t>
        </is>
      </c>
      <c r="D211" s="48">
        <f>D151-(D21*Seasonality!$C$67*D68+D70+D49*D151)-D106</f>
        <v/>
      </c>
      <c r="E211" s="48">
        <f>E151-(E21*Seasonality!$C$67*E68+E70+E49*E151)-E106</f>
        <v/>
      </c>
      <c r="F211" s="48">
        <f>F151-(F21*Seasonality!$C$67*F68+F70+F49*F151)-F106</f>
        <v/>
      </c>
      <c r="G211" s="48">
        <f>G151-(G21*Seasonality!$C$67*G68+G70+G49*G151)-G106</f>
        <v/>
      </c>
      <c r="H211" s="48">
        <f>H151-(H21*Seasonality!$C$67*H68+H70+H49*H151)-H106</f>
        <v/>
      </c>
      <c r="I211" s="48">
        <f>I151-(I21*Seasonality!$C$67*I68+I70+I49*I151)-I106</f>
        <v/>
      </c>
      <c r="J211" s="48">
        <f>J151-(J21*Seasonality!$C$67*J68+J70+J49*J151)-J106</f>
        <v/>
      </c>
      <c r="K211" s="48">
        <f>K151-(K21*Seasonality!$C$67*K68+K70+K49*K151)-K106</f>
        <v/>
      </c>
      <c r="L211" s="48">
        <f>L151-(L21*Seasonality!$C$67*L68+L70+L49*L151)-L106</f>
        <v/>
      </c>
      <c r="M211" s="48">
        <f>M151-(M21*Seasonality!$C$67*M68+M70+M49*M151)-M106</f>
        <v/>
      </c>
      <c r="N211" s="48">
        <f>N151-(N21*Seasonality!$C$67*N68+N70+N49*N151)-N106</f>
        <v/>
      </c>
      <c r="O211" s="48">
        <f>O151-(O21*Seasonality!$C$67*O68+O70+O49*O151)-O106</f>
        <v/>
      </c>
      <c r="P211" s="48">
        <f>P151-(P21*Seasonality!$C$67*P68+P70+P49*P151)-P106</f>
        <v/>
      </c>
      <c r="Q211" s="48">
        <f>Q151-(Q21*Seasonality!$C$67*Q68+Q70+Q49*Q151)-Q106</f>
        <v/>
      </c>
      <c r="R211" s="48">
        <f>R151-(R21*Seasonality!$C$67*R68+R70+R49*R151)-R106</f>
        <v/>
      </c>
      <c r="S211" s="48">
        <f>S151-(S21*Seasonality!$C$67*S68+S70+S49*S151)-S106</f>
        <v/>
      </c>
      <c r="T211" s="48">
        <f>T151-(T21*Seasonality!$C$67*T68+T70+T49*T151)-T106</f>
        <v/>
      </c>
      <c r="U211" s="48">
        <f>U151-(U21*Seasonality!$C$67*U68+U70+U49*U151)-U106</f>
        <v/>
      </c>
      <c r="V211" s="48">
        <f>V151-(V21*Seasonality!$C$67*V68+V70+V49*V151)-V106</f>
        <v/>
      </c>
      <c r="W211" s="48">
        <f>W151-(W21*Seasonality!$C$67*W68+W70+W49*W151)-W106</f>
        <v/>
      </c>
      <c r="X211" s="48">
        <f>X151-(X21*Seasonality!$C$67*X68+X70+X49*X151)-X106</f>
        <v/>
      </c>
      <c r="Y211" s="48">
        <f>Y151-(Y21*Seasonality!$C$67*Y68+Y70+Y49*Y151)-Y106</f>
        <v/>
      </c>
      <c r="Z211" s="48">
        <f>Z151-(Z21*Seasonality!$C$67*Z68+Z70+Z49*Z151)-Z106</f>
        <v/>
      </c>
      <c r="AA211" s="48">
        <f>AA151-(AA21*Seasonality!$C$67*AA68+AA70+AA49*AA151)-AA106</f>
        <v/>
      </c>
      <c r="AB211" s="48">
        <f>AB151-(AB21*Seasonality!$C$67*AB68+AB70+AB49*AB151)-AB106</f>
        <v/>
      </c>
      <c r="AC211" s="48">
        <f>AC151-(AC21*Seasonality!$C$67*AC68+AC70+AC49*AC151)-AC106</f>
        <v/>
      </c>
      <c r="AD211" s="48">
        <f>AD151-(AD21*Seasonality!$C$67*AD68+AD70+AD49*AD151)-AD106</f>
        <v/>
      </c>
      <c r="AE211" s="48">
        <f>AE151-(AE21*Seasonality!$C$67*AE68+AE70+AE49*AE151)-AE106</f>
        <v/>
      </c>
      <c r="AF211" s="48">
        <f>AF151-(AF21*Seasonality!$C$67*AF68+AF70+AF49*AF151)-AF106</f>
        <v/>
      </c>
      <c r="AG211" s="48">
        <f>AG151-(AG21*Seasonality!$C$67*AG68+AG70+AG49*AG151)-AG106</f>
        <v/>
      </c>
      <c r="AH211" s="48">
        <f>AH151-(AH21*Seasonality!$C$67*AH68+AH70+AH49*AH151)-AH106</f>
        <v/>
      </c>
      <c r="AI211" s="48">
        <f>AI151-(AI21*Seasonality!$C$67*AI68+AI70+AI49*AI151)-AI106</f>
        <v/>
      </c>
      <c r="AJ211" s="48">
        <f>AJ151-(AJ21*Seasonality!$C$67*AJ68+AJ70+AJ49*AJ151)-AJ106</f>
        <v/>
      </c>
      <c r="AK211" s="48">
        <f>AK151-(AK21*Seasonality!$C$67*AK68+AK70+AK49*AK151)-AK106</f>
        <v/>
      </c>
      <c r="AL211" s="48">
        <f>AL151-(AL21*Seasonality!$C$67*AL68+AL70+AL49*AL151)-AL106</f>
        <v/>
      </c>
      <c r="AM211" s="48">
        <f>AM151-(AM21*Seasonality!$C$67*AM68+AM70+AM49*AM151)-AM106</f>
        <v/>
      </c>
      <c r="AN211" s="48">
        <f>AN151-(AN21*Seasonality!$C$67*AN68+AN70+AN49*AN151)-AN106</f>
        <v/>
      </c>
      <c r="AO211" s="48">
        <f>AO151-(AO21*Seasonality!$C$67*AO68+AO70+AO49*AO151)-AO106</f>
        <v/>
      </c>
      <c r="AP211" s="48">
        <f>AP151-(AP21*Seasonality!$C$67*AP68+AP70+AP49*AP151)-AP106</f>
        <v/>
      </c>
      <c r="AQ211" s="48">
        <f>AQ151-(AQ21*Seasonality!$C$67*AQ68+AQ70+AQ49*AQ151)-AQ106</f>
        <v/>
      </c>
      <c r="AR211" s="48">
        <f>AR151-(AR21*Seasonality!$C$67*AR68+AR70+AR49*AR151)-AR106</f>
        <v/>
      </c>
      <c r="AS211" s="48">
        <f>AS151-(AS21*Seasonality!$C$67*AS68+AS70+AS49*AS151)-AS106</f>
        <v/>
      </c>
      <c r="AT211" s="48">
        <f>AT151-(AT21*Seasonality!$C$67*AT68+AT70+AT49*AT151)-AT106</f>
        <v/>
      </c>
      <c r="AU211" s="48">
        <f>AU151-(AU21*Seasonality!$C$67*AU68+AU70+AU49*AU151)-AU106</f>
        <v/>
      </c>
      <c r="AV211" s="48">
        <f>AV151-(AV21*Seasonality!$C$67*AV68+AV70+AV49*AV151)-AV106</f>
        <v/>
      </c>
    </row>
    <row r="212">
      <c r="B212" s="7" t="inlineStr">
        <is>
          <t>Contribution · month 32</t>
        </is>
      </c>
      <c r="C212" s="5" t="inlineStr">
        <is>
          <t>₹</t>
        </is>
      </c>
      <c r="D212" s="48">
        <f>D152-(D21*Seasonality!$C$68*D68+D70+D49*D152)-D106</f>
        <v/>
      </c>
      <c r="E212" s="48">
        <f>E152-(E21*Seasonality!$C$68*E68+E70+E49*E152)-E106</f>
        <v/>
      </c>
      <c r="F212" s="48">
        <f>F152-(F21*Seasonality!$C$68*F68+F70+F49*F152)-F106</f>
        <v/>
      </c>
      <c r="G212" s="48">
        <f>G152-(G21*Seasonality!$C$68*G68+G70+G49*G152)-G106</f>
        <v/>
      </c>
      <c r="H212" s="48">
        <f>H152-(H21*Seasonality!$C$68*H68+H70+H49*H152)-H106</f>
        <v/>
      </c>
      <c r="I212" s="48">
        <f>I152-(I21*Seasonality!$C$68*I68+I70+I49*I152)-I106</f>
        <v/>
      </c>
      <c r="J212" s="48">
        <f>J152-(J21*Seasonality!$C$68*J68+J70+J49*J152)-J106</f>
        <v/>
      </c>
      <c r="K212" s="48">
        <f>K152-(K21*Seasonality!$C$68*K68+K70+K49*K152)-K106</f>
        <v/>
      </c>
      <c r="L212" s="48">
        <f>L152-(L21*Seasonality!$C$68*L68+L70+L49*L152)-L106</f>
        <v/>
      </c>
      <c r="M212" s="48">
        <f>M152-(M21*Seasonality!$C$68*M68+M70+M49*M152)-M106</f>
        <v/>
      </c>
      <c r="N212" s="48">
        <f>N152-(N21*Seasonality!$C$68*N68+N70+N49*N152)-N106</f>
        <v/>
      </c>
      <c r="O212" s="48">
        <f>O152-(O21*Seasonality!$C$68*O68+O70+O49*O152)-O106</f>
        <v/>
      </c>
      <c r="P212" s="48">
        <f>P152-(P21*Seasonality!$C$68*P68+P70+P49*P152)-P106</f>
        <v/>
      </c>
      <c r="Q212" s="48">
        <f>Q152-(Q21*Seasonality!$C$68*Q68+Q70+Q49*Q152)-Q106</f>
        <v/>
      </c>
      <c r="R212" s="48">
        <f>R152-(R21*Seasonality!$C$68*R68+R70+R49*R152)-R106</f>
        <v/>
      </c>
      <c r="S212" s="48">
        <f>S152-(S21*Seasonality!$C$68*S68+S70+S49*S152)-S106</f>
        <v/>
      </c>
      <c r="T212" s="48">
        <f>T152-(T21*Seasonality!$C$68*T68+T70+T49*T152)-T106</f>
        <v/>
      </c>
      <c r="U212" s="48">
        <f>U152-(U21*Seasonality!$C$68*U68+U70+U49*U152)-U106</f>
        <v/>
      </c>
      <c r="V212" s="48">
        <f>V152-(V21*Seasonality!$C$68*V68+V70+V49*V152)-V106</f>
        <v/>
      </c>
      <c r="W212" s="48">
        <f>W152-(W21*Seasonality!$C$68*W68+W70+W49*W152)-W106</f>
        <v/>
      </c>
      <c r="X212" s="48">
        <f>X152-(X21*Seasonality!$C$68*X68+X70+X49*X152)-X106</f>
        <v/>
      </c>
      <c r="Y212" s="48">
        <f>Y152-(Y21*Seasonality!$C$68*Y68+Y70+Y49*Y152)-Y106</f>
        <v/>
      </c>
      <c r="Z212" s="48">
        <f>Z152-(Z21*Seasonality!$C$68*Z68+Z70+Z49*Z152)-Z106</f>
        <v/>
      </c>
      <c r="AA212" s="48">
        <f>AA152-(AA21*Seasonality!$C$68*AA68+AA70+AA49*AA152)-AA106</f>
        <v/>
      </c>
      <c r="AB212" s="48">
        <f>AB152-(AB21*Seasonality!$C$68*AB68+AB70+AB49*AB152)-AB106</f>
        <v/>
      </c>
      <c r="AC212" s="48">
        <f>AC152-(AC21*Seasonality!$C$68*AC68+AC70+AC49*AC152)-AC106</f>
        <v/>
      </c>
      <c r="AD212" s="48">
        <f>AD152-(AD21*Seasonality!$C$68*AD68+AD70+AD49*AD152)-AD106</f>
        <v/>
      </c>
      <c r="AE212" s="48">
        <f>AE152-(AE21*Seasonality!$C$68*AE68+AE70+AE49*AE152)-AE106</f>
        <v/>
      </c>
      <c r="AF212" s="48">
        <f>AF152-(AF21*Seasonality!$C$68*AF68+AF70+AF49*AF152)-AF106</f>
        <v/>
      </c>
      <c r="AG212" s="48">
        <f>AG152-(AG21*Seasonality!$C$68*AG68+AG70+AG49*AG152)-AG106</f>
        <v/>
      </c>
      <c r="AH212" s="48">
        <f>AH152-(AH21*Seasonality!$C$68*AH68+AH70+AH49*AH152)-AH106</f>
        <v/>
      </c>
      <c r="AI212" s="48">
        <f>AI152-(AI21*Seasonality!$C$68*AI68+AI70+AI49*AI152)-AI106</f>
        <v/>
      </c>
      <c r="AJ212" s="48">
        <f>AJ152-(AJ21*Seasonality!$C$68*AJ68+AJ70+AJ49*AJ152)-AJ106</f>
        <v/>
      </c>
      <c r="AK212" s="48">
        <f>AK152-(AK21*Seasonality!$C$68*AK68+AK70+AK49*AK152)-AK106</f>
        <v/>
      </c>
      <c r="AL212" s="48">
        <f>AL152-(AL21*Seasonality!$C$68*AL68+AL70+AL49*AL152)-AL106</f>
        <v/>
      </c>
      <c r="AM212" s="48">
        <f>AM152-(AM21*Seasonality!$C$68*AM68+AM70+AM49*AM152)-AM106</f>
        <v/>
      </c>
      <c r="AN212" s="48">
        <f>AN152-(AN21*Seasonality!$C$68*AN68+AN70+AN49*AN152)-AN106</f>
        <v/>
      </c>
      <c r="AO212" s="48">
        <f>AO152-(AO21*Seasonality!$C$68*AO68+AO70+AO49*AO152)-AO106</f>
        <v/>
      </c>
      <c r="AP212" s="48">
        <f>AP152-(AP21*Seasonality!$C$68*AP68+AP70+AP49*AP152)-AP106</f>
        <v/>
      </c>
      <c r="AQ212" s="48">
        <f>AQ152-(AQ21*Seasonality!$C$68*AQ68+AQ70+AQ49*AQ152)-AQ106</f>
        <v/>
      </c>
      <c r="AR212" s="48">
        <f>AR152-(AR21*Seasonality!$C$68*AR68+AR70+AR49*AR152)-AR106</f>
        <v/>
      </c>
      <c r="AS212" s="48">
        <f>AS152-(AS21*Seasonality!$C$68*AS68+AS70+AS49*AS152)-AS106</f>
        <v/>
      </c>
      <c r="AT212" s="48">
        <f>AT152-(AT21*Seasonality!$C$68*AT68+AT70+AT49*AT152)-AT106</f>
        <v/>
      </c>
      <c r="AU212" s="48">
        <f>AU152-(AU21*Seasonality!$C$68*AU68+AU70+AU49*AU152)-AU106</f>
        <v/>
      </c>
      <c r="AV212" s="48">
        <f>AV152-(AV21*Seasonality!$C$68*AV68+AV70+AV49*AV152)-AV106</f>
        <v/>
      </c>
    </row>
    <row r="213">
      <c r="B213" s="7" t="inlineStr">
        <is>
          <t>Contribution · month 33</t>
        </is>
      </c>
      <c r="C213" s="5" t="inlineStr">
        <is>
          <t>₹</t>
        </is>
      </c>
      <c r="D213" s="48">
        <f>D153-(D21*Seasonality!$C$69*D68+D70+D49*D153)-D106</f>
        <v/>
      </c>
      <c r="E213" s="48">
        <f>E153-(E21*Seasonality!$C$69*E68+E70+E49*E153)-E106</f>
        <v/>
      </c>
      <c r="F213" s="48">
        <f>F153-(F21*Seasonality!$C$69*F68+F70+F49*F153)-F106</f>
        <v/>
      </c>
      <c r="G213" s="48">
        <f>G153-(G21*Seasonality!$C$69*G68+G70+G49*G153)-G106</f>
        <v/>
      </c>
      <c r="H213" s="48">
        <f>H153-(H21*Seasonality!$C$69*H68+H70+H49*H153)-H106</f>
        <v/>
      </c>
      <c r="I213" s="48">
        <f>I153-(I21*Seasonality!$C$69*I68+I70+I49*I153)-I106</f>
        <v/>
      </c>
      <c r="J213" s="48">
        <f>J153-(J21*Seasonality!$C$69*J68+J70+J49*J153)-J106</f>
        <v/>
      </c>
      <c r="K213" s="48">
        <f>K153-(K21*Seasonality!$C$69*K68+K70+K49*K153)-K106</f>
        <v/>
      </c>
      <c r="L213" s="48">
        <f>L153-(L21*Seasonality!$C$69*L68+L70+L49*L153)-L106</f>
        <v/>
      </c>
      <c r="M213" s="48">
        <f>M153-(M21*Seasonality!$C$69*M68+M70+M49*M153)-M106</f>
        <v/>
      </c>
      <c r="N213" s="48">
        <f>N153-(N21*Seasonality!$C$69*N68+N70+N49*N153)-N106</f>
        <v/>
      </c>
      <c r="O213" s="48">
        <f>O153-(O21*Seasonality!$C$69*O68+O70+O49*O153)-O106</f>
        <v/>
      </c>
      <c r="P213" s="48">
        <f>P153-(P21*Seasonality!$C$69*P68+P70+P49*P153)-P106</f>
        <v/>
      </c>
      <c r="Q213" s="48">
        <f>Q153-(Q21*Seasonality!$C$69*Q68+Q70+Q49*Q153)-Q106</f>
        <v/>
      </c>
      <c r="R213" s="48">
        <f>R153-(R21*Seasonality!$C$69*R68+R70+R49*R153)-R106</f>
        <v/>
      </c>
      <c r="S213" s="48">
        <f>S153-(S21*Seasonality!$C$69*S68+S70+S49*S153)-S106</f>
        <v/>
      </c>
      <c r="T213" s="48">
        <f>T153-(T21*Seasonality!$C$69*T68+T70+T49*T153)-T106</f>
        <v/>
      </c>
      <c r="U213" s="48">
        <f>U153-(U21*Seasonality!$C$69*U68+U70+U49*U153)-U106</f>
        <v/>
      </c>
      <c r="V213" s="48">
        <f>V153-(V21*Seasonality!$C$69*V68+V70+V49*V153)-V106</f>
        <v/>
      </c>
      <c r="W213" s="48">
        <f>W153-(W21*Seasonality!$C$69*W68+W70+W49*W153)-W106</f>
        <v/>
      </c>
      <c r="X213" s="48">
        <f>X153-(X21*Seasonality!$C$69*X68+X70+X49*X153)-X106</f>
        <v/>
      </c>
      <c r="Y213" s="48">
        <f>Y153-(Y21*Seasonality!$C$69*Y68+Y70+Y49*Y153)-Y106</f>
        <v/>
      </c>
      <c r="Z213" s="48">
        <f>Z153-(Z21*Seasonality!$C$69*Z68+Z70+Z49*Z153)-Z106</f>
        <v/>
      </c>
      <c r="AA213" s="48">
        <f>AA153-(AA21*Seasonality!$C$69*AA68+AA70+AA49*AA153)-AA106</f>
        <v/>
      </c>
      <c r="AB213" s="48">
        <f>AB153-(AB21*Seasonality!$C$69*AB68+AB70+AB49*AB153)-AB106</f>
        <v/>
      </c>
      <c r="AC213" s="48">
        <f>AC153-(AC21*Seasonality!$C$69*AC68+AC70+AC49*AC153)-AC106</f>
        <v/>
      </c>
      <c r="AD213" s="48">
        <f>AD153-(AD21*Seasonality!$C$69*AD68+AD70+AD49*AD153)-AD106</f>
        <v/>
      </c>
      <c r="AE213" s="48">
        <f>AE153-(AE21*Seasonality!$C$69*AE68+AE70+AE49*AE153)-AE106</f>
        <v/>
      </c>
      <c r="AF213" s="48">
        <f>AF153-(AF21*Seasonality!$C$69*AF68+AF70+AF49*AF153)-AF106</f>
        <v/>
      </c>
      <c r="AG213" s="48">
        <f>AG153-(AG21*Seasonality!$C$69*AG68+AG70+AG49*AG153)-AG106</f>
        <v/>
      </c>
      <c r="AH213" s="48">
        <f>AH153-(AH21*Seasonality!$C$69*AH68+AH70+AH49*AH153)-AH106</f>
        <v/>
      </c>
      <c r="AI213" s="48">
        <f>AI153-(AI21*Seasonality!$C$69*AI68+AI70+AI49*AI153)-AI106</f>
        <v/>
      </c>
      <c r="AJ213" s="48">
        <f>AJ153-(AJ21*Seasonality!$C$69*AJ68+AJ70+AJ49*AJ153)-AJ106</f>
        <v/>
      </c>
      <c r="AK213" s="48">
        <f>AK153-(AK21*Seasonality!$C$69*AK68+AK70+AK49*AK153)-AK106</f>
        <v/>
      </c>
      <c r="AL213" s="48">
        <f>AL153-(AL21*Seasonality!$C$69*AL68+AL70+AL49*AL153)-AL106</f>
        <v/>
      </c>
      <c r="AM213" s="48">
        <f>AM153-(AM21*Seasonality!$C$69*AM68+AM70+AM49*AM153)-AM106</f>
        <v/>
      </c>
      <c r="AN213" s="48">
        <f>AN153-(AN21*Seasonality!$C$69*AN68+AN70+AN49*AN153)-AN106</f>
        <v/>
      </c>
      <c r="AO213" s="48">
        <f>AO153-(AO21*Seasonality!$C$69*AO68+AO70+AO49*AO153)-AO106</f>
        <v/>
      </c>
      <c r="AP213" s="48">
        <f>AP153-(AP21*Seasonality!$C$69*AP68+AP70+AP49*AP153)-AP106</f>
        <v/>
      </c>
      <c r="AQ213" s="48">
        <f>AQ153-(AQ21*Seasonality!$C$69*AQ68+AQ70+AQ49*AQ153)-AQ106</f>
        <v/>
      </c>
      <c r="AR213" s="48">
        <f>AR153-(AR21*Seasonality!$C$69*AR68+AR70+AR49*AR153)-AR106</f>
        <v/>
      </c>
      <c r="AS213" s="48">
        <f>AS153-(AS21*Seasonality!$C$69*AS68+AS70+AS49*AS153)-AS106</f>
        <v/>
      </c>
      <c r="AT213" s="48">
        <f>AT153-(AT21*Seasonality!$C$69*AT68+AT70+AT49*AT153)-AT106</f>
        <v/>
      </c>
      <c r="AU213" s="48">
        <f>AU153-(AU21*Seasonality!$C$69*AU68+AU70+AU49*AU153)-AU106</f>
        <v/>
      </c>
      <c r="AV213" s="48">
        <f>AV153-(AV21*Seasonality!$C$69*AV68+AV70+AV49*AV153)-AV106</f>
        <v/>
      </c>
    </row>
    <row r="214">
      <c r="B214" s="7" t="inlineStr">
        <is>
          <t>Contribution · month 34</t>
        </is>
      </c>
      <c r="C214" s="5" t="inlineStr">
        <is>
          <t>₹</t>
        </is>
      </c>
      <c r="D214" s="48">
        <f>D154-(D21*Seasonality!$C$70*D68+D70+D49*D154)-D106</f>
        <v/>
      </c>
      <c r="E214" s="48">
        <f>E154-(E21*Seasonality!$C$70*E68+E70+E49*E154)-E106</f>
        <v/>
      </c>
      <c r="F214" s="48">
        <f>F154-(F21*Seasonality!$C$70*F68+F70+F49*F154)-F106</f>
        <v/>
      </c>
      <c r="G214" s="48">
        <f>G154-(G21*Seasonality!$C$70*G68+G70+G49*G154)-G106</f>
        <v/>
      </c>
      <c r="H214" s="48">
        <f>H154-(H21*Seasonality!$C$70*H68+H70+H49*H154)-H106</f>
        <v/>
      </c>
      <c r="I214" s="48">
        <f>I154-(I21*Seasonality!$C$70*I68+I70+I49*I154)-I106</f>
        <v/>
      </c>
      <c r="J214" s="48">
        <f>J154-(J21*Seasonality!$C$70*J68+J70+J49*J154)-J106</f>
        <v/>
      </c>
      <c r="K214" s="48">
        <f>K154-(K21*Seasonality!$C$70*K68+K70+K49*K154)-K106</f>
        <v/>
      </c>
      <c r="L214" s="48">
        <f>L154-(L21*Seasonality!$C$70*L68+L70+L49*L154)-L106</f>
        <v/>
      </c>
      <c r="M214" s="48">
        <f>M154-(M21*Seasonality!$C$70*M68+M70+M49*M154)-M106</f>
        <v/>
      </c>
      <c r="N214" s="48">
        <f>N154-(N21*Seasonality!$C$70*N68+N70+N49*N154)-N106</f>
        <v/>
      </c>
      <c r="O214" s="48">
        <f>O154-(O21*Seasonality!$C$70*O68+O70+O49*O154)-O106</f>
        <v/>
      </c>
      <c r="P214" s="48">
        <f>P154-(P21*Seasonality!$C$70*P68+P70+P49*P154)-P106</f>
        <v/>
      </c>
      <c r="Q214" s="48">
        <f>Q154-(Q21*Seasonality!$C$70*Q68+Q70+Q49*Q154)-Q106</f>
        <v/>
      </c>
      <c r="R214" s="48">
        <f>R154-(R21*Seasonality!$C$70*R68+R70+R49*R154)-R106</f>
        <v/>
      </c>
      <c r="S214" s="48">
        <f>S154-(S21*Seasonality!$C$70*S68+S70+S49*S154)-S106</f>
        <v/>
      </c>
      <c r="T214" s="48">
        <f>T154-(T21*Seasonality!$C$70*T68+T70+T49*T154)-T106</f>
        <v/>
      </c>
      <c r="U214" s="48">
        <f>U154-(U21*Seasonality!$C$70*U68+U70+U49*U154)-U106</f>
        <v/>
      </c>
      <c r="V214" s="48">
        <f>V154-(V21*Seasonality!$C$70*V68+V70+V49*V154)-V106</f>
        <v/>
      </c>
      <c r="W214" s="48">
        <f>W154-(W21*Seasonality!$C$70*W68+W70+W49*W154)-W106</f>
        <v/>
      </c>
      <c r="X214" s="48">
        <f>X154-(X21*Seasonality!$C$70*X68+X70+X49*X154)-X106</f>
        <v/>
      </c>
      <c r="Y214" s="48">
        <f>Y154-(Y21*Seasonality!$C$70*Y68+Y70+Y49*Y154)-Y106</f>
        <v/>
      </c>
      <c r="Z214" s="48">
        <f>Z154-(Z21*Seasonality!$C$70*Z68+Z70+Z49*Z154)-Z106</f>
        <v/>
      </c>
      <c r="AA214" s="48">
        <f>AA154-(AA21*Seasonality!$C$70*AA68+AA70+AA49*AA154)-AA106</f>
        <v/>
      </c>
      <c r="AB214" s="48">
        <f>AB154-(AB21*Seasonality!$C$70*AB68+AB70+AB49*AB154)-AB106</f>
        <v/>
      </c>
      <c r="AC214" s="48">
        <f>AC154-(AC21*Seasonality!$C$70*AC68+AC70+AC49*AC154)-AC106</f>
        <v/>
      </c>
      <c r="AD214" s="48">
        <f>AD154-(AD21*Seasonality!$C$70*AD68+AD70+AD49*AD154)-AD106</f>
        <v/>
      </c>
      <c r="AE214" s="48">
        <f>AE154-(AE21*Seasonality!$C$70*AE68+AE70+AE49*AE154)-AE106</f>
        <v/>
      </c>
      <c r="AF214" s="48">
        <f>AF154-(AF21*Seasonality!$C$70*AF68+AF70+AF49*AF154)-AF106</f>
        <v/>
      </c>
      <c r="AG214" s="48">
        <f>AG154-(AG21*Seasonality!$C$70*AG68+AG70+AG49*AG154)-AG106</f>
        <v/>
      </c>
      <c r="AH214" s="48">
        <f>AH154-(AH21*Seasonality!$C$70*AH68+AH70+AH49*AH154)-AH106</f>
        <v/>
      </c>
      <c r="AI214" s="48">
        <f>AI154-(AI21*Seasonality!$C$70*AI68+AI70+AI49*AI154)-AI106</f>
        <v/>
      </c>
      <c r="AJ214" s="48">
        <f>AJ154-(AJ21*Seasonality!$C$70*AJ68+AJ70+AJ49*AJ154)-AJ106</f>
        <v/>
      </c>
      <c r="AK214" s="48">
        <f>AK154-(AK21*Seasonality!$C$70*AK68+AK70+AK49*AK154)-AK106</f>
        <v/>
      </c>
      <c r="AL214" s="48">
        <f>AL154-(AL21*Seasonality!$C$70*AL68+AL70+AL49*AL154)-AL106</f>
        <v/>
      </c>
      <c r="AM214" s="48">
        <f>AM154-(AM21*Seasonality!$C$70*AM68+AM70+AM49*AM154)-AM106</f>
        <v/>
      </c>
      <c r="AN214" s="48">
        <f>AN154-(AN21*Seasonality!$C$70*AN68+AN70+AN49*AN154)-AN106</f>
        <v/>
      </c>
      <c r="AO214" s="48">
        <f>AO154-(AO21*Seasonality!$C$70*AO68+AO70+AO49*AO154)-AO106</f>
        <v/>
      </c>
      <c r="AP214" s="48">
        <f>AP154-(AP21*Seasonality!$C$70*AP68+AP70+AP49*AP154)-AP106</f>
        <v/>
      </c>
      <c r="AQ214" s="48">
        <f>AQ154-(AQ21*Seasonality!$C$70*AQ68+AQ70+AQ49*AQ154)-AQ106</f>
        <v/>
      </c>
      <c r="AR214" s="48">
        <f>AR154-(AR21*Seasonality!$C$70*AR68+AR70+AR49*AR154)-AR106</f>
        <v/>
      </c>
      <c r="AS214" s="48">
        <f>AS154-(AS21*Seasonality!$C$70*AS68+AS70+AS49*AS154)-AS106</f>
        <v/>
      </c>
      <c r="AT214" s="48">
        <f>AT154-(AT21*Seasonality!$C$70*AT68+AT70+AT49*AT154)-AT106</f>
        <v/>
      </c>
      <c r="AU214" s="48">
        <f>AU154-(AU21*Seasonality!$C$70*AU68+AU70+AU49*AU154)-AU106</f>
        <v/>
      </c>
      <c r="AV214" s="48">
        <f>AV154-(AV21*Seasonality!$C$70*AV68+AV70+AV49*AV154)-AV106</f>
        <v/>
      </c>
    </row>
    <row r="215">
      <c r="B215" s="7" t="inlineStr">
        <is>
          <t>Contribution · month 35</t>
        </is>
      </c>
      <c r="C215" s="5" t="inlineStr">
        <is>
          <t>₹</t>
        </is>
      </c>
      <c r="D215" s="48">
        <f>D155-(D21*Seasonality!$C$71*D68+D70+D49*D155)-D106</f>
        <v/>
      </c>
      <c r="E215" s="48">
        <f>E155-(E21*Seasonality!$C$71*E68+E70+E49*E155)-E106</f>
        <v/>
      </c>
      <c r="F215" s="48">
        <f>F155-(F21*Seasonality!$C$71*F68+F70+F49*F155)-F106</f>
        <v/>
      </c>
      <c r="G215" s="48">
        <f>G155-(G21*Seasonality!$C$71*G68+G70+G49*G155)-G106</f>
        <v/>
      </c>
      <c r="H215" s="48">
        <f>H155-(H21*Seasonality!$C$71*H68+H70+H49*H155)-H106</f>
        <v/>
      </c>
      <c r="I215" s="48">
        <f>I155-(I21*Seasonality!$C$71*I68+I70+I49*I155)-I106</f>
        <v/>
      </c>
      <c r="J215" s="48">
        <f>J155-(J21*Seasonality!$C$71*J68+J70+J49*J155)-J106</f>
        <v/>
      </c>
      <c r="K215" s="48">
        <f>K155-(K21*Seasonality!$C$71*K68+K70+K49*K155)-K106</f>
        <v/>
      </c>
      <c r="L215" s="48">
        <f>L155-(L21*Seasonality!$C$71*L68+L70+L49*L155)-L106</f>
        <v/>
      </c>
      <c r="M215" s="48">
        <f>M155-(M21*Seasonality!$C$71*M68+M70+M49*M155)-M106</f>
        <v/>
      </c>
      <c r="N215" s="48">
        <f>N155-(N21*Seasonality!$C$71*N68+N70+N49*N155)-N106</f>
        <v/>
      </c>
      <c r="O215" s="48">
        <f>O155-(O21*Seasonality!$C$71*O68+O70+O49*O155)-O106</f>
        <v/>
      </c>
      <c r="P215" s="48">
        <f>P155-(P21*Seasonality!$C$71*P68+P70+P49*P155)-P106</f>
        <v/>
      </c>
      <c r="Q215" s="48">
        <f>Q155-(Q21*Seasonality!$C$71*Q68+Q70+Q49*Q155)-Q106</f>
        <v/>
      </c>
      <c r="R215" s="48">
        <f>R155-(R21*Seasonality!$C$71*R68+R70+R49*R155)-R106</f>
        <v/>
      </c>
      <c r="S215" s="48">
        <f>S155-(S21*Seasonality!$C$71*S68+S70+S49*S155)-S106</f>
        <v/>
      </c>
      <c r="T215" s="48">
        <f>T155-(T21*Seasonality!$C$71*T68+T70+T49*T155)-T106</f>
        <v/>
      </c>
      <c r="U215" s="48">
        <f>U155-(U21*Seasonality!$C$71*U68+U70+U49*U155)-U106</f>
        <v/>
      </c>
      <c r="V215" s="48">
        <f>V155-(V21*Seasonality!$C$71*V68+V70+V49*V155)-V106</f>
        <v/>
      </c>
      <c r="W215" s="48">
        <f>W155-(W21*Seasonality!$C$71*W68+W70+W49*W155)-W106</f>
        <v/>
      </c>
      <c r="X215" s="48">
        <f>X155-(X21*Seasonality!$C$71*X68+X70+X49*X155)-X106</f>
        <v/>
      </c>
      <c r="Y215" s="48">
        <f>Y155-(Y21*Seasonality!$C$71*Y68+Y70+Y49*Y155)-Y106</f>
        <v/>
      </c>
      <c r="Z215" s="48">
        <f>Z155-(Z21*Seasonality!$C$71*Z68+Z70+Z49*Z155)-Z106</f>
        <v/>
      </c>
      <c r="AA215" s="48">
        <f>AA155-(AA21*Seasonality!$C$71*AA68+AA70+AA49*AA155)-AA106</f>
        <v/>
      </c>
      <c r="AB215" s="48">
        <f>AB155-(AB21*Seasonality!$C$71*AB68+AB70+AB49*AB155)-AB106</f>
        <v/>
      </c>
      <c r="AC215" s="48">
        <f>AC155-(AC21*Seasonality!$C$71*AC68+AC70+AC49*AC155)-AC106</f>
        <v/>
      </c>
      <c r="AD215" s="48">
        <f>AD155-(AD21*Seasonality!$C$71*AD68+AD70+AD49*AD155)-AD106</f>
        <v/>
      </c>
      <c r="AE215" s="48">
        <f>AE155-(AE21*Seasonality!$C$71*AE68+AE70+AE49*AE155)-AE106</f>
        <v/>
      </c>
      <c r="AF215" s="48">
        <f>AF155-(AF21*Seasonality!$C$71*AF68+AF70+AF49*AF155)-AF106</f>
        <v/>
      </c>
      <c r="AG215" s="48">
        <f>AG155-(AG21*Seasonality!$C$71*AG68+AG70+AG49*AG155)-AG106</f>
        <v/>
      </c>
      <c r="AH215" s="48">
        <f>AH155-(AH21*Seasonality!$C$71*AH68+AH70+AH49*AH155)-AH106</f>
        <v/>
      </c>
      <c r="AI215" s="48">
        <f>AI155-(AI21*Seasonality!$C$71*AI68+AI70+AI49*AI155)-AI106</f>
        <v/>
      </c>
      <c r="AJ215" s="48">
        <f>AJ155-(AJ21*Seasonality!$C$71*AJ68+AJ70+AJ49*AJ155)-AJ106</f>
        <v/>
      </c>
      <c r="AK215" s="48">
        <f>AK155-(AK21*Seasonality!$C$71*AK68+AK70+AK49*AK155)-AK106</f>
        <v/>
      </c>
      <c r="AL215" s="48">
        <f>AL155-(AL21*Seasonality!$C$71*AL68+AL70+AL49*AL155)-AL106</f>
        <v/>
      </c>
      <c r="AM215" s="48">
        <f>AM155-(AM21*Seasonality!$C$71*AM68+AM70+AM49*AM155)-AM106</f>
        <v/>
      </c>
      <c r="AN215" s="48">
        <f>AN155-(AN21*Seasonality!$C$71*AN68+AN70+AN49*AN155)-AN106</f>
        <v/>
      </c>
      <c r="AO215" s="48">
        <f>AO155-(AO21*Seasonality!$C$71*AO68+AO70+AO49*AO155)-AO106</f>
        <v/>
      </c>
      <c r="AP215" s="48">
        <f>AP155-(AP21*Seasonality!$C$71*AP68+AP70+AP49*AP155)-AP106</f>
        <v/>
      </c>
      <c r="AQ215" s="48">
        <f>AQ155-(AQ21*Seasonality!$C$71*AQ68+AQ70+AQ49*AQ155)-AQ106</f>
        <v/>
      </c>
      <c r="AR215" s="48">
        <f>AR155-(AR21*Seasonality!$C$71*AR68+AR70+AR49*AR155)-AR106</f>
        <v/>
      </c>
      <c r="AS215" s="48">
        <f>AS155-(AS21*Seasonality!$C$71*AS68+AS70+AS49*AS155)-AS106</f>
        <v/>
      </c>
      <c r="AT215" s="48">
        <f>AT155-(AT21*Seasonality!$C$71*AT68+AT70+AT49*AT155)-AT106</f>
        <v/>
      </c>
      <c r="AU215" s="48">
        <f>AU155-(AU21*Seasonality!$C$71*AU68+AU70+AU49*AU155)-AU106</f>
        <v/>
      </c>
      <c r="AV215" s="48">
        <f>AV155-(AV21*Seasonality!$C$71*AV68+AV70+AV49*AV155)-AV106</f>
        <v/>
      </c>
    </row>
    <row r="216">
      <c r="B216" s="7" t="inlineStr">
        <is>
          <t>Contribution · month 36</t>
        </is>
      </c>
      <c r="C216" s="5" t="inlineStr">
        <is>
          <t>₹</t>
        </is>
      </c>
      <c r="D216" s="48">
        <f>D156-(D21*Seasonality!$C$72*D68+D70+D49*D156)-D106</f>
        <v/>
      </c>
      <c r="E216" s="48">
        <f>E156-(E21*Seasonality!$C$72*E68+E70+E49*E156)-E106</f>
        <v/>
      </c>
      <c r="F216" s="48">
        <f>F156-(F21*Seasonality!$C$72*F68+F70+F49*F156)-F106</f>
        <v/>
      </c>
      <c r="G216" s="48">
        <f>G156-(G21*Seasonality!$C$72*G68+G70+G49*G156)-G106</f>
        <v/>
      </c>
      <c r="H216" s="48">
        <f>H156-(H21*Seasonality!$C$72*H68+H70+H49*H156)-H106</f>
        <v/>
      </c>
      <c r="I216" s="48">
        <f>I156-(I21*Seasonality!$C$72*I68+I70+I49*I156)-I106</f>
        <v/>
      </c>
      <c r="J216" s="48">
        <f>J156-(J21*Seasonality!$C$72*J68+J70+J49*J156)-J106</f>
        <v/>
      </c>
      <c r="K216" s="48">
        <f>K156-(K21*Seasonality!$C$72*K68+K70+K49*K156)-K106</f>
        <v/>
      </c>
      <c r="L216" s="48">
        <f>L156-(L21*Seasonality!$C$72*L68+L70+L49*L156)-L106</f>
        <v/>
      </c>
      <c r="M216" s="48">
        <f>M156-(M21*Seasonality!$C$72*M68+M70+M49*M156)-M106</f>
        <v/>
      </c>
      <c r="N216" s="48">
        <f>N156-(N21*Seasonality!$C$72*N68+N70+N49*N156)-N106</f>
        <v/>
      </c>
      <c r="O216" s="48">
        <f>O156-(O21*Seasonality!$C$72*O68+O70+O49*O156)-O106</f>
        <v/>
      </c>
      <c r="P216" s="48">
        <f>P156-(P21*Seasonality!$C$72*P68+P70+P49*P156)-P106</f>
        <v/>
      </c>
      <c r="Q216" s="48">
        <f>Q156-(Q21*Seasonality!$C$72*Q68+Q70+Q49*Q156)-Q106</f>
        <v/>
      </c>
      <c r="R216" s="48">
        <f>R156-(R21*Seasonality!$C$72*R68+R70+R49*R156)-R106</f>
        <v/>
      </c>
      <c r="S216" s="48">
        <f>S156-(S21*Seasonality!$C$72*S68+S70+S49*S156)-S106</f>
        <v/>
      </c>
      <c r="T216" s="48">
        <f>T156-(T21*Seasonality!$C$72*T68+T70+T49*T156)-T106</f>
        <v/>
      </c>
      <c r="U216" s="48">
        <f>U156-(U21*Seasonality!$C$72*U68+U70+U49*U156)-U106</f>
        <v/>
      </c>
      <c r="V216" s="48">
        <f>V156-(V21*Seasonality!$C$72*V68+V70+V49*V156)-V106</f>
        <v/>
      </c>
      <c r="W216" s="48">
        <f>W156-(W21*Seasonality!$C$72*W68+W70+W49*W156)-W106</f>
        <v/>
      </c>
      <c r="X216" s="48">
        <f>X156-(X21*Seasonality!$C$72*X68+X70+X49*X156)-X106</f>
        <v/>
      </c>
      <c r="Y216" s="48">
        <f>Y156-(Y21*Seasonality!$C$72*Y68+Y70+Y49*Y156)-Y106</f>
        <v/>
      </c>
      <c r="Z216" s="48">
        <f>Z156-(Z21*Seasonality!$C$72*Z68+Z70+Z49*Z156)-Z106</f>
        <v/>
      </c>
      <c r="AA216" s="48">
        <f>AA156-(AA21*Seasonality!$C$72*AA68+AA70+AA49*AA156)-AA106</f>
        <v/>
      </c>
      <c r="AB216" s="48">
        <f>AB156-(AB21*Seasonality!$C$72*AB68+AB70+AB49*AB156)-AB106</f>
        <v/>
      </c>
      <c r="AC216" s="48">
        <f>AC156-(AC21*Seasonality!$C$72*AC68+AC70+AC49*AC156)-AC106</f>
        <v/>
      </c>
      <c r="AD216" s="48">
        <f>AD156-(AD21*Seasonality!$C$72*AD68+AD70+AD49*AD156)-AD106</f>
        <v/>
      </c>
      <c r="AE216" s="48">
        <f>AE156-(AE21*Seasonality!$C$72*AE68+AE70+AE49*AE156)-AE106</f>
        <v/>
      </c>
      <c r="AF216" s="48">
        <f>AF156-(AF21*Seasonality!$C$72*AF68+AF70+AF49*AF156)-AF106</f>
        <v/>
      </c>
      <c r="AG216" s="48">
        <f>AG156-(AG21*Seasonality!$C$72*AG68+AG70+AG49*AG156)-AG106</f>
        <v/>
      </c>
      <c r="AH216" s="48">
        <f>AH156-(AH21*Seasonality!$C$72*AH68+AH70+AH49*AH156)-AH106</f>
        <v/>
      </c>
      <c r="AI216" s="48">
        <f>AI156-(AI21*Seasonality!$C$72*AI68+AI70+AI49*AI156)-AI106</f>
        <v/>
      </c>
      <c r="AJ216" s="48">
        <f>AJ156-(AJ21*Seasonality!$C$72*AJ68+AJ70+AJ49*AJ156)-AJ106</f>
        <v/>
      </c>
      <c r="AK216" s="48">
        <f>AK156-(AK21*Seasonality!$C$72*AK68+AK70+AK49*AK156)-AK106</f>
        <v/>
      </c>
      <c r="AL216" s="48">
        <f>AL156-(AL21*Seasonality!$C$72*AL68+AL70+AL49*AL156)-AL106</f>
        <v/>
      </c>
      <c r="AM216" s="48">
        <f>AM156-(AM21*Seasonality!$C$72*AM68+AM70+AM49*AM156)-AM106</f>
        <v/>
      </c>
      <c r="AN216" s="48">
        <f>AN156-(AN21*Seasonality!$C$72*AN68+AN70+AN49*AN156)-AN106</f>
        <v/>
      </c>
      <c r="AO216" s="48">
        <f>AO156-(AO21*Seasonality!$C$72*AO68+AO70+AO49*AO156)-AO106</f>
        <v/>
      </c>
      <c r="AP216" s="48">
        <f>AP156-(AP21*Seasonality!$C$72*AP68+AP70+AP49*AP156)-AP106</f>
        <v/>
      </c>
      <c r="AQ216" s="48">
        <f>AQ156-(AQ21*Seasonality!$C$72*AQ68+AQ70+AQ49*AQ156)-AQ106</f>
        <v/>
      </c>
      <c r="AR216" s="48">
        <f>AR156-(AR21*Seasonality!$C$72*AR68+AR70+AR49*AR156)-AR106</f>
        <v/>
      </c>
      <c r="AS216" s="48">
        <f>AS156-(AS21*Seasonality!$C$72*AS68+AS70+AS49*AS156)-AS106</f>
        <v/>
      </c>
      <c r="AT216" s="48">
        <f>AT156-(AT21*Seasonality!$C$72*AT68+AT70+AT49*AT156)-AT106</f>
        <v/>
      </c>
      <c r="AU216" s="48">
        <f>AU156-(AU21*Seasonality!$C$72*AU68+AU70+AU49*AU156)-AU106</f>
        <v/>
      </c>
      <c r="AV216" s="48">
        <f>AV156-(AV21*Seasonality!$C$72*AV68+AV70+AV49*AV156)-AV106</f>
        <v/>
      </c>
    </row>
    <row r="217">
      <c r="B217" s="7" t="inlineStr">
        <is>
          <t>Contribution · month 37</t>
        </is>
      </c>
      <c r="C217" s="5" t="inlineStr">
        <is>
          <t>₹</t>
        </is>
      </c>
      <c r="D217" s="48">
        <f>D157-(D21*Seasonality!$C$73*D68+D70+D49*D157)-D106</f>
        <v/>
      </c>
      <c r="E217" s="48">
        <f>E157-(E21*Seasonality!$C$73*E68+E70+E49*E157)-E106</f>
        <v/>
      </c>
      <c r="F217" s="48">
        <f>F157-(F21*Seasonality!$C$73*F68+F70+F49*F157)-F106</f>
        <v/>
      </c>
      <c r="G217" s="48">
        <f>G157-(G21*Seasonality!$C$73*G68+G70+G49*G157)-G106</f>
        <v/>
      </c>
      <c r="H217" s="48">
        <f>H157-(H21*Seasonality!$C$73*H68+H70+H49*H157)-H106</f>
        <v/>
      </c>
      <c r="I217" s="48">
        <f>I157-(I21*Seasonality!$C$73*I68+I70+I49*I157)-I106</f>
        <v/>
      </c>
      <c r="J217" s="48">
        <f>J157-(J21*Seasonality!$C$73*J68+J70+J49*J157)-J106</f>
        <v/>
      </c>
      <c r="K217" s="48">
        <f>K157-(K21*Seasonality!$C$73*K68+K70+K49*K157)-K106</f>
        <v/>
      </c>
      <c r="L217" s="48">
        <f>L157-(L21*Seasonality!$C$73*L68+L70+L49*L157)-L106</f>
        <v/>
      </c>
      <c r="M217" s="48">
        <f>M157-(M21*Seasonality!$C$73*M68+M70+M49*M157)-M106</f>
        <v/>
      </c>
      <c r="N217" s="48">
        <f>N157-(N21*Seasonality!$C$73*N68+N70+N49*N157)-N106</f>
        <v/>
      </c>
      <c r="O217" s="48">
        <f>O157-(O21*Seasonality!$C$73*O68+O70+O49*O157)-O106</f>
        <v/>
      </c>
      <c r="P217" s="48">
        <f>P157-(P21*Seasonality!$C$73*P68+P70+P49*P157)-P106</f>
        <v/>
      </c>
      <c r="Q217" s="48">
        <f>Q157-(Q21*Seasonality!$C$73*Q68+Q70+Q49*Q157)-Q106</f>
        <v/>
      </c>
      <c r="R217" s="48">
        <f>R157-(R21*Seasonality!$C$73*R68+R70+R49*R157)-R106</f>
        <v/>
      </c>
      <c r="S217" s="48">
        <f>S157-(S21*Seasonality!$C$73*S68+S70+S49*S157)-S106</f>
        <v/>
      </c>
      <c r="T217" s="48">
        <f>T157-(T21*Seasonality!$C$73*T68+T70+T49*T157)-T106</f>
        <v/>
      </c>
      <c r="U217" s="48">
        <f>U157-(U21*Seasonality!$C$73*U68+U70+U49*U157)-U106</f>
        <v/>
      </c>
      <c r="V217" s="48">
        <f>V157-(V21*Seasonality!$C$73*V68+V70+V49*V157)-V106</f>
        <v/>
      </c>
      <c r="W217" s="48">
        <f>W157-(W21*Seasonality!$C$73*W68+W70+W49*W157)-W106</f>
        <v/>
      </c>
      <c r="X217" s="48">
        <f>X157-(X21*Seasonality!$C$73*X68+X70+X49*X157)-X106</f>
        <v/>
      </c>
      <c r="Y217" s="48">
        <f>Y157-(Y21*Seasonality!$C$73*Y68+Y70+Y49*Y157)-Y106</f>
        <v/>
      </c>
      <c r="Z217" s="48">
        <f>Z157-(Z21*Seasonality!$C$73*Z68+Z70+Z49*Z157)-Z106</f>
        <v/>
      </c>
      <c r="AA217" s="48">
        <f>AA157-(AA21*Seasonality!$C$73*AA68+AA70+AA49*AA157)-AA106</f>
        <v/>
      </c>
      <c r="AB217" s="48">
        <f>AB157-(AB21*Seasonality!$C$73*AB68+AB70+AB49*AB157)-AB106</f>
        <v/>
      </c>
      <c r="AC217" s="48">
        <f>AC157-(AC21*Seasonality!$C$73*AC68+AC70+AC49*AC157)-AC106</f>
        <v/>
      </c>
      <c r="AD217" s="48">
        <f>AD157-(AD21*Seasonality!$C$73*AD68+AD70+AD49*AD157)-AD106</f>
        <v/>
      </c>
      <c r="AE217" s="48">
        <f>AE157-(AE21*Seasonality!$C$73*AE68+AE70+AE49*AE157)-AE106</f>
        <v/>
      </c>
      <c r="AF217" s="48">
        <f>AF157-(AF21*Seasonality!$C$73*AF68+AF70+AF49*AF157)-AF106</f>
        <v/>
      </c>
      <c r="AG217" s="48">
        <f>AG157-(AG21*Seasonality!$C$73*AG68+AG70+AG49*AG157)-AG106</f>
        <v/>
      </c>
      <c r="AH217" s="48">
        <f>AH157-(AH21*Seasonality!$C$73*AH68+AH70+AH49*AH157)-AH106</f>
        <v/>
      </c>
      <c r="AI217" s="48">
        <f>AI157-(AI21*Seasonality!$C$73*AI68+AI70+AI49*AI157)-AI106</f>
        <v/>
      </c>
      <c r="AJ217" s="48">
        <f>AJ157-(AJ21*Seasonality!$C$73*AJ68+AJ70+AJ49*AJ157)-AJ106</f>
        <v/>
      </c>
      <c r="AK217" s="48">
        <f>AK157-(AK21*Seasonality!$C$73*AK68+AK70+AK49*AK157)-AK106</f>
        <v/>
      </c>
      <c r="AL217" s="48">
        <f>AL157-(AL21*Seasonality!$C$73*AL68+AL70+AL49*AL157)-AL106</f>
        <v/>
      </c>
      <c r="AM217" s="48">
        <f>AM157-(AM21*Seasonality!$C$73*AM68+AM70+AM49*AM157)-AM106</f>
        <v/>
      </c>
      <c r="AN217" s="48">
        <f>AN157-(AN21*Seasonality!$C$73*AN68+AN70+AN49*AN157)-AN106</f>
        <v/>
      </c>
      <c r="AO217" s="48">
        <f>AO157-(AO21*Seasonality!$C$73*AO68+AO70+AO49*AO157)-AO106</f>
        <v/>
      </c>
      <c r="AP217" s="48">
        <f>AP157-(AP21*Seasonality!$C$73*AP68+AP70+AP49*AP157)-AP106</f>
        <v/>
      </c>
      <c r="AQ217" s="48">
        <f>AQ157-(AQ21*Seasonality!$C$73*AQ68+AQ70+AQ49*AQ157)-AQ106</f>
        <v/>
      </c>
      <c r="AR217" s="48">
        <f>AR157-(AR21*Seasonality!$C$73*AR68+AR70+AR49*AR157)-AR106</f>
        <v/>
      </c>
      <c r="AS217" s="48">
        <f>AS157-(AS21*Seasonality!$C$73*AS68+AS70+AS49*AS157)-AS106</f>
        <v/>
      </c>
      <c r="AT217" s="48">
        <f>AT157-(AT21*Seasonality!$C$73*AT68+AT70+AT49*AT157)-AT106</f>
        <v/>
      </c>
      <c r="AU217" s="48">
        <f>AU157-(AU21*Seasonality!$C$73*AU68+AU70+AU49*AU157)-AU106</f>
        <v/>
      </c>
      <c r="AV217" s="48">
        <f>AV157-(AV21*Seasonality!$C$73*AV68+AV70+AV49*AV157)-AV106</f>
        <v/>
      </c>
    </row>
    <row r="218">
      <c r="B218" s="7" t="inlineStr">
        <is>
          <t>Contribution · month 38</t>
        </is>
      </c>
      <c r="C218" s="5" t="inlineStr">
        <is>
          <t>₹</t>
        </is>
      </c>
      <c r="D218" s="48">
        <f>D158-(D21*Seasonality!$C$74*D68+D70+D49*D158)-D106</f>
        <v/>
      </c>
      <c r="E218" s="48">
        <f>E158-(E21*Seasonality!$C$74*E68+E70+E49*E158)-E106</f>
        <v/>
      </c>
      <c r="F218" s="48">
        <f>F158-(F21*Seasonality!$C$74*F68+F70+F49*F158)-F106</f>
        <v/>
      </c>
      <c r="G218" s="48">
        <f>G158-(G21*Seasonality!$C$74*G68+G70+G49*G158)-G106</f>
        <v/>
      </c>
      <c r="H218" s="48">
        <f>H158-(H21*Seasonality!$C$74*H68+H70+H49*H158)-H106</f>
        <v/>
      </c>
      <c r="I218" s="48">
        <f>I158-(I21*Seasonality!$C$74*I68+I70+I49*I158)-I106</f>
        <v/>
      </c>
      <c r="J218" s="48">
        <f>J158-(J21*Seasonality!$C$74*J68+J70+J49*J158)-J106</f>
        <v/>
      </c>
      <c r="K218" s="48">
        <f>K158-(K21*Seasonality!$C$74*K68+K70+K49*K158)-K106</f>
        <v/>
      </c>
      <c r="L218" s="48">
        <f>L158-(L21*Seasonality!$C$74*L68+L70+L49*L158)-L106</f>
        <v/>
      </c>
      <c r="M218" s="48">
        <f>M158-(M21*Seasonality!$C$74*M68+M70+M49*M158)-M106</f>
        <v/>
      </c>
      <c r="N218" s="48">
        <f>N158-(N21*Seasonality!$C$74*N68+N70+N49*N158)-N106</f>
        <v/>
      </c>
      <c r="O218" s="48">
        <f>O158-(O21*Seasonality!$C$74*O68+O70+O49*O158)-O106</f>
        <v/>
      </c>
      <c r="P218" s="48">
        <f>P158-(P21*Seasonality!$C$74*P68+P70+P49*P158)-P106</f>
        <v/>
      </c>
      <c r="Q218" s="48">
        <f>Q158-(Q21*Seasonality!$C$74*Q68+Q70+Q49*Q158)-Q106</f>
        <v/>
      </c>
      <c r="R218" s="48">
        <f>R158-(R21*Seasonality!$C$74*R68+R70+R49*R158)-R106</f>
        <v/>
      </c>
      <c r="S218" s="48">
        <f>S158-(S21*Seasonality!$C$74*S68+S70+S49*S158)-S106</f>
        <v/>
      </c>
      <c r="T218" s="48">
        <f>T158-(T21*Seasonality!$C$74*T68+T70+T49*T158)-T106</f>
        <v/>
      </c>
      <c r="U218" s="48">
        <f>U158-(U21*Seasonality!$C$74*U68+U70+U49*U158)-U106</f>
        <v/>
      </c>
      <c r="V218" s="48">
        <f>V158-(V21*Seasonality!$C$74*V68+V70+V49*V158)-V106</f>
        <v/>
      </c>
      <c r="W218" s="48">
        <f>W158-(W21*Seasonality!$C$74*W68+W70+W49*W158)-W106</f>
        <v/>
      </c>
      <c r="X218" s="48">
        <f>X158-(X21*Seasonality!$C$74*X68+X70+X49*X158)-X106</f>
        <v/>
      </c>
      <c r="Y218" s="48">
        <f>Y158-(Y21*Seasonality!$C$74*Y68+Y70+Y49*Y158)-Y106</f>
        <v/>
      </c>
      <c r="Z218" s="48">
        <f>Z158-(Z21*Seasonality!$C$74*Z68+Z70+Z49*Z158)-Z106</f>
        <v/>
      </c>
      <c r="AA218" s="48">
        <f>AA158-(AA21*Seasonality!$C$74*AA68+AA70+AA49*AA158)-AA106</f>
        <v/>
      </c>
      <c r="AB218" s="48">
        <f>AB158-(AB21*Seasonality!$C$74*AB68+AB70+AB49*AB158)-AB106</f>
        <v/>
      </c>
      <c r="AC218" s="48">
        <f>AC158-(AC21*Seasonality!$C$74*AC68+AC70+AC49*AC158)-AC106</f>
        <v/>
      </c>
      <c r="AD218" s="48">
        <f>AD158-(AD21*Seasonality!$C$74*AD68+AD70+AD49*AD158)-AD106</f>
        <v/>
      </c>
      <c r="AE218" s="48">
        <f>AE158-(AE21*Seasonality!$C$74*AE68+AE70+AE49*AE158)-AE106</f>
        <v/>
      </c>
      <c r="AF218" s="48">
        <f>AF158-(AF21*Seasonality!$C$74*AF68+AF70+AF49*AF158)-AF106</f>
        <v/>
      </c>
      <c r="AG218" s="48">
        <f>AG158-(AG21*Seasonality!$C$74*AG68+AG70+AG49*AG158)-AG106</f>
        <v/>
      </c>
      <c r="AH218" s="48">
        <f>AH158-(AH21*Seasonality!$C$74*AH68+AH70+AH49*AH158)-AH106</f>
        <v/>
      </c>
      <c r="AI218" s="48">
        <f>AI158-(AI21*Seasonality!$C$74*AI68+AI70+AI49*AI158)-AI106</f>
        <v/>
      </c>
      <c r="AJ218" s="48">
        <f>AJ158-(AJ21*Seasonality!$C$74*AJ68+AJ70+AJ49*AJ158)-AJ106</f>
        <v/>
      </c>
      <c r="AK218" s="48">
        <f>AK158-(AK21*Seasonality!$C$74*AK68+AK70+AK49*AK158)-AK106</f>
        <v/>
      </c>
      <c r="AL218" s="48">
        <f>AL158-(AL21*Seasonality!$C$74*AL68+AL70+AL49*AL158)-AL106</f>
        <v/>
      </c>
      <c r="AM218" s="48">
        <f>AM158-(AM21*Seasonality!$C$74*AM68+AM70+AM49*AM158)-AM106</f>
        <v/>
      </c>
      <c r="AN218" s="48">
        <f>AN158-(AN21*Seasonality!$C$74*AN68+AN70+AN49*AN158)-AN106</f>
        <v/>
      </c>
      <c r="AO218" s="48">
        <f>AO158-(AO21*Seasonality!$C$74*AO68+AO70+AO49*AO158)-AO106</f>
        <v/>
      </c>
      <c r="AP218" s="48">
        <f>AP158-(AP21*Seasonality!$C$74*AP68+AP70+AP49*AP158)-AP106</f>
        <v/>
      </c>
      <c r="AQ218" s="48">
        <f>AQ158-(AQ21*Seasonality!$C$74*AQ68+AQ70+AQ49*AQ158)-AQ106</f>
        <v/>
      </c>
      <c r="AR218" s="48">
        <f>AR158-(AR21*Seasonality!$C$74*AR68+AR70+AR49*AR158)-AR106</f>
        <v/>
      </c>
      <c r="AS218" s="48">
        <f>AS158-(AS21*Seasonality!$C$74*AS68+AS70+AS49*AS158)-AS106</f>
        <v/>
      </c>
      <c r="AT218" s="48">
        <f>AT158-(AT21*Seasonality!$C$74*AT68+AT70+AT49*AT158)-AT106</f>
        <v/>
      </c>
      <c r="AU218" s="48">
        <f>AU158-(AU21*Seasonality!$C$74*AU68+AU70+AU49*AU158)-AU106</f>
        <v/>
      </c>
      <c r="AV218" s="48">
        <f>AV158-(AV21*Seasonality!$C$74*AV68+AV70+AV49*AV158)-AV106</f>
        <v/>
      </c>
    </row>
    <row r="219">
      <c r="B219" s="7" t="inlineStr">
        <is>
          <t>Contribution · month 39</t>
        </is>
      </c>
      <c r="C219" s="5" t="inlineStr">
        <is>
          <t>₹</t>
        </is>
      </c>
      <c r="D219" s="48">
        <f>D159-(D21*Seasonality!$C$75*D68+D70+D49*D159)-D106</f>
        <v/>
      </c>
      <c r="E219" s="48">
        <f>E159-(E21*Seasonality!$C$75*E68+E70+E49*E159)-E106</f>
        <v/>
      </c>
      <c r="F219" s="48">
        <f>F159-(F21*Seasonality!$C$75*F68+F70+F49*F159)-F106</f>
        <v/>
      </c>
      <c r="G219" s="48">
        <f>G159-(G21*Seasonality!$C$75*G68+G70+G49*G159)-G106</f>
        <v/>
      </c>
      <c r="H219" s="48">
        <f>H159-(H21*Seasonality!$C$75*H68+H70+H49*H159)-H106</f>
        <v/>
      </c>
      <c r="I219" s="48">
        <f>I159-(I21*Seasonality!$C$75*I68+I70+I49*I159)-I106</f>
        <v/>
      </c>
      <c r="J219" s="48">
        <f>J159-(J21*Seasonality!$C$75*J68+J70+J49*J159)-J106</f>
        <v/>
      </c>
      <c r="K219" s="48">
        <f>K159-(K21*Seasonality!$C$75*K68+K70+K49*K159)-K106</f>
        <v/>
      </c>
      <c r="L219" s="48">
        <f>L159-(L21*Seasonality!$C$75*L68+L70+L49*L159)-L106</f>
        <v/>
      </c>
      <c r="M219" s="48">
        <f>M159-(M21*Seasonality!$C$75*M68+M70+M49*M159)-M106</f>
        <v/>
      </c>
      <c r="N219" s="48">
        <f>N159-(N21*Seasonality!$C$75*N68+N70+N49*N159)-N106</f>
        <v/>
      </c>
      <c r="O219" s="48">
        <f>O159-(O21*Seasonality!$C$75*O68+O70+O49*O159)-O106</f>
        <v/>
      </c>
      <c r="P219" s="48">
        <f>P159-(P21*Seasonality!$C$75*P68+P70+P49*P159)-P106</f>
        <v/>
      </c>
      <c r="Q219" s="48">
        <f>Q159-(Q21*Seasonality!$C$75*Q68+Q70+Q49*Q159)-Q106</f>
        <v/>
      </c>
      <c r="R219" s="48">
        <f>R159-(R21*Seasonality!$C$75*R68+R70+R49*R159)-R106</f>
        <v/>
      </c>
      <c r="S219" s="48">
        <f>S159-(S21*Seasonality!$C$75*S68+S70+S49*S159)-S106</f>
        <v/>
      </c>
      <c r="T219" s="48">
        <f>T159-(T21*Seasonality!$C$75*T68+T70+T49*T159)-T106</f>
        <v/>
      </c>
      <c r="U219" s="48">
        <f>U159-(U21*Seasonality!$C$75*U68+U70+U49*U159)-U106</f>
        <v/>
      </c>
      <c r="V219" s="48">
        <f>V159-(V21*Seasonality!$C$75*V68+V70+V49*V159)-V106</f>
        <v/>
      </c>
      <c r="W219" s="48">
        <f>W159-(W21*Seasonality!$C$75*W68+W70+W49*W159)-W106</f>
        <v/>
      </c>
      <c r="X219" s="48">
        <f>X159-(X21*Seasonality!$C$75*X68+X70+X49*X159)-X106</f>
        <v/>
      </c>
      <c r="Y219" s="48">
        <f>Y159-(Y21*Seasonality!$C$75*Y68+Y70+Y49*Y159)-Y106</f>
        <v/>
      </c>
      <c r="Z219" s="48">
        <f>Z159-(Z21*Seasonality!$C$75*Z68+Z70+Z49*Z159)-Z106</f>
        <v/>
      </c>
      <c r="AA219" s="48">
        <f>AA159-(AA21*Seasonality!$C$75*AA68+AA70+AA49*AA159)-AA106</f>
        <v/>
      </c>
      <c r="AB219" s="48">
        <f>AB159-(AB21*Seasonality!$C$75*AB68+AB70+AB49*AB159)-AB106</f>
        <v/>
      </c>
      <c r="AC219" s="48">
        <f>AC159-(AC21*Seasonality!$C$75*AC68+AC70+AC49*AC159)-AC106</f>
        <v/>
      </c>
      <c r="AD219" s="48">
        <f>AD159-(AD21*Seasonality!$C$75*AD68+AD70+AD49*AD159)-AD106</f>
        <v/>
      </c>
      <c r="AE219" s="48">
        <f>AE159-(AE21*Seasonality!$C$75*AE68+AE70+AE49*AE159)-AE106</f>
        <v/>
      </c>
      <c r="AF219" s="48">
        <f>AF159-(AF21*Seasonality!$C$75*AF68+AF70+AF49*AF159)-AF106</f>
        <v/>
      </c>
      <c r="AG219" s="48">
        <f>AG159-(AG21*Seasonality!$C$75*AG68+AG70+AG49*AG159)-AG106</f>
        <v/>
      </c>
      <c r="AH219" s="48">
        <f>AH159-(AH21*Seasonality!$C$75*AH68+AH70+AH49*AH159)-AH106</f>
        <v/>
      </c>
      <c r="AI219" s="48">
        <f>AI159-(AI21*Seasonality!$C$75*AI68+AI70+AI49*AI159)-AI106</f>
        <v/>
      </c>
      <c r="AJ219" s="48">
        <f>AJ159-(AJ21*Seasonality!$C$75*AJ68+AJ70+AJ49*AJ159)-AJ106</f>
        <v/>
      </c>
      <c r="AK219" s="48">
        <f>AK159-(AK21*Seasonality!$C$75*AK68+AK70+AK49*AK159)-AK106</f>
        <v/>
      </c>
      <c r="AL219" s="48">
        <f>AL159-(AL21*Seasonality!$C$75*AL68+AL70+AL49*AL159)-AL106</f>
        <v/>
      </c>
      <c r="AM219" s="48">
        <f>AM159-(AM21*Seasonality!$C$75*AM68+AM70+AM49*AM159)-AM106</f>
        <v/>
      </c>
      <c r="AN219" s="48">
        <f>AN159-(AN21*Seasonality!$C$75*AN68+AN70+AN49*AN159)-AN106</f>
        <v/>
      </c>
      <c r="AO219" s="48">
        <f>AO159-(AO21*Seasonality!$C$75*AO68+AO70+AO49*AO159)-AO106</f>
        <v/>
      </c>
      <c r="AP219" s="48">
        <f>AP159-(AP21*Seasonality!$C$75*AP68+AP70+AP49*AP159)-AP106</f>
        <v/>
      </c>
      <c r="AQ219" s="48">
        <f>AQ159-(AQ21*Seasonality!$C$75*AQ68+AQ70+AQ49*AQ159)-AQ106</f>
        <v/>
      </c>
      <c r="AR219" s="48">
        <f>AR159-(AR21*Seasonality!$C$75*AR68+AR70+AR49*AR159)-AR106</f>
        <v/>
      </c>
      <c r="AS219" s="48">
        <f>AS159-(AS21*Seasonality!$C$75*AS68+AS70+AS49*AS159)-AS106</f>
        <v/>
      </c>
      <c r="AT219" s="48">
        <f>AT159-(AT21*Seasonality!$C$75*AT68+AT70+AT49*AT159)-AT106</f>
        <v/>
      </c>
      <c r="AU219" s="48">
        <f>AU159-(AU21*Seasonality!$C$75*AU68+AU70+AU49*AU159)-AU106</f>
        <v/>
      </c>
      <c r="AV219" s="48">
        <f>AV159-(AV21*Seasonality!$C$75*AV68+AV70+AV49*AV159)-AV106</f>
        <v/>
      </c>
    </row>
    <row r="220">
      <c r="B220" s="7" t="inlineStr">
        <is>
          <t>Contribution · month 40</t>
        </is>
      </c>
      <c r="C220" s="5" t="inlineStr">
        <is>
          <t>₹</t>
        </is>
      </c>
      <c r="D220" s="48">
        <f>D160-(D21*Seasonality!$C$76*D68+D70+D49*D160)-D106</f>
        <v/>
      </c>
      <c r="E220" s="48">
        <f>E160-(E21*Seasonality!$C$76*E68+E70+E49*E160)-E106</f>
        <v/>
      </c>
      <c r="F220" s="48">
        <f>F160-(F21*Seasonality!$C$76*F68+F70+F49*F160)-F106</f>
        <v/>
      </c>
      <c r="G220" s="48">
        <f>G160-(G21*Seasonality!$C$76*G68+G70+G49*G160)-G106</f>
        <v/>
      </c>
      <c r="H220" s="48">
        <f>H160-(H21*Seasonality!$C$76*H68+H70+H49*H160)-H106</f>
        <v/>
      </c>
      <c r="I220" s="48">
        <f>I160-(I21*Seasonality!$C$76*I68+I70+I49*I160)-I106</f>
        <v/>
      </c>
      <c r="J220" s="48">
        <f>J160-(J21*Seasonality!$C$76*J68+J70+J49*J160)-J106</f>
        <v/>
      </c>
      <c r="K220" s="48">
        <f>K160-(K21*Seasonality!$C$76*K68+K70+K49*K160)-K106</f>
        <v/>
      </c>
      <c r="L220" s="48">
        <f>L160-(L21*Seasonality!$C$76*L68+L70+L49*L160)-L106</f>
        <v/>
      </c>
      <c r="M220" s="48">
        <f>M160-(M21*Seasonality!$C$76*M68+M70+M49*M160)-M106</f>
        <v/>
      </c>
      <c r="N220" s="48">
        <f>N160-(N21*Seasonality!$C$76*N68+N70+N49*N160)-N106</f>
        <v/>
      </c>
      <c r="O220" s="48">
        <f>O160-(O21*Seasonality!$C$76*O68+O70+O49*O160)-O106</f>
        <v/>
      </c>
      <c r="P220" s="48">
        <f>P160-(P21*Seasonality!$C$76*P68+P70+P49*P160)-P106</f>
        <v/>
      </c>
      <c r="Q220" s="48">
        <f>Q160-(Q21*Seasonality!$C$76*Q68+Q70+Q49*Q160)-Q106</f>
        <v/>
      </c>
      <c r="R220" s="48">
        <f>R160-(R21*Seasonality!$C$76*R68+R70+R49*R160)-R106</f>
        <v/>
      </c>
      <c r="S220" s="48">
        <f>S160-(S21*Seasonality!$C$76*S68+S70+S49*S160)-S106</f>
        <v/>
      </c>
      <c r="T220" s="48">
        <f>T160-(T21*Seasonality!$C$76*T68+T70+T49*T160)-T106</f>
        <v/>
      </c>
      <c r="U220" s="48">
        <f>U160-(U21*Seasonality!$C$76*U68+U70+U49*U160)-U106</f>
        <v/>
      </c>
      <c r="V220" s="48">
        <f>V160-(V21*Seasonality!$C$76*V68+V70+V49*V160)-V106</f>
        <v/>
      </c>
      <c r="W220" s="48">
        <f>W160-(W21*Seasonality!$C$76*W68+W70+W49*W160)-W106</f>
        <v/>
      </c>
      <c r="X220" s="48">
        <f>X160-(X21*Seasonality!$C$76*X68+X70+X49*X160)-X106</f>
        <v/>
      </c>
      <c r="Y220" s="48">
        <f>Y160-(Y21*Seasonality!$C$76*Y68+Y70+Y49*Y160)-Y106</f>
        <v/>
      </c>
      <c r="Z220" s="48">
        <f>Z160-(Z21*Seasonality!$C$76*Z68+Z70+Z49*Z160)-Z106</f>
        <v/>
      </c>
      <c r="AA220" s="48">
        <f>AA160-(AA21*Seasonality!$C$76*AA68+AA70+AA49*AA160)-AA106</f>
        <v/>
      </c>
      <c r="AB220" s="48">
        <f>AB160-(AB21*Seasonality!$C$76*AB68+AB70+AB49*AB160)-AB106</f>
        <v/>
      </c>
      <c r="AC220" s="48">
        <f>AC160-(AC21*Seasonality!$C$76*AC68+AC70+AC49*AC160)-AC106</f>
        <v/>
      </c>
      <c r="AD220" s="48">
        <f>AD160-(AD21*Seasonality!$C$76*AD68+AD70+AD49*AD160)-AD106</f>
        <v/>
      </c>
      <c r="AE220" s="48">
        <f>AE160-(AE21*Seasonality!$C$76*AE68+AE70+AE49*AE160)-AE106</f>
        <v/>
      </c>
      <c r="AF220" s="48">
        <f>AF160-(AF21*Seasonality!$C$76*AF68+AF70+AF49*AF160)-AF106</f>
        <v/>
      </c>
      <c r="AG220" s="48">
        <f>AG160-(AG21*Seasonality!$C$76*AG68+AG70+AG49*AG160)-AG106</f>
        <v/>
      </c>
      <c r="AH220" s="48">
        <f>AH160-(AH21*Seasonality!$C$76*AH68+AH70+AH49*AH160)-AH106</f>
        <v/>
      </c>
      <c r="AI220" s="48">
        <f>AI160-(AI21*Seasonality!$C$76*AI68+AI70+AI49*AI160)-AI106</f>
        <v/>
      </c>
      <c r="AJ220" s="48">
        <f>AJ160-(AJ21*Seasonality!$C$76*AJ68+AJ70+AJ49*AJ160)-AJ106</f>
        <v/>
      </c>
      <c r="AK220" s="48">
        <f>AK160-(AK21*Seasonality!$C$76*AK68+AK70+AK49*AK160)-AK106</f>
        <v/>
      </c>
      <c r="AL220" s="48">
        <f>AL160-(AL21*Seasonality!$C$76*AL68+AL70+AL49*AL160)-AL106</f>
        <v/>
      </c>
      <c r="AM220" s="48">
        <f>AM160-(AM21*Seasonality!$C$76*AM68+AM70+AM49*AM160)-AM106</f>
        <v/>
      </c>
      <c r="AN220" s="48">
        <f>AN160-(AN21*Seasonality!$C$76*AN68+AN70+AN49*AN160)-AN106</f>
        <v/>
      </c>
      <c r="AO220" s="48">
        <f>AO160-(AO21*Seasonality!$C$76*AO68+AO70+AO49*AO160)-AO106</f>
        <v/>
      </c>
      <c r="AP220" s="48">
        <f>AP160-(AP21*Seasonality!$C$76*AP68+AP70+AP49*AP160)-AP106</f>
        <v/>
      </c>
      <c r="AQ220" s="48">
        <f>AQ160-(AQ21*Seasonality!$C$76*AQ68+AQ70+AQ49*AQ160)-AQ106</f>
        <v/>
      </c>
      <c r="AR220" s="48">
        <f>AR160-(AR21*Seasonality!$C$76*AR68+AR70+AR49*AR160)-AR106</f>
        <v/>
      </c>
      <c r="AS220" s="48">
        <f>AS160-(AS21*Seasonality!$C$76*AS68+AS70+AS49*AS160)-AS106</f>
        <v/>
      </c>
      <c r="AT220" s="48">
        <f>AT160-(AT21*Seasonality!$C$76*AT68+AT70+AT49*AT160)-AT106</f>
        <v/>
      </c>
      <c r="AU220" s="48">
        <f>AU160-(AU21*Seasonality!$C$76*AU68+AU70+AU49*AU160)-AU106</f>
        <v/>
      </c>
      <c r="AV220" s="48">
        <f>AV160-(AV21*Seasonality!$C$76*AV68+AV70+AV49*AV160)-AV106</f>
        <v/>
      </c>
    </row>
    <row r="221">
      <c r="B221" s="7" t="inlineStr">
        <is>
          <t>Contribution · month 41</t>
        </is>
      </c>
      <c r="C221" s="5" t="inlineStr">
        <is>
          <t>₹</t>
        </is>
      </c>
      <c r="D221" s="48">
        <f>D161-(D21*Seasonality!$C$77*D68+D70+D49*D161)-D106</f>
        <v/>
      </c>
      <c r="E221" s="48">
        <f>E161-(E21*Seasonality!$C$77*E68+E70+E49*E161)-E106</f>
        <v/>
      </c>
      <c r="F221" s="48">
        <f>F161-(F21*Seasonality!$C$77*F68+F70+F49*F161)-F106</f>
        <v/>
      </c>
      <c r="G221" s="48">
        <f>G161-(G21*Seasonality!$C$77*G68+G70+G49*G161)-G106</f>
        <v/>
      </c>
      <c r="H221" s="48">
        <f>H161-(H21*Seasonality!$C$77*H68+H70+H49*H161)-H106</f>
        <v/>
      </c>
      <c r="I221" s="48">
        <f>I161-(I21*Seasonality!$C$77*I68+I70+I49*I161)-I106</f>
        <v/>
      </c>
      <c r="J221" s="48">
        <f>J161-(J21*Seasonality!$C$77*J68+J70+J49*J161)-J106</f>
        <v/>
      </c>
      <c r="K221" s="48">
        <f>K161-(K21*Seasonality!$C$77*K68+K70+K49*K161)-K106</f>
        <v/>
      </c>
      <c r="L221" s="48">
        <f>L161-(L21*Seasonality!$C$77*L68+L70+L49*L161)-L106</f>
        <v/>
      </c>
      <c r="M221" s="48">
        <f>M161-(M21*Seasonality!$C$77*M68+M70+M49*M161)-M106</f>
        <v/>
      </c>
      <c r="N221" s="48">
        <f>N161-(N21*Seasonality!$C$77*N68+N70+N49*N161)-N106</f>
        <v/>
      </c>
      <c r="O221" s="48">
        <f>O161-(O21*Seasonality!$C$77*O68+O70+O49*O161)-O106</f>
        <v/>
      </c>
      <c r="P221" s="48">
        <f>P161-(P21*Seasonality!$C$77*P68+P70+P49*P161)-P106</f>
        <v/>
      </c>
      <c r="Q221" s="48">
        <f>Q161-(Q21*Seasonality!$C$77*Q68+Q70+Q49*Q161)-Q106</f>
        <v/>
      </c>
      <c r="R221" s="48">
        <f>R161-(R21*Seasonality!$C$77*R68+R70+R49*R161)-R106</f>
        <v/>
      </c>
      <c r="S221" s="48">
        <f>S161-(S21*Seasonality!$C$77*S68+S70+S49*S161)-S106</f>
        <v/>
      </c>
      <c r="T221" s="48">
        <f>T161-(T21*Seasonality!$C$77*T68+T70+T49*T161)-T106</f>
        <v/>
      </c>
      <c r="U221" s="48">
        <f>U161-(U21*Seasonality!$C$77*U68+U70+U49*U161)-U106</f>
        <v/>
      </c>
      <c r="V221" s="48">
        <f>V161-(V21*Seasonality!$C$77*V68+V70+V49*V161)-V106</f>
        <v/>
      </c>
      <c r="W221" s="48">
        <f>W161-(W21*Seasonality!$C$77*W68+W70+W49*W161)-W106</f>
        <v/>
      </c>
      <c r="X221" s="48">
        <f>X161-(X21*Seasonality!$C$77*X68+X70+X49*X161)-X106</f>
        <v/>
      </c>
      <c r="Y221" s="48">
        <f>Y161-(Y21*Seasonality!$C$77*Y68+Y70+Y49*Y161)-Y106</f>
        <v/>
      </c>
      <c r="Z221" s="48">
        <f>Z161-(Z21*Seasonality!$C$77*Z68+Z70+Z49*Z161)-Z106</f>
        <v/>
      </c>
      <c r="AA221" s="48">
        <f>AA161-(AA21*Seasonality!$C$77*AA68+AA70+AA49*AA161)-AA106</f>
        <v/>
      </c>
      <c r="AB221" s="48">
        <f>AB161-(AB21*Seasonality!$C$77*AB68+AB70+AB49*AB161)-AB106</f>
        <v/>
      </c>
      <c r="AC221" s="48">
        <f>AC161-(AC21*Seasonality!$C$77*AC68+AC70+AC49*AC161)-AC106</f>
        <v/>
      </c>
      <c r="AD221" s="48">
        <f>AD161-(AD21*Seasonality!$C$77*AD68+AD70+AD49*AD161)-AD106</f>
        <v/>
      </c>
      <c r="AE221" s="48">
        <f>AE161-(AE21*Seasonality!$C$77*AE68+AE70+AE49*AE161)-AE106</f>
        <v/>
      </c>
      <c r="AF221" s="48">
        <f>AF161-(AF21*Seasonality!$C$77*AF68+AF70+AF49*AF161)-AF106</f>
        <v/>
      </c>
      <c r="AG221" s="48">
        <f>AG161-(AG21*Seasonality!$C$77*AG68+AG70+AG49*AG161)-AG106</f>
        <v/>
      </c>
      <c r="AH221" s="48">
        <f>AH161-(AH21*Seasonality!$C$77*AH68+AH70+AH49*AH161)-AH106</f>
        <v/>
      </c>
      <c r="AI221" s="48">
        <f>AI161-(AI21*Seasonality!$C$77*AI68+AI70+AI49*AI161)-AI106</f>
        <v/>
      </c>
      <c r="AJ221" s="48">
        <f>AJ161-(AJ21*Seasonality!$C$77*AJ68+AJ70+AJ49*AJ161)-AJ106</f>
        <v/>
      </c>
      <c r="AK221" s="48">
        <f>AK161-(AK21*Seasonality!$C$77*AK68+AK70+AK49*AK161)-AK106</f>
        <v/>
      </c>
      <c r="AL221" s="48">
        <f>AL161-(AL21*Seasonality!$C$77*AL68+AL70+AL49*AL161)-AL106</f>
        <v/>
      </c>
      <c r="AM221" s="48">
        <f>AM161-(AM21*Seasonality!$C$77*AM68+AM70+AM49*AM161)-AM106</f>
        <v/>
      </c>
      <c r="AN221" s="48">
        <f>AN161-(AN21*Seasonality!$C$77*AN68+AN70+AN49*AN161)-AN106</f>
        <v/>
      </c>
      <c r="AO221" s="48">
        <f>AO161-(AO21*Seasonality!$C$77*AO68+AO70+AO49*AO161)-AO106</f>
        <v/>
      </c>
      <c r="AP221" s="48">
        <f>AP161-(AP21*Seasonality!$C$77*AP68+AP70+AP49*AP161)-AP106</f>
        <v/>
      </c>
      <c r="AQ221" s="48">
        <f>AQ161-(AQ21*Seasonality!$C$77*AQ68+AQ70+AQ49*AQ161)-AQ106</f>
        <v/>
      </c>
      <c r="AR221" s="48">
        <f>AR161-(AR21*Seasonality!$C$77*AR68+AR70+AR49*AR161)-AR106</f>
        <v/>
      </c>
      <c r="AS221" s="48">
        <f>AS161-(AS21*Seasonality!$C$77*AS68+AS70+AS49*AS161)-AS106</f>
        <v/>
      </c>
      <c r="AT221" s="48">
        <f>AT161-(AT21*Seasonality!$C$77*AT68+AT70+AT49*AT161)-AT106</f>
        <v/>
      </c>
      <c r="AU221" s="48">
        <f>AU161-(AU21*Seasonality!$C$77*AU68+AU70+AU49*AU161)-AU106</f>
        <v/>
      </c>
      <c r="AV221" s="48">
        <f>AV161-(AV21*Seasonality!$C$77*AV68+AV70+AV49*AV161)-AV106</f>
        <v/>
      </c>
    </row>
    <row r="222">
      <c r="B222" s="7" t="inlineStr">
        <is>
          <t>Contribution · month 42</t>
        </is>
      </c>
      <c r="C222" s="5" t="inlineStr">
        <is>
          <t>₹</t>
        </is>
      </c>
      <c r="D222" s="48">
        <f>D162-(D21*Seasonality!$C$78*D68+D70+D49*D162)-D106</f>
        <v/>
      </c>
      <c r="E222" s="48">
        <f>E162-(E21*Seasonality!$C$78*E68+E70+E49*E162)-E106</f>
        <v/>
      </c>
      <c r="F222" s="48">
        <f>F162-(F21*Seasonality!$C$78*F68+F70+F49*F162)-F106</f>
        <v/>
      </c>
      <c r="G222" s="48">
        <f>G162-(G21*Seasonality!$C$78*G68+G70+G49*G162)-G106</f>
        <v/>
      </c>
      <c r="H222" s="48">
        <f>H162-(H21*Seasonality!$C$78*H68+H70+H49*H162)-H106</f>
        <v/>
      </c>
      <c r="I222" s="48">
        <f>I162-(I21*Seasonality!$C$78*I68+I70+I49*I162)-I106</f>
        <v/>
      </c>
      <c r="J222" s="48">
        <f>J162-(J21*Seasonality!$C$78*J68+J70+J49*J162)-J106</f>
        <v/>
      </c>
      <c r="K222" s="48">
        <f>K162-(K21*Seasonality!$C$78*K68+K70+K49*K162)-K106</f>
        <v/>
      </c>
      <c r="L222" s="48">
        <f>L162-(L21*Seasonality!$C$78*L68+L70+L49*L162)-L106</f>
        <v/>
      </c>
      <c r="M222" s="48">
        <f>M162-(M21*Seasonality!$C$78*M68+M70+M49*M162)-M106</f>
        <v/>
      </c>
      <c r="N222" s="48">
        <f>N162-(N21*Seasonality!$C$78*N68+N70+N49*N162)-N106</f>
        <v/>
      </c>
      <c r="O222" s="48">
        <f>O162-(O21*Seasonality!$C$78*O68+O70+O49*O162)-O106</f>
        <v/>
      </c>
      <c r="P222" s="48">
        <f>P162-(P21*Seasonality!$C$78*P68+P70+P49*P162)-P106</f>
        <v/>
      </c>
      <c r="Q222" s="48">
        <f>Q162-(Q21*Seasonality!$C$78*Q68+Q70+Q49*Q162)-Q106</f>
        <v/>
      </c>
      <c r="R222" s="48">
        <f>R162-(R21*Seasonality!$C$78*R68+R70+R49*R162)-R106</f>
        <v/>
      </c>
      <c r="S222" s="48">
        <f>S162-(S21*Seasonality!$C$78*S68+S70+S49*S162)-S106</f>
        <v/>
      </c>
      <c r="T222" s="48">
        <f>T162-(T21*Seasonality!$C$78*T68+T70+T49*T162)-T106</f>
        <v/>
      </c>
      <c r="U222" s="48">
        <f>U162-(U21*Seasonality!$C$78*U68+U70+U49*U162)-U106</f>
        <v/>
      </c>
      <c r="V222" s="48">
        <f>V162-(V21*Seasonality!$C$78*V68+V70+V49*V162)-V106</f>
        <v/>
      </c>
      <c r="W222" s="48">
        <f>W162-(W21*Seasonality!$C$78*W68+W70+W49*W162)-W106</f>
        <v/>
      </c>
      <c r="X222" s="48">
        <f>X162-(X21*Seasonality!$C$78*X68+X70+X49*X162)-X106</f>
        <v/>
      </c>
      <c r="Y222" s="48">
        <f>Y162-(Y21*Seasonality!$C$78*Y68+Y70+Y49*Y162)-Y106</f>
        <v/>
      </c>
      <c r="Z222" s="48">
        <f>Z162-(Z21*Seasonality!$C$78*Z68+Z70+Z49*Z162)-Z106</f>
        <v/>
      </c>
      <c r="AA222" s="48">
        <f>AA162-(AA21*Seasonality!$C$78*AA68+AA70+AA49*AA162)-AA106</f>
        <v/>
      </c>
      <c r="AB222" s="48">
        <f>AB162-(AB21*Seasonality!$C$78*AB68+AB70+AB49*AB162)-AB106</f>
        <v/>
      </c>
      <c r="AC222" s="48">
        <f>AC162-(AC21*Seasonality!$C$78*AC68+AC70+AC49*AC162)-AC106</f>
        <v/>
      </c>
      <c r="AD222" s="48">
        <f>AD162-(AD21*Seasonality!$C$78*AD68+AD70+AD49*AD162)-AD106</f>
        <v/>
      </c>
      <c r="AE222" s="48">
        <f>AE162-(AE21*Seasonality!$C$78*AE68+AE70+AE49*AE162)-AE106</f>
        <v/>
      </c>
      <c r="AF222" s="48">
        <f>AF162-(AF21*Seasonality!$C$78*AF68+AF70+AF49*AF162)-AF106</f>
        <v/>
      </c>
      <c r="AG222" s="48">
        <f>AG162-(AG21*Seasonality!$C$78*AG68+AG70+AG49*AG162)-AG106</f>
        <v/>
      </c>
      <c r="AH222" s="48">
        <f>AH162-(AH21*Seasonality!$C$78*AH68+AH70+AH49*AH162)-AH106</f>
        <v/>
      </c>
      <c r="AI222" s="48">
        <f>AI162-(AI21*Seasonality!$C$78*AI68+AI70+AI49*AI162)-AI106</f>
        <v/>
      </c>
      <c r="AJ222" s="48">
        <f>AJ162-(AJ21*Seasonality!$C$78*AJ68+AJ70+AJ49*AJ162)-AJ106</f>
        <v/>
      </c>
      <c r="AK222" s="48">
        <f>AK162-(AK21*Seasonality!$C$78*AK68+AK70+AK49*AK162)-AK106</f>
        <v/>
      </c>
      <c r="AL222" s="48">
        <f>AL162-(AL21*Seasonality!$C$78*AL68+AL70+AL49*AL162)-AL106</f>
        <v/>
      </c>
      <c r="AM222" s="48">
        <f>AM162-(AM21*Seasonality!$C$78*AM68+AM70+AM49*AM162)-AM106</f>
        <v/>
      </c>
      <c r="AN222" s="48">
        <f>AN162-(AN21*Seasonality!$C$78*AN68+AN70+AN49*AN162)-AN106</f>
        <v/>
      </c>
      <c r="AO222" s="48">
        <f>AO162-(AO21*Seasonality!$C$78*AO68+AO70+AO49*AO162)-AO106</f>
        <v/>
      </c>
      <c r="AP222" s="48">
        <f>AP162-(AP21*Seasonality!$C$78*AP68+AP70+AP49*AP162)-AP106</f>
        <v/>
      </c>
      <c r="AQ222" s="48">
        <f>AQ162-(AQ21*Seasonality!$C$78*AQ68+AQ70+AQ49*AQ162)-AQ106</f>
        <v/>
      </c>
      <c r="AR222" s="48">
        <f>AR162-(AR21*Seasonality!$C$78*AR68+AR70+AR49*AR162)-AR106</f>
        <v/>
      </c>
      <c r="AS222" s="48">
        <f>AS162-(AS21*Seasonality!$C$78*AS68+AS70+AS49*AS162)-AS106</f>
        <v/>
      </c>
      <c r="AT222" s="48">
        <f>AT162-(AT21*Seasonality!$C$78*AT68+AT70+AT49*AT162)-AT106</f>
        <v/>
      </c>
      <c r="AU222" s="48">
        <f>AU162-(AU21*Seasonality!$C$78*AU68+AU70+AU49*AU162)-AU106</f>
        <v/>
      </c>
      <c r="AV222" s="48">
        <f>AV162-(AV21*Seasonality!$C$78*AV68+AV70+AV49*AV162)-AV106</f>
        <v/>
      </c>
    </row>
    <row r="223">
      <c r="B223" s="7" t="inlineStr">
        <is>
          <t>Contribution · month 43</t>
        </is>
      </c>
      <c r="C223" s="5" t="inlineStr">
        <is>
          <t>₹</t>
        </is>
      </c>
      <c r="D223" s="48">
        <f>D163-(D21*Seasonality!$C$79*D68+D70+D49*D163)-D106</f>
        <v/>
      </c>
      <c r="E223" s="48">
        <f>E163-(E21*Seasonality!$C$79*E68+E70+E49*E163)-E106</f>
        <v/>
      </c>
      <c r="F223" s="48">
        <f>F163-(F21*Seasonality!$C$79*F68+F70+F49*F163)-F106</f>
        <v/>
      </c>
      <c r="G223" s="48">
        <f>G163-(G21*Seasonality!$C$79*G68+G70+G49*G163)-G106</f>
        <v/>
      </c>
      <c r="H223" s="48">
        <f>H163-(H21*Seasonality!$C$79*H68+H70+H49*H163)-H106</f>
        <v/>
      </c>
      <c r="I223" s="48">
        <f>I163-(I21*Seasonality!$C$79*I68+I70+I49*I163)-I106</f>
        <v/>
      </c>
      <c r="J223" s="48">
        <f>J163-(J21*Seasonality!$C$79*J68+J70+J49*J163)-J106</f>
        <v/>
      </c>
      <c r="K223" s="48">
        <f>K163-(K21*Seasonality!$C$79*K68+K70+K49*K163)-K106</f>
        <v/>
      </c>
      <c r="L223" s="48">
        <f>L163-(L21*Seasonality!$C$79*L68+L70+L49*L163)-L106</f>
        <v/>
      </c>
      <c r="M223" s="48">
        <f>M163-(M21*Seasonality!$C$79*M68+M70+M49*M163)-M106</f>
        <v/>
      </c>
      <c r="N223" s="48">
        <f>N163-(N21*Seasonality!$C$79*N68+N70+N49*N163)-N106</f>
        <v/>
      </c>
      <c r="O223" s="48">
        <f>O163-(O21*Seasonality!$C$79*O68+O70+O49*O163)-O106</f>
        <v/>
      </c>
      <c r="P223" s="48">
        <f>P163-(P21*Seasonality!$C$79*P68+P70+P49*P163)-P106</f>
        <v/>
      </c>
      <c r="Q223" s="48">
        <f>Q163-(Q21*Seasonality!$C$79*Q68+Q70+Q49*Q163)-Q106</f>
        <v/>
      </c>
      <c r="R223" s="48">
        <f>R163-(R21*Seasonality!$C$79*R68+R70+R49*R163)-R106</f>
        <v/>
      </c>
      <c r="S223" s="48">
        <f>S163-(S21*Seasonality!$C$79*S68+S70+S49*S163)-S106</f>
        <v/>
      </c>
      <c r="T223" s="48">
        <f>T163-(T21*Seasonality!$C$79*T68+T70+T49*T163)-T106</f>
        <v/>
      </c>
      <c r="U223" s="48">
        <f>U163-(U21*Seasonality!$C$79*U68+U70+U49*U163)-U106</f>
        <v/>
      </c>
      <c r="V223" s="48">
        <f>V163-(V21*Seasonality!$C$79*V68+V70+V49*V163)-V106</f>
        <v/>
      </c>
      <c r="W223" s="48">
        <f>W163-(W21*Seasonality!$C$79*W68+W70+W49*W163)-W106</f>
        <v/>
      </c>
      <c r="X223" s="48">
        <f>X163-(X21*Seasonality!$C$79*X68+X70+X49*X163)-X106</f>
        <v/>
      </c>
      <c r="Y223" s="48">
        <f>Y163-(Y21*Seasonality!$C$79*Y68+Y70+Y49*Y163)-Y106</f>
        <v/>
      </c>
      <c r="Z223" s="48">
        <f>Z163-(Z21*Seasonality!$C$79*Z68+Z70+Z49*Z163)-Z106</f>
        <v/>
      </c>
      <c r="AA223" s="48">
        <f>AA163-(AA21*Seasonality!$C$79*AA68+AA70+AA49*AA163)-AA106</f>
        <v/>
      </c>
      <c r="AB223" s="48">
        <f>AB163-(AB21*Seasonality!$C$79*AB68+AB70+AB49*AB163)-AB106</f>
        <v/>
      </c>
      <c r="AC223" s="48">
        <f>AC163-(AC21*Seasonality!$C$79*AC68+AC70+AC49*AC163)-AC106</f>
        <v/>
      </c>
      <c r="AD223" s="48">
        <f>AD163-(AD21*Seasonality!$C$79*AD68+AD70+AD49*AD163)-AD106</f>
        <v/>
      </c>
      <c r="AE223" s="48">
        <f>AE163-(AE21*Seasonality!$C$79*AE68+AE70+AE49*AE163)-AE106</f>
        <v/>
      </c>
      <c r="AF223" s="48">
        <f>AF163-(AF21*Seasonality!$C$79*AF68+AF70+AF49*AF163)-AF106</f>
        <v/>
      </c>
      <c r="AG223" s="48">
        <f>AG163-(AG21*Seasonality!$C$79*AG68+AG70+AG49*AG163)-AG106</f>
        <v/>
      </c>
      <c r="AH223" s="48">
        <f>AH163-(AH21*Seasonality!$C$79*AH68+AH70+AH49*AH163)-AH106</f>
        <v/>
      </c>
      <c r="AI223" s="48">
        <f>AI163-(AI21*Seasonality!$C$79*AI68+AI70+AI49*AI163)-AI106</f>
        <v/>
      </c>
      <c r="AJ223" s="48">
        <f>AJ163-(AJ21*Seasonality!$C$79*AJ68+AJ70+AJ49*AJ163)-AJ106</f>
        <v/>
      </c>
      <c r="AK223" s="48">
        <f>AK163-(AK21*Seasonality!$C$79*AK68+AK70+AK49*AK163)-AK106</f>
        <v/>
      </c>
      <c r="AL223" s="48">
        <f>AL163-(AL21*Seasonality!$C$79*AL68+AL70+AL49*AL163)-AL106</f>
        <v/>
      </c>
      <c r="AM223" s="48">
        <f>AM163-(AM21*Seasonality!$C$79*AM68+AM70+AM49*AM163)-AM106</f>
        <v/>
      </c>
      <c r="AN223" s="48">
        <f>AN163-(AN21*Seasonality!$C$79*AN68+AN70+AN49*AN163)-AN106</f>
        <v/>
      </c>
      <c r="AO223" s="48">
        <f>AO163-(AO21*Seasonality!$C$79*AO68+AO70+AO49*AO163)-AO106</f>
        <v/>
      </c>
      <c r="AP223" s="48">
        <f>AP163-(AP21*Seasonality!$C$79*AP68+AP70+AP49*AP163)-AP106</f>
        <v/>
      </c>
      <c r="AQ223" s="48">
        <f>AQ163-(AQ21*Seasonality!$C$79*AQ68+AQ70+AQ49*AQ163)-AQ106</f>
        <v/>
      </c>
      <c r="AR223" s="48">
        <f>AR163-(AR21*Seasonality!$C$79*AR68+AR70+AR49*AR163)-AR106</f>
        <v/>
      </c>
      <c r="AS223" s="48">
        <f>AS163-(AS21*Seasonality!$C$79*AS68+AS70+AS49*AS163)-AS106</f>
        <v/>
      </c>
      <c r="AT223" s="48">
        <f>AT163-(AT21*Seasonality!$C$79*AT68+AT70+AT49*AT163)-AT106</f>
        <v/>
      </c>
      <c r="AU223" s="48">
        <f>AU163-(AU21*Seasonality!$C$79*AU68+AU70+AU49*AU163)-AU106</f>
        <v/>
      </c>
      <c r="AV223" s="48">
        <f>AV163-(AV21*Seasonality!$C$79*AV68+AV70+AV49*AV163)-AV106</f>
        <v/>
      </c>
    </row>
    <row r="224">
      <c r="B224" s="7" t="inlineStr">
        <is>
          <t>Contribution · month 44</t>
        </is>
      </c>
      <c r="C224" s="5" t="inlineStr">
        <is>
          <t>₹</t>
        </is>
      </c>
      <c r="D224" s="48">
        <f>D164-(D21*Seasonality!$C$80*D68+D70+D49*D164)-D106</f>
        <v/>
      </c>
      <c r="E224" s="48">
        <f>E164-(E21*Seasonality!$C$80*E68+E70+E49*E164)-E106</f>
        <v/>
      </c>
      <c r="F224" s="48">
        <f>F164-(F21*Seasonality!$C$80*F68+F70+F49*F164)-F106</f>
        <v/>
      </c>
      <c r="G224" s="48">
        <f>G164-(G21*Seasonality!$C$80*G68+G70+G49*G164)-G106</f>
        <v/>
      </c>
      <c r="H224" s="48">
        <f>H164-(H21*Seasonality!$C$80*H68+H70+H49*H164)-H106</f>
        <v/>
      </c>
      <c r="I224" s="48">
        <f>I164-(I21*Seasonality!$C$80*I68+I70+I49*I164)-I106</f>
        <v/>
      </c>
      <c r="J224" s="48">
        <f>J164-(J21*Seasonality!$C$80*J68+J70+J49*J164)-J106</f>
        <v/>
      </c>
      <c r="K224" s="48">
        <f>K164-(K21*Seasonality!$C$80*K68+K70+K49*K164)-K106</f>
        <v/>
      </c>
      <c r="L224" s="48">
        <f>L164-(L21*Seasonality!$C$80*L68+L70+L49*L164)-L106</f>
        <v/>
      </c>
      <c r="M224" s="48">
        <f>M164-(M21*Seasonality!$C$80*M68+M70+M49*M164)-M106</f>
        <v/>
      </c>
      <c r="N224" s="48">
        <f>N164-(N21*Seasonality!$C$80*N68+N70+N49*N164)-N106</f>
        <v/>
      </c>
      <c r="O224" s="48">
        <f>O164-(O21*Seasonality!$C$80*O68+O70+O49*O164)-O106</f>
        <v/>
      </c>
      <c r="P224" s="48">
        <f>P164-(P21*Seasonality!$C$80*P68+P70+P49*P164)-P106</f>
        <v/>
      </c>
      <c r="Q224" s="48">
        <f>Q164-(Q21*Seasonality!$C$80*Q68+Q70+Q49*Q164)-Q106</f>
        <v/>
      </c>
      <c r="R224" s="48">
        <f>R164-(R21*Seasonality!$C$80*R68+R70+R49*R164)-R106</f>
        <v/>
      </c>
      <c r="S224" s="48">
        <f>S164-(S21*Seasonality!$C$80*S68+S70+S49*S164)-S106</f>
        <v/>
      </c>
      <c r="T224" s="48">
        <f>T164-(T21*Seasonality!$C$80*T68+T70+T49*T164)-T106</f>
        <v/>
      </c>
      <c r="U224" s="48">
        <f>U164-(U21*Seasonality!$C$80*U68+U70+U49*U164)-U106</f>
        <v/>
      </c>
      <c r="V224" s="48">
        <f>V164-(V21*Seasonality!$C$80*V68+V70+V49*V164)-V106</f>
        <v/>
      </c>
      <c r="W224" s="48">
        <f>W164-(W21*Seasonality!$C$80*W68+W70+W49*W164)-W106</f>
        <v/>
      </c>
      <c r="X224" s="48">
        <f>X164-(X21*Seasonality!$C$80*X68+X70+X49*X164)-X106</f>
        <v/>
      </c>
      <c r="Y224" s="48">
        <f>Y164-(Y21*Seasonality!$C$80*Y68+Y70+Y49*Y164)-Y106</f>
        <v/>
      </c>
      <c r="Z224" s="48">
        <f>Z164-(Z21*Seasonality!$C$80*Z68+Z70+Z49*Z164)-Z106</f>
        <v/>
      </c>
      <c r="AA224" s="48">
        <f>AA164-(AA21*Seasonality!$C$80*AA68+AA70+AA49*AA164)-AA106</f>
        <v/>
      </c>
      <c r="AB224" s="48">
        <f>AB164-(AB21*Seasonality!$C$80*AB68+AB70+AB49*AB164)-AB106</f>
        <v/>
      </c>
      <c r="AC224" s="48">
        <f>AC164-(AC21*Seasonality!$C$80*AC68+AC70+AC49*AC164)-AC106</f>
        <v/>
      </c>
      <c r="AD224" s="48">
        <f>AD164-(AD21*Seasonality!$C$80*AD68+AD70+AD49*AD164)-AD106</f>
        <v/>
      </c>
      <c r="AE224" s="48">
        <f>AE164-(AE21*Seasonality!$C$80*AE68+AE70+AE49*AE164)-AE106</f>
        <v/>
      </c>
      <c r="AF224" s="48">
        <f>AF164-(AF21*Seasonality!$C$80*AF68+AF70+AF49*AF164)-AF106</f>
        <v/>
      </c>
      <c r="AG224" s="48">
        <f>AG164-(AG21*Seasonality!$C$80*AG68+AG70+AG49*AG164)-AG106</f>
        <v/>
      </c>
      <c r="AH224" s="48">
        <f>AH164-(AH21*Seasonality!$C$80*AH68+AH70+AH49*AH164)-AH106</f>
        <v/>
      </c>
      <c r="AI224" s="48">
        <f>AI164-(AI21*Seasonality!$C$80*AI68+AI70+AI49*AI164)-AI106</f>
        <v/>
      </c>
      <c r="AJ224" s="48">
        <f>AJ164-(AJ21*Seasonality!$C$80*AJ68+AJ70+AJ49*AJ164)-AJ106</f>
        <v/>
      </c>
      <c r="AK224" s="48">
        <f>AK164-(AK21*Seasonality!$C$80*AK68+AK70+AK49*AK164)-AK106</f>
        <v/>
      </c>
      <c r="AL224" s="48">
        <f>AL164-(AL21*Seasonality!$C$80*AL68+AL70+AL49*AL164)-AL106</f>
        <v/>
      </c>
      <c r="AM224" s="48">
        <f>AM164-(AM21*Seasonality!$C$80*AM68+AM70+AM49*AM164)-AM106</f>
        <v/>
      </c>
      <c r="AN224" s="48">
        <f>AN164-(AN21*Seasonality!$C$80*AN68+AN70+AN49*AN164)-AN106</f>
        <v/>
      </c>
      <c r="AO224" s="48">
        <f>AO164-(AO21*Seasonality!$C$80*AO68+AO70+AO49*AO164)-AO106</f>
        <v/>
      </c>
      <c r="AP224" s="48">
        <f>AP164-(AP21*Seasonality!$C$80*AP68+AP70+AP49*AP164)-AP106</f>
        <v/>
      </c>
      <c r="AQ224" s="48">
        <f>AQ164-(AQ21*Seasonality!$C$80*AQ68+AQ70+AQ49*AQ164)-AQ106</f>
        <v/>
      </c>
      <c r="AR224" s="48">
        <f>AR164-(AR21*Seasonality!$C$80*AR68+AR70+AR49*AR164)-AR106</f>
        <v/>
      </c>
      <c r="AS224" s="48">
        <f>AS164-(AS21*Seasonality!$C$80*AS68+AS70+AS49*AS164)-AS106</f>
        <v/>
      </c>
      <c r="AT224" s="48">
        <f>AT164-(AT21*Seasonality!$C$80*AT68+AT70+AT49*AT164)-AT106</f>
        <v/>
      </c>
      <c r="AU224" s="48">
        <f>AU164-(AU21*Seasonality!$C$80*AU68+AU70+AU49*AU164)-AU106</f>
        <v/>
      </c>
      <c r="AV224" s="48">
        <f>AV164-(AV21*Seasonality!$C$80*AV68+AV70+AV49*AV164)-AV106</f>
        <v/>
      </c>
    </row>
    <row r="225">
      <c r="B225" s="7" t="inlineStr">
        <is>
          <t>Contribution · month 45</t>
        </is>
      </c>
      <c r="C225" s="5" t="inlineStr">
        <is>
          <t>₹</t>
        </is>
      </c>
      <c r="D225" s="48">
        <f>D165-(D21*Seasonality!$C$81*D68+D70+D49*D165)-D106</f>
        <v/>
      </c>
      <c r="E225" s="48">
        <f>E165-(E21*Seasonality!$C$81*E68+E70+E49*E165)-E106</f>
        <v/>
      </c>
      <c r="F225" s="48">
        <f>F165-(F21*Seasonality!$C$81*F68+F70+F49*F165)-F106</f>
        <v/>
      </c>
      <c r="G225" s="48">
        <f>G165-(G21*Seasonality!$C$81*G68+G70+G49*G165)-G106</f>
        <v/>
      </c>
      <c r="H225" s="48">
        <f>H165-(H21*Seasonality!$C$81*H68+H70+H49*H165)-H106</f>
        <v/>
      </c>
      <c r="I225" s="48">
        <f>I165-(I21*Seasonality!$C$81*I68+I70+I49*I165)-I106</f>
        <v/>
      </c>
      <c r="J225" s="48">
        <f>J165-(J21*Seasonality!$C$81*J68+J70+J49*J165)-J106</f>
        <v/>
      </c>
      <c r="K225" s="48">
        <f>K165-(K21*Seasonality!$C$81*K68+K70+K49*K165)-K106</f>
        <v/>
      </c>
      <c r="L225" s="48">
        <f>L165-(L21*Seasonality!$C$81*L68+L70+L49*L165)-L106</f>
        <v/>
      </c>
      <c r="M225" s="48">
        <f>M165-(M21*Seasonality!$C$81*M68+M70+M49*M165)-M106</f>
        <v/>
      </c>
      <c r="N225" s="48">
        <f>N165-(N21*Seasonality!$C$81*N68+N70+N49*N165)-N106</f>
        <v/>
      </c>
      <c r="O225" s="48">
        <f>O165-(O21*Seasonality!$C$81*O68+O70+O49*O165)-O106</f>
        <v/>
      </c>
      <c r="P225" s="48">
        <f>P165-(P21*Seasonality!$C$81*P68+P70+P49*P165)-P106</f>
        <v/>
      </c>
      <c r="Q225" s="48">
        <f>Q165-(Q21*Seasonality!$C$81*Q68+Q70+Q49*Q165)-Q106</f>
        <v/>
      </c>
      <c r="R225" s="48">
        <f>R165-(R21*Seasonality!$C$81*R68+R70+R49*R165)-R106</f>
        <v/>
      </c>
      <c r="S225" s="48">
        <f>S165-(S21*Seasonality!$C$81*S68+S70+S49*S165)-S106</f>
        <v/>
      </c>
      <c r="T225" s="48">
        <f>T165-(T21*Seasonality!$C$81*T68+T70+T49*T165)-T106</f>
        <v/>
      </c>
      <c r="U225" s="48">
        <f>U165-(U21*Seasonality!$C$81*U68+U70+U49*U165)-U106</f>
        <v/>
      </c>
      <c r="V225" s="48">
        <f>V165-(V21*Seasonality!$C$81*V68+V70+V49*V165)-V106</f>
        <v/>
      </c>
      <c r="W225" s="48">
        <f>W165-(W21*Seasonality!$C$81*W68+W70+W49*W165)-W106</f>
        <v/>
      </c>
      <c r="X225" s="48">
        <f>X165-(X21*Seasonality!$C$81*X68+X70+X49*X165)-X106</f>
        <v/>
      </c>
      <c r="Y225" s="48">
        <f>Y165-(Y21*Seasonality!$C$81*Y68+Y70+Y49*Y165)-Y106</f>
        <v/>
      </c>
      <c r="Z225" s="48">
        <f>Z165-(Z21*Seasonality!$C$81*Z68+Z70+Z49*Z165)-Z106</f>
        <v/>
      </c>
      <c r="AA225" s="48">
        <f>AA165-(AA21*Seasonality!$C$81*AA68+AA70+AA49*AA165)-AA106</f>
        <v/>
      </c>
      <c r="AB225" s="48">
        <f>AB165-(AB21*Seasonality!$C$81*AB68+AB70+AB49*AB165)-AB106</f>
        <v/>
      </c>
      <c r="AC225" s="48">
        <f>AC165-(AC21*Seasonality!$C$81*AC68+AC70+AC49*AC165)-AC106</f>
        <v/>
      </c>
      <c r="AD225" s="48">
        <f>AD165-(AD21*Seasonality!$C$81*AD68+AD70+AD49*AD165)-AD106</f>
        <v/>
      </c>
      <c r="AE225" s="48">
        <f>AE165-(AE21*Seasonality!$C$81*AE68+AE70+AE49*AE165)-AE106</f>
        <v/>
      </c>
      <c r="AF225" s="48">
        <f>AF165-(AF21*Seasonality!$C$81*AF68+AF70+AF49*AF165)-AF106</f>
        <v/>
      </c>
      <c r="AG225" s="48">
        <f>AG165-(AG21*Seasonality!$C$81*AG68+AG70+AG49*AG165)-AG106</f>
        <v/>
      </c>
      <c r="AH225" s="48">
        <f>AH165-(AH21*Seasonality!$C$81*AH68+AH70+AH49*AH165)-AH106</f>
        <v/>
      </c>
      <c r="AI225" s="48">
        <f>AI165-(AI21*Seasonality!$C$81*AI68+AI70+AI49*AI165)-AI106</f>
        <v/>
      </c>
      <c r="AJ225" s="48">
        <f>AJ165-(AJ21*Seasonality!$C$81*AJ68+AJ70+AJ49*AJ165)-AJ106</f>
        <v/>
      </c>
      <c r="AK225" s="48">
        <f>AK165-(AK21*Seasonality!$C$81*AK68+AK70+AK49*AK165)-AK106</f>
        <v/>
      </c>
      <c r="AL225" s="48">
        <f>AL165-(AL21*Seasonality!$C$81*AL68+AL70+AL49*AL165)-AL106</f>
        <v/>
      </c>
      <c r="AM225" s="48">
        <f>AM165-(AM21*Seasonality!$C$81*AM68+AM70+AM49*AM165)-AM106</f>
        <v/>
      </c>
      <c r="AN225" s="48">
        <f>AN165-(AN21*Seasonality!$C$81*AN68+AN70+AN49*AN165)-AN106</f>
        <v/>
      </c>
      <c r="AO225" s="48">
        <f>AO165-(AO21*Seasonality!$C$81*AO68+AO70+AO49*AO165)-AO106</f>
        <v/>
      </c>
      <c r="AP225" s="48">
        <f>AP165-(AP21*Seasonality!$C$81*AP68+AP70+AP49*AP165)-AP106</f>
        <v/>
      </c>
      <c r="AQ225" s="48">
        <f>AQ165-(AQ21*Seasonality!$C$81*AQ68+AQ70+AQ49*AQ165)-AQ106</f>
        <v/>
      </c>
      <c r="AR225" s="48">
        <f>AR165-(AR21*Seasonality!$C$81*AR68+AR70+AR49*AR165)-AR106</f>
        <v/>
      </c>
      <c r="AS225" s="48">
        <f>AS165-(AS21*Seasonality!$C$81*AS68+AS70+AS49*AS165)-AS106</f>
        <v/>
      </c>
      <c r="AT225" s="48">
        <f>AT165-(AT21*Seasonality!$C$81*AT68+AT70+AT49*AT165)-AT106</f>
        <v/>
      </c>
      <c r="AU225" s="48">
        <f>AU165-(AU21*Seasonality!$C$81*AU68+AU70+AU49*AU165)-AU106</f>
        <v/>
      </c>
      <c r="AV225" s="48">
        <f>AV165-(AV21*Seasonality!$C$81*AV68+AV70+AV49*AV165)-AV106</f>
        <v/>
      </c>
    </row>
    <row r="226">
      <c r="B226" s="7" t="inlineStr">
        <is>
          <t>Contribution · month 46</t>
        </is>
      </c>
      <c r="C226" s="5" t="inlineStr">
        <is>
          <t>₹</t>
        </is>
      </c>
      <c r="D226" s="48">
        <f>D166-(D21*Seasonality!$C$82*D68+D70+D49*D166)-D106</f>
        <v/>
      </c>
      <c r="E226" s="48">
        <f>E166-(E21*Seasonality!$C$82*E68+E70+E49*E166)-E106</f>
        <v/>
      </c>
      <c r="F226" s="48">
        <f>F166-(F21*Seasonality!$C$82*F68+F70+F49*F166)-F106</f>
        <v/>
      </c>
      <c r="G226" s="48">
        <f>G166-(G21*Seasonality!$C$82*G68+G70+G49*G166)-G106</f>
        <v/>
      </c>
      <c r="H226" s="48">
        <f>H166-(H21*Seasonality!$C$82*H68+H70+H49*H166)-H106</f>
        <v/>
      </c>
      <c r="I226" s="48">
        <f>I166-(I21*Seasonality!$C$82*I68+I70+I49*I166)-I106</f>
        <v/>
      </c>
      <c r="J226" s="48">
        <f>J166-(J21*Seasonality!$C$82*J68+J70+J49*J166)-J106</f>
        <v/>
      </c>
      <c r="K226" s="48">
        <f>K166-(K21*Seasonality!$C$82*K68+K70+K49*K166)-K106</f>
        <v/>
      </c>
      <c r="L226" s="48">
        <f>L166-(L21*Seasonality!$C$82*L68+L70+L49*L166)-L106</f>
        <v/>
      </c>
      <c r="M226" s="48">
        <f>M166-(M21*Seasonality!$C$82*M68+M70+M49*M166)-M106</f>
        <v/>
      </c>
      <c r="N226" s="48">
        <f>N166-(N21*Seasonality!$C$82*N68+N70+N49*N166)-N106</f>
        <v/>
      </c>
      <c r="O226" s="48">
        <f>O166-(O21*Seasonality!$C$82*O68+O70+O49*O166)-O106</f>
        <v/>
      </c>
      <c r="P226" s="48">
        <f>P166-(P21*Seasonality!$C$82*P68+P70+P49*P166)-P106</f>
        <v/>
      </c>
      <c r="Q226" s="48">
        <f>Q166-(Q21*Seasonality!$C$82*Q68+Q70+Q49*Q166)-Q106</f>
        <v/>
      </c>
      <c r="R226" s="48">
        <f>R166-(R21*Seasonality!$C$82*R68+R70+R49*R166)-R106</f>
        <v/>
      </c>
      <c r="S226" s="48">
        <f>S166-(S21*Seasonality!$C$82*S68+S70+S49*S166)-S106</f>
        <v/>
      </c>
      <c r="T226" s="48">
        <f>T166-(T21*Seasonality!$C$82*T68+T70+T49*T166)-T106</f>
        <v/>
      </c>
      <c r="U226" s="48">
        <f>U166-(U21*Seasonality!$C$82*U68+U70+U49*U166)-U106</f>
        <v/>
      </c>
      <c r="V226" s="48">
        <f>V166-(V21*Seasonality!$C$82*V68+V70+V49*V166)-V106</f>
        <v/>
      </c>
      <c r="W226" s="48">
        <f>W166-(W21*Seasonality!$C$82*W68+W70+W49*W166)-W106</f>
        <v/>
      </c>
      <c r="X226" s="48">
        <f>X166-(X21*Seasonality!$C$82*X68+X70+X49*X166)-X106</f>
        <v/>
      </c>
      <c r="Y226" s="48">
        <f>Y166-(Y21*Seasonality!$C$82*Y68+Y70+Y49*Y166)-Y106</f>
        <v/>
      </c>
      <c r="Z226" s="48">
        <f>Z166-(Z21*Seasonality!$C$82*Z68+Z70+Z49*Z166)-Z106</f>
        <v/>
      </c>
      <c r="AA226" s="48">
        <f>AA166-(AA21*Seasonality!$C$82*AA68+AA70+AA49*AA166)-AA106</f>
        <v/>
      </c>
      <c r="AB226" s="48">
        <f>AB166-(AB21*Seasonality!$C$82*AB68+AB70+AB49*AB166)-AB106</f>
        <v/>
      </c>
      <c r="AC226" s="48">
        <f>AC166-(AC21*Seasonality!$C$82*AC68+AC70+AC49*AC166)-AC106</f>
        <v/>
      </c>
      <c r="AD226" s="48">
        <f>AD166-(AD21*Seasonality!$C$82*AD68+AD70+AD49*AD166)-AD106</f>
        <v/>
      </c>
      <c r="AE226" s="48">
        <f>AE166-(AE21*Seasonality!$C$82*AE68+AE70+AE49*AE166)-AE106</f>
        <v/>
      </c>
      <c r="AF226" s="48">
        <f>AF166-(AF21*Seasonality!$C$82*AF68+AF70+AF49*AF166)-AF106</f>
        <v/>
      </c>
      <c r="AG226" s="48">
        <f>AG166-(AG21*Seasonality!$C$82*AG68+AG70+AG49*AG166)-AG106</f>
        <v/>
      </c>
      <c r="AH226" s="48">
        <f>AH166-(AH21*Seasonality!$C$82*AH68+AH70+AH49*AH166)-AH106</f>
        <v/>
      </c>
      <c r="AI226" s="48">
        <f>AI166-(AI21*Seasonality!$C$82*AI68+AI70+AI49*AI166)-AI106</f>
        <v/>
      </c>
      <c r="AJ226" s="48">
        <f>AJ166-(AJ21*Seasonality!$C$82*AJ68+AJ70+AJ49*AJ166)-AJ106</f>
        <v/>
      </c>
      <c r="AK226" s="48">
        <f>AK166-(AK21*Seasonality!$C$82*AK68+AK70+AK49*AK166)-AK106</f>
        <v/>
      </c>
      <c r="AL226" s="48">
        <f>AL166-(AL21*Seasonality!$C$82*AL68+AL70+AL49*AL166)-AL106</f>
        <v/>
      </c>
      <c r="AM226" s="48">
        <f>AM166-(AM21*Seasonality!$C$82*AM68+AM70+AM49*AM166)-AM106</f>
        <v/>
      </c>
      <c r="AN226" s="48">
        <f>AN166-(AN21*Seasonality!$C$82*AN68+AN70+AN49*AN166)-AN106</f>
        <v/>
      </c>
      <c r="AO226" s="48">
        <f>AO166-(AO21*Seasonality!$C$82*AO68+AO70+AO49*AO166)-AO106</f>
        <v/>
      </c>
      <c r="AP226" s="48">
        <f>AP166-(AP21*Seasonality!$C$82*AP68+AP70+AP49*AP166)-AP106</f>
        <v/>
      </c>
      <c r="AQ226" s="48">
        <f>AQ166-(AQ21*Seasonality!$C$82*AQ68+AQ70+AQ49*AQ166)-AQ106</f>
        <v/>
      </c>
      <c r="AR226" s="48">
        <f>AR166-(AR21*Seasonality!$C$82*AR68+AR70+AR49*AR166)-AR106</f>
        <v/>
      </c>
      <c r="AS226" s="48">
        <f>AS166-(AS21*Seasonality!$C$82*AS68+AS70+AS49*AS166)-AS106</f>
        <v/>
      </c>
      <c r="AT226" s="48">
        <f>AT166-(AT21*Seasonality!$C$82*AT68+AT70+AT49*AT166)-AT106</f>
        <v/>
      </c>
      <c r="AU226" s="48">
        <f>AU166-(AU21*Seasonality!$C$82*AU68+AU70+AU49*AU166)-AU106</f>
        <v/>
      </c>
      <c r="AV226" s="48">
        <f>AV166-(AV21*Seasonality!$C$82*AV68+AV70+AV49*AV166)-AV106</f>
        <v/>
      </c>
    </row>
    <row r="227">
      <c r="B227" s="7" t="inlineStr">
        <is>
          <t>Contribution · month 47</t>
        </is>
      </c>
      <c r="C227" s="5" t="inlineStr">
        <is>
          <t>₹</t>
        </is>
      </c>
      <c r="D227" s="48">
        <f>D167-(D21*Seasonality!$C$83*D68+D70+D49*D167)-D106</f>
        <v/>
      </c>
      <c r="E227" s="48">
        <f>E167-(E21*Seasonality!$C$83*E68+E70+E49*E167)-E106</f>
        <v/>
      </c>
      <c r="F227" s="48">
        <f>F167-(F21*Seasonality!$C$83*F68+F70+F49*F167)-F106</f>
        <v/>
      </c>
      <c r="G227" s="48">
        <f>G167-(G21*Seasonality!$C$83*G68+G70+G49*G167)-G106</f>
        <v/>
      </c>
      <c r="H227" s="48">
        <f>H167-(H21*Seasonality!$C$83*H68+H70+H49*H167)-H106</f>
        <v/>
      </c>
      <c r="I227" s="48">
        <f>I167-(I21*Seasonality!$C$83*I68+I70+I49*I167)-I106</f>
        <v/>
      </c>
      <c r="J227" s="48">
        <f>J167-(J21*Seasonality!$C$83*J68+J70+J49*J167)-J106</f>
        <v/>
      </c>
      <c r="K227" s="48">
        <f>K167-(K21*Seasonality!$C$83*K68+K70+K49*K167)-K106</f>
        <v/>
      </c>
      <c r="L227" s="48">
        <f>L167-(L21*Seasonality!$C$83*L68+L70+L49*L167)-L106</f>
        <v/>
      </c>
      <c r="M227" s="48">
        <f>M167-(M21*Seasonality!$C$83*M68+M70+M49*M167)-M106</f>
        <v/>
      </c>
      <c r="N227" s="48">
        <f>N167-(N21*Seasonality!$C$83*N68+N70+N49*N167)-N106</f>
        <v/>
      </c>
      <c r="O227" s="48">
        <f>O167-(O21*Seasonality!$C$83*O68+O70+O49*O167)-O106</f>
        <v/>
      </c>
      <c r="P227" s="48">
        <f>P167-(P21*Seasonality!$C$83*P68+P70+P49*P167)-P106</f>
        <v/>
      </c>
      <c r="Q227" s="48">
        <f>Q167-(Q21*Seasonality!$C$83*Q68+Q70+Q49*Q167)-Q106</f>
        <v/>
      </c>
      <c r="R227" s="48">
        <f>R167-(R21*Seasonality!$C$83*R68+R70+R49*R167)-R106</f>
        <v/>
      </c>
      <c r="S227" s="48">
        <f>S167-(S21*Seasonality!$C$83*S68+S70+S49*S167)-S106</f>
        <v/>
      </c>
      <c r="T227" s="48">
        <f>T167-(T21*Seasonality!$C$83*T68+T70+T49*T167)-T106</f>
        <v/>
      </c>
      <c r="U227" s="48">
        <f>U167-(U21*Seasonality!$C$83*U68+U70+U49*U167)-U106</f>
        <v/>
      </c>
      <c r="V227" s="48">
        <f>V167-(V21*Seasonality!$C$83*V68+V70+V49*V167)-V106</f>
        <v/>
      </c>
      <c r="W227" s="48">
        <f>W167-(W21*Seasonality!$C$83*W68+W70+W49*W167)-W106</f>
        <v/>
      </c>
      <c r="X227" s="48">
        <f>X167-(X21*Seasonality!$C$83*X68+X70+X49*X167)-X106</f>
        <v/>
      </c>
      <c r="Y227" s="48">
        <f>Y167-(Y21*Seasonality!$C$83*Y68+Y70+Y49*Y167)-Y106</f>
        <v/>
      </c>
      <c r="Z227" s="48">
        <f>Z167-(Z21*Seasonality!$C$83*Z68+Z70+Z49*Z167)-Z106</f>
        <v/>
      </c>
      <c r="AA227" s="48">
        <f>AA167-(AA21*Seasonality!$C$83*AA68+AA70+AA49*AA167)-AA106</f>
        <v/>
      </c>
      <c r="AB227" s="48">
        <f>AB167-(AB21*Seasonality!$C$83*AB68+AB70+AB49*AB167)-AB106</f>
        <v/>
      </c>
      <c r="AC227" s="48">
        <f>AC167-(AC21*Seasonality!$C$83*AC68+AC70+AC49*AC167)-AC106</f>
        <v/>
      </c>
      <c r="AD227" s="48">
        <f>AD167-(AD21*Seasonality!$C$83*AD68+AD70+AD49*AD167)-AD106</f>
        <v/>
      </c>
      <c r="AE227" s="48">
        <f>AE167-(AE21*Seasonality!$C$83*AE68+AE70+AE49*AE167)-AE106</f>
        <v/>
      </c>
      <c r="AF227" s="48">
        <f>AF167-(AF21*Seasonality!$C$83*AF68+AF70+AF49*AF167)-AF106</f>
        <v/>
      </c>
      <c r="AG227" s="48">
        <f>AG167-(AG21*Seasonality!$C$83*AG68+AG70+AG49*AG167)-AG106</f>
        <v/>
      </c>
      <c r="AH227" s="48">
        <f>AH167-(AH21*Seasonality!$C$83*AH68+AH70+AH49*AH167)-AH106</f>
        <v/>
      </c>
      <c r="AI227" s="48">
        <f>AI167-(AI21*Seasonality!$C$83*AI68+AI70+AI49*AI167)-AI106</f>
        <v/>
      </c>
      <c r="AJ227" s="48">
        <f>AJ167-(AJ21*Seasonality!$C$83*AJ68+AJ70+AJ49*AJ167)-AJ106</f>
        <v/>
      </c>
      <c r="AK227" s="48">
        <f>AK167-(AK21*Seasonality!$C$83*AK68+AK70+AK49*AK167)-AK106</f>
        <v/>
      </c>
      <c r="AL227" s="48">
        <f>AL167-(AL21*Seasonality!$C$83*AL68+AL70+AL49*AL167)-AL106</f>
        <v/>
      </c>
      <c r="AM227" s="48">
        <f>AM167-(AM21*Seasonality!$C$83*AM68+AM70+AM49*AM167)-AM106</f>
        <v/>
      </c>
      <c r="AN227" s="48">
        <f>AN167-(AN21*Seasonality!$C$83*AN68+AN70+AN49*AN167)-AN106</f>
        <v/>
      </c>
      <c r="AO227" s="48">
        <f>AO167-(AO21*Seasonality!$C$83*AO68+AO70+AO49*AO167)-AO106</f>
        <v/>
      </c>
      <c r="AP227" s="48">
        <f>AP167-(AP21*Seasonality!$C$83*AP68+AP70+AP49*AP167)-AP106</f>
        <v/>
      </c>
      <c r="AQ227" s="48">
        <f>AQ167-(AQ21*Seasonality!$C$83*AQ68+AQ70+AQ49*AQ167)-AQ106</f>
        <v/>
      </c>
      <c r="AR227" s="48">
        <f>AR167-(AR21*Seasonality!$C$83*AR68+AR70+AR49*AR167)-AR106</f>
        <v/>
      </c>
      <c r="AS227" s="48">
        <f>AS167-(AS21*Seasonality!$C$83*AS68+AS70+AS49*AS167)-AS106</f>
        <v/>
      </c>
      <c r="AT227" s="48">
        <f>AT167-(AT21*Seasonality!$C$83*AT68+AT70+AT49*AT167)-AT106</f>
        <v/>
      </c>
      <c r="AU227" s="48">
        <f>AU167-(AU21*Seasonality!$C$83*AU68+AU70+AU49*AU167)-AU106</f>
        <v/>
      </c>
      <c r="AV227" s="48">
        <f>AV167-(AV21*Seasonality!$C$83*AV68+AV70+AV49*AV167)-AV106</f>
        <v/>
      </c>
    </row>
    <row r="228">
      <c r="B228" s="7" t="inlineStr">
        <is>
          <t>Contribution · month 48</t>
        </is>
      </c>
      <c r="C228" s="5" t="inlineStr">
        <is>
          <t>₹</t>
        </is>
      </c>
      <c r="D228" s="48">
        <f>D168-(D21*Seasonality!$C$84*D68+D70+D49*D168)-D106</f>
        <v/>
      </c>
      <c r="E228" s="48">
        <f>E168-(E21*Seasonality!$C$84*E68+E70+E49*E168)-E106</f>
        <v/>
      </c>
      <c r="F228" s="48">
        <f>F168-(F21*Seasonality!$C$84*F68+F70+F49*F168)-F106</f>
        <v/>
      </c>
      <c r="G228" s="48">
        <f>G168-(G21*Seasonality!$C$84*G68+G70+G49*G168)-G106</f>
        <v/>
      </c>
      <c r="H228" s="48">
        <f>H168-(H21*Seasonality!$C$84*H68+H70+H49*H168)-H106</f>
        <v/>
      </c>
      <c r="I228" s="48">
        <f>I168-(I21*Seasonality!$C$84*I68+I70+I49*I168)-I106</f>
        <v/>
      </c>
      <c r="J228" s="48">
        <f>J168-(J21*Seasonality!$C$84*J68+J70+J49*J168)-J106</f>
        <v/>
      </c>
      <c r="K228" s="48">
        <f>K168-(K21*Seasonality!$C$84*K68+K70+K49*K168)-K106</f>
        <v/>
      </c>
      <c r="L228" s="48">
        <f>L168-(L21*Seasonality!$C$84*L68+L70+L49*L168)-L106</f>
        <v/>
      </c>
      <c r="M228" s="48">
        <f>M168-(M21*Seasonality!$C$84*M68+M70+M49*M168)-M106</f>
        <v/>
      </c>
      <c r="N228" s="48">
        <f>N168-(N21*Seasonality!$C$84*N68+N70+N49*N168)-N106</f>
        <v/>
      </c>
      <c r="O228" s="48">
        <f>O168-(O21*Seasonality!$C$84*O68+O70+O49*O168)-O106</f>
        <v/>
      </c>
      <c r="P228" s="48">
        <f>P168-(P21*Seasonality!$C$84*P68+P70+P49*P168)-P106</f>
        <v/>
      </c>
      <c r="Q228" s="48">
        <f>Q168-(Q21*Seasonality!$C$84*Q68+Q70+Q49*Q168)-Q106</f>
        <v/>
      </c>
      <c r="R228" s="48">
        <f>R168-(R21*Seasonality!$C$84*R68+R70+R49*R168)-R106</f>
        <v/>
      </c>
      <c r="S228" s="48">
        <f>S168-(S21*Seasonality!$C$84*S68+S70+S49*S168)-S106</f>
        <v/>
      </c>
      <c r="T228" s="48">
        <f>T168-(T21*Seasonality!$C$84*T68+T70+T49*T168)-T106</f>
        <v/>
      </c>
      <c r="U228" s="48">
        <f>U168-(U21*Seasonality!$C$84*U68+U70+U49*U168)-U106</f>
        <v/>
      </c>
      <c r="V228" s="48">
        <f>V168-(V21*Seasonality!$C$84*V68+V70+V49*V168)-V106</f>
        <v/>
      </c>
      <c r="W228" s="48">
        <f>W168-(W21*Seasonality!$C$84*W68+W70+W49*W168)-W106</f>
        <v/>
      </c>
      <c r="X228" s="48">
        <f>X168-(X21*Seasonality!$C$84*X68+X70+X49*X168)-X106</f>
        <v/>
      </c>
      <c r="Y228" s="48">
        <f>Y168-(Y21*Seasonality!$C$84*Y68+Y70+Y49*Y168)-Y106</f>
        <v/>
      </c>
      <c r="Z228" s="48">
        <f>Z168-(Z21*Seasonality!$C$84*Z68+Z70+Z49*Z168)-Z106</f>
        <v/>
      </c>
      <c r="AA228" s="48">
        <f>AA168-(AA21*Seasonality!$C$84*AA68+AA70+AA49*AA168)-AA106</f>
        <v/>
      </c>
      <c r="AB228" s="48">
        <f>AB168-(AB21*Seasonality!$C$84*AB68+AB70+AB49*AB168)-AB106</f>
        <v/>
      </c>
      <c r="AC228" s="48">
        <f>AC168-(AC21*Seasonality!$C$84*AC68+AC70+AC49*AC168)-AC106</f>
        <v/>
      </c>
      <c r="AD228" s="48">
        <f>AD168-(AD21*Seasonality!$C$84*AD68+AD70+AD49*AD168)-AD106</f>
        <v/>
      </c>
      <c r="AE228" s="48">
        <f>AE168-(AE21*Seasonality!$C$84*AE68+AE70+AE49*AE168)-AE106</f>
        <v/>
      </c>
      <c r="AF228" s="48">
        <f>AF168-(AF21*Seasonality!$C$84*AF68+AF70+AF49*AF168)-AF106</f>
        <v/>
      </c>
      <c r="AG228" s="48">
        <f>AG168-(AG21*Seasonality!$C$84*AG68+AG70+AG49*AG168)-AG106</f>
        <v/>
      </c>
      <c r="AH228" s="48">
        <f>AH168-(AH21*Seasonality!$C$84*AH68+AH70+AH49*AH168)-AH106</f>
        <v/>
      </c>
      <c r="AI228" s="48">
        <f>AI168-(AI21*Seasonality!$C$84*AI68+AI70+AI49*AI168)-AI106</f>
        <v/>
      </c>
      <c r="AJ228" s="48">
        <f>AJ168-(AJ21*Seasonality!$C$84*AJ68+AJ70+AJ49*AJ168)-AJ106</f>
        <v/>
      </c>
      <c r="AK228" s="48">
        <f>AK168-(AK21*Seasonality!$C$84*AK68+AK70+AK49*AK168)-AK106</f>
        <v/>
      </c>
      <c r="AL228" s="48">
        <f>AL168-(AL21*Seasonality!$C$84*AL68+AL70+AL49*AL168)-AL106</f>
        <v/>
      </c>
      <c r="AM228" s="48">
        <f>AM168-(AM21*Seasonality!$C$84*AM68+AM70+AM49*AM168)-AM106</f>
        <v/>
      </c>
      <c r="AN228" s="48">
        <f>AN168-(AN21*Seasonality!$C$84*AN68+AN70+AN49*AN168)-AN106</f>
        <v/>
      </c>
      <c r="AO228" s="48">
        <f>AO168-(AO21*Seasonality!$C$84*AO68+AO70+AO49*AO168)-AO106</f>
        <v/>
      </c>
      <c r="AP228" s="48">
        <f>AP168-(AP21*Seasonality!$C$84*AP68+AP70+AP49*AP168)-AP106</f>
        <v/>
      </c>
      <c r="AQ228" s="48">
        <f>AQ168-(AQ21*Seasonality!$C$84*AQ68+AQ70+AQ49*AQ168)-AQ106</f>
        <v/>
      </c>
      <c r="AR228" s="48">
        <f>AR168-(AR21*Seasonality!$C$84*AR68+AR70+AR49*AR168)-AR106</f>
        <v/>
      </c>
      <c r="AS228" s="48">
        <f>AS168-(AS21*Seasonality!$C$84*AS68+AS70+AS49*AS168)-AS106</f>
        <v/>
      </c>
      <c r="AT228" s="48">
        <f>AT168-(AT21*Seasonality!$C$84*AT68+AT70+AT49*AT168)-AT106</f>
        <v/>
      </c>
      <c r="AU228" s="48">
        <f>AU168-(AU21*Seasonality!$C$84*AU68+AU70+AU49*AU168)-AU106</f>
        <v/>
      </c>
      <c r="AV228" s="48">
        <f>AV168-(AV21*Seasonality!$C$84*AV68+AV70+AV49*AV168)-AV106</f>
        <v/>
      </c>
    </row>
    <row r="229">
      <c r="B229" s="7" t="inlineStr">
        <is>
          <t>Contribution · month 49</t>
        </is>
      </c>
      <c r="C229" s="5" t="inlineStr">
        <is>
          <t>₹</t>
        </is>
      </c>
      <c r="D229" s="48">
        <f>D169-(D21*Seasonality!$C$85*D68+D70+D49*D169)-D106</f>
        <v/>
      </c>
      <c r="E229" s="48">
        <f>E169-(E21*Seasonality!$C$85*E68+E70+E49*E169)-E106</f>
        <v/>
      </c>
      <c r="F229" s="48">
        <f>F169-(F21*Seasonality!$C$85*F68+F70+F49*F169)-F106</f>
        <v/>
      </c>
      <c r="G229" s="48">
        <f>G169-(G21*Seasonality!$C$85*G68+G70+G49*G169)-G106</f>
        <v/>
      </c>
      <c r="H229" s="48">
        <f>H169-(H21*Seasonality!$C$85*H68+H70+H49*H169)-H106</f>
        <v/>
      </c>
      <c r="I229" s="48">
        <f>I169-(I21*Seasonality!$C$85*I68+I70+I49*I169)-I106</f>
        <v/>
      </c>
      <c r="J229" s="48">
        <f>J169-(J21*Seasonality!$C$85*J68+J70+J49*J169)-J106</f>
        <v/>
      </c>
      <c r="K229" s="48">
        <f>K169-(K21*Seasonality!$C$85*K68+K70+K49*K169)-K106</f>
        <v/>
      </c>
      <c r="L229" s="48">
        <f>L169-(L21*Seasonality!$C$85*L68+L70+L49*L169)-L106</f>
        <v/>
      </c>
      <c r="M229" s="48">
        <f>M169-(M21*Seasonality!$C$85*M68+M70+M49*M169)-M106</f>
        <v/>
      </c>
      <c r="N229" s="48">
        <f>N169-(N21*Seasonality!$C$85*N68+N70+N49*N169)-N106</f>
        <v/>
      </c>
      <c r="O229" s="48">
        <f>O169-(O21*Seasonality!$C$85*O68+O70+O49*O169)-O106</f>
        <v/>
      </c>
      <c r="P229" s="48">
        <f>P169-(P21*Seasonality!$C$85*P68+P70+P49*P169)-P106</f>
        <v/>
      </c>
      <c r="Q229" s="48">
        <f>Q169-(Q21*Seasonality!$C$85*Q68+Q70+Q49*Q169)-Q106</f>
        <v/>
      </c>
      <c r="R229" s="48">
        <f>R169-(R21*Seasonality!$C$85*R68+R70+R49*R169)-R106</f>
        <v/>
      </c>
      <c r="S229" s="48">
        <f>S169-(S21*Seasonality!$C$85*S68+S70+S49*S169)-S106</f>
        <v/>
      </c>
      <c r="T229" s="48">
        <f>T169-(T21*Seasonality!$C$85*T68+T70+T49*T169)-T106</f>
        <v/>
      </c>
      <c r="U229" s="48">
        <f>U169-(U21*Seasonality!$C$85*U68+U70+U49*U169)-U106</f>
        <v/>
      </c>
      <c r="V229" s="48">
        <f>V169-(V21*Seasonality!$C$85*V68+V70+V49*V169)-V106</f>
        <v/>
      </c>
      <c r="W229" s="48">
        <f>W169-(W21*Seasonality!$C$85*W68+W70+W49*W169)-W106</f>
        <v/>
      </c>
      <c r="X229" s="48">
        <f>X169-(X21*Seasonality!$C$85*X68+X70+X49*X169)-X106</f>
        <v/>
      </c>
      <c r="Y229" s="48">
        <f>Y169-(Y21*Seasonality!$C$85*Y68+Y70+Y49*Y169)-Y106</f>
        <v/>
      </c>
      <c r="Z229" s="48">
        <f>Z169-(Z21*Seasonality!$C$85*Z68+Z70+Z49*Z169)-Z106</f>
        <v/>
      </c>
      <c r="AA229" s="48">
        <f>AA169-(AA21*Seasonality!$C$85*AA68+AA70+AA49*AA169)-AA106</f>
        <v/>
      </c>
      <c r="AB229" s="48">
        <f>AB169-(AB21*Seasonality!$C$85*AB68+AB70+AB49*AB169)-AB106</f>
        <v/>
      </c>
      <c r="AC229" s="48">
        <f>AC169-(AC21*Seasonality!$C$85*AC68+AC70+AC49*AC169)-AC106</f>
        <v/>
      </c>
      <c r="AD229" s="48">
        <f>AD169-(AD21*Seasonality!$C$85*AD68+AD70+AD49*AD169)-AD106</f>
        <v/>
      </c>
      <c r="AE229" s="48">
        <f>AE169-(AE21*Seasonality!$C$85*AE68+AE70+AE49*AE169)-AE106</f>
        <v/>
      </c>
      <c r="AF229" s="48">
        <f>AF169-(AF21*Seasonality!$C$85*AF68+AF70+AF49*AF169)-AF106</f>
        <v/>
      </c>
      <c r="AG229" s="48">
        <f>AG169-(AG21*Seasonality!$C$85*AG68+AG70+AG49*AG169)-AG106</f>
        <v/>
      </c>
      <c r="AH229" s="48">
        <f>AH169-(AH21*Seasonality!$C$85*AH68+AH70+AH49*AH169)-AH106</f>
        <v/>
      </c>
      <c r="AI229" s="48">
        <f>AI169-(AI21*Seasonality!$C$85*AI68+AI70+AI49*AI169)-AI106</f>
        <v/>
      </c>
      <c r="AJ229" s="48">
        <f>AJ169-(AJ21*Seasonality!$C$85*AJ68+AJ70+AJ49*AJ169)-AJ106</f>
        <v/>
      </c>
      <c r="AK229" s="48">
        <f>AK169-(AK21*Seasonality!$C$85*AK68+AK70+AK49*AK169)-AK106</f>
        <v/>
      </c>
      <c r="AL229" s="48">
        <f>AL169-(AL21*Seasonality!$C$85*AL68+AL70+AL49*AL169)-AL106</f>
        <v/>
      </c>
      <c r="AM229" s="48">
        <f>AM169-(AM21*Seasonality!$C$85*AM68+AM70+AM49*AM169)-AM106</f>
        <v/>
      </c>
      <c r="AN229" s="48">
        <f>AN169-(AN21*Seasonality!$C$85*AN68+AN70+AN49*AN169)-AN106</f>
        <v/>
      </c>
      <c r="AO229" s="48">
        <f>AO169-(AO21*Seasonality!$C$85*AO68+AO70+AO49*AO169)-AO106</f>
        <v/>
      </c>
      <c r="AP229" s="48">
        <f>AP169-(AP21*Seasonality!$C$85*AP68+AP70+AP49*AP169)-AP106</f>
        <v/>
      </c>
      <c r="AQ229" s="48">
        <f>AQ169-(AQ21*Seasonality!$C$85*AQ68+AQ70+AQ49*AQ169)-AQ106</f>
        <v/>
      </c>
      <c r="AR229" s="48">
        <f>AR169-(AR21*Seasonality!$C$85*AR68+AR70+AR49*AR169)-AR106</f>
        <v/>
      </c>
      <c r="AS229" s="48">
        <f>AS169-(AS21*Seasonality!$C$85*AS68+AS70+AS49*AS169)-AS106</f>
        <v/>
      </c>
      <c r="AT229" s="48">
        <f>AT169-(AT21*Seasonality!$C$85*AT68+AT70+AT49*AT169)-AT106</f>
        <v/>
      </c>
      <c r="AU229" s="48">
        <f>AU169-(AU21*Seasonality!$C$85*AU68+AU70+AU49*AU169)-AU106</f>
        <v/>
      </c>
      <c r="AV229" s="48">
        <f>AV169-(AV21*Seasonality!$C$85*AV68+AV70+AV49*AV169)-AV106</f>
        <v/>
      </c>
    </row>
    <row r="230">
      <c r="B230" s="7" t="inlineStr">
        <is>
          <t>Contribution · month 50</t>
        </is>
      </c>
      <c r="C230" s="5" t="inlineStr">
        <is>
          <t>₹</t>
        </is>
      </c>
      <c r="D230" s="48">
        <f>D170-(D21*Seasonality!$C$86*D68+D70+D49*D170)-D106</f>
        <v/>
      </c>
      <c r="E230" s="48">
        <f>E170-(E21*Seasonality!$C$86*E68+E70+E49*E170)-E106</f>
        <v/>
      </c>
      <c r="F230" s="48">
        <f>F170-(F21*Seasonality!$C$86*F68+F70+F49*F170)-F106</f>
        <v/>
      </c>
      <c r="G230" s="48">
        <f>G170-(G21*Seasonality!$C$86*G68+G70+G49*G170)-G106</f>
        <v/>
      </c>
      <c r="H230" s="48">
        <f>H170-(H21*Seasonality!$C$86*H68+H70+H49*H170)-H106</f>
        <v/>
      </c>
      <c r="I230" s="48">
        <f>I170-(I21*Seasonality!$C$86*I68+I70+I49*I170)-I106</f>
        <v/>
      </c>
      <c r="J230" s="48">
        <f>J170-(J21*Seasonality!$C$86*J68+J70+J49*J170)-J106</f>
        <v/>
      </c>
      <c r="K230" s="48">
        <f>K170-(K21*Seasonality!$C$86*K68+K70+K49*K170)-K106</f>
        <v/>
      </c>
      <c r="L230" s="48">
        <f>L170-(L21*Seasonality!$C$86*L68+L70+L49*L170)-L106</f>
        <v/>
      </c>
      <c r="M230" s="48">
        <f>M170-(M21*Seasonality!$C$86*M68+M70+M49*M170)-M106</f>
        <v/>
      </c>
      <c r="N230" s="48">
        <f>N170-(N21*Seasonality!$C$86*N68+N70+N49*N170)-N106</f>
        <v/>
      </c>
      <c r="O230" s="48">
        <f>O170-(O21*Seasonality!$C$86*O68+O70+O49*O170)-O106</f>
        <v/>
      </c>
      <c r="P230" s="48">
        <f>P170-(P21*Seasonality!$C$86*P68+P70+P49*P170)-P106</f>
        <v/>
      </c>
      <c r="Q230" s="48">
        <f>Q170-(Q21*Seasonality!$C$86*Q68+Q70+Q49*Q170)-Q106</f>
        <v/>
      </c>
      <c r="R230" s="48">
        <f>R170-(R21*Seasonality!$C$86*R68+R70+R49*R170)-R106</f>
        <v/>
      </c>
      <c r="S230" s="48">
        <f>S170-(S21*Seasonality!$C$86*S68+S70+S49*S170)-S106</f>
        <v/>
      </c>
      <c r="T230" s="48">
        <f>T170-(T21*Seasonality!$C$86*T68+T70+T49*T170)-T106</f>
        <v/>
      </c>
      <c r="U230" s="48">
        <f>U170-(U21*Seasonality!$C$86*U68+U70+U49*U170)-U106</f>
        <v/>
      </c>
      <c r="V230" s="48">
        <f>V170-(V21*Seasonality!$C$86*V68+V70+V49*V170)-V106</f>
        <v/>
      </c>
      <c r="W230" s="48">
        <f>W170-(W21*Seasonality!$C$86*W68+W70+W49*W170)-W106</f>
        <v/>
      </c>
      <c r="X230" s="48">
        <f>X170-(X21*Seasonality!$C$86*X68+X70+X49*X170)-X106</f>
        <v/>
      </c>
      <c r="Y230" s="48">
        <f>Y170-(Y21*Seasonality!$C$86*Y68+Y70+Y49*Y170)-Y106</f>
        <v/>
      </c>
      <c r="Z230" s="48">
        <f>Z170-(Z21*Seasonality!$C$86*Z68+Z70+Z49*Z170)-Z106</f>
        <v/>
      </c>
      <c r="AA230" s="48">
        <f>AA170-(AA21*Seasonality!$C$86*AA68+AA70+AA49*AA170)-AA106</f>
        <v/>
      </c>
      <c r="AB230" s="48">
        <f>AB170-(AB21*Seasonality!$C$86*AB68+AB70+AB49*AB170)-AB106</f>
        <v/>
      </c>
      <c r="AC230" s="48">
        <f>AC170-(AC21*Seasonality!$C$86*AC68+AC70+AC49*AC170)-AC106</f>
        <v/>
      </c>
      <c r="AD230" s="48">
        <f>AD170-(AD21*Seasonality!$C$86*AD68+AD70+AD49*AD170)-AD106</f>
        <v/>
      </c>
      <c r="AE230" s="48">
        <f>AE170-(AE21*Seasonality!$C$86*AE68+AE70+AE49*AE170)-AE106</f>
        <v/>
      </c>
      <c r="AF230" s="48">
        <f>AF170-(AF21*Seasonality!$C$86*AF68+AF70+AF49*AF170)-AF106</f>
        <v/>
      </c>
      <c r="AG230" s="48">
        <f>AG170-(AG21*Seasonality!$C$86*AG68+AG70+AG49*AG170)-AG106</f>
        <v/>
      </c>
      <c r="AH230" s="48">
        <f>AH170-(AH21*Seasonality!$C$86*AH68+AH70+AH49*AH170)-AH106</f>
        <v/>
      </c>
      <c r="AI230" s="48">
        <f>AI170-(AI21*Seasonality!$C$86*AI68+AI70+AI49*AI170)-AI106</f>
        <v/>
      </c>
      <c r="AJ230" s="48">
        <f>AJ170-(AJ21*Seasonality!$C$86*AJ68+AJ70+AJ49*AJ170)-AJ106</f>
        <v/>
      </c>
      <c r="AK230" s="48">
        <f>AK170-(AK21*Seasonality!$C$86*AK68+AK70+AK49*AK170)-AK106</f>
        <v/>
      </c>
      <c r="AL230" s="48">
        <f>AL170-(AL21*Seasonality!$C$86*AL68+AL70+AL49*AL170)-AL106</f>
        <v/>
      </c>
      <c r="AM230" s="48">
        <f>AM170-(AM21*Seasonality!$C$86*AM68+AM70+AM49*AM170)-AM106</f>
        <v/>
      </c>
      <c r="AN230" s="48">
        <f>AN170-(AN21*Seasonality!$C$86*AN68+AN70+AN49*AN170)-AN106</f>
        <v/>
      </c>
      <c r="AO230" s="48">
        <f>AO170-(AO21*Seasonality!$C$86*AO68+AO70+AO49*AO170)-AO106</f>
        <v/>
      </c>
      <c r="AP230" s="48">
        <f>AP170-(AP21*Seasonality!$C$86*AP68+AP70+AP49*AP170)-AP106</f>
        <v/>
      </c>
      <c r="AQ230" s="48">
        <f>AQ170-(AQ21*Seasonality!$C$86*AQ68+AQ70+AQ49*AQ170)-AQ106</f>
        <v/>
      </c>
      <c r="AR230" s="48">
        <f>AR170-(AR21*Seasonality!$C$86*AR68+AR70+AR49*AR170)-AR106</f>
        <v/>
      </c>
      <c r="AS230" s="48">
        <f>AS170-(AS21*Seasonality!$C$86*AS68+AS70+AS49*AS170)-AS106</f>
        <v/>
      </c>
      <c r="AT230" s="48">
        <f>AT170-(AT21*Seasonality!$C$86*AT68+AT70+AT49*AT170)-AT106</f>
        <v/>
      </c>
      <c r="AU230" s="48">
        <f>AU170-(AU21*Seasonality!$C$86*AU68+AU70+AU49*AU170)-AU106</f>
        <v/>
      </c>
      <c r="AV230" s="48">
        <f>AV170-(AV21*Seasonality!$C$86*AV68+AV70+AV49*AV170)-AV106</f>
        <v/>
      </c>
    </row>
    <row r="231">
      <c r="B231" s="7" t="inlineStr">
        <is>
          <t>Contribution · month 51</t>
        </is>
      </c>
      <c r="C231" s="5" t="inlineStr">
        <is>
          <t>₹</t>
        </is>
      </c>
      <c r="D231" s="48">
        <f>D171-(D21*Seasonality!$C$87*D68+D70+D49*D171)-D106</f>
        <v/>
      </c>
      <c r="E231" s="48">
        <f>E171-(E21*Seasonality!$C$87*E68+E70+E49*E171)-E106</f>
        <v/>
      </c>
      <c r="F231" s="48">
        <f>F171-(F21*Seasonality!$C$87*F68+F70+F49*F171)-F106</f>
        <v/>
      </c>
      <c r="G231" s="48">
        <f>G171-(G21*Seasonality!$C$87*G68+G70+G49*G171)-G106</f>
        <v/>
      </c>
      <c r="H231" s="48">
        <f>H171-(H21*Seasonality!$C$87*H68+H70+H49*H171)-H106</f>
        <v/>
      </c>
      <c r="I231" s="48">
        <f>I171-(I21*Seasonality!$C$87*I68+I70+I49*I171)-I106</f>
        <v/>
      </c>
      <c r="J231" s="48">
        <f>J171-(J21*Seasonality!$C$87*J68+J70+J49*J171)-J106</f>
        <v/>
      </c>
      <c r="K231" s="48">
        <f>K171-(K21*Seasonality!$C$87*K68+K70+K49*K171)-K106</f>
        <v/>
      </c>
      <c r="L231" s="48">
        <f>L171-(L21*Seasonality!$C$87*L68+L70+L49*L171)-L106</f>
        <v/>
      </c>
      <c r="M231" s="48">
        <f>M171-(M21*Seasonality!$C$87*M68+M70+M49*M171)-M106</f>
        <v/>
      </c>
      <c r="N231" s="48">
        <f>N171-(N21*Seasonality!$C$87*N68+N70+N49*N171)-N106</f>
        <v/>
      </c>
      <c r="O231" s="48">
        <f>O171-(O21*Seasonality!$C$87*O68+O70+O49*O171)-O106</f>
        <v/>
      </c>
      <c r="P231" s="48">
        <f>P171-(P21*Seasonality!$C$87*P68+P70+P49*P171)-P106</f>
        <v/>
      </c>
      <c r="Q231" s="48">
        <f>Q171-(Q21*Seasonality!$C$87*Q68+Q70+Q49*Q171)-Q106</f>
        <v/>
      </c>
      <c r="R231" s="48">
        <f>R171-(R21*Seasonality!$C$87*R68+R70+R49*R171)-R106</f>
        <v/>
      </c>
      <c r="S231" s="48">
        <f>S171-(S21*Seasonality!$C$87*S68+S70+S49*S171)-S106</f>
        <v/>
      </c>
      <c r="T231" s="48">
        <f>T171-(T21*Seasonality!$C$87*T68+T70+T49*T171)-T106</f>
        <v/>
      </c>
      <c r="U231" s="48">
        <f>U171-(U21*Seasonality!$C$87*U68+U70+U49*U171)-U106</f>
        <v/>
      </c>
      <c r="V231" s="48">
        <f>V171-(V21*Seasonality!$C$87*V68+V70+V49*V171)-V106</f>
        <v/>
      </c>
      <c r="W231" s="48">
        <f>W171-(W21*Seasonality!$C$87*W68+W70+W49*W171)-W106</f>
        <v/>
      </c>
      <c r="X231" s="48">
        <f>X171-(X21*Seasonality!$C$87*X68+X70+X49*X171)-X106</f>
        <v/>
      </c>
      <c r="Y231" s="48">
        <f>Y171-(Y21*Seasonality!$C$87*Y68+Y70+Y49*Y171)-Y106</f>
        <v/>
      </c>
      <c r="Z231" s="48">
        <f>Z171-(Z21*Seasonality!$C$87*Z68+Z70+Z49*Z171)-Z106</f>
        <v/>
      </c>
      <c r="AA231" s="48">
        <f>AA171-(AA21*Seasonality!$C$87*AA68+AA70+AA49*AA171)-AA106</f>
        <v/>
      </c>
      <c r="AB231" s="48">
        <f>AB171-(AB21*Seasonality!$C$87*AB68+AB70+AB49*AB171)-AB106</f>
        <v/>
      </c>
      <c r="AC231" s="48">
        <f>AC171-(AC21*Seasonality!$C$87*AC68+AC70+AC49*AC171)-AC106</f>
        <v/>
      </c>
      <c r="AD231" s="48">
        <f>AD171-(AD21*Seasonality!$C$87*AD68+AD70+AD49*AD171)-AD106</f>
        <v/>
      </c>
      <c r="AE231" s="48">
        <f>AE171-(AE21*Seasonality!$C$87*AE68+AE70+AE49*AE171)-AE106</f>
        <v/>
      </c>
      <c r="AF231" s="48">
        <f>AF171-(AF21*Seasonality!$C$87*AF68+AF70+AF49*AF171)-AF106</f>
        <v/>
      </c>
      <c r="AG231" s="48">
        <f>AG171-(AG21*Seasonality!$C$87*AG68+AG70+AG49*AG171)-AG106</f>
        <v/>
      </c>
      <c r="AH231" s="48">
        <f>AH171-(AH21*Seasonality!$C$87*AH68+AH70+AH49*AH171)-AH106</f>
        <v/>
      </c>
      <c r="AI231" s="48">
        <f>AI171-(AI21*Seasonality!$C$87*AI68+AI70+AI49*AI171)-AI106</f>
        <v/>
      </c>
      <c r="AJ231" s="48">
        <f>AJ171-(AJ21*Seasonality!$C$87*AJ68+AJ70+AJ49*AJ171)-AJ106</f>
        <v/>
      </c>
      <c r="AK231" s="48">
        <f>AK171-(AK21*Seasonality!$C$87*AK68+AK70+AK49*AK171)-AK106</f>
        <v/>
      </c>
      <c r="AL231" s="48">
        <f>AL171-(AL21*Seasonality!$C$87*AL68+AL70+AL49*AL171)-AL106</f>
        <v/>
      </c>
      <c r="AM231" s="48">
        <f>AM171-(AM21*Seasonality!$C$87*AM68+AM70+AM49*AM171)-AM106</f>
        <v/>
      </c>
      <c r="AN231" s="48">
        <f>AN171-(AN21*Seasonality!$C$87*AN68+AN70+AN49*AN171)-AN106</f>
        <v/>
      </c>
      <c r="AO231" s="48">
        <f>AO171-(AO21*Seasonality!$C$87*AO68+AO70+AO49*AO171)-AO106</f>
        <v/>
      </c>
      <c r="AP231" s="48">
        <f>AP171-(AP21*Seasonality!$C$87*AP68+AP70+AP49*AP171)-AP106</f>
        <v/>
      </c>
      <c r="AQ231" s="48">
        <f>AQ171-(AQ21*Seasonality!$C$87*AQ68+AQ70+AQ49*AQ171)-AQ106</f>
        <v/>
      </c>
      <c r="AR231" s="48">
        <f>AR171-(AR21*Seasonality!$C$87*AR68+AR70+AR49*AR171)-AR106</f>
        <v/>
      </c>
      <c r="AS231" s="48">
        <f>AS171-(AS21*Seasonality!$C$87*AS68+AS70+AS49*AS171)-AS106</f>
        <v/>
      </c>
      <c r="AT231" s="48">
        <f>AT171-(AT21*Seasonality!$C$87*AT68+AT70+AT49*AT171)-AT106</f>
        <v/>
      </c>
      <c r="AU231" s="48">
        <f>AU171-(AU21*Seasonality!$C$87*AU68+AU70+AU49*AU171)-AU106</f>
        <v/>
      </c>
      <c r="AV231" s="48">
        <f>AV171-(AV21*Seasonality!$C$87*AV68+AV70+AV49*AV171)-AV106</f>
        <v/>
      </c>
    </row>
    <row r="232">
      <c r="B232" s="7" t="inlineStr">
        <is>
          <t>Contribution · month 52</t>
        </is>
      </c>
      <c r="C232" s="5" t="inlineStr">
        <is>
          <t>₹</t>
        </is>
      </c>
      <c r="D232" s="48">
        <f>D172-(D21*Seasonality!$C$88*D68+D70+D49*D172)-D106</f>
        <v/>
      </c>
      <c r="E232" s="48">
        <f>E172-(E21*Seasonality!$C$88*E68+E70+E49*E172)-E106</f>
        <v/>
      </c>
      <c r="F232" s="48">
        <f>F172-(F21*Seasonality!$C$88*F68+F70+F49*F172)-F106</f>
        <v/>
      </c>
      <c r="G232" s="48">
        <f>G172-(G21*Seasonality!$C$88*G68+G70+G49*G172)-G106</f>
        <v/>
      </c>
      <c r="H232" s="48">
        <f>H172-(H21*Seasonality!$C$88*H68+H70+H49*H172)-H106</f>
        <v/>
      </c>
      <c r="I232" s="48">
        <f>I172-(I21*Seasonality!$C$88*I68+I70+I49*I172)-I106</f>
        <v/>
      </c>
      <c r="J232" s="48">
        <f>J172-(J21*Seasonality!$C$88*J68+J70+J49*J172)-J106</f>
        <v/>
      </c>
      <c r="K232" s="48">
        <f>K172-(K21*Seasonality!$C$88*K68+K70+K49*K172)-K106</f>
        <v/>
      </c>
      <c r="L232" s="48">
        <f>L172-(L21*Seasonality!$C$88*L68+L70+L49*L172)-L106</f>
        <v/>
      </c>
      <c r="M232" s="48">
        <f>M172-(M21*Seasonality!$C$88*M68+M70+M49*M172)-M106</f>
        <v/>
      </c>
      <c r="N232" s="48">
        <f>N172-(N21*Seasonality!$C$88*N68+N70+N49*N172)-N106</f>
        <v/>
      </c>
      <c r="O232" s="48">
        <f>O172-(O21*Seasonality!$C$88*O68+O70+O49*O172)-O106</f>
        <v/>
      </c>
      <c r="P232" s="48">
        <f>P172-(P21*Seasonality!$C$88*P68+P70+P49*P172)-P106</f>
        <v/>
      </c>
      <c r="Q232" s="48">
        <f>Q172-(Q21*Seasonality!$C$88*Q68+Q70+Q49*Q172)-Q106</f>
        <v/>
      </c>
      <c r="R232" s="48">
        <f>R172-(R21*Seasonality!$C$88*R68+R70+R49*R172)-R106</f>
        <v/>
      </c>
      <c r="S232" s="48">
        <f>S172-(S21*Seasonality!$C$88*S68+S70+S49*S172)-S106</f>
        <v/>
      </c>
      <c r="T232" s="48">
        <f>T172-(T21*Seasonality!$C$88*T68+T70+T49*T172)-T106</f>
        <v/>
      </c>
      <c r="U232" s="48">
        <f>U172-(U21*Seasonality!$C$88*U68+U70+U49*U172)-U106</f>
        <v/>
      </c>
      <c r="V232" s="48">
        <f>V172-(V21*Seasonality!$C$88*V68+V70+V49*V172)-V106</f>
        <v/>
      </c>
      <c r="W232" s="48">
        <f>W172-(W21*Seasonality!$C$88*W68+W70+W49*W172)-W106</f>
        <v/>
      </c>
      <c r="X232" s="48">
        <f>X172-(X21*Seasonality!$C$88*X68+X70+X49*X172)-X106</f>
        <v/>
      </c>
      <c r="Y232" s="48">
        <f>Y172-(Y21*Seasonality!$C$88*Y68+Y70+Y49*Y172)-Y106</f>
        <v/>
      </c>
      <c r="Z232" s="48">
        <f>Z172-(Z21*Seasonality!$C$88*Z68+Z70+Z49*Z172)-Z106</f>
        <v/>
      </c>
      <c r="AA232" s="48">
        <f>AA172-(AA21*Seasonality!$C$88*AA68+AA70+AA49*AA172)-AA106</f>
        <v/>
      </c>
      <c r="AB232" s="48">
        <f>AB172-(AB21*Seasonality!$C$88*AB68+AB70+AB49*AB172)-AB106</f>
        <v/>
      </c>
      <c r="AC232" s="48">
        <f>AC172-(AC21*Seasonality!$C$88*AC68+AC70+AC49*AC172)-AC106</f>
        <v/>
      </c>
      <c r="AD232" s="48">
        <f>AD172-(AD21*Seasonality!$C$88*AD68+AD70+AD49*AD172)-AD106</f>
        <v/>
      </c>
      <c r="AE232" s="48">
        <f>AE172-(AE21*Seasonality!$C$88*AE68+AE70+AE49*AE172)-AE106</f>
        <v/>
      </c>
      <c r="AF232" s="48">
        <f>AF172-(AF21*Seasonality!$C$88*AF68+AF70+AF49*AF172)-AF106</f>
        <v/>
      </c>
      <c r="AG232" s="48">
        <f>AG172-(AG21*Seasonality!$C$88*AG68+AG70+AG49*AG172)-AG106</f>
        <v/>
      </c>
      <c r="AH232" s="48">
        <f>AH172-(AH21*Seasonality!$C$88*AH68+AH70+AH49*AH172)-AH106</f>
        <v/>
      </c>
      <c r="AI232" s="48">
        <f>AI172-(AI21*Seasonality!$C$88*AI68+AI70+AI49*AI172)-AI106</f>
        <v/>
      </c>
      <c r="AJ232" s="48">
        <f>AJ172-(AJ21*Seasonality!$C$88*AJ68+AJ70+AJ49*AJ172)-AJ106</f>
        <v/>
      </c>
      <c r="AK232" s="48">
        <f>AK172-(AK21*Seasonality!$C$88*AK68+AK70+AK49*AK172)-AK106</f>
        <v/>
      </c>
      <c r="AL232" s="48">
        <f>AL172-(AL21*Seasonality!$C$88*AL68+AL70+AL49*AL172)-AL106</f>
        <v/>
      </c>
      <c r="AM232" s="48">
        <f>AM172-(AM21*Seasonality!$C$88*AM68+AM70+AM49*AM172)-AM106</f>
        <v/>
      </c>
      <c r="AN232" s="48">
        <f>AN172-(AN21*Seasonality!$C$88*AN68+AN70+AN49*AN172)-AN106</f>
        <v/>
      </c>
      <c r="AO232" s="48">
        <f>AO172-(AO21*Seasonality!$C$88*AO68+AO70+AO49*AO172)-AO106</f>
        <v/>
      </c>
      <c r="AP232" s="48">
        <f>AP172-(AP21*Seasonality!$C$88*AP68+AP70+AP49*AP172)-AP106</f>
        <v/>
      </c>
      <c r="AQ232" s="48">
        <f>AQ172-(AQ21*Seasonality!$C$88*AQ68+AQ70+AQ49*AQ172)-AQ106</f>
        <v/>
      </c>
      <c r="AR232" s="48">
        <f>AR172-(AR21*Seasonality!$C$88*AR68+AR70+AR49*AR172)-AR106</f>
        <v/>
      </c>
      <c r="AS232" s="48">
        <f>AS172-(AS21*Seasonality!$C$88*AS68+AS70+AS49*AS172)-AS106</f>
        <v/>
      </c>
      <c r="AT232" s="48">
        <f>AT172-(AT21*Seasonality!$C$88*AT68+AT70+AT49*AT172)-AT106</f>
        <v/>
      </c>
      <c r="AU232" s="48">
        <f>AU172-(AU21*Seasonality!$C$88*AU68+AU70+AU49*AU172)-AU106</f>
        <v/>
      </c>
      <c r="AV232" s="48">
        <f>AV172-(AV21*Seasonality!$C$88*AV68+AV70+AV49*AV172)-AV106</f>
        <v/>
      </c>
    </row>
    <row r="233">
      <c r="B233" s="7" t="inlineStr">
        <is>
          <t>Contribution · month 53</t>
        </is>
      </c>
      <c r="C233" s="5" t="inlineStr">
        <is>
          <t>₹</t>
        </is>
      </c>
      <c r="D233" s="48">
        <f>D173-(D21*Seasonality!$C$89*D68+D70+D49*D173)-D106</f>
        <v/>
      </c>
      <c r="E233" s="48">
        <f>E173-(E21*Seasonality!$C$89*E68+E70+E49*E173)-E106</f>
        <v/>
      </c>
      <c r="F233" s="48">
        <f>F173-(F21*Seasonality!$C$89*F68+F70+F49*F173)-F106</f>
        <v/>
      </c>
      <c r="G233" s="48">
        <f>G173-(G21*Seasonality!$C$89*G68+G70+G49*G173)-G106</f>
        <v/>
      </c>
      <c r="H233" s="48">
        <f>H173-(H21*Seasonality!$C$89*H68+H70+H49*H173)-H106</f>
        <v/>
      </c>
      <c r="I233" s="48">
        <f>I173-(I21*Seasonality!$C$89*I68+I70+I49*I173)-I106</f>
        <v/>
      </c>
      <c r="J233" s="48">
        <f>J173-(J21*Seasonality!$C$89*J68+J70+J49*J173)-J106</f>
        <v/>
      </c>
      <c r="K233" s="48">
        <f>K173-(K21*Seasonality!$C$89*K68+K70+K49*K173)-K106</f>
        <v/>
      </c>
      <c r="L233" s="48">
        <f>L173-(L21*Seasonality!$C$89*L68+L70+L49*L173)-L106</f>
        <v/>
      </c>
      <c r="M233" s="48">
        <f>M173-(M21*Seasonality!$C$89*M68+M70+M49*M173)-M106</f>
        <v/>
      </c>
      <c r="N233" s="48">
        <f>N173-(N21*Seasonality!$C$89*N68+N70+N49*N173)-N106</f>
        <v/>
      </c>
      <c r="O233" s="48">
        <f>O173-(O21*Seasonality!$C$89*O68+O70+O49*O173)-O106</f>
        <v/>
      </c>
      <c r="P233" s="48">
        <f>P173-(P21*Seasonality!$C$89*P68+P70+P49*P173)-P106</f>
        <v/>
      </c>
      <c r="Q233" s="48">
        <f>Q173-(Q21*Seasonality!$C$89*Q68+Q70+Q49*Q173)-Q106</f>
        <v/>
      </c>
      <c r="R233" s="48">
        <f>R173-(R21*Seasonality!$C$89*R68+R70+R49*R173)-R106</f>
        <v/>
      </c>
      <c r="S233" s="48">
        <f>S173-(S21*Seasonality!$C$89*S68+S70+S49*S173)-S106</f>
        <v/>
      </c>
      <c r="T233" s="48">
        <f>T173-(T21*Seasonality!$C$89*T68+T70+T49*T173)-T106</f>
        <v/>
      </c>
      <c r="U233" s="48">
        <f>U173-(U21*Seasonality!$C$89*U68+U70+U49*U173)-U106</f>
        <v/>
      </c>
      <c r="V233" s="48">
        <f>V173-(V21*Seasonality!$C$89*V68+V70+V49*V173)-V106</f>
        <v/>
      </c>
      <c r="W233" s="48">
        <f>W173-(W21*Seasonality!$C$89*W68+W70+W49*W173)-W106</f>
        <v/>
      </c>
      <c r="X233" s="48">
        <f>X173-(X21*Seasonality!$C$89*X68+X70+X49*X173)-X106</f>
        <v/>
      </c>
      <c r="Y233" s="48">
        <f>Y173-(Y21*Seasonality!$C$89*Y68+Y70+Y49*Y173)-Y106</f>
        <v/>
      </c>
      <c r="Z233" s="48">
        <f>Z173-(Z21*Seasonality!$C$89*Z68+Z70+Z49*Z173)-Z106</f>
        <v/>
      </c>
      <c r="AA233" s="48">
        <f>AA173-(AA21*Seasonality!$C$89*AA68+AA70+AA49*AA173)-AA106</f>
        <v/>
      </c>
      <c r="AB233" s="48">
        <f>AB173-(AB21*Seasonality!$C$89*AB68+AB70+AB49*AB173)-AB106</f>
        <v/>
      </c>
      <c r="AC233" s="48">
        <f>AC173-(AC21*Seasonality!$C$89*AC68+AC70+AC49*AC173)-AC106</f>
        <v/>
      </c>
      <c r="AD233" s="48">
        <f>AD173-(AD21*Seasonality!$C$89*AD68+AD70+AD49*AD173)-AD106</f>
        <v/>
      </c>
      <c r="AE233" s="48">
        <f>AE173-(AE21*Seasonality!$C$89*AE68+AE70+AE49*AE173)-AE106</f>
        <v/>
      </c>
      <c r="AF233" s="48">
        <f>AF173-(AF21*Seasonality!$C$89*AF68+AF70+AF49*AF173)-AF106</f>
        <v/>
      </c>
      <c r="AG233" s="48">
        <f>AG173-(AG21*Seasonality!$C$89*AG68+AG70+AG49*AG173)-AG106</f>
        <v/>
      </c>
      <c r="AH233" s="48">
        <f>AH173-(AH21*Seasonality!$C$89*AH68+AH70+AH49*AH173)-AH106</f>
        <v/>
      </c>
      <c r="AI233" s="48">
        <f>AI173-(AI21*Seasonality!$C$89*AI68+AI70+AI49*AI173)-AI106</f>
        <v/>
      </c>
      <c r="AJ233" s="48">
        <f>AJ173-(AJ21*Seasonality!$C$89*AJ68+AJ70+AJ49*AJ173)-AJ106</f>
        <v/>
      </c>
      <c r="AK233" s="48">
        <f>AK173-(AK21*Seasonality!$C$89*AK68+AK70+AK49*AK173)-AK106</f>
        <v/>
      </c>
      <c r="AL233" s="48">
        <f>AL173-(AL21*Seasonality!$C$89*AL68+AL70+AL49*AL173)-AL106</f>
        <v/>
      </c>
      <c r="AM233" s="48">
        <f>AM173-(AM21*Seasonality!$C$89*AM68+AM70+AM49*AM173)-AM106</f>
        <v/>
      </c>
      <c r="AN233" s="48">
        <f>AN173-(AN21*Seasonality!$C$89*AN68+AN70+AN49*AN173)-AN106</f>
        <v/>
      </c>
      <c r="AO233" s="48">
        <f>AO173-(AO21*Seasonality!$C$89*AO68+AO70+AO49*AO173)-AO106</f>
        <v/>
      </c>
      <c r="AP233" s="48">
        <f>AP173-(AP21*Seasonality!$C$89*AP68+AP70+AP49*AP173)-AP106</f>
        <v/>
      </c>
      <c r="AQ233" s="48">
        <f>AQ173-(AQ21*Seasonality!$C$89*AQ68+AQ70+AQ49*AQ173)-AQ106</f>
        <v/>
      </c>
      <c r="AR233" s="48">
        <f>AR173-(AR21*Seasonality!$C$89*AR68+AR70+AR49*AR173)-AR106</f>
        <v/>
      </c>
      <c r="AS233" s="48">
        <f>AS173-(AS21*Seasonality!$C$89*AS68+AS70+AS49*AS173)-AS106</f>
        <v/>
      </c>
      <c r="AT233" s="48">
        <f>AT173-(AT21*Seasonality!$C$89*AT68+AT70+AT49*AT173)-AT106</f>
        <v/>
      </c>
      <c r="AU233" s="48">
        <f>AU173-(AU21*Seasonality!$C$89*AU68+AU70+AU49*AU173)-AU106</f>
        <v/>
      </c>
      <c r="AV233" s="48">
        <f>AV173-(AV21*Seasonality!$C$89*AV68+AV70+AV49*AV173)-AV106</f>
        <v/>
      </c>
    </row>
    <row r="234">
      <c r="B234" s="7" t="inlineStr">
        <is>
          <t>Contribution · month 54</t>
        </is>
      </c>
      <c r="C234" s="5" t="inlineStr">
        <is>
          <t>₹</t>
        </is>
      </c>
      <c r="D234" s="48">
        <f>D174-(D21*Seasonality!$C$90*D68+D70+D49*D174)-D106</f>
        <v/>
      </c>
      <c r="E234" s="48">
        <f>E174-(E21*Seasonality!$C$90*E68+E70+E49*E174)-E106</f>
        <v/>
      </c>
      <c r="F234" s="48">
        <f>F174-(F21*Seasonality!$C$90*F68+F70+F49*F174)-F106</f>
        <v/>
      </c>
      <c r="G234" s="48">
        <f>G174-(G21*Seasonality!$C$90*G68+G70+G49*G174)-G106</f>
        <v/>
      </c>
      <c r="H234" s="48">
        <f>H174-(H21*Seasonality!$C$90*H68+H70+H49*H174)-H106</f>
        <v/>
      </c>
      <c r="I234" s="48">
        <f>I174-(I21*Seasonality!$C$90*I68+I70+I49*I174)-I106</f>
        <v/>
      </c>
      <c r="J234" s="48">
        <f>J174-(J21*Seasonality!$C$90*J68+J70+J49*J174)-J106</f>
        <v/>
      </c>
      <c r="K234" s="48">
        <f>K174-(K21*Seasonality!$C$90*K68+K70+K49*K174)-K106</f>
        <v/>
      </c>
      <c r="L234" s="48">
        <f>L174-(L21*Seasonality!$C$90*L68+L70+L49*L174)-L106</f>
        <v/>
      </c>
      <c r="M234" s="48">
        <f>M174-(M21*Seasonality!$C$90*M68+M70+M49*M174)-M106</f>
        <v/>
      </c>
      <c r="N234" s="48">
        <f>N174-(N21*Seasonality!$C$90*N68+N70+N49*N174)-N106</f>
        <v/>
      </c>
      <c r="O234" s="48">
        <f>O174-(O21*Seasonality!$C$90*O68+O70+O49*O174)-O106</f>
        <v/>
      </c>
      <c r="P234" s="48">
        <f>P174-(P21*Seasonality!$C$90*P68+P70+P49*P174)-P106</f>
        <v/>
      </c>
      <c r="Q234" s="48">
        <f>Q174-(Q21*Seasonality!$C$90*Q68+Q70+Q49*Q174)-Q106</f>
        <v/>
      </c>
      <c r="R234" s="48">
        <f>R174-(R21*Seasonality!$C$90*R68+R70+R49*R174)-R106</f>
        <v/>
      </c>
      <c r="S234" s="48">
        <f>S174-(S21*Seasonality!$C$90*S68+S70+S49*S174)-S106</f>
        <v/>
      </c>
      <c r="T234" s="48">
        <f>T174-(T21*Seasonality!$C$90*T68+T70+T49*T174)-T106</f>
        <v/>
      </c>
      <c r="U234" s="48">
        <f>U174-(U21*Seasonality!$C$90*U68+U70+U49*U174)-U106</f>
        <v/>
      </c>
      <c r="V234" s="48">
        <f>V174-(V21*Seasonality!$C$90*V68+V70+V49*V174)-V106</f>
        <v/>
      </c>
      <c r="W234" s="48">
        <f>W174-(W21*Seasonality!$C$90*W68+W70+W49*W174)-W106</f>
        <v/>
      </c>
      <c r="X234" s="48">
        <f>X174-(X21*Seasonality!$C$90*X68+X70+X49*X174)-X106</f>
        <v/>
      </c>
      <c r="Y234" s="48">
        <f>Y174-(Y21*Seasonality!$C$90*Y68+Y70+Y49*Y174)-Y106</f>
        <v/>
      </c>
      <c r="Z234" s="48">
        <f>Z174-(Z21*Seasonality!$C$90*Z68+Z70+Z49*Z174)-Z106</f>
        <v/>
      </c>
      <c r="AA234" s="48">
        <f>AA174-(AA21*Seasonality!$C$90*AA68+AA70+AA49*AA174)-AA106</f>
        <v/>
      </c>
      <c r="AB234" s="48">
        <f>AB174-(AB21*Seasonality!$C$90*AB68+AB70+AB49*AB174)-AB106</f>
        <v/>
      </c>
      <c r="AC234" s="48">
        <f>AC174-(AC21*Seasonality!$C$90*AC68+AC70+AC49*AC174)-AC106</f>
        <v/>
      </c>
      <c r="AD234" s="48">
        <f>AD174-(AD21*Seasonality!$C$90*AD68+AD70+AD49*AD174)-AD106</f>
        <v/>
      </c>
      <c r="AE234" s="48">
        <f>AE174-(AE21*Seasonality!$C$90*AE68+AE70+AE49*AE174)-AE106</f>
        <v/>
      </c>
      <c r="AF234" s="48">
        <f>AF174-(AF21*Seasonality!$C$90*AF68+AF70+AF49*AF174)-AF106</f>
        <v/>
      </c>
      <c r="AG234" s="48">
        <f>AG174-(AG21*Seasonality!$C$90*AG68+AG70+AG49*AG174)-AG106</f>
        <v/>
      </c>
      <c r="AH234" s="48">
        <f>AH174-(AH21*Seasonality!$C$90*AH68+AH70+AH49*AH174)-AH106</f>
        <v/>
      </c>
      <c r="AI234" s="48">
        <f>AI174-(AI21*Seasonality!$C$90*AI68+AI70+AI49*AI174)-AI106</f>
        <v/>
      </c>
      <c r="AJ234" s="48">
        <f>AJ174-(AJ21*Seasonality!$C$90*AJ68+AJ70+AJ49*AJ174)-AJ106</f>
        <v/>
      </c>
      <c r="AK234" s="48">
        <f>AK174-(AK21*Seasonality!$C$90*AK68+AK70+AK49*AK174)-AK106</f>
        <v/>
      </c>
      <c r="AL234" s="48">
        <f>AL174-(AL21*Seasonality!$C$90*AL68+AL70+AL49*AL174)-AL106</f>
        <v/>
      </c>
      <c r="AM234" s="48">
        <f>AM174-(AM21*Seasonality!$C$90*AM68+AM70+AM49*AM174)-AM106</f>
        <v/>
      </c>
      <c r="AN234" s="48">
        <f>AN174-(AN21*Seasonality!$C$90*AN68+AN70+AN49*AN174)-AN106</f>
        <v/>
      </c>
      <c r="AO234" s="48">
        <f>AO174-(AO21*Seasonality!$C$90*AO68+AO70+AO49*AO174)-AO106</f>
        <v/>
      </c>
      <c r="AP234" s="48">
        <f>AP174-(AP21*Seasonality!$C$90*AP68+AP70+AP49*AP174)-AP106</f>
        <v/>
      </c>
      <c r="AQ234" s="48">
        <f>AQ174-(AQ21*Seasonality!$C$90*AQ68+AQ70+AQ49*AQ174)-AQ106</f>
        <v/>
      </c>
      <c r="AR234" s="48">
        <f>AR174-(AR21*Seasonality!$C$90*AR68+AR70+AR49*AR174)-AR106</f>
        <v/>
      </c>
      <c r="AS234" s="48">
        <f>AS174-(AS21*Seasonality!$C$90*AS68+AS70+AS49*AS174)-AS106</f>
        <v/>
      </c>
      <c r="AT234" s="48">
        <f>AT174-(AT21*Seasonality!$C$90*AT68+AT70+AT49*AT174)-AT106</f>
        <v/>
      </c>
      <c r="AU234" s="48">
        <f>AU174-(AU21*Seasonality!$C$90*AU68+AU70+AU49*AU174)-AU106</f>
        <v/>
      </c>
      <c r="AV234" s="48">
        <f>AV174-(AV21*Seasonality!$C$90*AV68+AV70+AV49*AV174)-AV106</f>
        <v/>
      </c>
    </row>
    <row r="235">
      <c r="B235" s="7" t="inlineStr">
        <is>
          <t>Contribution · month 55</t>
        </is>
      </c>
      <c r="C235" s="5" t="inlineStr">
        <is>
          <t>₹</t>
        </is>
      </c>
      <c r="D235" s="48">
        <f>D175-(D21*Seasonality!$C$91*D68+D70+D49*D175)-D106</f>
        <v/>
      </c>
      <c r="E235" s="48">
        <f>E175-(E21*Seasonality!$C$91*E68+E70+E49*E175)-E106</f>
        <v/>
      </c>
      <c r="F235" s="48">
        <f>F175-(F21*Seasonality!$C$91*F68+F70+F49*F175)-F106</f>
        <v/>
      </c>
      <c r="G235" s="48">
        <f>G175-(G21*Seasonality!$C$91*G68+G70+G49*G175)-G106</f>
        <v/>
      </c>
      <c r="H235" s="48">
        <f>H175-(H21*Seasonality!$C$91*H68+H70+H49*H175)-H106</f>
        <v/>
      </c>
      <c r="I235" s="48">
        <f>I175-(I21*Seasonality!$C$91*I68+I70+I49*I175)-I106</f>
        <v/>
      </c>
      <c r="J235" s="48">
        <f>J175-(J21*Seasonality!$C$91*J68+J70+J49*J175)-J106</f>
        <v/>
      </c>
      <c r="K235" s="48">
        <f>K175-(K21*Seasonality!$C$91*K68+K70+K49*K175)-K106</f>
        <v/>
      </c>
      <c r="L235" s="48">
        <f>L175-(L21*Seasonality!$C$91*L68+L70+L49*L175)-L106</f>
        <v/>
      </c>
      <c r="M235" s="48">
        <f>M175-(M21*Seasonality!$C$91*M68+M70+M49*M175)-M106</f>
        <v/>
      </c>
      <c r="N235" s="48">
        <f>N175-(N21*Seasonality!$C$91*N68+N70+N49*N175)-N106</f>
        <v/>
      </c>
      <c r="O235" s="48">
        <f>O175-(O21*Seasonality!$C$91*O68+O70+O49*O175)-O106</f>
        <v/>
      </c>
      <c r="P235" s="48">
        <f>P175-(P21*Seasonality!$C$91*P68+P70+P49*P175)-P106</f>
        <v/>
      </c>
      <c r="Q235" s="48">
        <f>Q175-(Q21*Seasonality!$C$91*Q68+Q70+Q49*Q175)-Q106</f>
        <v/>
      </c>
      <c r="R235" s="48">
        <f>R175-(R21*Seasonality!$C$91*R68+R70+R49*R175)-R106</f>
        <v/>
      </c>
      <c r="S235" s="48">
        <f>S175-(S21*Seasonality!$C$91*S68+S70+S49*S175)-S106</f>
        <v/>
      </c>
      <c r="T235" s="48">
        <f>T175-(T21*Seasonality!$C$91*T68+T70+T49*T175)-T106</f>
        <v/>
      </c>
      <c r="U235" s="48">
        <f>U175-(U21*Seasonality!$C$91*U68+U70+U49*U175)-U106</f>
        <v/>
      </c>
      <c r="V235" s="48">
        <f>V175-(V21*Seasonality!$C$91*V68+V70+V49*V175)-V106</f>
        <v/>
      </c>
      <c r="W235" s="48">
        <f>W175-(W21*Seasonality!$C$91*W68+W70+W49*W175)-W106</f>
        <v/>
      </c>
      <c r="X235" s="48">
        <f>X175-(X21*Seasonality!$C$91*X68+X70+X49*X175)-X106</f>
        <v/>
      </c>
      <c r="Y235" s="48">
        <f>Y175-(Y21*Seasonality!$C$91*Y68+Y70+Y49*Y175)-Y106</f>
        <v/>
      </c>
      <c r="Z235" s="48">
        <f>Z175-(Z21*Seasonality!$C$91*Z68+Z70+Z49*Z175)-Z106</f>
        <v/>
      </c>
      <c r="AA235" s="48">
        <f>AA175-(AA21*Seasonality!$C$91*AA68+AA70+AA49*AA175)-AA106</f>
        <v/>
      </c>
      <c r="AB235" s="48">
        <f>AB175-(AB21*Seasonality!$C$91*AB68+AB70+AB49*AB175)-AB106</f>
        <v/>
      </c>
      <c r="AC235" s="48">
        <f>AC175-(AC21*Seasonality!$C$91*AC68+AC70+AC49*AC175)-AC106</f>
        <v/>
      </c>
      <c r="AD235" s="48">
        <f>AD175-(AD21*Seasonality!$C$91*AD68+AD70+AD49*AD175)-AD106</f>
        <v/>
      </c>
      <c r="AE235" s="48">
        <f>AE175-(AE21*Seasonality!$C$91*AE68+AE70+AE49*AE175)-AE106</f>
        <v/>
      </c>
      <c r="AF235" s="48">
        <f>AF175-(AF21*Seasonality!$C$91*AF68+AF70+AF49*AF175)-AF106</f>
        <v/>
      </c>
      <c r="AG235" s="48">
        <f>AG175-(AG21*Seasonality!$C$91*AG68+AG70+AG49*AG175)-AG106</f>
        <v/>
      </c>
      <c r="AH235" s="48">
        <f>AH175-(AH21*Seasonality!$C$91*AH68+AH70+AH49*AH175)-AH106</f>
        <v/>
      </c>
      <c r="AI235" s="48">
        <f>AI175-(AI21*Seasonality!$C$91*AI68+AI70+AI49*AI175)-AI106</f>
        <v/>
      </c>
      <c r="AJ235" s="48">
        <f>AJ175-(AJ21*Seasonality!$C$91*AJ68+AJ70+AJ49*AJ175)-AJ106</f>
        <v/>
      </c>
      <c r="AK235" s="48">
        <f>AK175-(AK21*Seasonality!$C$91*AK68+AK70+AK49*AK175)-AK106</f>
        <v/>
      </c>
      <c r="AL235" s="48">
        <f>AL175-(AL21*Seasonality!$C$91*AL68+AL70+AL49*AL175)-AL106</f>
        <v/>
      </c>
      <c r="AM235" s="48">
        <f>AM175-(AM21*Seasonality!$C$91*AM68+AM70+AM49*AM175)-AM106</f>
        <v/>
      </c>
      <c r="AN235" s="48">
        <f>AN175-(AN21*Seasonality!$C$91*AN68+AN70+AN49*AN175)-AN106</f>
        <v/>
      </c>
      <c r="AO235" s="48">
        <f>AO175-(AO21*Seasonality!$C$91*AO68+AO70+AO49*AO175)-AO106</f>
        <v/>
      </c>
      <c r="AP235" s="48">
        <f>AP175-(AP21*Seasonality!$C$91*AP68+AP70+AP49*AP175)-AP106</f>
        <v/>
      </c>
      <c r="AQ235" s="48">
        <f>AQ175-(AQ21*Seasonality!$C$91*AQ68+AQ70+AQ49*AQ175)-AQ106</f>
        <v/>
      </c>
      <c r="AR235" s="48">
        <f>AR175-(AR21*Seasonality!$C$91*AR68+AR70+AR49*AR175)-AR106</f>
        <v/>
      </c>
      <c r="AS235" s="48">
        <f>AS175-(AS21*Seasonality!$C$91*AS68+AS70+AS49*AS175)-AS106</f>
        <v/>
      </c>
      <c r="AT235" s="48">
        <f>AT175-(AT21*Seasonality!$C$91*AT68+AT70+AT49*AT175)-AT106</f>
        <v/>
      </c>
      <c r="AU235" s="48">
        <f>AU175-(AU21*Seasonality!$C$91*AU68+AU70+AU49*AU175)-AU106</f>
        <v/>
      </c>
      <c r="AV235" s="48">
        <f>AV175-(AV21*Seasonality!$C$91*AV68+AV70+AV49*AV175)-AV106</f>
        <v/>
      </c>
    </row>
    <row r="236">
      <c r="B236" s="7" t="inlineStr">
        <is>
          <t>Contribution · month 56</t>
        </is>
      </c>
      <c r="C236" s="5" t="inlineStr">
        <is>
          <t>₹</t>
        </is>
      </c>
      <c r="D236" s="48">
        <f>D176-(D21*Seasonality!$C$92*D68+D70+D49*D176)-D106</f>
        <v/>
      </c>
      <c r="E236" s="48">
        <f>E176-(E21*Seasonality!$C$92*E68+E70+E49*E176)-E106</f>
        <v/>
      </c>
      <c r="F236" s="48">
        <f>F176-(F21*Seasonality!$C$92*F68+F70+F49*F176)-F106</f>
        <v/>
      </c>
      <c r="G236" s="48">
        <f>G176-(G21*Seasonality!$C$92*G68+G70+G49*G176)-G106</f>
        <v/>
      </c>
      <c r="H236" s="48">
        <f>H176-(H21*Seasonality!$C$92*H68+H70+H49*H176)-H106</f>
        <v/>
      </c>
      <c r="I236" s="48">
        <f>I176-(I21*Seasonality!$C$92*I68+I70+I49*I176)-I106</f>
        <v/>
      </c>
      <c r="J236" s="48">
        <f>J176-(J21*Seasonality!$C$92*J68+J70+J49*J176)-J106</f>
        <v/>
      </c>
      <c r="K236" s="48">
        <f>K176-(K21*Seasonality!$C$92*K68+K70+K49*K176)-K106</f>
        <v/>
      </c>
      <c r="L236" s="48">
        <f>L176-(L21*Seasonality!$C$92*L68+L70+L49*L176)-L106</f>
        <v/>
      </c>
      <c r="M236" s="48">
        <f>M176-(M21*Seasonality!$C$92*M68+M70+M49*M176)-M106</f>
        <v/>
      </c>
      <c r="N236" s="48">
        <f>N176-(N21*Seasonality!$C$92*N68+N70+N49*N176)-N106</f>
        <v/>
      </c>
      <c r="O236" s="48">
        <f>O176-(O21*Seasonality!$C$92*O68+O70+O49*O176)-O106</f>
        <v/>
      </c>
      <c r="P236" s="48">
        <f>P176-(P21*Seasonality!$C$92*P68+P70+P49*P176)-P106</f>
        <v/>
      </c>
      <c r="Q236" s="48">
        <f>Q176-(Q21*Seasonality!$C$92*Q68+Q70+Q49*Q176)-Q106</f>
        <v/>
      </c>
      <c r="R236" s="48">
        <f>R176-(R21*Seasonality!$C$92*R68+R70+R49*R176)-R106</f>
        <v/>
      </c>
      <c r="S236" s="48">
        <f>S176-(S21*Seasonality!$C$92*S68+S70+S49*S176)-S106</f>
        <v/>
      </c>
      <c r="T236" s="48">
        <f>T176-(T21*Seasonality!$C$92*T68+T70+T49*T176)-T106</f>
        <v/>
      </c>
      <c r="U236" s="48">
        <f>U176-(U21*Seasonality!$C$92*U68+U70+U49*U176)-U106</f>
        <v/>
      </c>
      <c r="V236" s="48">
        <f>V176-(V21*Seasonality!$C$92*V68+V70+V49*V176)-V106</f>
        <v/>
      </c>
      <c r="W236" s="48">
        <f>W176-(W21*Seasonality!$C$92*W68+W70+W49*W176)-W106</f>
        <v/>
      </c>
      <c r="X236" s="48">
        <f>X176-(X21*Seasonality!$C$92*X68+X70+X49*X176)-X106</f>
        <v/>
      </c>
      <c r="Y236" s="48">
        <f>Y176-(Y21*Seasonality!$C$92*Y68+Y70+Y49*Y176)-Y106</f>
        <v/>
      </c>
      <c r="Z236" s="48">
        <f>Z176-(Z21*Seasonality!$C$92*Z68+Z70+Z49*Z176)-Z106</f>
        <v/>
      </c>
      <c r="AA236" s="48">
        <f>AA176-(AA21*Seasonality!$C$92*AA68+AA70+AA49*AA176)-AA106</f>
        <v/>
      </c>
      <c r="AB236" s="48">
        <f>AB176-(AB21*Seasonality!$C$92*AB68+AB70+AB49*AB176)-AB106</f>
        <v/>
      </c>
      <c r="AC236" s="48">
        <f>AC176-(AC21*Seasonality!$C$92*AC68+AC70+AC49*AC176)-AC106</f>
        <v/>
      </c>
      <c r="AD236" s="48">
        <f>AD176-(AD21*Seasonality!$C$92*AD68+AD70+AD49*AD176)-AD106</f>
        <v/>
      </c>
      <c r="AE236" s="48">
        <f>AE176-(AE21*Seasonality!$C$92*AE68+AE70+AE49*AE176)-AE106</f>
        <v/>
      </c>
      <c r="AF236" s="48">
        <f>AF176-(AF21*Seasonality!$C$92*AF68+AF70+AF49*AF176)-AF106</f>
        <v/>
      </c>
      <c r="AG236" s="48">
        <f>AG176-(AG21*Seasonality!$C$92*AG68+AG70+AG49*AG176)-AG106</f>
        <v/>
      </c>
      <c r="AH236" s="48">
        <f>AH176-(AH21*Seasonality!$C$92*AH68+AH70+AH49*AH176)-AH106</f>
        <v/>
      </c>
      <c r="AI236" s="48">
        <f>AI176-(AI21*Seasonality!$C$92*AI68+AI70+AI49*AI176)-AI106</f>
        <v/>
      </c>
      <c r="AJ236" s="48">
        <f>AJ176-(AJ21*Seasonality!$C$92*AJ68+AJ70+AJ49*AJ176)-AJ106</f>
        <v/>
      </c>
      <c r="AK236" s="48">
        <f>AK176-(AK21*Seasonality!$C$92*AK68+AK70+AK49*AK176)-AK106</f>
        <v/>
      </c>
      <c r="AL236" s="48">
        <f>AL176-(AL21*Seasonality!$C$92*AL68+AL70+AL49*AL176)-AL106</f>
        <v/>
      </c>
      <c r="AM236" s="48">
        <f>AM176-(AM21*Seasonality!$C$92*AM68+AM70+AM49*AM176)-AM106</f>
        <v/>
      </c>
      <c r="AN236" s="48">
        <f>AN176-(AN21*Seasonality!$C$92*AN68+AN70+AN49*AN176)-AN106</f>
        <v/>
      </c>
      <c r="AO236" s="48">
        <f>AO176-(AO21*Seasonality!$C$92*AO68+AO70+AO49*AO176)-AO106</f>
        <v/>
      </c>
      <c r="AP236" s="48">
        <f>AP176-(AP21*Seasonality!$C$92*AP68+AP70+AP49*AP176)-AP106</f>
        <v/>
      </c>
      <c r="AQ236" s="48">
        <f>AQ176-(AQ21*Seasonality!$C$92*AQ68+AQ70+AQ49*AQ176)-AQ106</f>
        <v/>
      </c>
      <c r="AR236" s="48">
        <f>AR176-(AR21*Seasonality!$C$92*AR68+AR70+AR49*AR176)-AR106</f>
        <v/>
      </c>
      <c r="AS236" s="48">
        <f>AS176-(AS21*Seasonality!$C$92*AS68+AS70+AS49*AS176)-AS106</f>
        <v/>
      </c>
      <c r="AT236" s="48">
        <f>AT176-(AT21*Seasonality!$C$92*AT68+AT70+AT49*AT176)-AT106</f>
        <v/>
      </c>
      <c r="AU236" s="48">
        <f>AU176-(AU21*Seasonality!$C$92*AU68+AU70+AU49*AU176)-AU106</f>
        <v/>
      </c>
      <c r="AV236" s="48">
        <f>AV176-(AV21*Seasonality!$C$92*AV68+AV70+AV49*AV176)-AV106</f>
        <v/>
      </c>
    </row>
    <row r="237">
      <c r="B237" s="7" t="inlineStr">
        <is>
          <t>Contribution · month 57</t>
        </is>
      </c>
      <c r="C237" s="5" t="inlineStr">
        <is>
          <t>₹</t>
        </is>
      </c>
      <c r="D237" s="48">
        <f>D177-(D21*Seasonality!$C$93*D68+D70+D49*D177)-D106</f>
        <v/>
      </c>
      <c r="E237" s="48">
        <f>E177-(E21*Seasonality!$C$93*E68+E70+E49*E177)-E106</f>
        <v/>
      </c>
      <c r="F237" s="48">
        <f>F177-(F21*Seasonality!$C$93*F68+F70+F49*F177)-F106</f>
        <v/>
      </c>
      <c r="G237" s="48">
        <f>G177-(G21*Seasonality!$C$93*G68+G70+G49*G177)-G106</f>
        <v/>
      </c>
      <c r="H237" s="48">
        <f>H177-(H21*Seasonality!$C$93*H68+H70+H49*H177)-H106</f>
        <v/>
      </c>
      <c r="I237" s="48">
        <f>I177-(I21*Seasonality!$C$93*I68+I70+I49*I177)-I106</f>
        <v/>
      </c>
      <c r="J237" s="48">
        <f>J177-(J21*Seasonality!$C$93*J68+J70+J49*J177)-J106</f>
        <v/>
      </c>
      <c r="K237" s="48">
        <f>K177-(K21*Seasonality!$C$93*K68+K70+K49*K177)-K106</f>
        <v/>
      </c>
      <c r="L237" s="48">
        <f>L177-(L21*Seasonality!$C$93*L68+L70+L49*L177)-L106</f>
        <v/>
      </c>
      <c r="M237" s="48">
        <f>M177-(M21*Seasonality!$C$93*M68+M70+M49*M177)-M106</f>
        <v/>
      </c>
      <c r="N237" s="48">
        <f>N177-(N21*Seasonality!$C$93*N68+N70+N49*N177)-N106</f>
        <v/>
      </c>
      <c r="O237" s="48">
        <f>O177-(O21*Seasonality!$C$93*O68+O70+O49*O177)-O106</f>
        <v/>
      </c>
      <c r="P237" s="48">
        <f>P177-(P21*Seasonality!$C$93*P68+P70+P49*P177)-P106</f>
        <v/>
      </c>
      <c r="Q237" s="48">
        <f>Q177-(Q21*Seasonality!$C$93*Q68+Q70+Q49*Q177)-Q106</f>
        <v/>
      </c>
      <c r="R237" s="48">
        <f>R177-(R21*Seasonality!$C$93*R68+R70+R49*R177)-R106</f>
        <v/>
      </c>
      <c r="S237" s="48">
        <f>S177-(S21*Seasonality!$C$93*S68+S70+S49*S177)-S106</f>
        <v/>
      </c>
      <c r="T237" s="48">
        <f>T177-(T21*Seasonality!$C$93*T68+T70+T49*T177)-T106</f>
        <v/>
      </c>
      <c r="U237" s="48">
        <f>U177-(U21*Seasonality!$C$93*U68+U70+U49*U177)-U106</f>
        <v/>
      </c>
      <c r="V237" s="48">
        <f>V177-(V21*Seasonality!$C$93*V68+V70+V49*V177)-V106</f>
        <v/>
      </c>
      <c r="W237" s="48">
        <f>W177-(W21*Seasonality!$C$93*W68+W70+W49*W177)-W106</f>
        <v/>
      </c>
      <c r="X237" s="48">
        <f>X177-(X21*Seasonality!$C$93*X68+X70+X49*X177)-X106</f>
        <v/>
      </c>
      <c r="Y237" s="48">
        <f>Y177-(Y21*Seasonality!$C$93*Y68+Y70+Y49*Y177)-Y106</f>
        <v/>
      </c>
      <c r="Z237" s="48">
        <f>Z177-(Z21*Seasonality!$C$93*Z68+Z70+Z49*Z177)-Z106</f>
        <v/>
      </c>
      <c r="AA237" s="48">
        <f>AA177-(AA21*Seasonality!$C$93*AA68+AA70+AA49*AA177)-AA106</f>
        <v/>
      </c>
      <c r="AB237" s="48">
        <f>AB177-(AB21*Seasonality!$C$93*AB68+AB70+AB49*AB177)-AB106</f>
        <v/>
      </c>
      <c r="AC237" s="48">
        <f>AC177-(AC21*Seasonality!$C$93*AC68+AC70+AC49*AC177)-AC106</f>
        <v/>
      </c>
      <c r="AD237" s="48">
        <f>AD177-(AD21*Seasonality!$C$93*AD68+AD70+AD49*AD177)-AD106</f>
        <v/>
      </c>
      <c r="AE237" s="48">
        <f>AE177-(AE21*Seasonality!$C$93*AE68+AE70+AE49*AE177)-AE106</f>
        <v/>
      </c>
      <c r="AF237" s="48">
        <f>AF177-(AF21*Seasonality!$C$93*AF68+AF70+AF49*AF177)-AF106</f>
        <v/>
      </c>
      <c r="AG237" s="48">
        <f>AG177-(AG21*Seasonality!$C$93*AG68+AG70+AG49*AG177)-AG106</f>
        <v/>
      </c>
      <c r="AH237" s="48">
        <f>AH177-(AH21*Seasonality!$C$93*AH68+AH70+AH49*AH177)-AH106</f>
        <v/>
      </c>
      <c r="AI237" s="48">
        <f>AI177-(AI21*Seasonality!$C$93*AI68+AI70+AI49*AI177)-AI106</f>
        <v/>
      </c>
      <c r="AJ237" s="48">
        <f>AJ177-(AJ21*Seasonality!$C$93*AJ68+AJ70+AJ49*AJ177)-AJ106</f>
        <v/>
      </c>
      <c r="AK237" s="48">
        <f>AK177-(AK21*Seasonality!$C$93*AK68+AK70+AK49*AK177)-AK106</f>
        <v/>
      </c>
      <c r="AL237" s="48">
        <f>AL177-(AL21*Seasonality!$C$93*AL68+AL70+AL49*AL177)-AL106</f>
        <v/>
      </c>
      <c r="AM237" s="48">
        <f>AM177-(AM21*Seasonality!$C$93*AM68+AM70+AM49*AM177)-AM106</f>
        <v/>
      </c>
      <c r="AN237" s="48">
        <f>AN177-(AN21*Seasonality!$C$93*AN68+AN70+AN49*AN177)-AN106</f>
        <v/>
      </c>
      <c r="AO237" s="48">
        <f>AO177-(AO21*Seasonality!$C$93*AO68+AO70+AO49*AO177)-AO106</f>
        <v/>
      </c>
      <c r="AP237" s="48">
        <f>AP177-(AP21*Seasonality!$C$93*AP68+AP70+AP49*AP177)-AP106</f>
        <v/>
      </c>
      <c r="AQ237" s="48">
        <f>AQ177-(AQ21*Seasonality!$C$93*AQ68+AQ70+AQ49*AQ177)-AQ106</f>
        <v/>
      </c>
      <c r="AR237" s="48">
        <f>AR177-(AR21*Seasonality!$C$93*AR68+AR70+AR49*AR177)-AR106</f>
        <v/>
      </c>
      <c r="AS237" s="48">
        <f>AS177-(AS21*Seasonality!$C$93*AS68+AS70+AS49*AS177)-AS106</f>
        <v/>
      </c>
      <c r="AT237" s="48">
        <f>AT177-(AT21*Seasonality!$C$93*AT68+AT70+AT49*AT177)-AT106</f>
        <v/>
      </c>
      <c r="AU237" s="48">
        <f>AU177-(AU21*Seasonality!$C$93*AU68+AU70+AU49*AU177)-AU106</f>
        <v/>
      </c>
      <c r="AV237" s="48">
        <f>AV177-(AV21*Seasonality!$C$93*AV68+AV70+AV49*AV177)-AV106</f>
        <v/>
      </c>
    </row>
    <row r="238">
      <c r="B238" s="7" t="inlineStr">
        <is>
          <t>Contribution · month 58</t>
        </is>
      </c>
      <c r="C238" s="5" t="inlineStr">
        <is>
          <t>₹</t>
        </is>
      </c>
      <c r="D238" s="48">
        <f>D178-(D21*Seasonality!$C$94*D68+D70+D49*D178)-D106</f>
        <v/>
      </c>
      <c r="E238" s="48">
        <f>E178-(E21*Seasonality!$C$94*E68+E70+E49*E178)-E106</f>
        <v/>
      </c>
      <c r="F238" s="48">
        <f>F178-(F21*Seasonality!$C$94*F68+F70+F49*F178)-F106</f>
        <v/>
      </c>
      <c r="G238" s="48">
        <f>G178-(G21*Seasonality!$C$94*G68+G70+G49*G178)-G106</f>
        <v/>
      </c>
      <c r="H238" s="48">
        <f>H178-(H21*Seasonality!$C$94*H68+H70+H49*H178)-H106</f>
        <v/>
      </c>
      <c r="I238" s="48">
        <f>I178-(I21*Seasonality!$C$94*I68+I70+I49*I178)-I106</f>
        <v/>
      </c>
      <c r="J238" s="48">
        <f>J178-(J21*Seasonality!$C$94*J68+J70+J49*J178)-J106</f>
        <v/>
      </c>
      <c r="K238" s="48">
        <f>K178-(K21*Seasonality!$C$94*K68+K70+K49*K178)-K106</f>
        <v/>
      </c>
      <c r="L238" s="48">
        <f>L178-(L21*Seasonality!$C$94*L68+L70+L49*L178)-L106</f>
        <v/>
      </c>
      <c r="M238" s="48">
        <f>M178-(M21*Seasonality!$C$94*M68+M70+M49*M178)-M106</f>
        <v/>
      </c>
      <c r="N238" s="48">
        <f>N178-(N21*Seasonality!$C$94*N68+N70+N49*N178)-N106</f>
        <v/>
      </c>
      <c r="O238" s="48">
        <f>O178-(O21*Seasonality!$C$94*O68+O70+O49*O178)-O106</f>
        <v/>
      </c>
      <c r="P238" s="48">
        <f>P178-(P21*Seasonality!$C$94*P68+P70+P49*P178)-P106</f>
        <v/>
      </c>
      <c r="Q238" s="48">
        <f>Q178-(Q21*Seasonality!$C$94*Q68+Q70+Q49*Q178)-Q106</f>
        <v/>
      </c>
      <c r="R238" s="48">
        <f>R178-(R21*Seasonality!$C$94*R68+R70+R49*R178)-R106</f>
        <v/>
      </c>
      <c r="S238" s="48">
        <f>S178-(S21*Seasonality!$C$94*S68+S70+S49*S178)-S106</f>
        <v/>
      </c>
      <c r="T238" s="48">
        <f>T178-(T21*Seasonality!$C$94*T68+T70+T49*T178)-T106</f>
        <v/>
      </c>
      <c r="U238" s="48">
        <f>U178-(U21*Seasonality!$C$94*U68+U70+U49*U178)-U106</f>
        <v/>
      </c>
      <c r="V238" s="48">
        <f>V178-(V21*Seasonality!$C$94*V68+V70+V49*V178)-V106</f>
        <v/>
      </c>
      <c r="W238" s="48">
        <f>W178-(W21*Seasonality!$C$94*W68+W70+W49*W178)-W106</f>
        <v/>
      </c>
      <c r="X238" s="48">
        <f>X178-(X21*Seasonality!$C$94*X68+X70+X49*X178)-X106</f>
        <v/>
      </c>
      <c r="Y238" s="48">
        <f>Y178-(Y21*Seasonality!$C$94*Y68+Y70+Y49*Y178)-Y106</f>
        <v/>
      </c>
      <c r="Z238" s="48">
        <f>Z178-(Z21*Seasonality!$C$94*Z68+Z70+Z49*Z178)-Z106</f>
        <v/>
      </c>
      <c r="AA238" s="48">
        <f>AA178-(AA21*Seasonality!$C$94*AA68+AA70+AA49*AA178)-AA106</f>
        <v/>
      </c>
      <c r="AB238" s="48">
        <f>AB178-(AB21*Seasonality!$C$94*AB68+AB70+AB49*AB178)-AB106</f>
        <v/>
      </c>
      <c r="AC238" s="48">
        <f>AC178-(AC21*Seasonality!$C$94*AC68+AC70+AC49*AC178)-AC106</f>
        <v/>
      </c>
      <c r="AD238" s="48">
        <f>AD178-(AD21*Seasonality!$C$94*AD68+AD70+AD49*AD178)-AD106</f>
        <v/>
      </c>
      <c r="AE238" s="48">
        <f>AE178-(AE21*Seasonality!$C$94*AE68+AE70+AE49*AE178)-AE106</f>
        <v/>
      </c>
      <c r="AF238" s="48">
        <f>AF178-(AF21*Seasonality!$C$94*AF68+AF70+AF49*AF178)-AF106</f>
        <v/>
      </c>
      <c r="AG238" s="48">
        <f>AG178-(AG21*Seasonality!$C$94*AG68+AG70+AG49*AG178)-AG106</f>
        <v/>
      </c>
      <c r="AH238" s="48">
        <f>AH178-(AH21*Seasonality!$C$94*AH68+AH70+AH49*AH178)-AH106</f>
        <v/>
      </c>
      <c r="AI238" s="48">
        <f>AI178-(AI21*Seasonality!$C$94*AI68+AI70+AI49*AI178)-AI106</f>
        <v/>
      </c>
      <c r="AJ238" s="48">
        <f>AJ178-(AJ21*Seasonality!$C$94*AJ68+AJ70+AJ49*AJ178)-AJ106</f>
        <v/>
      </c>
      <c r="AK238" s="48">
        <f>AK178-(AK21*Seasonality!$C$94*AK68+AK70+AK49*AK178)-AK106</f>
        <v/>
      </c>
      <c r="AL238" s="48">
        <f>AL178-(AL21*Seasonality!$C$94*AL68+AL70+AL49*AL178)-AL106</f>
        <v/>
      </c>
      <c r="AM238" s="48">
        <f>AM178-(AM21*Seasonality!$C$94*AM68+AM70+AM49*AM178)-AM106</f>
        <v/>
      </c>
      <c r="AN238" s="48">
        <f>AN178-(AN21*Seasonality!$C$94*AN68+AN70+AN49*AN178)-AN106</f>
        <v/>
      </c>
      <c r="AO238" s="48">
        <f>AO178-(AO21*Seasonality!$C$94*AO68+AO70+AO49*AO178)-AO106</f>
        <v/>
      </c>
      <c r="AP238" s="48">
        <f>AP178-(AP21*Seasonality!$C$94*AP68+AP70+AP49*AP178)-AP106</f>
        <v/>
      </c>
      <c r="AQ238" s="48">
        <f>AQ178-(AQ21*Seasonality!$C$94*AQ68+AQ70+AQ49*AQ178)-AQ106</f>
        <v/>
      </c>
      <c r="AR238" s="48">
        <f>AR178-(AR21*Seasonality!$C$94*AR68+AR70+AR49*AR178)-AR106</f>
        <v/>
      </c>
      <c r="AS238" s="48">
        <f>AS178-(AS21*Seasonality!$C$94*AS68+AS70+AS49*AS178)-AS106</f>
        <v/>
      </c>
      <c r="AT238" s="48">
        <f>AT178-(AT21*Seasonality!$C$94*AT68+AT70+AT49*AT178)-AT106</f>
        <v/>
      </c>
      <c r="AU238" s="48">
        <f>AU178-(AU21*Seasonality!$C$94*AU68+AU70+AU49*AU178)-AU106</f>
        <v/>
      </c>
      <c r="AV238" s="48">
        <f>AV178-(AV21*Seasonality!$C$94*AV68+AV70+AV49*AV178)-AV106</f>
        <v/>
      </c>
    </row>
    <row r="239">
      <c r="B239" s="7" t="inlineStr">
        <is>
          <t>Contribution · month 59</t>
        </is>
      </c>
      <c r="C239" s="5" t="inlineStr">
        <is>
          <t>₹</t>
        </is>
      </c>
      <c r="D239" s="48">
        <f>D179-(D21*Seasonality!$C$95*D68+D70+D49*D179)-D106</f>
        <v/>
      </c>
      <c r="E239" s="48">
        <f>E179-(E21*Seasonality!$C$95*E68+E70+E49*E179)-E106</f>
        <v/>
      </c>
      <c r="F239" s="48">
        <f>F179-(F21*Seasonality!$C$95*F68+F70+F49*F179)-F106</f>
        <v/>
      </c>
      <c r="G239" s="48">
        <f>G179-(G21*Seasonality!$C$95*G68+G70+G49*G179)-G106</f>
        <v/>
      </c>
      <c r="H239" s="48">
        <f>H179-(H21*Seasonality!$C$95*H68+H70+H49*H179)-H106</f>
        <v/>
      </c>
      <c r="I239" s="48">
        <f>I179-(I21*Seasonality!$C$95*I68+I70+I49*I179)-I106</f>
        <v/>
      </c>
      <c r="J239" s="48">
        <f>J179-(J21*Seasonality!$C$95*J68+J70+J49*J179)-J106</f>
        <v/>
      </c>
      <c r="K239" s="48">
        <f>K179-(K21*Seasonality!$C$95*K68+K70+K49*K179)-K106</f>
        <v/>
      </c>
      <c r="L239" s="48">
        <f>L179-(L21*Seasonality!$C$95*L68+L70+L49*L179)-L106</f>
        <v/>
      </c>
      <c r="M239" s="48">
        <f>M179-(M21*Seasonality!$C$95*M68+M70+M49*M179)-M106</f>
        <v/>
      </c>
      <c r="N239" s="48">
        <f>N179-(N21*Seasonality!$C$95*N68+N70+N49*N179)-N106</f>
        <v/>
      </c>
      <c r="O239" s="48">
        <f>O179-(O21*Seasonality!$C$95*O68+O70+O49*O179)-O106</f>
        <v/>
      </c>
      <c r="P239" s="48">
        <f>P179-(P21*Seasonality!$C$95*P68+P70+P49*P179)-P106</f>
        <v/>
      </c>
      <c r="Q239" s="48">
        <f>Q179-(Q21*Seasonality!$C$95*Q68+Q70+Q49*Q179)-Q106</f>
        <v/>
      </c>
      <c r="R239" s="48">
        <f>R179-(R21*Seasonality!$C$95*R68+R70+R49*R179)-R106</f>
        <v/>
      </c>
      <c r="S239" s="48">
        <f>S179-(S21*Seasonality!$C$95*S68+S70+S49*S179)-S106</f>
        <v/>
      </c>
      <c r="T239" s="48">
        <f>T179-(T21*Seasonality!$C$95*T68+T70+T49*T179)-T106</f>
        <v/>
      </c>
      <c r="U239" s="48">
        <f>U179-(U21*Seasonality!$C$95*U68+U70+U49*U179)-U106</f>
        <v/>
      </c>
      <c r="V239" s="48">
        <f>V179-(V21*Seasonality!$C$95*V68+V70+V49*V179)-V106</f>
        <v/>
      </c>
      <c r="W239" s="48">
        <f>W179-(W21*Seasonality!$C$95*W68+W70+W49*W179)-W106</f>
        <v/>
      </c>
      <c r="X239" s="48">
        <f>X179-(X21*Seasonality!$C$95*X68+X70+X49*X179)-X106</f>
        <v/>
      </c>
      <c r="Y239" s="48">
        <f>Y179-(Y21*Seasonality!$C$95*Y68+Y70+Y49*Y179)-Y106</f>
        <v/>
      </c>
      <c r="Z239" s="48">
        <f>Z179-(Z21*Seasonality!$C$95*Z68+Z70+Z49*Z179)-Z106</f>
        <v/>
      </c>
      <c r="AA239" s="48">
        <f>AA179-(AA21*Seasonality!$C$95*AA68+AA70+AA49*AA179)-AA106</f>
        <v/>
      </c>
      <c r="AB239" s="48">
        <f>AB179-(AB21*Seasonality!$C$95*AB68+AB70+AB49*AB179)-AB106</f>
        <v/>
      </c>
      <c r="AC239" s="48">
        <f>AC179-(AC21*Seasonality!$C$95*AC68+AC70+AC49*AC179)-AC106</f>
        <v/>
      </c>
      <c r="AD239" s="48">
        <f>AD179-(AD21*Seasonality!$C$95*AD68+AD70+AD49*AD179)-AD106</f>
        <v/>
      </c>
      <c r="AE239" s="48">
        <f>AE179-(AE21*Seasonality!$C$95*AE68+AE70+AE49*AE179)-AE106</f>
        <v/>
      </c>
      <c r="AF239" s="48">
        <f>AF179-(AF21*Seasonality!$C$95*AF68+AF70+AF49*AF179)-AF106</f>
        <v/>
      </c>
      <c r="AG239" s="48">
        <f>AG179-(AG21*Seasonality!$C$95*AG68+AG70+AG49*AG179)-AG106</f>
        <v/>
      </c>
      <c r="AH239" s="48">
        <f>AH179-(AH21*Seasonality!$C$95*AH68+AH70+AH49*AH179)-AH106</f>
        <v/>
      </c>
      <c r="AI239" s="48">
        <f>AI179-(AI21*Seasonality!$C$95*AI68+AI70+AI49*AI179)-AI106</f>
        <v/>
      </c>
      <c r="AJ239" s="48">
        <f>AJ179-(AJ21*Seasonality!$C$95*AJ68+AJ70+AJ49*AJ179)-AJ106</f>
        <v/>
      </c>
      <c r="AK239" s="48">
        <f>AK179-(AK21*Seasonality!$C$95*AK68+AK70+AK49*AK179)-AK106</f>
        <v/>
      </c>
      <c r="AL239" s="48">
        <f>AL179-(AL21*Seasonality!$C$95*AL68+AL70+AL49*AL179)-AL106</f>
        <v/>
      </c>
      <c r="AM239" s="48">
        <f>AM179-(AM21*Seasonality!$C$95*AM68+AM70+AM49*AM179)-AM106</f>
        <v/>
      </c>
      <c r="AN239" s="48">
        <f>AN179-(AN21*Seasonality!$C$95*AN68+AN70+AN49*AN179)-AN106</f>
        <v/>
      </c>
      <c r="AO239" s="48">
        <f>AO179-(AO21*Seasonality!$C$95*AO68+AO70+AO49*AO179)-AO106</f>
        <v/>
      </c>
      <c r="AP239" s="48">
        <f>AP179-(AP21*Seasonality!$C$95*AP68+AP70+AP49*AP179)-AP106</f>
        <v/>
      </c>
      <c r="AQ239" s="48">
        <f>AQ179-(AQ21*Seasonality!$C$95*AQ68+AQ70+AQ49*AQ179)-AQ106</f>
        <v/>
      </c>
      <c r="AR239" s="48">
        <f>AR179-(AR21*Seasonality!$C$95*AR68+AR70+AR49*AR179)-AR106</f>
        <v/>
      </c>
      <c r="AS239" s="48">
        <f>AS179-(AS21*Seasonality!$C$95*AS68+AS70+AS49*AS179)-AS106</f>
        <v/>
      </c>
      <c r="AT239" s="48">
        <f>AT179-(AT21*Seasonality!$C$95*AT68+AT70+AT49*AT179)-AT106</f>
        <v/>
      </c>
      <c r="AU239" s="48">
        <f>AU179-(AU21*Seasonality!$C$95*AU68+AU70+AU49*AU179)-AU106</f>
        <v/>
      </c>
      <c r="AV239" s="48">
        <f>AV179-(AV21*Seasonality!$C$95*AV68+AV70+AV49*AV179)-AV106</f>
        <v/>
      </c>
    </row>
    <row r="240">
      <c r="B240" s="7" t="inlineStr">
        <is>
          <t>Contribution · month 60</t>
        </is>
      </c>
      <c r="C240" s="5" t="inlineStr">
        <is>
          <t>₹</t>
        </is>
      </c>
      <c r="D240" s="48">
        <f>D180-(D21*Seasonality!$C$96*D68+D70+D49*D180)-D106</f>
        <v/>
      </c>
      <c r="E240" s="48">
        <f>E180-(E21*Seasonality!$C$96*E68+E70+E49*E180)-E106</f>
        <v/>
      </c>
      <c r="F240" s="48">
        <f>F180-(F21*Seasonality!$C$96*F68+F70+F49*F180)-F106</f>
        <v/>
      </c>
      <c r="G240" s="48">
        <f>G180-(G21*Seasonality!$C$96*G68+G70+G49*G180)-G106</f>
        <v/>
      </c>
      <c r="H240" s="48">
        <f>H180-(H21*Seasonality!$C$96*H68+H70+H49*H180)-H106</f>
        <v/>
      </c>
      <c r="I240" s="48">
        <f>I180-(I21*Seasonality!$C$96*I68+I70+I49*I180)-I106</f>
        <v/>
      </c>
      <c r="J240" s="48">
        <f>J180-(J21*Seasonality!$C$96*J68+J70+J49*J180)-J106</f>
        <v/>
      </c>
      <c r="K240" s="48">
        <f>K180-(K21*Seasonality!$C$96*K68+K70+K49*K180)-K106</f>
        <v/>
      </c>
      <c r="L240" s="48">
        <f>L180-(L21*Seasonality!$C$96*L68+L70+L49*L180)-L106</f>
        <v/>
      </c>
      <c r="M240" s="48">
        <f>M180-(M21*Seasonality!$C$96*M68+M70+M49*M180)-M106</f>
        <v/>
      </c>
      <c r="N240" s="48">
        <f>N180-(N21*Seasonality!$C$96*N68+N70+N49*N180)-N106</f>
        <v/>
      </c>
      <c r="O240" s="48">
        <f>O180-(O21*Seasonality!$C$96*O68+O70+O49*O180)-O106</f>
        <v/>
      </c>
      <c r="P240" s="48">
        <f>P180-(P21*Seasonality!$C$96*P68+P70+P49*P180)-P106</f>
        <v/>
      </c>
      <c r="Q240" s="48">
        <f>Q180-(Q21*Seasonality!$C$96*Q68+Q70+Q49*Q180)-Q106</f>
        <v/>
      </c>
      <c r="R240" s="48">
        <f>R180-(R21*Seasonality!$C$96*R68+R70+R49*R180)-R106</f>
        <v/>
      </c>
      <c r="S240" s="48">
        <f>S180-(S21*Seasonality!$C$96*S68+S70+S49*S180)-S106</f>
        <v/>
      </c>
      <c r="T240" s="48">
        <f>T180-(T21*Seasonality!$C$96*T68+T70+T49*T180)-T106</f>
        <v/>
      </c>
      <c r="U240" s="48">
        <f>U180-(U21*Seasonality!$C$96*U68+U70+U49*U180)-U106</f>
        <v/>
      </c>
      <c r="V240" s="48">
        <f>V180-(V21*Seasonality!$C$96*V68+V70+V49*V180)-V106</f>
        <v/>
      </c>
      <c r="W240" s="48">
        <f>W180-(W21*Seasonality!$C$96*W68+W70+W49*W180)-W106</f>
        <v/>
      </c>
      <c r="X240" s="48">
        <f>X180-(X21*Seasonality!$C$96*X68+X70+X49*X180)-X106</f>
        <v/>
      </c>
      <c r="Y240" s="48">
        <f>Y180-(Y21*Seasonality!$C$96*Y68+Y70+Y49*Y180)-Y106</f>
        <v/>
      </c>
      <c r="Z240" s="48">
        <f>Z180-(Z21*Seasonality!$C$96*Z68+Z70+Z49*Z180)-Z106</f>
        <v/>
      </c>
      <c r="AA240" s="48">
        <f>AA180-(AA21*Seasonality!$C$96*AA68+AA70+AA49*AA180)-AA106</f>
        <v/>
      </c>
      <c r="AB240" s="48">
        <f>AB180-(AB21*Seasonality!$C$96*AB68+AB70+AB49*AB180)-AB106</f>
        <v/>
      </c>
      <c r="AC240" s="48">
        <f>AC180-(AC21*Seasonality!$C$96*AC68+AC70+AC49*AC180)-AC106</f>
        <v/>
      </c>
      <c r="AD240" s="48">
        <f>AD180-(AD21*Seasonality!$C$96*AD68+AD70+AD49*AD180)-AD106</f>
        <v/>
      </c>
      <c r="AE240" s="48">
        <f>AE180-(AE21*Seasonality!$C$96*AE68+AE70+AE49*AE180)-AE106</f>
        <v/>
      </c>
      <c r="AF240" s="48">
        <f>AF180-(AF21*Seasonality!$C$96*AF68+AF70+AF49*AF180)-AF106</f>
        <v/>
      </c>
      <c r="AG240" s="48">
        <f>AG180-(AG21*Seasonality!$C$96*AG68+AG70+AG49*AG180)-AG106</f>
        <v/>
      </c>
      <c r="AH240" s="48">
        <f>AH180-(AH21*Seasonality!$C$96*AH68+AH70+AH49*AH180)-AH106</f>
        <v/>
      </c>
      <c r="AI240" s="48">
        <f>AI180-(AI21*Seasonality!$C$96*AI68+AI70+AI49*AI180)-AI106</f>
        <v/>
      </c>
      <c r="AJ240" s="48">
        <f>AJ180-(AJ21*Seasonality!$C$96*AJ68+AJ70+AJ49*AJ180)-AJ106</f>
        <v/>
      </c>
      <c r="AK240" s="48">
        <f>AK180-(AK21*Seasonality!$C$96*AK68+AK70+AK49*AK180)-AK106</f>
        <v/>
      </c>
      <c r="AL240" s="48">
        <f>AL180-(AL21*Seasonality!$C$96*AL68+AL70+AL49*AL180)-AL106</f>
        <v/>
      </c>
      <c r="AM240" s="48">
        <f>AM180-(AM21*Seasonality!$C$96*AM68+AM70+AM49*AM180)-AM106</f>
        <v/>
      </c>
      <c r="AN240" s="48">
        <f>AN180-(AN21*Seasonality!$C$96*AN68+AN70+AN49*AN180)-AN106</f>
        <v/>
      </c>
      <c r="AO240" s="48">
        <f>AO180-(AO21*Seasonality!$C$96*AO68+AO70+AO49*AO180)-AO106</f>
        <v/>
      </c>
      <c r="AP240" s="48">
        <f>AP180-(AP21*Seasonality!$C$96*AP68+AP70+AP49*AP180)-AP106</f>
        <v/>
      </c>
      <c r="AQ240" s="48">
        <f>AQ180-(AQ21*Seasonality!$C$96*AQ68+AQ70+AQ49*AQ180)-AQ106</f>
        <v/>
      </c>
      <c r="AR240" s="48">
        <f>AR180-(AR21*Seasonality!$C$96*AR68+AR70+AR49*AR180)-AR106</f>
        <v/>
      </c>
      <c r="AS240" s="48">
        <f>AS180-(AS21*Seasonality!$C$96*AS68+AS70+AS49*AS180)-AS106</f>
        <v/>
      </c>
      <c r="AT240" s="48">
        <f>AT180-(AT21*Seasonality!$C$96*AT68+AT70+AT49*AT180)-AT106</f>
        <v/>
      </c>
      <c r="AU240" s="48">
        <f>AU180-(AU21*Seasonality!$C$96*AU68+AU70+AU49*AU180)-AU106</f>
        <v/>
      </c>
      <c r="AV240" s="48">
        <f>AV180-(AV21*Seasonality!$C$96*AV68+AV70+AV49*AV180)-AV106</f>
        <v/>
      </c>
    </row>
    <row r="241">
      <c r="B241" s="7" t="inlineStr">
        <is>
          <t>Share of institutes still paying · month 1</t>
        </is>
      </c>
      <c r="C241" s="5" t="inlineStr">
        <is>
          <t>%</t>
        </is>
      </c>
      <c r="D241" s="37">
        <f>1</f>
        <v/>
      </c>
      <c r="E241" s="37">
        <f>1</f>
        <v/>
      </c>
      <c r="F241" s="37">
        <f>1</f>
        <v/>
      </c>
      <c r="G241" s="37">
        <f>1</f>
        <v/>
      </c>
      <c r="H241" s="37">
        <f>1</f>
        <v/>
      </c>
      <c r="I241" s="37">
        <f>1</f>
        <v/>
      </c>
      <c r="J241" s="37">
        <f>1</f>
        <v/>
      </c>
      <c r="K241" s="37">
        <f>1</f>
        <v/>
      </c>
      <c r="L241" s="37">
        <f>1</f>
        <v/>
      </c>
      <c r="M241" s="37">
        <f>1</f>
        <v/>
      </c>
      <c r="N241" s="37">
        <f>1</f>
        <v/>
      </c>
      <c r="O241" s="37">
        <f>1</f>
        <v/>
      </c>
      <c r="P241" s="37">
        <f>1</f>
        <v/>
      </c>
      <c r="Q241" s="37">
        <f>1</f>
        <v/>
      </c>
      <c r="R241" s="37">
        <f>1</f>
        <v/>
      </c>
      <c r="S241" s="37">
        <f>1</f>
        <v/>
      </c>
      <c r="T241" s="37">
        <f>1</f>
        <v/>
      </c>
      <c r="U241" s="37">
        <f>1</f>
        <v/>
      </c>
      <c r="V241" s="37">
        <f>1</f>
        <v/>
      </c>
      <c r="W241" s="37">
        <f>1</f>
        <v/>
      </c>
      <c r="X241" s="37">
        <f>1</f>
        <v/>
      </c>
      <c r="Y241" s="37">
        <f>1</f>
        <v/>
      </c>
      <c r="Z241" s="37">
        <f>1</f>
        <v/>
      </c>
      <c r="AA241" s="37">
        <f>1</f>
        <v/>
      </c>
      <c r="AB241" s="37">
        <f>1</f>
        <v/>
      </c>
      <c r="AC241" s="37">
        <f>1</f>
        <v/>
      </c>
      <c r="AD241" s="37">
        <f>1</f>
        <v/>
      </c>
      <c r="AE241" s="37">
        <f>1</f>
        <v/>
      </c>
      <c r="AF241" s="37">
        <f>1</f>
        <v/>
      </c>
      <c r="AG241" s="37">
        <f>1</f>
        <v/>
      </c>
      <c r="AH241" s="37">
        <f>1</f>
        <v/>
      </c>
      <c r="AI241" s="37">
        <f>1</f>
        <v/>
      </c>
      <c r="AJ241" s="37">
        <f>1</f>
        <v/>
      </c>
      <c r="AK241" s="37">
        <f>1</f>
        <v/>
      </c>
      <c r="AL241" s="37">
        <f>1</f>
        <v/>
      </c>
      <c r="AM241" s="37">
        <f>1</f>
        <v/>
      </c>
      <c r="AN241" s="37">
        <f>1</f>
        <v/>
      </c>
      <c r="AO241" s="37">
        <f>1</f>
        <v/>
      </c>
      <c r="AP241" s="37">
        <f>1</f>
        <v/>
      </c>
      <c r="AQ241" s="37">
        <f>1</f>
        <v/>
      </c>
      <c r="AR241" s="37">
        <f>1</f>
        <v/>
      </c>
      <c r="AS241" s="37">
        <f>1</f>
        <v/>
      </c>
      <c r="AT241" s="37">
        <f>1</f>
        <v/>
      </c>
      <c r="AU241" s="37">
        <f>1</f>
        <v/>
      </c>
      <c r="AV241" s="37">
        <f>1</f>
        <v/>
      </c>
    </row>
    <row r="242">
      <c r="B242" s="7" t="inlineStr">
        <is>
          <t>Share of institutes still paying · month 2</t>
        </is>
      </c>
      <c r="C242" s="5" t="inlineStr">
        <is>
          <t>%</t>
        </is>
      </c>
      <c r="D242" s="37">
        <f>D241*(1-D114)*(1-Seasonality!$D$37*D115)</f>
        <v/>
      </c>
      <c r="E242" s="37">
        <f>E241*(1-E114)*(1-Seasonality!$D$37*E115)</f>
        <v/>
      </c>
      <c r="F242" s="37">
        <f>F241*(1-F114)*(1-Seasonality!$D$37*F115)</f>
        <v/>
      </c>
      <c r="G242" s="37">
        <f>G241*(1-G114)*(1-Seasonality!$D$37*G115)</f>
        <v/>
      </c>
      <c r="H242" s="37">
        <f>H241*(1-H114)*(1-Seasonality!$D$37*H115)</f>
        <v/>
      </c>
      <c r="I242" s="37">
        <f>I241*(1-I114)*(1-Seasonality!$D$37*I115)</f>
        <v/>
      </c>
      <c r="J242" s="37">
        <f>J241*(1-J114)*(1-Seasonality!$D$37*J115)</f>
        <v/>
      </c>
      <c r="K242" s="37">
        <f>K241*(1-K114)*(1-Seasonality!$D$37*K115)</f>
        <v/>
      </c>
      <c r="L242" s="37">
        <f>L241*(1-L114)*(1-Seasonality!$D$37*L115)</f>
        <v/>
      </c>
      <c r="M242" s="37">
        <f>M241*(1-M114)*(1-Seasonality!$D$37*M115)</f>
        <v/>
      </c>
      <c r="N242" s="37">
        <f>N241*(1-N114)*(1-Seasonality!$D$37*N115)</f>
        <v/>
      </c>
      <c r="O242" s="37">
        <f>O241*(1-O114)*(1-Seasonality!$D$37*O115)</f>
        <v/>
      </c>
      <c r="P242" s="37">
        <f>P241*(1-P114)*(1-Seasonality!$D$37*P115)</f>
        <v/>
      </c>
      <c r="Q242" s="37">
        <f>Q241*(1-Q114)*(1-Seasonality!$D$37*Q115)</f>
        <v/>
      </c>
      <c r="R242" s="37">
        <f>R241*(1-R114)*(1-Seasonality!$D$37*R115)</f>
        <v/>
      </c>
      <c r="S242" s="37">
        <f>S241*(1-S114)*(1-Seasonality!$D$37*S115)</f>
        <v/>
      </c>
      <c r="T242" s="37">
        <f>T241*(1-T114)*(1-Seasonality!$D$37*T115)</f>
        <v/>
      </c>
      <c r="U242" s="37">
        <f>U241*(1-U114)*(1-Seasonality!$D$37*U115)</f>
        <v/>
      </c>
      <c r="V242" s="37">
        <f>V241*(1-V114)*(1-Seasonality!$D$37*V115)</f>
        <v/>
      </c>
      <c r="W242" s="37">
        <f>W241*(1-W114)*(1-Seasonality!$D$37*W115)</f>
        <v/>
      </c>
      <c r="X242" s="37">
        <f>X241*(1-X114)*(1-Seasonality!$D$37*X115)</f>
        <v/>
      </c>
      <c r="Y242" s="37">
        <f>Y241*(1-Y114)*(1-Seasonality!$D$37*Y115)</f>
        <v/>
      </c>
      <c r="Z242" s="37">
        <f>Z241*(1-Z114)*(1-Seasonality!$D$37*Z115)</f>
        <v/>
      </c>
      <c r="AA242" s="37">
        <f>AA241*(1-AA114)*(1-Seasonality!$D$37*AA115)</f>
        <v/>
      </c>
      <c r="AB242" s="37">
        <f>AB241*(1-AB114)*(1-Seasonality!$D$37*AB115)</f>
        <v/>
      </c>
      <c r="AC242" s="37">
        <f>AC241*(1-AC114)*(1-Seasonality!$D$37*AC115)</f>
        <v/>
      </c>
      <c r="AD242" s="37">
        <f>AD241*(1-AD114)*(1-Seasonality!$D$37*AD115)</f>
        <v/>
      </c>
      <c r="AE242" s="37">
        <f>AE241*(1-AE114)*(1-Seasonality!$D$37*AE115)</f>
        <v/>
      </c>
      <c r="AF242" s="37">
        <f>AF241*(1-AF114)*(1-Seasonality!$D$37*AF115)</f>
        <v/>
      </c>
      <c r="AG242" s="37">
        <f>AG241*(1-AG114)*(1-Seasonality!$D$37*AG115)</f>
        <v/>
      </c>
      <c r="AH242" s="37">
        <f>AH241*(1-AH114)*(1-Seasonality!$D$37*AH115)</f>
        <v/>
      </c>
      <c r="AI242" s="37">
        <f>AI241*(1-AI114)*(1-Seasonality!$D$37*AI115)</f>
        <v/>
      </c>
      <c r="AJ242" s="37">
        <f>AJ241*(1-AJ114)*(1-Seasonality!$D$37*AJ115)</f>
        <v/>
      </c>
      <c r="AK242" s="37">
        <f>AK241*(1-AK114)*(1-Seasonality!$D$37*AK115)</f>
        <v/>
      </c>
      <c r="AL242" s="37">
        <f>AL241*(1-AL114)*(1-Seasonality!$D$37*AL115)</f>
        <v/>
      </c>
      <c r="AM242" s="37">
        <f>AM241*(1-AM114)*(1-Seasonality!$D$37*AM115)</f>
        <v/>
      </c>
      <c r="AN242" s="37">
        <f>AN241*(1-AN114)*(1-Seasonality!$D$37*AN115)</f>
        <v/>
      </c>
      <c r="AO242" s="37">
        <f>AO241*(1-AO114)*(1-Seasonality!$D$37*AO115)</f>
        <v/>
      </c>
      <c r="AP242" s="37">
        <f>AP241*(1-AP114)*(1-Seasonality!$D$37*AP115)</f>
        <v/>
      </c>
      <c r="AQ242" s="37">
        <f>AQ241*(1-AQ114)*(1-Seasonality!$D$37*AQ115)</f>
        <v/>
      </c>
      <c r="AR242" s="37">
        <f>AR241*(1-AR114)*(1-Seasonality!$D$37*AR115)</f>
        <v/>
      </c>
      <c r="AS242" s="37">
        <f>AS241*(1-AS114)*(1-Seasonality!$D$37*AS115)</f>
        <v/>
      </c>
      <c r="AT242" s="37">
        <f>AT241*(1-AT114)*(1-Seasonality!$D$37*AT115)</f>
        <v/>
      </c>
      <c r="AU242" s="37">
        <f>AU241*(1-AU114)*(1-Seasonality!$D$37*AU115)</f>
        <v/>
      </c>
      <c r="AV242" s="37">
        <f>AV241*(1-AV114)*(1-Seasonality!$D$37*AV115)</f>
        <v/>
      </c>
    </row>
    <row r="243">
      <c r="B243" s="7" t="inlineStr">
        <is>
          <t>Share of institutes still paying · month 3</t>
        </is>
      </c>
      <c r="C243" s="5" t="inlineStr">
        <is>
          <t>%</t>
        </is>
      </c>
      <c r="D243" s="37">
        <f>D242*(1-D114)*(1-Seasonality!$D$38*D115)</f>
        <v/>
      </c>
      <c r="E243" s="37">
        <f>E242*(1-E114)*(1-Seasonality!$D$38*E115)</f>
        <v/>
      </c>
      <c r="F243" s="37">
        <f>F242*(1-F114)*(1-Seasonality!$D$38*F115)</f>
        <v/>
      </c>
      <c r="G243" s="37">
        <f>G242*(1-G114)*(1-Seasonality!$D$38*G115)</f>
        <v/>
      </c>
      <c r="H243" s="37">
        <f>H242*(1-H114)*(1-Seasonality!$D$38*H115)</f>
        <v/>
      </c>
      <c r="I243" s="37">
        <f>I242*(1-I114)*(1-Seasonality!$D$38*I115)</f>
        <v/>
      </c>
      <c r="J243" s="37">
        <f>J242*(1-J114)*(1-Seasonality!$D$38*J115)</f>
        <v/>
      </c>
      <c r="K243" s="37">
        <f>K242*(1-K114)*(1-Seasonality!$D$38*K115)</f>
        <v/>
      </c>
      <c r="L243" s="37">
        <f>L242*(1-L114)*(1-Seasonality!$D$38*L115)</f>
        <v/>
      </c>
      <c r="M243" s="37">
        <f>M242*(1-M114)*(1-Seasonality!$D$38*M115)</f>
        <v/>
      </c>
      <c r="N243" s="37">
        <f>N242*(1-N114)*(1-Seasonality!$D$38*N115)</f>
        <v/>
      </c>
      <c r="O243" s="37">
        <f>O242*(1-O114)*(1-Seasonality!$D$38*O115)</f>
        <v/>
      </c>
      <c r="P243" s="37">
        <f>P242*(1-P114)*(1-Seasonality!$D$38*P115)</f>
        <v/>
      </c>
      <c r="Q243" s="37">
        <f>Q242*(1-Q114)*(1-Seasonality!$D$38*Q115)</f>
        <v/>
      </c>
      <c r="R243" s="37">
        <f>R242*(1-R114)*(1-Seasonality!$D$38*R115)</f>
        <v/>
      </c>
      <c r="S243" s="37">
        <f>S242*(1-S114)*(1-Seasonality!$D$38*S115)</f>
        <v/>
      </c>
      <c r="T243" s="37">
        <f>T242*(1-T114)*(1-Seasonality!$D$38*T115)</f>
        <v/>
      </c>
      <c r="U243" s="37">
        <f>U242*(1-U114)*(1-Seasonality!$D$38*U115)</f>
        <v/>
      </c>
      <c r="V243" s="37">
        <f>V242*(1-V114)*(1-Seasonality!$D$38*V115)</f>
        <v/>
      </c>
      <c r="W243" s="37">
        <f>W242*(1-W114)*(1-Seasonality!$D$38*W115)</f>
        <v/>
      </c>
      <c r="X243" s="37">
        <f>X242*(1-X114)*(1-Seasonality!$D$38*X115)</f>
        <v/>
      </c>
      <c r="Y243" s="37">
        <f>Y242*(1-Y114)*(1-Seasonality!$D$38*Y115)</f>
        <v/>
      </c>
      <c r="Z243" s="37">
        <f>Z242*(1-Z114)*(1-Seasonality!$D$38*Z115)</f>
        <v/>
      </c>
      <c r="AA243" s="37">
        <f>AA242*(1-AA114)*(1-Seasonality!$D$38*AA115)</f>
        <v/>
      </c>
      <c r="AB243" s="37">
        <f>AB242*(1-AB114)*(1-Seasonality!$D$38*AB115)</f>
        <v/>
      </c>
      <c r="AC243" s="37">
        <f>AC242*(1-AC114)*(1-Seasonality!$D$38*AC115)</f>
        <v/>
      </c>
      <c r="AD243" s="37">
        <f>AD242*(1-AD114)*(1-Seasonality!$D$38*AD115)</f>
        <v/>
      </c>
      <c r="AE243" s="37">
        <f>AE242*(1-AE114)*(1-Seasonality!$D$38*AE115)</f>
        <v/>
      </c>
      <c r="AF243" s="37">
        <f>AF242*(1-AF114)*(1-Seasonality!$D$38*AF115)</f>
        <v/>
      </c>
      <c r="AG243" s="37">
        <f>AG242*(1-AG114)*(1-Seasonality!$D$38*AG115)</f>
        <v/>
      </c>
      <c r="AH243" s="37">
        <f>AH242*(1-AH114)*(1-Seasonality!$D$38*AH115)</f>
        <v/>
      </c>
      <c r="AI243" s="37">
        <f>AI242*(1-AI114)*(1-Seasonality!$D$38*AI115)</f>
        <v/>
      </c>
      <c r="AJ243" s="37">
        <f>AJ242*(1-AJ114)*(1-Seasonality!$D$38*AJ115)</f>
        <v/>
      </c>
      <c r="AK243" s="37">
        <f>AK242*(1-AK114)*(1-Seasonality!$D$38*AK115)</f>
        <v/>
      </c>
      <c r="AL243" s="37">
        <f>AL242*(1-AL114)*(1-Seasonality!$D$38*AL115)</f>
        <v/>
      </c>
      <c r="AM243" s="37">
        <f>AM242*(1-AM114)*(1-Seasonality!$D$38*AM115)</f>
        <v/>
      </c>
      <c r="AN243" s="37">
        <f>AN242*(1-AN114)*(1-Seasonality!$D$38*AN115)</f>
        <v/>
      </c>
      <c r="AO243" s="37">
        <f>AO242*(1-AO114)*(1-Seasonality!$D$38*AO115)</f>
        <v/>
      </c>
      <c r="AP243" s="37">
        <f>AP242*(1-AP114)*(1-Seasonality!$D$38*AP115)</f>
        <v/>
      </c>
      <c r="AQ243" s="37">
        <f>AQ242*(1-AQ114)*(1-Seasonality!$D$38*AQ115)</f>
        <v/>
      </c>
      <c r="AR243" s="37">
        <f>AR242*(1-AR114)*(1-Seasonality!$D$38*AR115)</f>
        <v/>
      </c>
      <c r="AS243" s="37">
        <f>AS242*(1-AS114)*(1-Seasonality!$D$38*AS115)</f>
        <v/>
      </c>
      <c r="AT243" s="37">
        <f>AT242*(1-AT114)*(1-Seasonality!$D$38*AT115)</f>
        <v/>
      </c>
      <c r="AU243" s="37">
        <f>AU242*(1-AU114)*(1-Seasonality!$D$38*AU115)</f>
        <v/>
      </c>
      <c r="AV243" s="37">
        <f>AV242*(1-AV114)*(1-Seasonality!$D$38*AV115)</f>
        <v/>
      </c>
    </row>
    <row r="244">
      <c r="B244" s="7" t="inlineStr">
        <is>
          <t>Share of institutes still paying · month 4</t>
        </is>
      </c>
      <c r="C244" s="5" t="inlineStr">
        <is>
          <t>%</t>
        </is>
      </c>
      <c r="D244" s="37">
        <f>D243*(1-D114)*(1-Seasonality!$D$39*D115)</f>
        <v/>
      </c>
      <c r="E244" s="37">
        <f>E243*(1-E114)*(1-Seasonality!$D$39*E115)</f>
        <v/>
      </c>
      <c r="F244" s="37">
        <f>F243*(1-F114)*(1-Seasonality!$D$39*F115)</f>
        <v/>
      </c>
      <c r="G244" s="37">
        <f>G243*(1-G114)*(1-Seasonality!$D$39*G115)</f>
        <v/>
      </c>
      <c r="H244" s="37">
        <f>H243*(1-H114)*(1-Seasonality!$D$39*H115)</f>
        <v/>
      </c>
      <c r="I244" s="37">
        <f>I243*(1-I114)*(1-Seasonality!$D$39*I115)</f>
        <v/>
      </c>
      <c r="J244" s="37">
        <f>J243*(1-J114)*(1-Seasonality!$D$39*J115)</f>
        <v/>
      </c>
      <c r="K244" s="37">
        <f>K243*(1-K114)*(1-Seasonality!$D$39*K115)</f>
        <v/>
      </c>
      <c r="L244" s="37">
        <f>L243*(1-L114)*(1-Seasonality!$D$39*L115)</f>
        <v/>
      </c>
      <c r="M244" s="37">
        <f>M243*(1-M114)*(1-Seasonality!$D$39*M115)</f>
        <v/>
      </c>
      <c r="N244" s="37">
        <f>N243*(1-N114)*(1-Seasonality!$D$39*N115)</f>
        <v/>
      </c>
      <c r="O244" s="37">
        <f>O243*(1-O114)*(1-Seasonality!$D$39*O115)</f>
        <v/>
      </c>
      <c r="P244" s="37">
        <f>P243*(1-P114)*(1-Seasonality!$D$39*P115)</f>
        <v/>
      </c>
      <c r="Q244" s="37">
        <f>Q243*(1-Q114)*(1-Seasonality!$D$39*Q115)</f>
        <v/>
      </c>
      <c r="R244" s="37">
        <f>R243*(1-R114)*(1-Seasonality!$D$39*R115)</f>
        <v/>
      </c>
      <c r="S244" s="37">
        <f>S243*(1-S114)*(1-Seasonality!$D$39*S115)</f>
        <v/>
      </c>
      <c r="T244" s="37">
        <f>T243*(1-T114)*(1-Seasonality!$D$39*T115)</f>
        <v/>
      </c>
      <c r="U244" s="37">
        <f>U243*(1-U114)*(1-Seasonality!$D$39*U115)</f>
        <v/>
      </c>
      <c r="V244" s="37">
        <f>V243*(1-V114)*(1-Seasonality!$D$39*V115)</f>
        <v/>
      </c>
      <c r="W244" s="37">
        <f>W243*(1-W114)*(1-Seasonality!$D$39*W115)</f>
        <v/>
      </c>
      <c r="X244" s="37">
        <f>X243*(1-X114)*(1-Seasonality!$D$39*X115)</f>
        <v/>
      </c>
      <c r="Y244" s="37">
        <f>Y243*(1-Y114)*(1-Seasonality!$D$39*Y115)</f>
        <v/>
      </c>
      <c r="Z244" s="37">
        <f>Z243*(1-Z114)*(1-Seasonality!$D$39*Z115)</f>
        <v/>
      </c>
      <c r="AA244" s="37">
        <f>AA243*(1-AA114)*(1-Seasonality!$D$39*AA115)</f>
        <v/>
      </c>
      <c r="AB244" s="37">
        <f>AB243*(1-AB114)*(1-Seasonality!$D$39*AB115)</f>
        <v/>
      </c>
      <c r="AC244" s="37">
        <f>AC243*(1-AC114)*(1-Seasonality!$D$39*AC115)</f>
        <v/>
      </c>
      <c r="AD244" s="37">
        <f>AD243*(1-AD114)*(1-Seasonality!$D$39*AD115)</f>
        <v/>
      </c>
      <c r="AE244" s="37">
        <f>AE243*(1-AE114)*(1-Seasonality!$D$39*AE115)</f>
        <v/>
      </c>
      <c r="AF244" s="37">
        <f>AF243*(1-AF114)*(1-Seasonality!$D$39*AF115)</f>
        <v/>
      </c>
      <c r="AG244" s="37">
        <f>AG243*(1-AG114)*(1-Seasonality!$D$39*AG115)</f>
        <v/>
      </c>
      <c r="AH244" s="37">
        <f>AH243*(1-AH114)*(1-Seasonality!$D$39*AH115)</f>
        <v/>
      </c>
      <c r="AI244" s="37">
        <f>AI243*(1-AI114)*(1-Seasonality!$D$39*AI115)</f>
        <v/>
      </c>
      <c r="AJ244" s="37">
        <f>AJ243*(1-AJ114)*(1-Seasonality!$D$39*AJ115)</f>
        <v/>
      </c>
      <c r="AK244" s="37">
        <f>AK243*(1-AK114)*(1-Seasonality!$D$39*AK115)</f>
        <v/>
      </c>
      <c r="AL244" s="37">
        <f>AL243*(1-AL114)*(1-Seasonality!$D$39*AL115)</f>
        <v/>
      </c>
      <c r="AM244" s="37">
        <f>AM243*(1-AM114)*(1-Seasonality!$D$39*AM115)</f>
        <v/>
      </c>
      <c r="AN244" s="37">
        <f>AN243*(1-AN114)*(1-Seasonality!$D$39*AN115)</f>
        <v/>
      </c>
      <c r="AO244" s="37">
        <f>AO243*(1-AO114)*(1-Seasonality!$D$39*AO115)</f>
        <v/>
      </c>
      <c r="AP244" s="37">
        <f>AP243*(1-AP114)*(1-Seasonality!$D$39*AP115)</f>
        <v/>
      </c>
      <c r="AQ244" s="37">
        <f>AQ243*(1-AQ114)*(1-Seasonality!$D$39*AQ115)</f>
        <v/>
      </c>
      <c r="AR244" s="37">
        <f>AR243*(1-AR114)*(1-Seasonality!$D$39*AR115)</f>
        <v/>
      </c>
      <c r="AS244" s="37">
        <f>AS243*(1-AS114)*(1-Seasonality!$D$39*AS115)</f>
        <v/>
      </c>
      <c r="AT244" s="37">
        <f>AT243*(1-AT114)*(1-Seasonality!$D$39*AT115)</f>
        <v/>
      </c>
      <c r="AU244" s="37">
        <f>AU243*(1-AU114)*(1-Seasonality!$D$39*AU115)</f>
        <v/>
      </c>
      <c r="AV244" s="37">
        <f>AV243*(1-AV114)*(1-Seasonality!$D$39*AV115)</f>
        <v/>
      </c>
    </row>
    <row r="245">
      <c r="B245" s="7" t="inlineStr">
        <is>
          <t>Share of institutes still paying · month 5</t>
        </is>
      </c>
      <c r="C245" s="5" t="inlineStr">
        <is>
          <t>%</t>
        </is>
      </c>
      <c r="D245" s="37">
        <f>D244*(1-D114)*(1-Seasonality!$D$40*D115)</f>
        <v/>
      </c>
      <c r="E245" s="37">
        <f>E244*(1-E114)*(1-Seasonality!$D$40*E115)</f>
        <v/>
      </c>
      <c r="F245" s="37">
        <f>F244*(1-F114)*(1-Seasonality!$D$40*F115)</f>
        <v/>
      </c>
      <c r="G245" s="37">
        <f>G244*(1-G114)*(1-Seasonality!$D$40*G115)</f>
        <v/>
      </c>
      <c r="H245" s="37">
        <f>H244*(1-H114)*(1-Seasonality!$D$40*H115)</f>
        <v/>
      </c>
      <c r="I245" s="37">
        <f>I244*(1-I114)*(1-Seasonality!$D$40*I115)</f>
        <v/>
      </c>
      <c r="J245" s="37">
        <f>J244*(1-J114)*(1-Seasonality!$D$40*J115)</f>
        <v/>
      </c>
      <c r="K245" s="37">
        <f>K244*(1-K114)*(1-Seasonality!$D$40*K115)</f>
        <v/>
      </c>
      <c r="L245" s="37">
        <f>L244*(1-L114)*(1-Seasonality!$D$40*L115)</f>
        <v/>
      </c>
      <c r="M245" s="37">
        <f>M244*(1-M114)*(1-Seasonality!$D$40*M115)</f>
        <v/>
      </c>
      <c r="N245" s="37">
        <f>N244*(1-N114)*(1-Seasonality!$D$40*N115)</f>
        <v/>
      </c>
      <c r="O245" s="37">
        <f>O244*(1-O114)*(1-Seasonality!$D$40*O115)</f>
        <v/>
      </c>
      <c r="P245" s="37">
        <f>P244*(1-P114)*(1-Seasonality!$D$40*P115)</f>
        <v/>
      </c>
      <c r="Q245" s="37">
        <f>Q244*(1-Q114)*(1-Seasonality!$D$40*Q115)</f>
        <v/>
      </c>
      <c r="R245" s="37">
        <f>R244*(1-R114)*(1-Seasonality!$D$40*R115)</f>
        <v/>
      </c>
      <c r="S245" s="37">
        <f>S244*(1-S114)*(1-Seasonality!$D$40*S115)</f>
        <v/>
      </c>
      <c r="T245" s="37">
        <f>T244*(1-T114)*(1-Seasonality!$D$40*T115)</f>
        <v/>
      </c>
      <c r="U245" s="37">
        <f>U244*(1-U114)*(1-Seasonality!$D$40*U115)</f>
        <v/>
      </c>
      <c r="V245" s="37">
        <f>V244*(1-V114)*(1-Seasonality!$D$40*V115)</f>
        <v/>
      </c>
      <c r="W245" s="37">
        <f>W244*(1-W114)*(1-Seasonality!$D$40*W115)</f>
        <v/>
      </c>
      <c r="X245" s="37">
        <f>X244*(1-X114)*(1-Seasonality!$D$40*X115)</f>
        <v/>
      </c>
      <c r="Y245" s="37">
        <f>Y244*(1-Y114)*(1-Seasonality!$D$40*Y115)</f>
        <v/>
      </c>
      <c r="Z245" s="37">
        <f>Z244*(1-Z114)*(1-Seasonality!$D$40*Z115)</f>
        <v/>
      </c>
      <c r="AA245" s="37">
        <f>AA244*(1-AA114)*(1-Seasonality!$D$40*AA115)</f>
        <v/>
      </c>
      <c r="AB245" s="37">
        <f>AB244*(1-AB114)*(1-Seasonality!$D$40*AB115)</f>
        <v/>
      </c>
      <c r="AC245" s="37">
        <f>AC244*(1-AC114)*(1-Seasonality!$D$40*AC115)</f>
        <v/>
      </c>
      <c r="AD245" s="37">
        <f>AD244*(1-AD114)*(1-Seasonality!$D$40*AD115)</f>
        <v/>
      </c>
      <c r="AE245" s="37">
        <f>AE244*(1-AE114)*(1-Seasonality!$D$40*AE115)</f>
        <v/>
      </c>
      <c r="AF245" s="37">
        <f>AF244*(1-AF114)*(1-Seasonality!$D$40*AF115)</f>
        <v/>
      </c>
      <c r="AG245" s="37">
        <f>AG244*(1-AG114)*(1-Seasonality!$D$40*AG115)</f>
        <v/>
      </c>
      <c r="AH245" s="37">
        <f>AH244*(1-AH114)*(1-Seasonality!$D$40*AH115)</f>
        <v/>
      </c>
      <c r="AI245" s="37">
        <f>AI244*(1-AI114)*(1-Seasonality!$D$40*AI115)</f>
        <v/>
      </c>
      <c r="AJ245" s="37">
        <f>AJ244*(1-AJ114)*(1-Seasonality!$D$40*AJ115)</f>
        <v/>
      </c>
      <c r="AK245" s="37">
        <f>AK244*(1-AK114)*(1-Seasonality!$D$40*AK115)</f>
        <v/>
      </c>
      <c r="AL245" s="37">
        <f>AL244*(1-AL114)*(1-Seasonality!$D$40*AL115)</f>
        <v/>
      </c>
      <c r="AM245" s="37">
        <f>AM244*(1-AM114)*(1-Seasonality!$D$40*AM115)</f>
        <v/>
      </c>
      <c r="AN245" s="37">
        <f>AN244*(1-AN114)*(1-Seasonality!$D$40*AN115)</f>
        <v/>
      </c>
      <c r="AO245" s="37">
        <f>AO244*(1-AO114)*(1-Seasonality!$D$40*AO115)</f>
        <v/>
      </c>
      <c r="AP245" s="37">
        <f>AP244*(1-AP114)*(1-Seasonality!$D$40*AP115)</f>
        <v/>
      </c>
      <c r="AQ245" s="37">
        <f>AQ244*(1-AQ114)*(1-Seasonality!$D$40*AQ115)</f>
        <v/>
      </c>
      <c r="AR245" s="37">
        <f>AR244*(1-AR114)*(1-Seasonality!$D$40*AR115)</f>
        <v/>
      </c>
      <c r="AS245" s="37">
        <f>AS244*(1-AS114)*(1-Seasonality!$D$40*AS115)</f>
        <v/>
      </c>
      <c r="AT245" s="37">
        <f>AT244*(1-AT114)*(1-Seasonality!$D$40*AT115)</f>
        <v/>
      </c>
      <c r="AU245" s="37">
        <f>AU244*(1-AU114)*(1-Seasonality!$D$40*AU115)</f>
        <v/>
      </c>
      <c r="AV245" s="37">
        <f>AV244*(1-AV114)*(1-Seasonality!$D$40*AV115)</f>
        <v/>
      </c>
    </row>
    <row r="246">
      <c r="B246" s="7" t="inlineStr">
        <is>
          <t>Share of institutes still paying · month 6</t>
        </is>
      </c>
      <c r="C246" s="5" t="inlineStr">
        <is>
          <t>%</t>
        </is>
      </c>
      <c r="D246" s="37">
        <f>D245*(1-D114)*(1-Seasonality!$D$41*D115)</f>
        <v/>
      </c>
      <c r="E246" s="37">
        <f>E245*(1-E114)*(1-Seasonality!$D$41*E115)</f>
        <v/>
      </c>
      <c r="F246" s="37">
        <f>F245*(1-F114)*(1-Seasonality!$D$41*F115)</f>
        <v/>
      </c>
      <c r="G246" s="37">
        <f>G245*(1-G114)*(1-Seasonality!$D$41*G115)</f>
        <v/>
      </c>
      <c r="H246" s="37">
        <f>H245*(1-H114)*(1-Seasonality!$D$41*H115)</f>
        <v/>
      </c>
      <c r="I246" s="37">
        <f>I245*(1-I114)*(1-Seasonality!$D$41*I115)</f>
        <v/>
      </c>
      <c r="J246" s="37">
        <f>J245*(1-J114)*(1-Seasonality!$D$41*J115)</f>
        <v/>
      </c>
      <c r="K246" s="37">
        <f>K245*(1-K114)*(1-Seasonality!$D$41*K115)</f>
        <v/>
      </c>
      <c r="L246" s="37">
        <f>L245*(1-L114)*(1-Seasonality!$D$41*L115)</f>
        <v/>
      </c>
      <c r="M246" s="37">
        <f>M245*(1-M114)*(1-Seasonality!$D$41*M115)</f>
        <v/>
      </c>
      <c r="N246" s="37">
        <f>N245*(1-N114)*(1-Seasonality!$D$41*N115)</f>
        <v/>
      </c>
      <c r="O246" s="37">
        <f>O245*(1-O114)*(1-Seasonality!$D$41*O115)</f>
        <v/>
      </c>
      <c r="P246" s="37">
        <f>P245*(1-P114)*(1-Seasonality!$D$41*P115)</f>
        <v/>
      </c>
      <c r="Q246" s="37">
        <f>Q245*(1-Q114)*(1-Seasonality!$D$41*Q115)</f>
        <v/>
      </c>
      <c r="R246" s="37">
        <f>R245*(1-R114)*(1-Seasonality!$D$41*R115)</f>
        <v/>
      </c>
      <c r="S246" s="37">
        <f>S245*(1-S114)*(1-Seasonality!$D$41*S115)</f>
        <v/>
      </c>
      <c r="T246" s="37">
        <f>T245*(1-T114)*(1-Seasonality!$D$41*T115)</f>
        <v/>
      </c>
      <c r="U246" s="37">
        <f>U245*(1-U114)*(1-Seasonality!$D$41*U115)</f>
        <v/>
      </c>
      <c r="V246" s="37">
        <f>V245*(1-V114)*(1-Seasonality!$D$41*V115)</f>
        <v/>
      </c>
      <c r="W246" s="37">
        <f>W245*(1-W114)*(1-Seasonality!$D$41*W115)</f>
        <v/>
      </c>
      <c r="X246" s="37">
        <f>X245*(1-X114)*(1-Seasonality!$D$41*X115)</f>
        <v/>
      </c>
      <c r="Y246" s="37">
        <f>Y245*(1-Y114)*(1-Seasonality!$D$41*Y115)</f>
        <v/>
      </c>
      <c r="Z246" s="37">
        <f>Z245*(1-Z114)*(1-Seasonality!$D$41*Z115)</f>
        <v/>
      </c>
      <c r="AA246" s="37">
        <f>AA245*(1-AA114)*(1-Seasonality!$D$41*AA115)</f>
        <v/>
      </c>
      <c r="AB246" s="37">
        <f>AB245*(1-AB114)*(1-Seasonality!$D$41*AB115)</f>
        <v/>
      </c>
      <c r="AC246" s="37">
        <f>AC245*(1-AC114)*(1-Seasonality!$D$41*AC115)</f>
        <v/>
      </c>
      <c r="AD246" s="37">
        <f>AD245*(1-AD114)*(1-Seasonality!$D$41*AD115)</f>
        <v/>
      </c>
      <c r="AE246" s="37">
        <f>AE245*(1-AE114)*(1-Seasonality!$D$41*AE115)</f>
        <v/>
      </c>
      <c r="AF246" s="37">
        <f>AF245*(1-AF114)*(1-Seasonality!$D$41*AF115)</f>
        <v/>
      </c>
      <c r="AG246" s="37">
        <f>AG245*(1-AG114)*(1-Seasonality!$D$41*AG115)</f>
        <v/>
      </c>
      <c r="AH246" s="37">
        <f>AH245*(1-AH114)*(1-Seasonality!$D$41*AH115)</f>
        <v/>
      </c>
      <c r="AI246" s="37">
        <f>AI245*(1-AI114)*(1-Seasonality!$D$41*AI115)</f>
        <v/>
      </c>
      <c r="AJ246" s="37">
        <f>AJ245*(1-AJ114)*(1-Seasonality!$D$41*AJ115)</f>
        <v/>
      </c>
      <c r="AK246" s="37">
        <f>AK245*(1-AK114)*(1-Seasonality!$D$41*AK115)</f>
        <v/>
      </c>
      <c r="AL246" s="37">
        <f>AL245*(1-AL114)*(1-Seasonality!$D$41*AL115)</f>
        <v/>
      </c>
      <c r="AM246" s="37">
        <f>AM245*(1-AM114)*(1-Seasonality!$D$41*AM115)</f>
        <v/>
      </c>
      <c r="AN246" s="37">
        <f>AN245*(1-AN114)*(1-Seasonality!$D$41*AN115)</f>
        <v/>
      </c>
      <c r="AO246" s="37">
        <f>AO245*(1-AO114)*(1-Seasonality!$D$41*AO115)</f>
        <v/>
      </c>
      <c r="AP246" s="37">
        <f>AP245*(1-AP114)*(1-Seasonality!$D$41*AP115)</f>
        <v/>
      </c>
      <c r="AQ246" s="37">
        <f>AQ245*(1-AQ114)*(1-Seasonality!$D$41*AQ115)</f>
        <v/>
      </c>
      <c r="AR246" s="37">
        <f>AR245*(1-AR114)*(1-Seasonality!$D$41*AR115)</f>
        <v/>
      </c>
      <c r="AS246" s="37">
        <f>AS245*(1-AS114)*(1-Seasonality!$D$41*AS115)</f>
        <v/>
      </c>
      <c r="AT246" s="37">
        <f>AT245*(1-AT114)*(1-Seasonality!$D$41*AT115)</f>
        <v/>
      </c>
      <c r="AU246" s="37">
        <f>AU245*(1-AU114)*(1-Seasonality!$D$41*AU115)</f>
        <v/>
      </c>
      <c r="AV246" s="37">
        <f>AV245*(1-AV114)*(1-Seasonality!$D$41*AV115)</f>
        <v/>
      </c>
    </row>
    <row r="247">
      <c r="B247" s="7" t="inlineStr">
        <is>
          <t>Share of institutes still paying · month 7</t>
        </is>
      </c>
      <c r="C247" s="5" t="inlineStr">
        <is>
          <t>%</t>
        </is>
      </c>
      <c r="D247" s="37">
        <f>D246*(1-D114)*(1-Seasonality!$D$42*D115)</f>
        <v/>
      </c>
      <c r="E247" s="37">
        <f>E246*(1-E114)*(1-Seasonality!$D$42*E115)</f>
        <v/>
      </c>
      <c r="F247" s="37">
        <f>F246*(1-F114)*(1-Seasonality!$D$42*F115)</f>
        <v/>
      </c>
      <c r="G247" s="37">
        <f>G246*(1-G114)*(1-Seasonality!$D$42*G115)</f>
        <v/>
      </c>
      <c r="H247" s="37">
        <f>H246*(1-H114)*(1-Seasonality!$D$42*H115)</f>
        <v/>
      </c>
      <c r="I247" s="37">
        <f>I246*(1-I114)*(1-Seasonality!$D$42*I115)</f>
        <v/>
      </c>
      <c r="J247" s="37">
        <f>J246*(1-J114)*(1-Seasonality!$D$42*J115)</f>
        <v/>
      </c>
      <c r="K247" s="37">
        <f>K246*(1-K114)*(1-Seasonality!$D$42*K115)</f>
        <v/>
      </c>
      <c r="L247" s="37">
        <f>L246*(1-L114)*(1-Seasonality!$D$42*L115)</f>
        <v/>
      </c>
      <c r="M247" s="37">
        <f>M246*(1-M114)*(1-Seasonality!$D$42*M115)</f>
        <v/>
      </c>
      <c r="N247" s="37">
        <f>N246*(1-N114)*(1-Seasonality!$D$42*N115)</f>
        <v/>
      </c>
      <c r="O247" s="37">
        <f>O246*(1-O114)*(1-Seasonality!$D$42*O115)</f>
        <v/>
      </c>
      <c r="P247" s="37">
        <f>P246*(1-P114)*(1-Seasonality!$D$42*P115)</f>
        <v/>
      </c>
      <c r="Q247" s="37">
        <f>Q246*(1-Q114)*(1-Seasonality!$D$42*Q115)</f>
        <v/>
      </c>
      <c r="R247" s="37">
        <f>R246*(1-R114)*(1-Seasonality!$D$42*R115)</f>
        <v/>
      </c>
      <c r="S247" s="37">
        <f>S246*(1-S114)*(1-Seasonality!$D$42*S115)</f>
        <v/>
      </c>
      <c r="T247" s="37">
        <f>T246*(1-T114)*(1-Seasonality!$D$42*T115)</f>
        <v/>
      </c>
      <c r="U247" s="37">
        <f>U246*(1-U114)*(1-Seasonality!$D$42*U115)</f>
        <v/>
      </c>
      <c r="V247" s="37">
        <f>V246*(1-V114)*(1-Seasonality!$D$42*V115)</f>
        <v/>
      </c>
      <c r="W247" s="37">
        <f>W246*(1-W114)*(1-Seasonality!$D$42*W115)</f>
        <v/>
      </c>
      <c r="X247" s="37">
        <f>X246*(1-X114)*(1-Seasonality!$D$42*X115)</f>
        <v/>
      </c>
      <c r="Y247" s="37">
        <f>Y246*(1-Y114)*(1-Seasonality!$D$42*Y115)</f>
        <v/>
      </c>
      <c r="Z247" s="37">
        <f>Z246*(1-Z114)*(1-Seasonality!$D$42*Z115)</f>
        <v/>
      </c>
      <c r="AA247" s="37">
        <f>AA246*(1-AA114)*(1-Seasonality!$D$42*AA115)</f>
        <v/>
      </c>
      <c r="AB247" s="37">
        <f>AB246*(1-AB114)*(1-Seasonality!$D$42*AB115)</f>
        <v/>
      </c>
      <c r="AC247" s="37">
        <f>AC246*(1-AC114)*(1-Seasonality!$D$42*AC115)</f>
        <v/>
      </c>
      <c r="AD247" s="37">
        <f>AD246*(1-AD114)*(1-Seasonality!$D$42*AD115)</f>
        <v/>
      </c>
      <c r="AE247" s="37">
        <f>AE246*(1-AE114)*(1-Seasonality!$D$42*AE115)</f>
        <v/>
      </c>
      <c r="AF247" s="37">
        <f>AF246*(1-AF114)*(1-Seasonality!$D$42*AF115)</f>
        <v/>
      </c>
      <c r="AG247" s="37">
        <f>AG246*(1-AG114)*(1-Seasonality!$D$42*AG115)</f>
        <v/>
      </c>
      <c r="AH247" s="37">
        <f>AH246*(1-AH114)*(1-Seasonality!$D$42*AH115)</f>
        <v/>
      </c>
      <c r="AI247" s="37">
        <f>AI246*(1-AI114)*(1-Seasonality!$D$42*AI115)</f>
        <v/>
      </c>
      <c r="AJ247" s="37">
        <f>AJ246*(1-AJ114)*(1-Seasonality!$D$42*AJ115)</f>
        <v/>
      </c>
      <c r="AK247" s="37">
        <f>AK246*(1-AK114)*(1-Seasonality!$D$42*AK115)</f>
        <v/>
      </c>
      <c r="AL247" s="37">
        <f>AL246*(1-AL114)*(1-Seasonality!$D$42*AL115)</f>
        <v/>
      </c>
      <c r="AM247" s="37">
        <f>AM246*(1-AM114)*(1-Seasonality!$D$42*AM115)</f>
        <v/>
      </c>
      <c r="AN247" s="37">
        <f>AN246*(1-AN114)*(1-Seasonality!$D$42*AN115)</f>
        <v/>
      </c>
      <c r="AO247" s="37">
        <f>AO246*(1-AO114)*(1-Seasonality!$D$42*AO115)</f>
        <v/>
      </c>
      <c r="AP247" s="37">
        <f>AP246*(1-AP114)*(1-Seasonality!$D$42*AP115)</f>
        <v/>
      </c>
      <c r="AQ247" s="37">
        <f>AQ246*(1-AQ114)*(1-Seasonality!$D$42*AQ115)</f>
        <v/>
      </c>
      <c r="AR247" s="37">
        <f>AR246*(1-AR114)*(1-Seasonality!$D$42*AR115)</f>
        <v/>
      </c>
      <c r="AS247" s="37">
        <f>AS246*(1-AS114)*(1-Seasonality!$D$42*AS115)</f>
        <v/>
      </c>
      <c r="AT247" s="37">
        <f>AT246*(1-AT114)*(1-Seasonality!$D$42*AT115)</f>
        <v/>
      </c>
      <c r="AU247" s="37">
        <f>AU246*(1-AU114)*(1-Seasonality!$D$42*AU115)</f>
        <v/>
      </c>
      <c r="AV247" s="37">
        <f>AV246*(1-AV114)*(1-Seasonality!$D$42*AV115)</f>
        <v/>
      </c>
    </row>
    <row r="248">
      <c r="B248" s="7" t="inlineStr">
        <is>
          <t>Share of institutes still paying · month 8</t>
        </is>
      </c>
      <c r="C248" s="5" t="inlineStr">
        <is>
          <t>%</t>
        </is>
      </c>
      <c r="D248" s="37">
        <f>D247*(1-D114)*(1-Seasonality!$D$43*D115)</f>
        <v/>
      </c>
      <c r="E248" s="37">
        <f>E247*(1-E114)*(1-Seasonality!$D$43*E115)</f>
        <v/>
      </c>
      <c r="F248" s="37">
        <f>F247*(1-F114)*(1-Seasonality!$D$43*F115)</f>
        <v/>
      </c>
      <c r="G248" s="37">
        <f>G247*(1-G114)*(1-Seasonality!$D$43*G115)</f>
        <v/>
      </c>
      <c r="H248" s="37">
        <f>H247*(1-H114)*(1-Seasonality!$D$43*H115)</f>
        <v/>
      </c>
      <c r="I248" s="37">
        <f>I247*(1-I114)*(1-Seasonality!$D$43*I115)</f>
        <v/>
      </c>
      <c r="J248" s="37">
        <f>J247*(1-J114)*(1-Seasonality!$D$43*J115)</f>
        <v/>
      </c>
      <c r="K248" s="37">
        <f>K247*(1-K114)*(1-Seasonality!$D$43*K115)</f>
        <v/>
      </c>
      <c r="L248" s="37">
        <f>L247*(1-L114)*(1-Seasonality!$D$43*L115)</f>
        <v/>
      </c>
      <c r="M248" s="37">
        <f>M247*(1-M114)*(1-Seasonality!$D$43*M115)</f>
        <v/>
      </c>
      <c r="N248" s="37">
        <f>N247*(1-N114)*(1-Seasonality!$D$43*N115)</f>
        <v/>
      </c>
      <c r="O248" s="37">
        <f>O247*(1-O114)*(1-Seasonality!$D$43*O115)</f>
        <v/>
      </c>
      <c r="P248" s="37">
        <f>P247*(1-P114)*(1-Seasonality!$D$43*P115)</f>
        <v/>
      </c>
      <c r="Q248" s="37">
        <f>Q247*(1-Q114)*(1-Seasonality!$D$43*Q115)</f>
        <v/>
      </c>
      <c r="R248" s="37">
        <f>R247*(1-R114)*(1-Seasonality!$D$43*R115)</f>
        <v/>
      </c>
      <c r="S248" s="37">
        <f>S247*(1-S114)*(1-Seasonality!$D$43*S115)</f>
        <v/>
      </c>
      <c r="T248" s="37">
        <f>T247*(1-T114)*(1-Seasonality!$D$43*T115)</f>
        <v/>
      </c>
      <c r="U248" s="37">
        <f>U247*(1-U114)*(1-Seasonality!$D$43*U115)</f>
        <v/>
      </c>
      <c r="V248" s="37">
        <f>V247*(1-V114)*(1-Seasonality!$D$43*V115)</f>
        <v/>
      </c>
      <c r="W248" s="37">
        <f>W247*(1-W114)*(1-Seasonality!$D$43*W115)</f>
        <v/>
      </c>
      <c r="X248" s="37">
        <f>X247*(1-X114)*(1-Seasonality!$D$43*X115)</f>
        <v/>
      </c>
      <c r="Y248" s="37">
        <f>Y247*(1-Y114)*(1-Seasonality!$D$43*Y115)</f>
        <v/>
      </c>
      <c r="Z248" s="37">
        <f>Z247*(1-Z114)*(1-Seasonality!$D$43*Z115)</f>
        <v/>
      </c>
      <c r="AA248" s="37">
        <f>AA247*(1-AA114)*(1-Seasonality!$D$43*AA115)</f>
        <v/>
      </c>
      <c r="AB248" s="37">
        <f>AB247*(1-AB114)*(1-Seasonality!$D$43*AB115)</f>
        <v/>
      </c>
      <c r="AC248" s="37">
        <f>AC247*(1-AC114)*(1-Seasonality!$D$43*AC115)</f>
        <v/>
      </c>
      <c r="AD248" s="37">
        <f>AD247*(1-AD114)*(1-Seasonality!$D$43*AD115)</f>
        <v/>
      </c>
      <c r="AE248" s="37">
        <f>AE247*(1-AE114)*(1-Seasonality!$D$43*AE115)</f>
        <v/>
      </c>
      <c r="AF248" s="37">
        <f>AF247*(1-AF114)*(1-Seasonality!$D$43*AF115)</f>
        <v/>
      </c>
      <c r="AG248" s="37">
        <f>AG247*(1-AG114)*(1-Seasonality!$D$43*AG115)</f>
        <v/>
      </c>
      <c r="AH248" s="37">
        <f>AH247*(1-AH114)*(1-Seasonality!$D$43*AH115)</f>
        <v/>
      </c>
      <c r="AI248" s="37">
        <f>AI247*(1-AI114)*(1-Seasonality!$D$43*AI115)</f>
        <v/>
      </c>
      <c r="AJ248" s="37">
        <f>AJ247*(1-AJ114)*(1-Seasonality!$D$43*AJ115)</f>
        <v/>
      </c>
      <c r="AK248" s="37">
        <f>AK247*(1-AK114)*(1-Seasonality!$D$43*AK115)</f>
        <v/>
      </c>
      <c r="AL248" s="37">
        <f>AL247*(1-AL114)*(1-Seasonality!$D$43*AL115)</f>
        <v/>
      </c>
      <c r="AM248" s="37">
        <f>AM247*(1-AM114)*(1-Seasonality!$D$43*AM115)</f>
        <v/>
      </c>
      <c r="AN248" s="37">
        <f>AN247*(1-AN114)*(1-Seasonality!$D$43*AN115)</f>
        <v/>
      </c>
      <c r="AO248" s="37">
        <f>AO247*(1-AO114)*(1-Seasonality!$D$43*AO115)</f>
        <v/>
      </c>
      <c r="AP248" s="37">
        <f>AP247*(1-AP114)*(1-Seasonality!$D$43*AP115)</f>
        <v/>
      </c>
      <c r="AQ248" s="37">
        <f>AQ247*(1-AQ114)*(1-Seasonality!$D$43*AQ115)</f>
        <v/>
      </c>
      <c r="AR248" s="37">
        <f>AR247*(1-AR114)*(1-Seasonality!$D$43*AR115)</f>
        <v/>
      </c>
      <c r="AS248" s="37">
        <f>AS247*(1-AS114)*(1-Seasonality!$D$43*AS115)</f>
        <v/>
      </c>
      <c r="AT248" s="37">
        <f>AT247*(1-AT114)*(1-Seasonality!$D$43*AT115)</f>
        <v/>
      </c>
      <c r="AU248" s="37">
        <f>AU247*(1-AU114)*(1-Seasonality!$D$43*AU115)</f>
        <v/>
      </c>
      <c r="AV248" s="37">
        <f>AV247*(1-AV114)*(1-Seasonality!$D$43*AV115)</f>
        <v/>
      </c>
    </row>
    <row r="249">
      <c r="B249" s="7" t="inlineStr">
        <is>
          <t>Share of institutes still paying · month 9</t>
        </is>
      </c>
      <c r="C249" s="5" t="inlineStr">
        <is>
          <t>%</t>
        </is>
      </c>
      <c r="D249" s="37">
        <f>D248*(1-D114)*(1-Seasonality!$D$44*D115)</f>
        <v/>
      </c>
      <c r="E249" s="37">
        <f>E248*(1-E114)*(1-Seasonality!$D$44*E115)</f>
        <v/>
      </c>
      <c r="F249" s="37">
        <f>F248*(1-F114)*(1-Seasonality!$D$44*F115)</f>
        <v/>
      </c>
      <c r="G249" s="37">
        <f>G248*(1-G114)*(1-Seasonality!$D$44*G115)</f>
        <v/>
      </c>
      <c r="H249" s="37">
        <f>H248*(1-H114)*(1-Seasonality!$D$44*H115)</f>
        <v/>
      </c>
      <c r="I249" s="37">
        <f>I248*(1-I114)*(1-Seasonality!$D$44*I115)</f>
        <v/>
      </c>
      <c r="J249" s="37">
        <f>J248*(1-J114)*(1-Seasonality!$D$44*J115)</f>
        <v/>
      </c>
      <c r="K249" s="37">
        <f>K248*(1-K114)*(1-Seasonality!$D$44*K115)</f>
        <v/>
      </c>
      <c r="L249" s="37">
        <f>L248*(1-L114)*(1-Seasonality!$D$44*L115)</f>
        <v/>
      </c>
      <c r="M249" s="37">
        <f>M248*(1-M114)*(1-Seasonality!$D$44*M115)</f>
        <v/>
      </c>
      <c r="N249" s="37">
        <f>N248*(1-N114)*(1-Seasonality!$D$44*N115)</f>
        <v/>
      </c>
      <c r="O249" s="37">
        <f>O248*(1-O114)*(1-Seasonality!$D$44*O115)</f>
        <v/>
      </c>
      <c r="P249" s="37">
        <f>P248*(1-P114)*(1-Seasonality!$D$44*P115)</f>
        <v/>
      </c>
      <c r="Q249" s="37">
        <f>Q248*(1-Q114)*(1-Seasonality!$D$44*Q115)</f>
        <v/>
      </c>
      <c r="R249" s="37">
        <f>R248*(1-R114)*(1-Seasonality!$D$44*R115)</f>
        <v/>
      </c>
      <c r="S249" s="37">
        <f>S248*(1-S114)*(1-Seasonality!$D$44*S115)</f>
        <v/>
      </c>
      <c r="T249" s="37">
        <f>T248*(1-T114)*(1-Seasonality!$D$44*T115)</f>
        <v/>
      </c>
      <c r="U249" s="37">
        <f>U248*(1-U114)*(1-Seasonality!$D$44*U115)</f>
        <v/>
      </c>
      <c r="V249" s="37">
        <f>V248*(1-V114)*(1-Seasonality!$D$44*V115)</f>
        <v/>
      </c>
      <c r="W249" s="37">
        <f>W248*(1-W114)*(1-Seasonality!$D$44*W115)</f>
        <v/>
      </c>
      <c r="X249" s="37">
        <f>X248*(1-X114)*(1-Seasonality!$D$44*X115)</f>
        <v/>
      </c>
      <c r="Y249" s="37">
        <f>Y248*(1-Y114)*(1-Seasonality!$D$44*Y115)</f>
        <v/>
      </c>
      <c r="Z249" s="37">
        <f>Z248*(1-Z114)*(1-Seasonality!$D$44*Z115)</f>
        <v/>
      </c>
      <c r="AA249" s="37">
        <f>AA248*(1-AA114)*(1-Seasonality!$D$44*AA115)</f>
        <v/>
      </c>
      <c r="AB249" s="37">
        <f>AB248*(1-AB114)*(1-Seasonality!$D$44*AB115)</f>
        <v/>
      </c>
      <c r="AC249" s="37">
        <f>AC248*(1-AC114)*(1-Seasonality!$D$44*AC115)</f>
        <v/>
      </c>
      <c r="AD249" s="37">
        <f>AD248*(1-AD114)*(1-Seasonality!$D$44*AD115)</f>
        <v/>
      </c>
      <c r="AE249" s="37">
        <f>AE248*(1-AE114)*(1-Seasonality!$D$44*AE115)</f>
        <v/>
      </c>
      <c r="AF249" s="37">
        <f>AF248*(1-AF114)*(1-Seasonality!$D$44*AF115)</f>
        <v/>
      </c>
      <c r="AG249" s="37">
        <f>AG248*(1-AG114)*(1-Seasonality!$D$44*AG115)</f>
        <v/>
      </c>
      <c r="AH249" s="37">
        <f>AH248*(1-AH114)*(1-Seasonality!$D$44*AH115)</f>
        <v/>
      </c>
      <c r="AI249" s="37">
        <f>AI248*(1-AI114)*(1-Seasonality!$D$44*AI115)</f>
        <v/>
      </c>
      <c r="AJ249" s="37">
        <f>AJ248*(1-AJ114)*(1-Seasonality!$D$44*AJ115)</f>
        <v/>
      </c>
      <c r="AK249" s="37">
        <f>AK248*(1-AK114)*(1-Seasonality!$D$44*AK115)</f>
        <v/>
      </c>
      <c r="AL249" s="37">
        <f>AL248*(1-AL114)*(1-Seasonality!$D$44*AL115)</f>
        <v/>
      </c>
      <c r="AM249" s="37">
        <f>AM248*(1-AM114)*(1-Seasonality!$D$44*AM115)</f>
        <v/>
      </c>
      <c r="AN249" s="37">
        <f>AN248*(1-AN114)*(1-Seasonality!$D$44*AN115)</f>
        <v/>
      </c>
      <c r="AO249" s="37">
        <f>AO248*(1-AO114)*(1-Seasonality!$D$44*AO115)</f>
        <v/>
      </c>
      <c r="AP249" s="37">
        <f>AP248*(1-AP114)*(1-Seasonality!$D$44*AP115)</f>
        <v/>
      </c>
      <c r="AQ249" s="37">
        <f>AQ248*(1-AQ114)*(1-Seasonality!$D$44*AQ115)</f>
        <v/>
      </c>
      <c r="AR249" s="37">
        <f>AR248*(1-AR114)*(1-Seasonality!$D$44*AR115)</f>
        <v/>
      </c>
      <c r="AS249" s="37">
        <f>AS248*(1-AS114)*(1-Seasonality!$D$44*AS115)</f>
        <v/>
      </c>
      <c r="AT249" s="37">
        <f>AT248*(1-AT114)*(1-Seasonality!$D$44*AT115)</f>
        <v/>
      </c>
      <c r="AU249" s="37">
        <f>AU248*(1-AU114)*(1-Seasonality!$D$44*AU115)</f>
        <v/>
      </c>
      <c r="AV249" s="37">
        <f>AV248*(1-AV114)*(1-Seasonality!$D$44*AV115)</f>
        <v/>
      </c>
    </row>
    <row r="250">
      <c r="B250" s="7" t="inlineStr">
        <is>
          <t>Share of institutes still paying · month 10</t>
        </is>
      </c>
      <c r="C250" s="5" t="inlineStr">
        <is>
          <t>%</t>
        </is>
      </c>
      <c r="D250" s="37">
        <f>D249*(1-D114)*(1-Seasonality!$D$45*D115)</f>
        <v/>
      </c>
      <c r="E250" s="37">
        <f>E249*(1-E114)*(1-Seasonality!$D$45*E115)</f>
        <v/>
      </c>
      <c r="F250" s="37">
        <f>F249*(1-F114)*(1-Seasonality!$D$45*F115)</f>
        <v/>
      </c>
      <c r="G250" s="37">
        <f>G249*(1-G114)*(1-Seasonality!$D$45*G115)</f>
        <v/>
      </c>
      <c r="H250" s="37">
        <f>H249*(1-H114)*(1-Seasonality!$D$45*H115)</f>
        <v/>
      </c>
      <c r="I250" s="37">
        <f>I249*(1-I114)*(1-Seasonality!$D$45*I115)</f>
        <v/>
      </c>
      <c r="J250" s="37">
        <f>J249*(1-J114)*(1-Seasonality!$D$45*J115)</f>
        <v/>
      </c>
      <c r="K250" s="37">
        <f>K249*(1-K114)*(1-Seasonality!$D$45*K115)</f>
        <v/>
      </c>
      <c r="L250" s="37">
        <f>L249*(1-L114)*(1-Seasonality!$D$45*L115)</f>
        <v/>
      </c>
      <c r="M250" s="37">
        <f>M249*(1-M114)*(1-Seasonality!$D$45*M115)</f>
        <v/>
      </c>
      <c r="N250" s="37">
        <f>N249*(1-N114)*(1-Seasonality!$D$45*N115)</f>
        <v/>
      </c>
      <c r="O250" s="37">
        <f>O249*(1-O114)*(1-Seasonality!$D$45*O115)</f>
        <v/>
      </c>
      <c r="P250" s="37">
        <f>P249*(1-P114)*(1-Seasonality!$D$45*P115)</f>
        <v/>
      </c>
      <c r="Q250" s="37">
        <f>Q249*(1-Q114)*(1-Seasonality!$D$45*Q115)</f>
        <v/>
      </c>
      <c r="R250" s="37">
        <f>R249*(1-R114)*(1-Seasonality!$D$45*R115)</f>
        <v/>
      </c>
      <c r="S250" s="37">
        <f>S249*(1-S114)*(1-Seasonality!$D$45*S115)</f>
        <v/>
      </c>
      <c r="T250" s="37">
        <f>T249*(1-T114)*(1-Seasonality!$D$45*T115)</f>
        <v/>
      </c>
      <c r="U250" s="37">
        <f>U249*(1-U114)*(1-Seasonality!$D$45*U115)</f>
        <v/>
      </c>
      <c r="V250" s="37">
        <f>V249*(1-V114)*(1-Seasonality!$D$45*V115)</f>
        <v/>
      </c>
      <c r="W250" s="37">
        <f>W249*(1-W114)*(1-Seasonality!$D$45*W115)</f>
        <v/>
      </c>
      <c r="X250" s="37">
        <f>X249*(1-X114)*(1-Seasonality!$D$45*X115)</f>
        <v/>
      </c>
      <c r="Y250" s="37">
        <f>Y249*(1-Y114)*(1-Seasonality!$D$45*Y115)</f>
        <v/>
      </c>
      <c r="Z250" s="37">
        <f>Z249*(1-Z114)*(1-Seasonality!$D$45*Z115)</f>
        <v/>
      </c>
      <c r="AA250" s="37">
        <f>AA249*(1-AA114)*(1-Seasonality!$D$45*AA115)</f>
        <v/>
      </c>
      <c r="AB250" s="37">
        <f>AB249*(1-AB114)*(1-Seasonality!$D$45*AB115)</f>
        <v/>
      </c>
      <c r="AC250" s="37">
        <f>AC249*(1-AC114)*(1-Seasonality!$D$45*AC115)</f>
        <v/>
      </c>
      <c r="AD250" s="37">
        <f>AD249*(1-AD114)*(1-Seasonality!$D$45*AD115)</f>
        <v/>
      </c>
      <c r="AE250" s="37">
        <f>AE249*(1-AE114)*(1-Seasonality!$D$45*AE115)</f>
        <v/>
      </c>
      <c r="AF250" s="37">
        <f>AF249*(1-AF114)*(1-Seasonality!$D$45*AF115)</f>
        <v/>
      </c>
      <c r="AG250" s="37">
        <f>AG249*(1-AG114)*(1-Seasonality!$D$45*AG115)</f>
        <v/>
      </c>
      <c r="AH250" s="37">
        <f>AH249*(1-AH114)*(1-Seasonality!$D$45*AH115)</f>
        <v/>
      </c>
      <c r="AI250" s="37">
        <f>AI249*(1-AI114)*(1-Seasonality!$D$45*AI115)</f>
        <v/>
      </c>
      <c r="AJ250" s="37">
        <f>AJ249*(1-AJ114)*(1-Seasonality!$D$45*AJ115)</f>
        <v/>
      </c>
      <c r="AK250" s="37">
        <f>AK249*(1-AK114)*(1-Seasonality!$D$45*AK115)</f>
        <v/>
      </c>
      <c r="AL250" s="37">
        <f>AL249*(1-AL114)*(1-Seasonality!$D$45*AL115)</f>
        <v/>
      </c>
      <c r="AM250" s="37">
        <f>AM249*(1-AM114)*(1-Seasonality!$D$45*AM115)</f>
        <v/>
      </c>
      <c r="AN250" s="37">
        <f>AN249*(1-AN114)*(1-Seasonality!$D$45*AN115)</f>
        <v/>
      </c>
      <c r="AO250" s="37">
        <f>AO249*(1-AO114)*(1-Seasonality!$D$45*AO115)</f>
        <v/>
      </c>
      <c r="AP250" s="37">
        <f>AP249*(1-AP114)*(1-Seasonality!$D$45*AP115)</f>
        <v/>
      </c>
      <c r="AQ250" s="37">
        <f>AQ249*(1-AQ114)*(1-Seasonality!$D$45*AQ115)</f>
        <v/>
      </c>
      <c r="AR250" s="37">
        <f>AR249*(1-AR114)*(1-Seasonality!$D$45*AR115)</f>
        <v/>
      </c>
      <c r="AS250" s="37">
        <f>AS249*(1-AS114)*(1-Seasonality!$D$45*AS115)</f>
        <v/>
      </c>
      <c r="AT250" s="37">
        <f>AT249*(1-AT114)*(1-Seasonality!$D$45*AT115)</f>
        <v/>
      </c>
      <c r="AU250" s="37">
        <f>AU249*(1-AU114)*(1-Seasonality!$D$45*AU115)</f>
        <v/>
      </c>
      <c r="AV250" s="37">
        <f>AV249*(1-AV114)*(1-Seasonality!$D$45*AV115)</f>
        <v/>
      </c>
    </row>
    <row r="251">
      <c r="B251" s="7" t="inlineStr">
        <is>
          <t>Share of institutes still paying · month 11</t>
        </is>
      </c>
      <c r="C251" s="5" t="inlineStr">
        <is>
          <t>%</t>
        </is>
      </c>
      <c r="D251" s="37">
        <f>D250*(1-D114)*(1-Seasonality!$D$46*D115)</f>
        <v/>
      </c>
      <c r="E251" s="37">
        <f>E250*(1-E114)*(1-Seasonality!$D$46*E115)</f>
        <v/>
      </c>
      <c r="F251" s="37">
        <f>F250*(1-F114)*(1-Seasonality!$D$46*F115)</f>
        <v/>
      </c>
      <c r="G251" s="37">
        <f>G250*(1-G114)*(1-Seasonality!$D$46*G115)</f>
        <v/>
      </c>
      <c r="H251" s="37">
        <f>H250*(1-H114)*(1-Seasonality!$D$46*H115)</f>
        <v/>
      </c>
      <c r="I251" s="37">
        <f>I250*(1-I114)*(1-Seasonality!$D$46*I115)</f>
        <v/>
      </c>
      <c r="J251" s="37">
        <f>J250*(1-J114)*(1-Seasonality!$D$46*J115)</f>
        <v/>
      </c>
      <c r="K251" s="37">
        <f>K250*(1-K114)*(1-Seasonality!$D$46*K115)</f>
        <v/>
      </c>
      <c r="L251" s="37">
        <f>L250*(1-L114)*(1-Seasonality!$D$46*L115)</f>
        <v/>
      </c>
      <c r="M251" s="37">
        <f>M250*(1-M114)*(1-Seasonality!$D$46*M115)</f>
        <v/>
      </c>
      <c r="N251" s="37">
        <f>N250*(1-N114)*(1-Seasonality!$D$46*N115)</f>
        <v/>
      </c>
      <c r="O251" s="37">
        <f>O250*(1-O114)*(1-Seasonality!$D$46*O115)</f>
        <v/>
      </c>
      <c r="P251" s="37">
        <f>P250*(1-P114)*(1-Seasonality!$D$46*P115)</f>
        <v/>
      </c>
      <c r="Q251" s="37">
        <f>Q250*(1-Q114)*(1-Seasonality!$D$46*Q115)</f>
        <v/>
      </c>
      <c r="R251" s="37">
        <f>R250*(1-R114)*(1-Seasonality!$D$46*R115)</f>
        <v/>
      </c>
      <c r="S251" s="37">
        <f>S250*(1-S114)*(1-Seasonality!$D$46*S115)</f>
        <v/>
      </c>
      <c r="T251" s="37">
        <f>T250*(1-T114)*(1-Seasonality!$D$46*T115)</f>
        <v/>
      </c>
      <c r="U251" s="37">
        <f>U250*(1-U114)*(1-Seasonality!$D$46*U115)</f>
        <v/>
      </c>
      <c r="V251" s="37">
        <f>V250*(1-V114)*(1-Seasonality!$D$46*V115)</f>
        <v/>
      </c>
      <c r="W251" s="37">
        <f>W250*(1-W114)*(1-Seasonality!$D$46*W115)</f>
        <v/>
      </c>
      <c r="X251" s="37">
        <f>X250*(1-X114)*(1-Seasonality!$D$46*X115)</f>
        <v/>
      </c>
      <c r="Y251" s="37">
        <f>Y250*(1-Y114)*(1-Seasonality!$D$46*Y115)</f>
        <v/>
      </c>
      <c r="Z251" s="37">
        <f>Z250*(1-Z114)*(1-Seasonality!$D$46*Z115)</f>
        <v/>
      </c>
      <c r="AA251" s="37">
        <f>AA250*(1-AA114)*(1-Seasonality!$D$46*AA115)</f>
        <v/>
      </c>
      <c r="AB251" s="37">
        <f>AB250*(1-AB114)*(1-Seasonality!$D$46*AB115)</f>
        <v/>
      </c>
      <c r="AC251" s="37">
        <f>AC250*(1-AC114)*(1-Seasonality!$D$46*AC115)</f>
        <v/>
      </c>
      <c r="AD251" s="37">
        <f>AD250*(1-AD114)*(1-Seasonality!$D$46*AD115)</f>
        <v/>
      </c>
      <c r="AE251" s="37">
        <f>AE250*(1-AE114)*(1-Seasonality!$D$46*AE115)</f>
        <v/>
      </c>
      <c r="AF251" s="37">
        <f>AF250*(1-AF114)*(1-Seasonality!$D$46*AF115)</f>
        <v/>
      </c>
      <c r="AG251" s="37">
        <f>AG250*(1-AG114)*(1-Seasonality!$D$46*AG115)</f>
        <v/>
      </c>
      <c r="AH251" s="37">
        <f>AH250*(1-AH114)*(1-Seasonality!$D$46*AH115)</f>
        <v/>
      </c>
      <c r="AI251" s="37">
        <f>AI250*(1-AI114)*(1-Seasonality!$D$46*AI115)</f>
        <v/>
      </c>
      <c r="AJ251" s="37">
        <f>AJ250*(1-AJ114)*(1-Seasonality!$D$46*AJ115)</f>
        <v/>
      </c>
      <c r="AK251" s="37">
        <f>AK250*(1-AK114)*(1-Seasonality!$D$46*AK115)</f>
        <v/>
      </c>
      <c r="AL251" s="37">
        <f>AL250*(1-AL114)*(1-Seasonality!$D$46*AL115)</f>
        <v/>
      </c>
      <c r="AM251" s="37">
        <f>AM250*(1-AM114)*(1-Seasonality!$D$46*AM115)</f>
        <v/>
      </c>
      <c r="AN251" s="37">
        <f>AN250*(1-AN114)*(1-Seasonality!$D$46*AN115)</f>
        <v/>
      </c>
      <c r="AO251" s="37">
        <f>AO250*(1-AO114)*(1-Seasonality!$D$46*AO115)</f>
        <v/>
      </c>
      <c r="AP251" s="37">
        <f>AP250*(1-AP114)*(1-Seasonality!$D$46*AP115)</f>
        <v/>
      </c>
      <c r="AQ251" s="37">
        <f>AQ250*(1-AQ114)*(1-Seasonality!$D$46*AQ115)</f>
        <v/>
      </c>
      <c r="AR251" s="37">
        <f>AR250*(1-AR114)*(1-Seasonality!$D$46*AR115)</f>
        <v/>
      </c>
      <c r="AS251" s="37">
        <f>AS250*(1-AS114)*(1-Seasonality!$D$46*AS115)</f>
        <v/>
      </c>
      <c r="AT251" s="37">
        <f>AT250*(1-AT114)*(1-Seasonality!$D$46*AT115)</f>
        <v/>
      </c>
      <c r="AU251" s="37">
        <f>AU250*(1-AU114)*(1-Seasonality!$D$46*AU115)</f>
        <v/>
      </c>
      <c r="AV251" s="37">
        <f>AV250*(1-AV114)*(1-Seasonality!$D$46*AV115)</f>
        <v/>
      </c>
    </row>
    <row r="252">
      <c r="B252" s="7" t="inlineStr">
        <is>
          <t>Share of institutes still paying · month 12</t>
        </is>
      </c>
      <c r="C252" s="5" t="inlineStr">
        <is>
          <t>%</t>
        </is>
      </c>
      <c r="D252" s="37">
        <f>D251*(1-D114)*(1-Seasonality!$D$47*D115)</f>
        <v/>
      </c>
      <c r="E252" s="37">
        <f>E251*(1-E114)*(1-Seasonality!$D$47*E115)</f>
        <v/>
      </c>
      <c r="F252" s="37">
        <f>F251*(1-F114)*(1-Seasonality!$D$47*F115)</f>
        <v/>
      </c>
      <c r="G252" s="37">
        <f>G251*(1-G114)*(1-Seasonality!$D$47*G115)</f>
        <v/>
      </c>
      <c r="H252" s="37">
        <f>H251*(1-H114)*(1-Seasonality!$D$47*H115)</f>
        <v/>
      </c>
      <c r="I252" s="37">
        <f>I251*(1-I114)*(1-Seasonality!$D$47*I115)</f>
        <v/>
      </c>
      <c r="J252" s="37">
        <f>J251*(1-J114)*(1-Seasonality!$D$47*J115)</f>
        <v/>
      </c>
      <c r="K252" s="37">
        <f>K251*(1-K114)*(1-Seasonality!$D$47*K115)</f>
        <v/>
      </c>
      <c r="L252" s="37">
        <f>L251*(1-L114)*(1-Seasonality!$D$47*L115)</f>
        <v/>
      </c>
      <c r="M252" s="37">
        <f>M251*(1-M114)*(1-Seasonality!$D$47*M115)</f>
        <v/>
      </c>
      <c r="N252" s="37">
        <f>N251*(1-N114)*(1-Seasonality!$D$47*N115)</f>
        <v/>
      </c>
      <c r="O252" s="37">
        <f>O251*(1-O114)*(1-Seasonality!$D$47*O115)</f>
        <v/>
      </c>
      <c r="P252" s="37">
        <f>P251*(1-P114)*(1-Seasonality!$D$47*P115)</f>
        <v/>
      </c>
      <c r="Q252" s="37">
        <f>Q251*(1-Q114)*(1-Seasonality!$D$47*Q115)</f>
        <v/>
      </c>
      <c r="R252" s="37">
        <f>R251*(1-R114)*(1-Seasonality!$D$47*R115)</f>
        <v/>
      </c>
      <c r="S252" s="37">
        <f>S251*(1-S114)*(1-Seasonality!$D$47*S115)</f>
        <v/>
      </c>
      <c r="T252" s="37">
        <f>T251*(1-T114)*(1-Seasonality!$D$47*T115)</f>
        <v/>
      </c>
      <c r="U252" s="37">
        <f>U251*(1-U114)*(1-Seasonality!$D$47*U115)</f>
        <v/>
      </c>
      <c r="V252" s="37">
        <f>V251*(1-V114)*(1-Seasonality!$D$47*V115)</f>
        <v/>
      </c>
      <c r="W252" s="37">
        <f>W251*(1-W114)*(1-Seasonality!$D$47*W115)</f>
        <v/>
      </c>
      <c r="X252" s="37">
        <f>X251*(1-X114)*(1-Seasonality!$D$47*X115)</f>
        <v/>
      </c>
      <c r="Y252" s="37">
        <f>Y251*(1-Y114)*(1-Seasonality!$D$47*Y115)</f>
        <v/>
      </c>
      <c r="Z252" s="37">
        <f>Z251*(1-Z114)*(1-Seasonality!$D$47*Z115)</f>
        <v/>
      </c>
      <c r="AA252" s="37">
        <f>AA251*(1-AA114)*(1-Seasonality!$D$47*AA115)</f>
        <v/>
      </c>
      <c r="AB252" s="37">
        <f>AB251*(1-AB114)*(1-Seasonality!$D$47*AB115)</f>
        <v/>
      </c>
      <c r="AC252" s="37">
        <f>AC251*(1-AC114)*(1-Seasonality!$D$47*AC115)</f>
        <v/>
      </c>
      <c r="AD252" s="37">
        <f>AD251*(1-AD114)*(1-Seasonality!$D$47*AD115)</f>
        <v/>
      </c>
      <c r="AE252" s="37">
        <f>AE251*(1-AE114)*(1-Seasonality!$D$47*AE115)</f>
        <v/>
      </c>
      <c r="AF252" s="37">
        <f>AF251*(1-AF114)*(1-Seasonality!$D$47*AF115)</f>
        <v/>
      </c>
      <c r="AG252" s="37">
        <f>AG251*(1-AG114)*(1-Seasonality!$D$47*AG115)</f>
        <v/>
      </c>
      <c r="AH252" s="37">
        <f>AH251*(1-AH114)*(1-Seasonality!$D$47*AH115)</f>
        <v/>
      </c>
      <c r="AI252" s="37">
        <f>AI251*(1-AI114)*(1-Seasonality!$D$47*AI115)</f>
        <v/>
      </c>
      <c r="AJ252" s="37">
        <f>AJ251*(1-AJ114)*(1-Seasonality!$D$47*AJ115)</f>
        <v/>
      </c>
      <c r="AK252" s="37">
        <f>AK251*(1-AK114)*(1-Seasonality!$D$47*AK115)</f>
        <v/>
      </c>
      <c r="AL252" s="37">
        <f>AL251*(1-AL114)*(1-Seasonality!$D$47*AL115)</f>
        <v/>
      </c>
      <c r="AM252" s="37">
        <f>AM251*(1-AM114)*(1-Seasonality!$D$47*AM115)</f>
        <v/>
      </c>
      <c r="AN252" s="37">
        <f>AN251*(1-AN114)*(1-Seasonality!$D$47*AN115)</f>
        <v/>
      </c>
      <c r="AO252" s="37">
        <f>AO251*(1-AO114)*(1-Seasonality!$D$47*AO115)</f>
        <v/>
      </c>
      <c r="AP252" s="37">
        <f>AP251*(1-AP114)*(1-Seasonality!$D$47*AP115)</f>
        <v/>
      </c>
      <c r="AQ252" s="37">
        <f>AQ251*(1-AQ114)*(1-Seasonality!$D$47*AQ115)</f>
        <v/>
      </c>
      <c r="AR252" s="37">
        <f>AR251*(1-AR114)*(1-Seasonality!$D$47*AR115)</f>
        <v/>
      </c>
      <c r="AS252" s="37">
        <f>AS251*(1-AS114)*(1-Seasonality!$D$47*AS115)</f>
        <v/>
      </c>
      <c r="AT252" s="37">
        <f>AT251*(1-AT114)*(1-Seasonality!$D$47*AT115)</f>
        <v/>
      </c>
      <c r="AU252" s="37">
        <f>AU251*(1-AU114)*(1-Seasonality!$D$47*AU115)</f>
        <v/>
      </c>
      <c r="AV252" s="37">
        <f>AV251*(1-AV114)*(1-Seasonality!$D$47*AV115)</f>
        <v/>
      </c>
    </row>
    <row r="253">
      <c r="B253" s="7" t="inlineStr">
        <is>
          <t>Share of institutes still paying · month 13</t>
        </is>
      </c>
      <c r="C253" s="5" t="inlineStr">
        <is>
          <t>%</t>
        </is>
      </c>
      <c r="D253" s="37">
        <f>D252*(1-D114)*(1-Seasonality!$D$48*D115)</f>
        <v/>
      </c>
      <c r="E253" s="37">
        <f>E252*(1-E114)*(1-Seasonality!$D$48*E115)</f>
        <v/>
      </c>
      <c r="F253" s="37">
        <f>F252*(1-F114)*(1-Seasonality!$D$48*F115)</f>
        <v/>
      </c>
      <c r="G253" s="37">
        <f>G252*(1-G114)*(1-Seasonality!$D$48*G115)</f>
        <v/>
      </c>
      <c r="H253" s="37">
        <f>H252*(1-H114)*(1-Seasonality!$D$48*H115)</f>
        <v/>
      </c>
      <c r="I253" s="37">
        <f>I252*(1-I114)*(1-Seasonality!$D$48*I115)</f>
        <v/>
      </c>
      <c r="J253" s="37">
        <f>J252*(1-J114)*(1-Seasonality!$D$48*J115)</f>
        <v/>
      </c>
      <c r="K253" s="37">
        <f>K252*(1-K114)*(1-Seasonality!$D$48*K115)</f>
        <v/>
      </c>
      <c r="L253" s="37">
        <f>L252*(1-L114)*(1-Seasonality!$D$48*L115)</f>
        <v/>
      </c>
      <c r="M253" s="37">
        <f>M252*(1-M114)*(1-Seasonality!$D$48*M115)</f>
        <v/>
      </c>
      <c r="N253" s="37">
        <f>N252*(1-N114)*(1-Seasonality!$D$48*N115)</f>
        <v/>
      </c>
      <c r="O253" s="37">
        <f>O252*(1-O114)*(1-Seasonality!$D$48*O115)</f>
        <v/>
      </c>
      <c r="P253" s="37">
        <f>P252*(1-P114)*(1-Seasonality!$D$48*P115)</f>
        <v/>
      </c>
      <c r="Q253" s="37">
        <f>Q252*(1-Q114)*(1-Seasonality!$D$48*Q115)</f>
        <v/>
      </c>
      <c r="R253" s="37">
        <f>R252*(1-R114)*(1-Seasonality!$D$48*R115)</f>
        <v/>
      </c>
      <c r="S253" s="37">
        <f>S252*(1-S114)*(1-Seasonality!$D$48*S115)</f>
        <v/>
      </c>
      <c r="T253" s="37">
        <f>T252*(1-T114)*(1-Seasonality!$D$48*T115)</f>
        <v/>
      </c>
      <c r="U253" s="37">
        <f>U252*(1-U114)*(1-Seasonality!$D$48*U115)</f>
        <v/>
      </c>
      <c r="V253" s="37">
        <f>V252*(1-V114)*(1-Seasonality!$D$48*V115)</f>
        <v/>
      </c>
      <c r="W253" s="37">
        <f>W252*(1-W114)*(1-Seasonality!$D$48*W115)</f>
        <v/>
      </c>
      <c r="X253" s="37">
        <f>X252*(1-X114)*(1-Seasonality!$D$48*X115)</f>
        <v/>
      </c>
      <c r="Y253" s="37">
        <f>Y252*(1-Y114)*(1-Seasonality!$D$48*Y115)</f>
        <v/>
      </c>
      <c r="Z253" s="37">
        <f>Z252*(1-Z114)*(1-Seasonality!$D$48*Z115)</f>
        <v/>
      </c>
      <c r="AA253" s="37">
        <f>AA252*(1-AA114)*(1-Seasonality!$D$48*AA115)</f>
        <v/>
      </c>
      <c r="AB253" s="37">
        <f>AB252*(1-AB114)*(1-Seasonality!$D$48*AB115)</f>
        <v/>
      </c>
      <c r="AC253" s="37">
        <f>AC252*(1-AC114)*(1-Seasonality!$D$48*AC115)</f>
        <v/>
      </c>
      <c r="AD253" s="37">
        <f>AD252*(1-AD114)*(1-Seasonality!$D$48*AD115)</f>
        <v/>
      </c>
      <c r="AE253" s="37">
        <f>AE252*(1-AE114)*(1-Seasonality!$D$48*AE115)</f>
        <v/>
      </c>
      <c r="AF253" s="37">
        <f>AF252*(1-AF114)*(1-Seasonality!$D$48*AF115)</f>
        <v/>
      </c>
      <c r="AG253" s="37">
        <f>AG252*(1-AG114)*(1-Seasonality!$D$48*AG115)</f>
        <v/>
      </c>
      <c r="AH253" s="37">
        <f>AH252*(1-AH114)*(1-Seasonality!$D$48*AH115)</f>
        <v/>
      </c>
      <c r="AI253" s="37">
        <f>AI252*(1-AI114)*(1-Seasonality!$D$48*AI115)</f>
        <v/>
      </c>
      <c r="AJ253" s="37">
        <f>AJ252*(1-AJ114)*(1-Seasonality!$D$48*AJ115)</f>
        <v/>
      </c>
      <c r="AK253" s="37">
        <f>AK252*(1-AK114)*(1-Seasonality!$D$48*AK115)</f>
        <v/>
      </c>
      <c r="AL253" s="37">
        <f>AL252*(1-AL114)*(1-Seasonality!$D$48*AL115)</f>
        <v/>
      </c>
      <c r="AM253" s="37">
        <f>AM252*(1-AM114)*(1-Seasonality!$D$48*AM115)</f>
        <v/>
      </c>
      <c r="AN253" s="37">
        <f>AN252*(1-AN114)*(1-Seasonality!$D$48*AN115)</f>
        <v/>
      </c>
      <c r="AO253" s="37">
        <f>AO252*(1-AO114)*(1-Seasonality!$D$48*AO115)</f>
        <v/>
      </c>
      <c r="AP253" s="37">
        <f>AP252*(1-AP114)*(1-Seasonality!$D$48*AP115)</f>
        <v/>
      </c>
      <c r="AQ253" s="37">
        <f>AQ252*(1-AQ114)*(1-Seasonality!$D$48*AQ115)</f>
        <v/>
      </c>
      <c r="AR253" s="37">
        <f>AR252*(1-AR114)*(1-Seasonality!$D$48*AR115)</f>
        <v/>
      </c>
      <c r="AS253" s="37">
        <f>AS252*(1-AS114)*(1-Seasonality!$D$48*AS115)</f>
        <v/>
      </c>
      <c r="AT253" s="37">
        <f>AT252*(1-AT114)*(1-Seasonality!$D$48*AT115)</f>
        <v/>
      </c>
      <c r="AU253" s="37">
        <f>AU252*(1-AU114)*(1-Seasonality!$D$48*AU115)</f>
        <v/>
      </c>
      <c r="AV253" s="37">
        <f>AV252*(1-AV114)*(1-Seasonality!$D$48*AV115)</f>
        <v/>
      </c>
    </row>
    <row r="254">
      <c r="B254" s="7" t="inlineStr">
        <is>
          <t>Share of institutes still paying · month 14</t>
        </is>
      </c>
      <c r="C254" s="5" t="inlineStr">
        <is>
          <t>%</t>
        </is>
      </c>
      <c r="D254" s="37">
        <f>D253*(1-D114)*(1-Seasonality!$D$49*D115)</f>
        <v/>
      </c>
      <c r="E254" s="37">
        <f>E253*(1-E114)*(1-Seasonality!$D$49*E115)</f>
        <v/>
      </c>
      <c r="F254" s="37">
        <f>F253*(1-F114)*(1-Seasonality!$D$49*F115)</f>
        <v/>
      </c>
      <c r="G254" s="37">
        <f>G253*(1-G114)*(1-Seasonality!$D$49*G115)</f>
        <v/>
      </c>
      <c r="H254" s="37">
        <f>H253*(1-H114)*(1-Seasonality!$D$49*H115)</f>
        <v/>
      </c>
      <c r="I254" s="37">
        <f>I253*(1-I114)*(1-Seasonality!$D$49*I115)</f>
        <v/>
      </c>
      <c r="J254" s="37">
        <f>J253*(1-J114)*(1-Seasonality!$D$49*J115)</f>
        <v/>
      </c>
      <c r="K254" s="37">
        <f>K253*(1-K114)*(1-Seasonality!$D$49*K115)</f>
        <v/>
      </c>
      <c r="L254" s="37">
        <f>L253*(1-L114)*(1-Seasonality!$D$49*L115)</f>
        <v/>
      </c>
      <c r="M254" s="37">
        <f>M253*(1-M114)*(1-Seasonality!$D$49*M115)</f>
        <v/>
      </c>
      <c r="N254" s="37">
        <f>N253*(1-N114)*(1-Seasonality!$D$49*N115)</f>
        <v/>
      </c>
      <c r="O254" s="37">
        <f>O253*(1-O114)*(1-Seasonality!$D$49*O115)</f>
        <v/>
      </c>
      <c r="P254" s="37">
        <f>P253*(1-P114)*(1-Seasonality!$D$49*P115)</f>
        <v/>
      </c>
      <c r="Q254" s="37">
        <f>Q253*(1-Q114)*(1-Seasonality!$D$49*Q115)</f>
        <v/>
      </c>
      <c r="R254" s="37">
        <f>R253*(1-R114)*(1-Seasonality!$D$49*R115)</f>
        <v/>
      </c>
      <c r="S254" s="37">
        <f>S253*(1-S114)*(1-Seasonality!$D$49*S115)</f>
        <v/>
      </c>
      <c r="T254" s="37">
        <f>T253*(1-T114)*(1-Seasonality!$D$49*T115)</f>
        <v/>
      </c>
      <c r="U254" s="37">
        <f>U253*(1-U114)*(1-Seasonality!$D$49*U115)</f>
        <v/>
      </c>
      <c r="V254" s="37">
        <f>V253*(1-V114)*(1-Seasonality!$D$49*V115)</f>
        <v/>
      </c>
      <c r="W254" s="37">
        <f>W253*(1-W114)*(1-Seasonality!$D$49*W115)</f>
        <v/>
      </c>
      <c r="X254" s="37">
        <f>X253*(1-X114)*(1-Seasonality!$D$49*X115)</f>
        <v/>
      </c>
      <c r="Y254" s="37">
        <f>Y253*(1-Y114)*(1-Seasonality!$D$49*Y115)</f>
        <v/>
      </c>
      <c r="Z254" s="37">
        <f>Z253*(1-Z114)*(1-Seasonality!$D$49*Z115)</f>
        <v/>
      </c>
      <c r="AA254" s="37">
        <f>AA253*(1-AA114)*(1-Seasonality!$D$49*AA115)</f>
        <v/>
      </c>
      <c r="AB254" s="37">
        <f>AB253*(1-AB114)*(1-Seasonality!$D$49*AB115)</f>
        <v/>
      </c>
      <c r="AC254" s="37">
        <f>AC253*(1-AC114)*(1-Seasonality!$D$49*AC115)</f>
        <v/>
      </c>
      <c r="AD254" s="37">
        <f>AD253*(1-AD114)*(1-Seasonality!$D$49*AD115)</f>
        <v/>
      </c>
      <c r="AE254" s="37">
        <f>AE253*(1-AE114)*(1-Seasonality!$D$49*AE115)</f>
        <v/>
      </c>
      <c r="AF254" s="37">
        <f>AF253*(1-AF114)*(1-Seasonality!$D$49*AF115)</f>
        <v/>
      </c>
      <c r="AG254" s="37">
        <f>AG253*(1-AG114)*(1-Seasonality!$D$49*AG115)</f>
        <v/>
      </c>
      <c r="AH254" s="37">
        <f>AH253*(1-AH114)*(1-Seasonality!$D$49*AH115)</f>
        <v/>
      </c>
      <c r="AI254" s="37">
        <f>AI253*(1-AI114)*(1-Seasonality!$D$49*AI115)</f>
        <v/>
      </c>
      <c r="AJ254" s="37">
        <f>AJ253*(1-AJ114)*(1-Seasonality!$D$49*AJ115)</f>
        <v/>
      </c>
      <c r="AK254" s="37">
        <f>AK253*(1-AK114)*(1-Seasonality!$D$49*AK115)</f>
        <v/>
      </c>
      <c r="AL254" s="37">
        <f>AL253*(1-AL114)*(1-Seasonality!$D$49*AL115)</f>
        <v/>
      </c>
      <c r="AM254" s="37">
        <f>AM253*(1-AM114)*(1-Seasonality!$D$49*AM115)</f>
        <v/>
      </c>
      <c r="AN254" s="37">
        <f>AN253*(1-AN114)*(1-Seasonality!$D$49*AN115)</f>
        <v/>
      </c>
      <c r="AO254" s="37">
        <f>AO253*(1-AO114)*(1-Seasonality!$D$49*AO115)</f>
        <v/>
      </c>
      <c r="AP254" s="37">
        <f>AP253*(1-AP114)*(1-Seasonality!$D$49*AP115)</f>
        <v/>
      </c>
      <c r="AQ254" s="37">
        <f>AQ253*(1-AQ114)*(1-Seasonality!$D$49*AQ115)</f>
        <v/>
      </c>
      <c r="AR254" s="37">
        <f>AR253*(1-AR114)*(1-Seasonality!$D$49*AR115)</f>
        <v/>
      </c>
      <c r="AS254" s="37">
        <f>AS253*(1-AS114)*(1-Seasonality!$D$49*AS115)</f>
        <v/>
      </c>
      <c r="AT254" s="37">
        <f>AT253*(1-AT114)*(1-Seasonality!$D$49*AT115)</f>
        <v/>
      </c>
      <c r="AU254" s="37">
        <f>AU253*(1-AU114)*(1-Seasonality!$D$49*AU115)</f>
        <v/>
      </c>
      <c r="AV254" s="37">
        <f>AV253*(1-AV114)*(1-Seasonality!$D$49*AV115)</f>
        <v/>
      </c>
    </row>
    <row r="255">
      <c r="B255" s="7" t="inlineStr">
        <is>
          <t>Share of institutes still paying · month 15</t>
        </is>
      </c>
      <c r="C255" s="5" t="inlineStr">
        <is>
          <t>%</t>
        </is>
      </c>
      <c r="D255" s="37">
        <f>D254*(1-D114)*(1-Seasonality!$D$50*D115)</f>
        <v/>
      </c>
      <c r="E255" s="37">
        <f>E254*(1-E114)*(1-Seasonality!$D$50*E115)</f>
        <v/>
      </c>
      <c r="F255" s="37">
        <f>F254*(1-F114)*(1-Seasonality!$D$50*F115)</f>
        <v/>
      </c>
      <c r="G255" s="37">
        <f>G254*(1-G114)*(1-Seasonality!$D$50*G115)</f>
        <v/>
      </c>
      <c r="H255" s="37">
        <f>H254*(1-H114)*(1-Seasonality!$D$50*H115)</f>
        <v/>
      </c>
      <c r="I255" s="37">
        <f>I254*(1-I114)*(1-Seasonality!$D$50*I115)</f>
        <v/>
      </c>
      <c r="J255" s="37">
        <f>J254*(1-J114)*(1-Seasonality!$D$50*J115)</f>
        <v/>
      </c>
      <c r="K255" s="37">
        <f>K254*(1-K114)*(1-Seasonality!$D$50*K115)</f>
        <v/>
      </c>
      <c r="L255" s="37">
        <f>L254*(1-L114)*(1-Seasonality!$D$50*L115)</f>
        <v/>
      </c>
      <c r="M255" s="37">
        <f>M254*(1-M114)*(1-Seasonality!$D$50*M115)</f>
        <v/>
      </c>
      <c r="N255" s="37">
        <f>N254*(1-N114)*(1-Seasonality!$D$50*N115)</f>
        <v/>
      </c>
      <c r="O255" s="37">
        <f>O254*(1-O114)*(1-Seasonality!$D$50*O115)</f>
        <v/>
      </c>
      <c r="P255" s="37">
        <f>P254*(1-P114)*(1-Seasonality!$D$50*P115)</f>
        <v/>
      </c>
      <c r="Q255" s="37">
        <f>Q254*(1-Q114)*(1-Seasonality!$D$50*Q115)</f>
        <v/>
      </c>
      <c r="R255" s="37">
        <f>R254*(1-R114)*(1-Seasonality!$D$50*R115)</f>
        <v/>
      </c>
      <c r="S255" s="37">
        <f>S254*(1-S114)*(1-Seasonality!$D$50*S115)</f>
        <v/>
      </c>
      <c r="T255" s="37">
        <f>T254*(1-T114)*(1-Seasonality!$D$50*T115)</f>
        <v/>
      </c>
      <c r="U255" s="37">
        <f>U254*(1-U114)*(1-Seasonality!$D$50*U115)</f>
        <v/>
      </c>
      <c r="V255" s="37">
        <f>V254*(1-V114)*(1-Seasonality!$D$50*V115)</f>
        <v/>
      </c>
      <c r="W255" s="37">
        <f>W254*(1-W114)*(1-Seasonality!$D$50*W115)</f>
        <v/>
      </c>
      <c r="X255" s="37">
        <f>X254*(1-X114)*(1-Seasonality!$D$50*X115)</f>
        <v/>
      </c>
      <c r="Y255" s="37">
        <f>Y254*(1-Y114)*(1-Seasonality!$D$50*Y115)</f>
        <v/>
      </c>
      <c r="Z255" s="37">
        <f>Z254*(1-Z114)*(1-Seasonality!$D$50*Z115)</f>
        <v/>
      </c>
      <c r="AA255" s="37">
        <f>AA254*(1-AA114)*(1-Seasonality!$D$50*AA115)</f>
        <v/>
      </c>
      <c r="AB255" s="37">
        <f>AB254*(1-AB114)*(1-Seasonality!$D$50*AB115)</f>
        <v/>
      </c>
      <c r="AC255" s="37">
        <f>AC254*(1-AC114)*(1-Seasonality!$D$50*AC115)</f>
        <v/>
      </c>
      <c r="AD255" s="37">
        <f>AD254*(1-AD114)*(1-Seasonality!$D$50*AD115)</f>
        <v/>
      </c>
      <c r="AE255" s="37">
        <f>AE254*(1-AE114)*(1-Seasonality!$D$50*AE115)</f>
        <v/>
      </c>
      <c r="AF255" s="37">
        <f>AF254*(1-AF114)*(1-Seasonality!$D$50*AF115)</f>
        <v/>
      </c>
      <c r="AG255" s="37">
        <f>AG254*(1-AG114)*(1-Seasonality!$D$50*AG115)</f>
        <v/>
      </c>
      <c r="AH255" s="37">
        <f>AH254*(1-AH114)*(1-Seasonality!$D$50*AH115)</f>
        <v/>
      </c>
      <c r="AI255" s="37">
        <f>AI254*(1-AI114)*(1-Seasonality!$D$50*AI115)</f>
        <v/>
      </c>
      <c r="AJ255" s="37">
        <f>AJ254*(1-AJ114)*(1-Seasonality!$D$50*AJ115)</f>
        <v/>
      </c>
      <c r="AK255" s="37">
        <f>AK254*(1-AK114)*(1-Seasonality!$D$50*AK115)</f>
        <v/>
      </c>
      <c r="AL255" s="37">
        <f>AL254*(1-AL114)*(1-Seasonality!$D$50*AL115)</f>
        <v/>
      </c>
      <c r="AM255" s="37">
        <f>AM254*(1-AM114)*(1-Seasonality!$D$50*AM115)</f>
        <v/>
      </c>
      <c r="AN255" s="37">
        <f>AN254*(1-AN114)*(1-Seasonality!$D$50*AN115)</f>
        <v/>
      </c>
      <c r="AO255" s="37">
        <f>AO254*(1-AO114)*(1-Seasonality!$D$50*AO115)</f>
        <v/>
      </c>
      <c r="AP255" s="37">
        <f>AP254*(1-AP114)*(1-Seasonality!$D$50*AP115)</f>
        <v/>
      </c>
      <c r="AQ255" s="37">
        <f>AQ254*(1-AQ114)*(1-Seasonality!$D$50*AQ115)</f>
        <v/>
      </c>
      <c r="AR255" s="37">
        <f>AR254*(1-AR114)*(1-Seasonality!$D$50*AR115)</f>
        <v/>
      </c>
      <c r="AS255" s="37">
        <f>AS254*(1-AS114)*(1-Seasonality!$D$50*AS115)</f>
        <v/>
      </c>
      <c r="AT255" s="37">
        <f>AT254*(1-AT114)*(1-Seasonality!$D$50*AT115)</f>
        <v/>
      </c>
      <c r="AU255" s="37">
        <f>AU254*(1-AU114)*(1-Seasonality!$D$50*AU115)</f>
        <v/>
      </c>
      <c r="AV255" s="37">
        <f>AV254*(1-AV114)*(1-Seasonality!$D$50*AV115)</f>
        <v/>
      </c>
    </row>
    <row r="256">
      <c r="B256" s="7" t="inlineStr">
        <is>
          <t>Share of institutes still paying · month 16</t>
        </is>
      </c>
      <c r="C256" s="5" t="inlineStr">
        <is>
          <t>%</t>
        </is>
      </c>
      <c r="D256" s="37">
        <f>D255*(1-D114)*(1-Seasonality!$D$51*D115)</f>
        <v/>
      </c>
      <c r="E256" s="37">
        <f>E255*(1-E114)*(1-Seasonality!$D$51*E115)</f>
        <v/>
      </c>
      <c r="F256" s="37">
        <f>F255*(1-F114)*(1-Seasonality!$D$51*F115)</f>
        <v/>
      </c>
      <c r="G256" s="37">
        <f>G255*(1-G114)*(1-Seasonality!$D$51*G115)</f>
        <v/>
      </c>
      <c r="H256" s="37">
        <f>H255*(1-H114)*(1-Seasonality!$D$51*H115)</f>
        <v/>
      </c>
      <c r="I256" s="37">
        <f>I255*(1-I114)*(1-Seasonality!$D$51*I115)</f>
        <v/>
      </c>
      <c r="J256" s="37">
        <f>J255*(1-J114)*(1-Seasonality!$D$51*J115)</f>
        <v/>
      </c>
      <c r="K256" s="37">
        <f>K255*(1-K114)*(1-Seasonality!$D$51*K115)</f>
        <v/>
      </c>
      <c r="L256" s="37">
        <f>L255*(1-L114)*(1-Seasonality!$D$51*L115)</f>
        <v/>
      </c>
      <c r="M256" s="37">
        <f>M255*(1-M114)*(1-Seasonality!$D$51*M115)</f>
        <v/>
      </c>
      <c r="N256" s="37">
        <f>N255*(1-N114)*(1-Seasonality!$D$51*N115)</f>
        <v/>
      </c>
      <c r="O256" s="37">
        <f>O255*(1-O114)*(1-Seasonality!$D$51*O115)</f>
        <v/>
      </c>
      <c r="P256" s="37">
        <f>P255*(1-P114)*(1-Seasonality!$D$51*P115)</f>
        <v/>
      </c>
      <c r="Q256" s="37">
        <f>Q255*(1-Q114)*(1-Seasonality!$D$51*Q115)</f>
        <v/>
      </c>
      <c r="R256" s="37">
        <f>R255*(1-R114)*(1-Seasonality!$D$51*R115)</f>
        <v/>
      </c>
      <c r="S256" s="37">
        <f>S255*(1-S114)*(1-Seasonality!$D$51*S115)</f>
        <v/>
      </c>
      <c r="T256" s="37">
        <f>T255*(1-T114)*(1-Seasonality!$D$51*T115)</f>
        <v/>
      </c>
      <c r="U256" s="37">
        <f>U255*(1-U114)*(1-Seasonality!$D$51*U115)</f>
        <v/>
      </c>
      <c r="V256" s="37">
        <f>V255*(1-V114)*(1-Seasonality!$D$51*V115)</f>
        <v/>
      </c>
      <c r="W256" s="37">
        <f>W255*(1-W114)*(1-Seasonality!$D$51*W115)</f>
        <v/>
      </c>
      <c r="X256" s="37">
        <f>X255*(1-X114)*(1-Seasonality!$D$51*X115)</f>
        <v/>
      </c>
      <c r="Y256" s="37">
        <f>Y255*(1-Y114)*(1-Seasonality!$D$51*Y115)</f>
        <v/>
      </c>
      <c r="Z256" s="37">
        <f>Z255*(1-Z114)*(1-Seasonality!$D$51*Z115)</f>
        <v/>
      </c>
      <c r="AA256" s="37">
        <f>AA255*(1-AA114)*(1-Seasonality!$D$51*AA115)</f>
        <v/>
      </c>
      <c r="AB256" s="37">
        <f>AB255*(1-AB114)*(1-Seasonality!$D$51*AB115)</f>
        <v/>
      </c>
      <c r="AC256" s="37">
        <f>AC255*(1-AC114)*(1-Seasonality!$D$51*AC115)</f>
        <v/>
      </c>
      <c r="AD256" s="37">
        <f>AD255*(1-AD114)*(1-Seasonality!$D$51*AD115)</f>
        <v/>
      </c>
      <c r="AE256" s="37">
        <f>AE255*(1-AE114)*(1-Seasonality!$D$51*AE115)</f>
        <v/>
      </c>
      <c r="AF256" s="37">
        <f>AF255*(1-AF114)*(1-Seasonality!$D$51*AF115)</f>
        <v/>
      </c>
      <c r="AG256" s="37">
        <f>AG255*(1-AG114)*(1-Seasonality!$D$51*AG115)</f>
        <v/>
      </c>
      <c r="AH256" s="37">
        <f>AH255*(1-AH114)*(1-Seasonality!$D$51*AH115)</f>
        <v/>
      </c>
      <c r="AI256" s="37">
        <f>AI255*(1-AI114)*(1-Seasonality!$D$51*AI115)</f>
        <v/>
      </c>
      <c r="AJ256" s="37">
        <f>AJ255*(1-AJ114)*(1-Seasonality!$D$51*AJ115)</f>
        <v/>
      </c>
      <c r="AK256" s="37">
        <f>AK255*(1-AK114)*(1-Seasonality!$D$51*AK115)</f>
        <v/>
      </c>
      <c r="AL256" s="37">
        <f>AL255*(1-AL114)*(1-Seasonality!$D$51*AL115)</f>
        <v/>
      </c>
      <c r="AM256" s="37">
        <f>AM255*(1-AM114)*(1-Seasonality!$D$51*AM115)</f>
        <v/>
      </c>
      <c r="AN256" s="37">
        <f>AN255*(1-AN114)*(1-Seasonality!$D$51*AN115)</f>
        <v/>
      </c>
      <c r="AO256" s="37">
        <f>AO255*(1-AO114)*(1-Seasonality!$D$51*AO115)</f>
        <v/>
      </c>
      <c r="AP256" s="37">
        <f>AP255*(1-AP114)*(1-Seasonality!$D$51*AP115)</f>
        <v/>
      </c>
      <c r="AQ256" s="37">
        <f>AQ255*(1-AQ114)*(1-Seasonality!$D$51*AQ115)</f>
        <v/>
      </c>
      <c r="AR256" s="37">
        <f>AR255*(1-AR114)*(1-Seasonality!$D$51*AR115)</f>
        <v/>
      </c>
      <c r="AS256" s="37">
        <f>AS255*(1-AS114)*(1-Seasonality!$D$51*AS115)</f>
        <v/>
      </c>
      <c r="AT256" s="37">
        <f>AT255*(1-AT114)*(1-Seasonality!$D$51*AT115)</f>
        <v/>
      </c>
      <c r="AU256" s="37">
        <f>AU255*(1-AU114)*(1-Seasonality!$D$51*AU115)</f>
        <v/>
      </c>
      <c r="AV256" s="37">
        <f>AV255*(1-AV114)*(1-Seasonality!$D$51*AV115)</f>
        <v/>
      </c>
    </row>
    <row r="257">
      <c r="B257" s="7" t="inlineStr">
        <is>
          <t>Share of institutes still paying · month 17</t>
        </is>
      </c>
      <c r="C257" s="5" t="inlineStr">
        <is>
          <t>%</t>
        </is>
      </c>
      <c r="D257" s="37">
        <f>D256*(1-D114)*(1-Seasonality!$D$52*D115)</f>
        <v/>
      </c>
      <c r="E257" s="37">
        <f>E256*(1-E114)*(1-Seasonality!$D$52*E115)</f>
        <v/>
      </c>
      <c r="F257" s="37">
        <f>F256*(1-F114)*(1-Seasonality!$D$52*F115)</f>
        <v/>
      </c>
      <c r="G257" s="37">
        <f>G256*(1-G114)*(1-Seasonality!$D$52*G115)</f>
        <v/>
      </c>
      <c r="H257" s="37">
        <f>H256*(1-H114)*(1-Seasonality!$D$52*H115)</f>
        <v/>
      </c>
      <c r="I257" s="37">
        <f>I256*(1-I114)*(1-Seasonality!$D$52*I115)</f>
        <v/>
      </c>
      <c r="J257" s="37">
        <f>J256*(1-J114)*(1-Seasonality!$D$52*J115)</f>
        <v/>
      </c>
      <c r="K257" s="37">
        <f>K256*(1-K114)*(1-Seasonality!$D$52*K115)</f>
        <v/>
      </c>
      <c r="L257" s="37">
        <f>L256*(1-L114)*(1-Seasonality!$D$52*L115)</f>
        <v/>
      </c>
      <c r="M257" s="37">
        <f>M256*(1-M114)*(1-Seasonality!$D$52*M115)</f>
        <v/>
      </c>
      <c r="N257" s="37">
        <f>N256*(1-N114)*(1-Seasonality!$D$52*N115)</f>
        <v/>
      </c>
      <c r="O257" s="37">
        <f>O256*(1-O114)*(1-Seasonality!$D$52*O115)</f>
        <v/>
      </c>
      <c r="P257" s="37">
        <f>P256*(1-P114)*(1-Seasonality!$D$52*P115)</f>
        <v/>
      </c>
      <c r="Q257" s="37">
        <f>Q256*(1-Q114)*(1-Seasonality!$D$52*Q115)</f>
        <v/>
      </c>
      <c r="R257" s="37">
        <f>R256*(1-R114)*(1-Seasonality!$D$52*R115)</f>
        <v/>
      </c>
      <c r="S257" s="37">
        <f>S256*(1-S114)*(1-Seasonality!$D$52*S115)</f>
        <v/>
      </c>
      <c r="T257" s="37">
        <f>T256*(1-T114)*(1-Seasonality!$D$52*T115)</f>
        <v/>
      </c>
      <c r="U257" s="37">
        <f>U256*(1-U114)*(1-Seasonality!$D$52*U115)</f>
        <v/>
      </c>
      <c r="V257" s="37">
        <f>V256*(1-V114)*(1-Seasonality!$D$52*V115)</f>
        <v/>
      </c>
      <c r="W257" s="37">
        <f>W256*(1-W114)*(1-Seasonality!$D$52*W115)</f>
        <v/>
      </c>
      <c r="X257" s="37">
        <f>X256*(1-X114)*(1-Seasonality!$D$52*X115)</f>
        <v/>
      </c>
      <c r="Y257" s="37">
        <f>Y256*(1-Y114)*(1-Seasonality!$D$52*Y115)</f>
        <v/>
      </c>
      <c r="Z257" s="37">
        <f>Z256*(1-Z114)*(1-Seasonality!$D$52*Z115)</f>
        <v/>
      </c>
      <c r="AA257" s="37">
        <f>AA256*(1-AA114)*(1-Seasonality!$D$52*AA115)</f>
        <v/>
      </c>
      <c r="AB257" s="37">
        <f>AB256*(1-AB114)*(1-Seasonality!$D$52*AB115)</f>
        <v/>
      </c>
      <c r="AC257" s="37">
        <f>AC256*(1-AC114)*(1-Seasonality!$D$52*AC115)</f>
        <v/>
      </c>
      <c r="AD257" s="37">
        <f>AD256*(1-AD114)*(1-Seasonality!$D$52*AD115)</f>
        <v/>
      </c>
      <c r="AE257" s="37">
        <f>AE256*(1-AE114)*(1-Seasonality!$D$52*AE115)</f>
        <v/>
      </c>
      <c r="AF257" s="37">
        <f>AF256*(1-AF114)*(1-Seasonality!$D$52*AF115)</f>
        <v/>
      </c>
      <c r="AG257" s="37">
        <f>AG256*(1-AG114)*(1-Seasonality!$D$52*AG115)</f>
        <v/>
      </c>
      <c r="AH257" s="37">
        <f>AH256*(1-AH114)*(1-Seasonality!$D$52*AH115)</f>
        <v/>
      </c>
      <c r="AI257" s="37">
        <f>AI256*(1-AI114)*(1-Seasonality!$D$52*AI115)</f>
        <v/>
      </c>
      <c r="AJ257" s="37">
        <f>AJ256*(1-AJ114)*(1-Seasonality!$D$52*AJ115)</f>
        <v/>
      </c>
      <c r="AK257" s="37">
        <f>AK256*(1-AK114)*(1-Seasonality!$D$52*AK115)</f>
        <v/>
      </c>
      <c r="AL257" s="37">
        <f>AL256*(1-AL114)*(1-Seasonality!$D$52*AL115)</f>
        <v/>
      </c>
      <c r="AM257" s="37">
        <f>AM256*(1-AM114)*(1-Seasonality!$D$52*AM115)</f>
        <v/>
      </c>
      <c r="AN257" s="37">
        <f>AN256*(1-AN114)*(1-Seasonality!$D$52*AN115)</f>
        <v/>
      </c>
      <c r="AO257" s="37">
        <f>AO256*(1-AO114)*(1-Seasonality!$D$52*AO115)</f>
        <v/>
      </c>
      <c r="AP257" s="37">
        <f>AP256*(1-AP114)*(1-Seasonality!$D$52*AP115)</f>
        <v/>
      </c>
      <c r="AQ257" s="37">
        <f>AQ256*(1-AQ114)*(1-Seasonality!$D$52*AQ115)</f>
        <v/>
      </c>
      <c r="AR257" s="37">
        <f>AR256*(1-AR114)*(1-Seasonality!$D$52*AR115)</f>
        <v/>
      </c>
      <c r="AS257" s="37">
        <f>AS256*(1-AS114)*(1-Seasonality!$D$52*AS115)</f>
        <v/>
      </c>
      <c r="AT257" s="37">
        <f>AT256*(1-AT114)*(1-Seasonality!$D$52*AT115)</f>
        <v/>
      </c>
      <c r="AU257" s="37">
        <f>AU256*(1-AU114)*(1-Seasonality!$D$52*AU115)</f>
        <v/>
      </c>
      <c r="AV257" s="37">
        <f>AV256*(1-AV114)*(1-Seasonality!$D$52*AV115)</f>
        <v/>
      </c>
    </row>
    <row r="258">
      <c r="B258" s="7" t="inlineStr">
        <is>
          <t>Share of institutes still paying · month 18</t>
        </is>
      </c>
      <c r="C258" s="5" t="inlineStr">
        <is>
          <t>%</t>
        </is>
      </c>
      <c r="D258" s="37">
        <f>D257*(1-D114)*(1-Seasonality!$D$53*D115)</f>
        <v/>
      </c>
      <c r="E258" s="37">
        <f>E257*(1-E114)*(1-Seasonality!$D$53*E115)</f>
        <v/>
      </c>
      <c r="F258" s="37">
        <f>F257*(1-F114)*(1-Seasonality!$D$53*F115)</f>
        <v/>
      </c>
      <c r="G258" s="37">
        <f>G257*(1-G114)*(1-Seasonality!$D$53*G115)</f>
        <v/>
      </c>
      <c r="H258" s="37">
        <f>H257*(1-H114)*(1-Seasonality!$D$53*H115)</f>
        <v/>
      </c>
      <c r="I258" s="37">
        <f>I257*(1-I114)*(1-Seasonality!$D$53*I115)</f>
        <v/>
      </c>
      <c r="J258" s="37">
        <f>J257*(1-J114)*(1-Seasonality!$D$53*J115)</f>
        <v/>
      </c>
      <c r="K258" s="37">
        <f>K257*(1-K114)*(1-Seasonality!$D$53*K115)</f>
        <v/>
      </c>
      <c r="L258" s="37">
        <f>L257*(1-L114)*(1-Seasonality!$D$53*L115)</f>
        <v/>
      </c>
      <c r="M258" s="37">
        <f>M257*(1-M114)*(1-Seasonality!$D$53*M115)</f>
        <v/>
      </c>
      <c r="N258" s="37">
        <f>N257*(1-N114)*(1-Seasonality!$D$53*N115)</f>
        <v/>
      </c>
      <c r="O258" s="37">
        <f>O257*(1-O114)*(1-Seasonality!$D$53*O115)</f>
        <v/>
      </c>
      <c r="P258" s="37">
        <f>P257*(1-P114)*(1-Seasonality!$D$53*P115)</f>
        <v/>
      </c>
      <c r="Q258" s="37">
        <f>Q257*(1-Q114)*(1-Seasonality!$D$53*Q115)</f>
        <v/>
      </c>
      <c r="R258" s="37">
        <f>R257*(1-R114)*(1-Seasonality!$D$53*R115)</f>
        <v/>
      </c>
      <c r="S258" s="37">
        <f>S257*(1-S114)*(1-Seasonality!$D$53*S115)</f>
        <v/>
      </c>
      <c r="T258" s="37">
        <f>T257*(1-T114)*(1-Seasonality!$D$53*T115)</f>
        <v/>
      </c>
      <c r="U258" s="37">
        <f>U257*(1-U114)*(1-Seasonality!$D$53*U115)</f>
        <v/>
      </c>
      <c r="V258" s="37">
        <f>V257*(1-V114)*(1-Seasonality!$D$53*V115)</f>
        <v/>
      </c>
      <c r="W258" s="37">
        <f>W257*(1-W114)*(1-Seasonality!$D$53*W115)</f>
        <v/>
      </c>
      <c r="X258" s="37">
        <f>X257*(1-X114)*(1-Seasonality!$D$53*X115)</f>
        <v/>
      </c>
      <c r="Y258" s="37">
        <f>Y257*(1-Y114)*(1-Seasonality!$D$53*Y115)</f>
        <v/>
      </c>
      <c r="Z258" s="37">
        <f>Z257*(1-Z114)*(1-Seasonality!$D$53*Z115)</f>
        <v/>
      </c>
      <c r="AA258" s="37">
        <f>AA257*(1-AA114)*(1-Seasonality!$D$53*AA115)</f>
        <v/>
      </c>
      <c r="AB258" s="37">
        <f>AB257*(1-AB114)*(1-Seasonality!$D$53*AB115)</f>
        <v/>
      </c>
      <c r="AC258" s="37">
        <f>AC257*(1-AC114)*(1-Seasonality!$D$53*AC115)</f>
        <v/>
      </c>
      <c r="AD258" s="37">
        <f>AD257*(1-AD114)*(1-Seasonality!$D$53*AD115)</f>
        <v/>
      </c>
      <c r="AE258" s="37">
        <f>AE257*(1-AE114)*(1-Seasonality!$D$53*AE115)</f>
        <v/>
      </c>
      <c r="AF258" s="37">
        <f>AF257*(1-AF114)*(1-Seasonality!$D$53*AF115)</f>
        <v/>
      </c>
      <c r="AG258" s="37">
        <f>AG257*(1-AG114)*(1-Seasonality!$D$53*AG115)</f>
        <v/>
      </c>
      <c r="AH258" s="37">
        <f>AH257*(1-AH114)*(1-Seasonality!$D$53*AH115)</f>
        <v/>
      </c>
      <c r="AI258" s="37">
        <f>AI257*(1-AI114)*(1-Seasonality!$D$53*AI115)</f>
        <v/>
      </c>
      <c r="AJ258" s="37">
        <f>AJ257*(1-AJ114)*(1-Seasonality!$D$53*AJ115)</f>
        <v/>
      </c>
      <c r="AK258" s="37">
        <f>AK257*(1-AK114)*(1-Seasonality!$D$53*AK115)</f>
        <v/>
      </c>
      <c r="AL258" s="37">
        <f>AL257*(1-AL114)*(1-Seasonality!$D$53*AL115)</f>
        <v/>
      </c>
      <c r="AM258" s="37">
        <f>AM257*(1-AM114)*(1-Seasonality!$D$53*AM115)</f>
        <v/>
      </c>
      <c r="AN258" s="37">
        <f>AN257*(1-AN114)*(1-Seasonality!$D$53*AN115)</f>
        <v/>
      </c>
      <c r="AO258" s="37">
        <f>AO257*(1-AO114)*(1-Seasonality!$D$53*AO115)</f>
        <v/>
      </c>
      <c r="AP258" s="37">
        <f>AP257*(1-AP114)*(1-Seasonality!$D$53*AP115)</f>
        <v/>
      </c>
      <c r="AQ258" s="37">
        <f>AQ257*(1-AQ114)*(1-Seasonality!$D$53*AQ115)</f>
        <v/>
      </c>
      <c r="AR258" s="37">
        <f>AR257*(1-AR114)*(1-Seasonality!$D$53*AR115)</f>
        <v/>
      </c>
      <c r="AS258" s="37">
        <f>AS257*(1-AS114)*(1-Seasonality!$D$53*AS115)</f>
        <v/>
      </c>
      <c r="AT258" s="37">
        <f>AT257*(1-AT114)*(1-Seasonality!$D$53*AT115)</f>
        <v/>
      </c>
      <c r="AU258" s="37">
        <f>AU257*(1-AU114)*(1-Seasonality!$D$53*AU115)</f>
        <v/>
      </c>
      <c r="AV258" s="37">
        <f>AV257*(1-AV114)*(1-Seasonality!$D$53*AV115)</f>
        <v/>
      </c>
    </row>
    <row r="259">
      <c r="B259" s="7" t="inlineStr">
        <is>
          <t>Share of institutes still paying · month 19</t>
        </is>
      </c>
      <c r="C259" s="5" t="inlineStr">
        <is>
          <t>%</t>
        </is>
      </c>
      <c r="D259" s="37">
        <f>D258*(1-D114)*(1-Seasonality!$D$54*D115)</f>
        <v/>
      </c>
      <c r="E259" s="37">
        <f>E258*(1-E114)*(1-Seasonality!$D$54*E115)</f>
        <v/>
      </c>
      <c r="F259" s="37">
        <f>F258*(1-F114)*(1-Seasonality!$D$54*F115)</f>
        <v/>
      </c>
      <c r="G259" s="37">
        <f>G258*(1-G114)*(1-Seasonality!$D$54*G115)</f>
        <v/>
      </c>
      <c r="H259" s="37">
        <f>H258*(1-H114)*(1-Seasonality!$D$54*H115)</f>
        <v/>
      </c>
      <c r="I259" s="37">
        <f>I258*(1-I114)*(1-Seasonality!$D$54*I115)</f>
        <v/>
      </c>
      <c r="J259" s="37">
        <f>J258*(1-J114)*(1-Seasonality!$D$54*J115)</f>
        <v/>
      </c>
      <c r="K259" s="37">
        <f>K258*(1-K114)*(1-Seasonality!$D$54*K115)</f>
        <v/>
      </c>
      <c r="L259" s="37">
        <f>L258*(1-L114)*(1-Seasonality!$D$54*L115)</f>
        <v/>
      </c>
      <c r="M259" s="37">
        <f>M258*(1-M114)*(1-Seasonality!$D$54*M115)</f>
        <v/>
      </c>
      <c r="N259" s="37">
        <f>N258*(1-N114)*(1-Seasonality!$D$54*N115)</f>
        <v/>
      </c>
      <c r="O259" s="37">
        <f>O258*(1-O114)*(1-Seasonality!$D$54*O115)</f>
        <v/>
      </c>
      <c r="P259" s="37">
        <f>P258*(1-P114)*(1-Seasonality!$D$54*P115)</f>
        <v/>
      </c>
      <c r="Q259" s="37">
        <f>Q258*(1-Q114)*(1-Seasonality!$D$54*Q115)</f>
        <v/>
      </c>
      <c r="R259" s="37">
        <f>R258*(1-R114)*(1-Seasonality!$D$54*R115)</f>
        <v/>
      </c>
      <c r="S259" s="37">
        <f>S258*(1-S114)*(1-Seasonality!$D$54*S115)</f>
        <v/>
      </c>
      <c r="T259" s="37">
        <f>T258*(1-T114)*(1-Seasonality!$D$54*T115)</f>
        <v/>
      </c>
      <c r="U259" s="37">
        <f>U258*(1-U114)*(1-Seasonality!$D$54*U115)</f>
        <v/>
      </c>
      <c r="V259" s="37">
        <f>V258*(1-V114)*(1-Seasonality!$D$54*V115)</f>
        <v/>
      </c>
      <c r="W259" s="37">
        <f>W258*(1-W114)*(1-Seasonality!$D$54*W115)</f>
        <v/>
      </c>
      <c r="X259" s="37">
        <f>X258*(1-X114)*(1-Seasonality!$D$54*X115)</f>
        <v/>
      </c>
      <c r="Y259" s="37">
        <f>Y258*(1-Y114)*(1-Seasonality!$D$54*Y115)</f>
        <v/>
      </c>
      <c r="Z259" s="37">
        <f>Z258*(1-Z114)*(1-Seasonality!$D$54*Z115)</f>
        <v/>
      </c>
      <c r="AA259" s="37">
        <f>AA258*(1-AA114)*(1-Seasonality!$D$54*AA115)</f>
        <v/>
      </c>
      <c r="AB259" s="37">
        <f>AB258*(1-AB114)*(1-Seasonality!$D$54*AB115)</f>
        <v/>
      </c>
      <c r="AC259" s="37">
        <f>AC258*(1-AC114)*(1-Seasonality!$D$54*AC115)</f>
        <v/>
      </c>
      <c r="AD259" s="37">
        <f>AD258*(1-AD114)*(1-Seasonality!$D$54*AD115)</f>
        <v/>
      </c>
      <c r="AE259" s="37">
        <f>AE258*(1-AE114)*(1-Seasonality!$D$54*AE115)</f>
        <v/>
      </c>
      <c r="AF259" s="37">
        <f>AF258*(1-AF114)*(1-Seasonality!$D$54*AF115)</f>
        <v/>
      </c>
      <c r="AG259" s="37">
        <f>AG258*(1-AG114)*(1-Seasonality!$D$54*AG115)</f>
        <v/>
      </c>
      <c r="AH259" s="37">
        <f>AH258*(1-AH114)*(1-Seasonality!$D$54*AH115)</f>
        <v/>
      </c>
      <c r="AI259" s="37">
        <f>AI258*(1-AI114)*(1-Seasonality!$D$54*AI115)</f>
        <v/>
      </c>
      <c r="AJ259" s="37">
        <f>AJ258*(1-AJ114)*(1-Seasonality!$D$54*AJ115)</f>
        <v/>
      </c>
      <c r="AK259" s="37">
        <f>AK258*(1-AK114)*(1-Seasonality!$D$54*AK115)</f>
        <v/>
      </c>
      <c r="AL259" s="37">
        <f>AL258*(1-AL114)*(1-Seasonality!$D$54*AL115)</f>
        <v/>
      </c>
      <c r="AM259" s="37">
        <f>AM258*(1-AM114)*(1-Seasonality!$D$54*AM115)</f>
        <v/>
      </c>
      <c r="AN259" s="37">
        <f>AN258*(1-AN114)*(1-Seasonality!$D$54*AN115)</f>
        <v/>
      </c>
      <c r="AO259" s="37">
        <f>AO258*(1-AO114)*(1-Seasonality!$D$54*AO115)</f>
        <v/>
      </c>
      <c r="AP259" s="37">
        <f>AP258*(1-AP114)*(1-Seasonality!$D$54*AP115)</f>
        <v/>
      </c>
      <c r="AQ259" s="37">
        <f>AQ258*(1-AQ114)*(1-Seasonality!$D$54*AQ115)</f>
        <v/>
      </c>
      <c r="AR259" s="37">
        <f>AR258*(1-AR114)*(1-Seasonality!$D$54*AR115)</f>
        <v/>
      </c>
      <c r="AS259" s="37">
        <f>AS258*(1-AS114)*(1-Seasonality!$D$54*AS115)</f>
        <v/>
      </c>
      <c r="AT259" s="37">
        <f>AT258*(1-AT114)*(1-Seasonality!$D$54*AT115)</f>
        <v/>
      </c>
      <c r="AU259" s="37">
        <f>AU258*(1-AU114)*(1-Seasonality!$D$54*AU115)</f>
        <v/>
      </c>
      <c r="AV259" s="37">
        <f>AV258*(1-AV114)*(1-Seasonality!$D$54*AV115)</f>
        <v/>
      </c>
    </row>
    <row r="260">
      <c r="B260" s="7" t="inlineStr">
        <is>
          <t>Share of institutes still paying · month 20</t>
        </is>
      </c>
      <c r="C260" s="5" t="inlineStr">
        <is>
          <t>%</t>
        </is>
      </c>
      <c r="D260" s="37">
        <f>D259*(1-D114)*(1-Seasonality!$D$55*D115)</f>
        <v/>
      </c>
      <c r="E260" s="37">
        <f>E259*(1-E114)*(1-Seasonality!$D$55*E115)</f>
        <v/>
      </c>
      <c r="F260" s="37">
        <f>F259*(1-F114)*(1-Seasonality!$D$55*F115)</f>
        <v/>
      </c>
      <c r="G260" s="37">
        <f>G259*(1-G114)*(1-Seasonality!$D$55*G115)</f>
        <v/>
      </c>
      <c r="H260" s="37">
        <f>H259*(1-H114)*(1-Seasonality!$D$55*H115)</f>
        <v/>
      </c>
      <c r="I260" s="37">
        <f>I259*(1-I114)*(1-Seasonality!$D$55*I115)</f>
        <v/>
      </c>
      <c r="J260" s="37">
        <f>J259*(1-J114)*(1-Seasonality!$D$55*J115)</f>
        <v/>
      </c>
      <c r="K260" s="37">
        <f>K259*(1-K114)*(1-Seasonality!$D$55*K115)</f>
        <v/>
      </c>
      <c r="L260" s="37">
        <f>L259*(1-L114)*(1-Seasonality!$D$55*L115)</f>
        <v/>
      </c>
      <c r="M260" s="37">
        <f>M259*(1-M114)*(1-Seasonality!$D$55*M115)</f>
        <v/>
      </c>
      <c r="N260" s="37">
        <f>N259*(1-N114)*(1-Seasonality!$D$55*N115)</f>
        <v/>
      </c>
      <c r="O260" s="37">
        <f>O259*(1-O114)*(1-Seasonality!$D$55*O115)</f>
        <v/>
      </c>
      <c r="P260" s="37">
        <f>P259*(1-P114)*(1-Seasonality!$D$55*P115)</f>
        <v/>
      </c>
      <c r="Q260" s="37">
        <f>Q259*(1-Q114)*(1-Seasonality!$D$55*Q115)</f>
        <v/>
      </c>
      <c r="R260" s="37">
        <f>R259*(1-R114)*(1-Seasonality!$D$55*R115)</f>
        <v/>
      </c>
      <c r="S260" s="37">
        <f>S259*(1-S114)*(1-Seasonality!$D$55*S115)</f>
        <v/>
      </c>
      <c r="T260" s="37">
        <f>T259*(1-T114)*(1-Seasonality!$D$55*T115)</f>
        <v/>
      </c>
      <c r="U260" s="37">
        <f>U259*(1-U114)*(1-Seasonality!$D$55*U115)</f>
        <v/>
      </c>
      <c r="V260" s="37">
        <f>V259*(1-V114)*(1-Seasonality!$D$55*V115)</f>
        <v/>
      </c>
      <c r="W260" s="37">
        <f>W259*(1-W114)*(1-Seasonality!$D$55*W115)</f>
        <v/>
      </c>
      <c r="X260" s="37">
        <f>X259*(1-X114)*(1-Seasonality!$D$55*X115)</f>
        <v/>
      </c>
      <c r="Y260" s="37">
        <f>Y259*(1-Y114)*(1-Seasonality!$D$55*Y115)</f>
        <v/>
      </c>
      <c r="Z260" s="37">
        <f>Z259*(1-Z114)*(1-Seasonality!$D$55*Z115)</f>
        <v/>
      </c>
      <c r="AA260" s="37">
        <f>AA259*(1-AA114)*(1-Seasonality!$D$55*AA115)</f>
        <v/>
      </c>
      <c r="AB260" s="37">
        <f>AB259*(1-AB114)*(1-Seasonality!$D$55*AB115)</f>
        <v/>
      </c>
      <c r="AC260" s="37">
        <f>AC259*(1-AC114)*(1-Seasonality!$D$55*AC115)</f>
        <v/>
      </c>
      <c r="AD260" s="37">
        <f>AD259*(1-AD114)*(1-Seasonality!$D$55*AD115)</f>
        <v/>
      </c>
      <c r="AE260" s="37">
        <f>AE259*(1-AE114)*(1-Seasonality!$D$55*AE115)</f>
        <v/>
      </c>
      <c r="AF260" s="37">
        <f>AF259*(1-AF114)*(1-Seasonality!$D$55*AF115)</f>
        <v/>
      </c>
      <c r="AG260" s="37">
        <f>AG259*(1-AG114)*(1-Seasonality!$D$55*AG115)</f>
        <v/>
      </c>
      <c r="AH260" s="37">
        <f>AH259*(1-AH114)*(1-Seasonality!$D$55*AH115)</f>
        <v/>
      </c>
      <c r="AI260" s="37">
        <f>AI259*(1-AI114)*(1-Seasonality!$D$55*AI115)</f>
        <v/>
      </c>
      <c r="AJ260" s="37">
        <f>AJ259*(1-AJ114)*(1-Seasonality!$D$55*AJ115)</f>
        <v/>
      </c>
      <c r="AK260" s="37">
        <f>AK259*(1-AK114)*(1-Seasonality!$D$55*AK115)</f>
        <v/>
      </c>
      <c r="AL260" s="37">
        <f>AL259*(1-AL114)*(1-Seasonality!$D$55*AL115)</f>
        <v/>
      </c>
      <c r="AM260" s="37">
        <f>AM259*(1-AM114)*(1-Seasonality!$D$55*AM115)</f>
        <v/>
      </c>
      <c r="AN260" s="37">
        <f>AN259*(1-AN114)*(1-Seasonality!$D$55*AN115)</f>
        <v/>
      </c>
      <c r="AO260" s="37">
        <f>AO259*(1-AO114)*(1-Seasonality!$D$55*AO115)</f>
        <v/>
      </c>
      <c r="AP260" s="37">
        <f>AP259*(1-AP114)*(1-Seasonality!$D$55*AP115)</f>
        <v/>
      </c>
      <c r="AQ260" s="37">
        <f>AQ259*(1-AQ114)*(1-Seasonality!$D$55*AQ115)</f>
        <v/>
      </c>
      <c r="AR260" s="37">
        <f>AR259*(1-AR114)*(1-Seasonality!$D$55*AR115)</f>
        <v/>
      </c>
      <c r="AS260" s="37">
        <f>AS259*(1-AS114)*(1-Seasonality!$D$55*AS115)</f>
        <v/>
      </c>
      <c r="AT260" s="37">
        <f>AT259*(1-AT114)*(1-Seasonality!$D$55*AT115)</f>
        <v/>
      </c>
      <c r="AU260" s="37">
        <f>AU259*(1-AU114)*(1-Seasonality!$D$55*AU115)</f>
        <v/>
      </c>
      <c r="AV260" s="37">
        <f>AV259*(1-AV114)*(1-Seasonality!$D$55*AV115)</f>
        <v/>
      </c>
    </row>
    <row r="261">
      <c r="B261" s="7" t="inlineStr">
        <is>
          <t>Share of institutes still paying · month 21</t>
        </is>
      </c>
      <c r="C261" s="5" t="inlineStr">
        <is>
          <t>%</t>
        </is>
      </c>
      <c r="D261" s="37">
        <f>D260*(1-D114)*(1-Seasonality!$D$56*D115)</f>
        <v/>
      </c>
      <c r="E261" s="37">
        <f>E260*(1-E114)*(1-Seasonality!$D$56*E115)</f>
        <v/>
      </c>
      <c r="F261" s="37">
        <f>F260*(1-F114)*(1-Seasonality!$D$56*F115)</f>
        <v/>
      </c>
      <c r="G261" s="37">
        <f>G260*(1-G114)*(1-Seasonality!$D$56*G115)</f>
        <v/>
      </c>
      <c r="H261" s="37">
        <f>H260*(1-H114)*(1-Seasonality!$D$56*H115)</f>
        <v/>
      </c>
      <c r="I261" s="37">
        <f>I260*(1-I114)*(1-Seasonality!$D$56*I115)</f>
        <v/>
      </c>
      <c r="J261" s="37">
        <f>J260*(1-J114)*(1-Seasonality!$D$56*J115)</f>
        <v/>
      </c>
      <c r="K261" s="37">
        <f>K260*(1-K114)*(1-Seasonality!$D$56*K115)</f>
        <v/>
      </c>
      <c r="L261" s="37">
        <f>L260*(1-L114)*(1-Seasonality!$D$56*L115)</f>
        <v/>
      </c>
      <c r="M261" s="37">
        <f>M260*(1-M114)*(1-Seasonality!$D$56*M115)</f>
        <v/>
      </c>
      <c r="N261" s="37">
        <f>N260*(1-N114)*(1-Seasonality!$D$56*N115)</f>
        <v/>
      </c>
      <c r="O261" s="37">
        <f>O260*(1-O114)*(1-Seasonality!$D$56*O115)</f>
        <v/>
      </c>
      <c r="P261" s="37">
        <f>P260*(1-P114)*(1-Seasonality!$D$56*P115)</f>
        <v/>
      </c>
      <c r="Q261" s="37">
        <f>Q260*(1-Q114)*(1-Seasonality!$D$56*Q115)</f>
        <v/>
      </c>
      <c r="R261" s="37">
        <f>R260*(1-R114)*(1-Seasonality!$D$56*R115)</f>
        <v/>
      </c>
      <c r="S261" s="37">
        <f>S260*(1-S114)*(1-Seasonality!$D$56*S115)</f>
        <v/>
      </c>
      <c r="T261" s="37">
        <f>T260*(1-T114)*(1-Seasonality!$D$56*T115)</f>
        <v/>
      </c>
      <c r="U261" s="37">
        <f>U260*(1-U114)*(1-Seasonality!$D$56*U115)</f>
        <v/>
      </c>
      <c r="V261" s="37">
        <f>V260*(1-V114)*(1-Seasonality!$D$56*V115)</f>
        <v/>
      </c>
      <c r="W261" s="37">
        <f>W260*(1-W114)*(1-Seasonality!$D$56*W115)</f>
        <v/>
      </c>
      <c r="X261" s="37">
        <f>X260*(1-X114)*(1-Seasonality!$D$56*X115)</f>
        <v/>
      </c>
      <c r="Y261" s="37">
        <f>Y260*(1-Y114)*(1-Seasonality!$D$56*Y115)</f>
        <v/>
      </c>
      <c r="Z261" s="37">
        <f>Z260*(1-Z114)*(1-Seasonality!$D$56*Z115)</f>
        <v/>
      </c>
      <c r="AA261" s="37">
        <f>AA260*(1-AA114)*(1-Seasonality!$D$56*AA115)</f>
        <v/>
      </c>
      <c r="AB261" s="37">
        <f>AB260*(1-AB114)*(1-Seasonality!$D$56*AB115)</f>
        <v/>
      </c>
      <c r="AC261" s="37">
        <f>AC260*(1-AC114)*(1-Seasonality!$D$56*AC115)</f>
        <v/>
      </c>
      <c r="AD261" s="37">
        <f>AD260*(1-AD114)*(1-Seasonality!$D$56*AD115)</f>
        <v/>
      </c>
      <c r="AE261" s="37">
        <f>AE260*(1-AE114)*(1-Seasonality!$D$56*AE115)</f>
        <v/>
      </c>
      <c r="AF261" s="37">
        <f>AF260*(1-AF114)*(1-Seasonality!$D$56*AF115)</f>
        <v/>
      </c>
      <c r="AG261" s="37">
        <f>AG260*(1-AG114)*(1-Seasonality!$D$56*AG115)</f>
        <v/>
      </c>
      <c r="AH261" s="37">
        <f>AH260*(1-AH114)*(1-Seasonality!$D$56*AH115)</f>
        <v/>
      </c>
      <c r="AI261" s="37">
        <f>AI260*(1-AI114)*(1-Seasonality!$D$56*AI115)</f>
        <v/>
      </c>
      <c r="AJ261" s="37">
        <f>AJ260*(1-AJ114)*(1-Seasonality!$D$56*AJ115)</f>
        <v/>
      </c>
      <c r="AK261" s="37">
        <f>AK260*(1-AK114)*(1-Seasonality!$D$56*AK115)</f>
        <v/>
      </c>
      <c r="AL261" s="37">
        <f>AL260*(1-AL114)*(1-Seasonality!$D$56*AL115)</f>
        <v/>
      </c>
      <c r="AM261" s="37">
        <f>AM260*(1-AM114)*(1-Seasonality!$D$56*AM115)</f>
        <v/>
      </c>
      <c r="AN261" s="37">
        <f>AN260*(1-AN114)*(1-Seasonality!$D$56*AN115)</f>
        <v/>
      </c>
      <c r="AO261" s="37">
        <f>AO260*(1-AO114)*(1-Seasonality!$D$56*AO115)</f>
        <v/>
      </c>
      <c r="AP261" s="37">
        <f>AP260*(1-AP114)*(1-Seasonality!$D$56*AP115)</f>
        <v/>
      </c>
      <c r="AQ261" s="37">
        <f>AQ260*(1-AQ114)*(1-Seasonality!$D$56*AQ115)</f>
        <v/>
      </c>
      <c r="AR261" s="37">
        <f>AR260*(1-AR114)*(1-Seasonality!$D$56*AR115)</f>
        <v/>
      </c>
      <c r="AS261" s="37">
        <f>AS260*(1-AS114)*(1-Seasonality!$D$56*AS115)</f>
        <v/>
      </c>
      <c r="AT261" s="37">
        <f>AT260*(1-AT114)*(1-Seasonality!$D$56*AT115)</f>
        <v/>
      </c>
      <c r="AU261" s="37">
        <f>AU260*(1-AU114)*(1-Seasonality!$D$56*AU115)</f>
        <v/>
      </c>
      <c r="AV261" s="37">
        <f>AV260*(1-AV114)*(1-Seasonality!$D$56*AV115)</f>
        <v/>
      </c>
    </row>
    <row r="262">
      <c r="B262" s="7" t="inlineStr">
        <is>
          <t>Share of institutes still paying · month 22</t>
        </is>
      </c>
      <c r="C262" s="5" t="inlineStr">
        <is>
          <t>%</t>
        </is>
      </c>
      <c r="D262" s="37">
        <f>D261*(1-D114)*(1-Seasonality!$D$57*D115)</f>
        <v/>
      </c>
      <c r="E262" s="37">
        <f>E261*(1-E114)*(1-Seasonality!$D$57*E115)</f>
        <v/>
      </c>
      <c r="F262" s="37">
        <f>F261*(1-F114)*(1-Seasonality!$D$57*F115)</f>
        <v/>
      </c>
      <c r="G262" s="37">
        <f>G261*(1-G114)*(1-Seasonality!$D$57*G115)</f>
        <v/>
      </c>
      <c r="H262" s="37">
        <f>H261*(1-H114)*(1-Seasonality!$D$57*H115)</f>
        <v/>
      </c>
      <c r="I262" s="37">
        <f>I261*(1-I114)*(1-Seasonality!$D$57*I115)</f>
        <v/>
      </c>
      <c r="J262" s="37">
        <f>J261*(1-J114)*(1-Seasonality!$D$57*J115)</f>
        <v/>
      </c>
      <c r="K262" s="37">
        <f>K261*(1-K114)*(1-Seasonality!$D$57*K115)</f>
        <v/>
      </c>
      <c r="L262" s="37">
        <f>L261*(1-L114)*(1-Seasonality!$D$57*L115)</f>
        <v/>
      </c>
      <c r="M262" s="37">
        <f>M261*(1-M114)*(1-Seasonality!$D$57*M115)</f>
        <v/>
      </c>
      <c r="N262" s="37">
        <f>N261*(1-N114)*(1-Seasonality!$D$57*N115)</f>
        <v/>
      </c>
      <c r="O262" s="37">
        <f>O261*(1-O114)*(1-Seasonality!$D$57*O115)</f>
        <v/>
      </c>
      <c r="P262" s="37">
        <f>P261*(1-P114)*(1-Seasonality!$D$57*P115)</f>
        <v/>
      </c>
      <c r="Q262" s="37">
        <f>Q261*(1-Q114)*(1-Seasonality!$D$57*Q115)</f>
        <v/>
      </c>
      <c r="R262" s="37">
        <f>R261*(1-R114)*(1-Seasonality!$D$57*R115)</f>
        <v/>
      </c>
      <c r="S262" s="37">
        <f>S261*(1-S114)*(1-Seasonality!$D$57*S115)</f>
        <v/>
      </c>
      <c r="T262" s="37">
        <f>T261*(1-T114)*(1-Seasonality!$D$57*T115)</f>
        <v/>
      </c>
      <c r="U262" s="37">
        <f>U261*(1-U114)*(1-Seasonality!$D$57*U115)</f>
        <v/>
      </c>
      <c r="V262" s="37">
        <f>V261*(1-V114)*(1-Seasonality!$D$57*V115)</f>
        <v/>
      </c>
      <c r="W262" s="37">
        <f>W261*(1-W114)*(1-Seasonality!$D$57*W115)</f>
        <v/>
      </c>
      <c r="X262" s="37">
        <f>X261*(1-X114)*(1-Seasonality!$D$57*X115)</f>
        <v/>
      </c>
      <c r="Y262" s="37">
        <f>Y261*(1-Y114)*(1-Seasonality!$D$57*Y115)</f>
        <v/>
      </c>
      <c r="Z262" s="37">
        <f>Z261*(1-Z114)*(1-Seasonality!$D$57*Z115)</f>
        <v/>
      </c>
      <c r="AA262" s="37">
        <f>AA261*(1-AA114)*(1-Seasonality!$D$57*AA115)</f>
        <v/>
      </c>
      <c r="AB262" s="37">
        <f>AB261*(1-AB114)*(1-Seasonality!$D$57*AB115)</f>
        <v/>
      </c>
      <c r="AC262" s="37">
        <f>AC261*(1-AC114)*(1-Seasonality!$D$57*AC115)</f>
        <v/>
      </c>
      <c r="AD262" s="37">
        <f>AD261*(1-AD114)*(1-Seasonality!$D$57*AD115)</f>
        <v/>
      </c>
      <c r="AE262" s="37">
        <f>AE261*(1-AE114)*(1-Seasonality!$D$57*AE115)</f>
        <v/>
      </c>
      <c r="AF262" s="37">
        <f>AF261*(1-AF114)*(1-Seasonality!$D$57*AF115)</f>
        <v/>
      </c>
      <c r="AG262" s="37">
        <f>AG261*(1-AG114)*(1-Seasonality!$D$57*AG115)</f>
        <v/>
      </c>
      <c r="AH262" s="37">
        <f>AH261*(1-AH114)*(1-Seasonality!$D$57*AH115)</f>
        <v/>
      </c>
      <c r="AI262" s="37">
        <f>AI261*(1-AI114)*(1-Seasonality!$D$57*AI115)</f>
        <v/>
      </c>
      <c r="AJ262" s="37">
        <f>AJ261*(1-AJ114)*(1-Seasonality!$D$57*AJ115)</f>
        <v/>
      </c>
      <c r="AK262" s="37">
        <f>AK261*(1-AK114)*(1-Seasonality!$D$57*AK115)</f>
        <v/>
      </c>
      <c r="AL262" s="37">
        <f>AL261*(1-AL114)*(1-Seasonality!$D$57*AL115)</f>
        <v/>
      </c>
      <c r="AM262" s="37">
        <f>AM261*(1-AM114)*(1-Seasonality!$D$57*AM115)</f>
        <v/>
      </c>
      <c r="AN262" s="37">
        <f>AN261*(1-AN114)*(1-Seasonality!$D$57*AN115)</f>
        <v/>
      </c>
      <c r="AO262" s="37">
        <f>AO261*(1-AO114)*(1-Seasonality!$D$57*AO115)</f>
        <v/>
      </c>
      <c r="AP262" s="37">
        <f>AP261*(1-AP114)*(1-Seasonality!$D$57*AP115)</f>
        <v/>
      </c>
      <c r="AQ262" s="37">
        <f>AQ261*(1-AQ114)*(1-Seasonality!$D$57*AQ115)</f>
        <v/>
      </c>
      <c r="AR262" s="37">
        <f>AR261*(1-AR114)*(1-Seasonality!$D$57*AR115)</f>
        <v/>
      </c>
      <c r="AS262" s="37">
        <f>AS261*(1-AS114)*(1-Seasonality!$D$57*AS115)</f>
        <v/>
      </c>
      <c r="AT262" s="37">
        <f>AT261*(1-AT114)*(1-Seasonality!$D$57*AT115)</f>
        <v/>
      </c>
      <c r="AU262" s="37">
        <f>AU261*(1-AU114)*(1-Seasonality!$D$57*AU115)</f>
        <v/>
      </c>
      <c r="AV262" s="37">
        <f>AV261*(1-AV114)*(1-Seasonality!$D$57*AV115)</f>
        <v/>
      </c>
    </row>
    <row r="263">
      <c r="B263" s="7" t="inlineStr">
        <is>
          <t>Share of institutes still paying · month 23</t>
        </is>
      </c>
      <c r="C263" s="5" t="inlineStr">
        <is>
          <t>%</t>
        </is>
      </c>
      <c r="D263" s="37">
        <f>D262*(1-D114)*(1-Seasonality!$D$58*D115)</f>
        <v/>
      </c>
      <c r="E263" s="37">
        <f>E262*(1-E114)*(1-Seasonality!$D$58*E115)</f>
        <v/>
      </c>
      <c r="F263" s="37">
        <f>F262*(1-F114)*(1-Seasonality!$D$58*F115)</f>
        <v/>
      </c>
      <c r="G263" s="37">
        <f>G262*(1-G114)*(1-Seasonality!$D$58*G115)</f>
        <v/>
      </c>
      <c r="H263" s="37">
        <f>H262*(1-H114)*(1-Seasonality!$D$58*H115)</f>
        <v/>
      </c>
      <c r="I263" s="37">
        <f>I262*(1-I114)*(1-Seasonality!$D$58*I115)</f>
        <v/>
      </c>
      <c r="J263" s="37">
        <f>J262*(1-J114)*(1-Seasonality!$D$58*J115)</f>
        <v/>
      </c>
      <c r="K263" s="37">
        <f>K262*(1-K114)*(1-Seasonality!$D$58*K115)</f>
        <v/>
      </c>
      <c r="L263" s="37">
        <f>L262*(1-L114)*(1-Seasonality!$D$58*L115)</f>
        <v/>
      </c>
      <c r="M263" s="37">
        <f>M262*(1-M114)*(1-Seasonality!$D$58*M115)</f>
        <v/>
      </c>
      <c r="N263" s="37">
        <f>N262*(1-N114)*(1-Seasonality!$D$58*N115)</f>
        <v/>
      </c>
      <c r="O263" s="37">
        <f>O262*(1-O114)*(1-Seasonality!$D$58*O115)</f>
        <v/>
      </c>
      <c r="P263" s="37">
        <f>P262*(1-P114)*(1-Seasonality!$D$58*P115)</f>
        <v/>
      </c>
      <c r="Q263" s="37">
        <f>Q262*(1-Q114)*(1-Seasonality!$D$58*Q115)</f>
        <v/>
      </c>
      <c r="R263" s="37">
        <f>R262*(1-R114)*(1-Seasonality!$D$58*R115)</f>
        <v/>
      </c>
      <c r="S263" s="37">
        <f>S262*(1-S114)*(1-Seasonality!$D$58*S115)</f>
        <v/>
      </c>
      <c r="T263" s="37">
        <f>T262*(1-T114)*(1-Seasonality!$D$58*T115)</f>
        <v/>
      </c>
      <c r="U263" s="37">
        <f>U262*(1-U114)*(1-Seasonality!$D$58*U115)</f>
        <v/>
      </c>
      <c r="V263" s="37">
        <f>V262*(1-V114)*(1-Seasonality!$D$58*V115)</f>
        <v/>
      </c>
      <c r="W263" s="37">
        <f>W262*(1-W114)*(1-Seasonality!$D$58*W115)</f>
        <v/>
      </c>
      <c r="X263" s="37">
        <f>X262*(1-X114)*(1-Seasonality!$D$58*X115)</f>
        <v/>
      </c>
      <c r="Y263" s="37">
        <f>Y262*(1-Y114)*(1-Seasonality!$D$58*Y115)</f>
        <v/>
      </c>
      <c r="Z263" s="37">
        <f>Z262*(1-Z114)*(1-Seasonality!$D$58*Z115)</f>
        <v/>
      </c>
      <c r="AA263" s="37">
        <f>AA262*(1-AA114)*(1-Seasonality!$D$58*AA115)</f>
        <v/>
      </c>
      <c r="AB263" s="37">
        <f>AB262*(1-AB114)*(1-Seasonality!$D$58*AB115)</f>
        <v/>
      </c>
      <c r="AC263" s="37">
        <f>AC262*(1-AC114)*(1-Seasonality!$D$58*AC115)</f>
        <v/>
      </c>
      <c r="AD263" s="37">
        <f>AD262*(1-AD114)*(1-Seasonality!$D$58*AD115)</f>
        <v/>
      </c>
      <c r="AE263" s="37">
        <f>AE262*(1-AE114)*(1-Seasonality!$D$58*AE115)</f>
        <v/>
      </c>
      <c r="AF263" s="37">
        <f>AF262*(1-AF114)*(1-Seasonality!$D$58*AF115)</f>
        <v/>
      </c>
      <c r="AG263" s="37">
        <f>AG262*(1-AG114)*(1-Seasonality!$D$58*AG115)</f>
        <v/>
      </c>
      <c r="AH263" s="37">
        <f>AH262*(1-AH114)*(1-Seasonality!$D$58*AH115)</f>
        <v/>
      </c>
      <c r="AI263" s="37">
        <f>AI262*(1-AI114)*(1-Seasonality!$D$58*AI115)</f>
        <v/>
      </c>
      <c r="AJ263" s="37">
        <f>AJ262*(1-AJ114)*(1-Seasonality!$D$58*AJ115)</f>
        <v/>
      </c>
      <c r="AK263" s="37">
        <f>AK262*(1-AK114)*(1-Seasonality!$D$58*AK115)</f>
        <v/>
      </c>
      <c r="AL263" s="37">
        <f>AL262*(1-AL114)*(1-Seasonality!$D$58*AL115)</f>
        <v/>
      </c>
      <c r="AM263" s="37">
        <f>AM262*(1-AM114)*(1-Seasonality!$D$58*AM115)</f>
        <v/>
      </c>
      <c r="AN263" s="37">
        <f>AN262*(1-AN114)*(1-Seasonality!$D$58*AN115)</f>
        <v/>
      </c>
      <c r="AO263" s="37">
        <f>AO262*(1-AO114)*(1-Seasonality!$D$58*AO115)</f>
        <v/>
      </c>
      <c r="AP263" s="37">
        <f>AP262*(1-AP114)*(1-Seasonality!$D$58*AP115)</f>
        <v/>
      </c>
      <c r="AQ263" s="37">
        <f>AQ262*(1-AQ114)*(1-Seasonality!$D$58*AQ115)</f>
        <v/>
      </c>
      <c r="AR263" s="37">
        <f>AR262*(1-AR114)*(1-Seasonality!$D$58*AR115)</f>
        <v/>
      </c>
      <c r="AS263" s="37">
        <f>AS262*(1-AS114)*(1-Seasonality!$D$58*AS115)</f>
        <v/>
      </c>
      <c r="AT263" s="37">
        <f>AT262*(1-AT114)*(1-Seasonality!$D$58*AT115)</f>
        <v/>
      </c>
      <c r="AU263" s="37">
        <f>AU262*(1-AU114)*(1-Seasonality!$D$58*AU115)</f>
        <v/>
      </c>
      <c r="AV263" s="37">
        <f>AV262*(1-AV114)*(1-Seasonality!$D$58*AV115)</f>
        <v/>
      </c>
    </row>
    <row r="264">
      <c r="B264" s="7" t="inlineStr">
        <is>
          <t>Share of institutes still paying · month 24</t>
        </is>
      </c>
      <c r="C264" s="5" t="inlineStr">
        <is>
          <t>%</t>
        </is>
      </c>
      <c r="D264" s="37">
        <f>D263*(1-D114)*(1-Seasonality!$D$59*D115)</f>
        <v/>
      </c>
      <c r="E264" s="37">
        <f>E263*(1-E114)*(1-Seasonality!$D$59*E115)</f>
        <v/>
      </c>
      <c r="F264" s="37">
        <f>F263*(1-F114)*(1-Seasonality!$D$59*F115)</f>
        <v/>
      </c>
      <c r="G264" s="37">
        <f>G263*(1-G114)*(1-Seasonality!$D$59*G115)</f>
        <v/>
      </c>
      <c r="H264" s="37">
        <f>H263*(1-H114)*(1-Seasonality!$D$59*H115)</f>
        <v/>
      </c>
      <c r="I264" s="37">
        <f>I263*(1-I114)*(1-Seasonality!$D$59*I115)</f>
        <v/>
      </c>
      <c r="J264" s="37">
        <f>J263*(1-J114)*(1-Seasonality!$D$59*J115)</f>
        <v/>
      </c>
      <c r="K264" s="37">
        <f>K263*(1-K114)*(1-Seasonality!$D$59*K115)</f>
        <v/>
      </c>
      <c r="L264" s="37">
        <f>L263*(1-L114)*(1-Seasonality!$D$59*L115)</f>
        <v/>
      </c>
      <c r="M264" s="37">
        <f>M263*(1-M114)*(1-Seasonality!$D$59*M115)</f>
        <v/>
      </c>
      <c r="N264" s="37">
        <f>N263*(1-N114)*(1-Seasonality!$D$59*N115)</f>
        <v/>
      </c>
      <c r="O264" s="37">
        <f>O263*(1-O114)*(1-Seasonality!$D$59*O115)</f>
        <v/>
      </c>
      <c r="P264" s="37">
        <f>P263*(1-P114)*(1-Seasonality!$D$59*P115)</f>
        <v/>
      </c>
      <c r="Q264" s="37">
        <f>Q263*(1-Q114)*(1-Seasonality!$D$59*Q115)</f>
        <v/>
      </c>
      <c r="R264" s="37">
        <f>R263*(1-R114)*(1-Seasonality!$D$59*R115)</f>
        <v/>
      </c>
      <c r="S264" s="37">
        <f>S263*(1-S114)*(1-Seasonality!$D$59*S115)</f>
        <v/>
      </c>
      <c r="T264" s="37">
        <f>T263*(1-T114)*(1-Seasonality!$D$59*T115)</f>
        <v/>
      </c>
      <c r="U264" s="37">
        <f>U263*(1-U114)*(1-Seasonality!$D$59*U115)</f>
        <v/>
      </c>
      <c r="V264" s="37">
        <f>V263*(1-V114)*(1-Seasonality!$D$59*V115)</f>
        <v/>
      </c>
      <c r="W264" s="37">
        <f>W263*(1-W114)*(1-Seasonality!$D$59*W115)</f>
        <v/>
      </c>
      <c r="X264" s="37">
        <f>X263*(1-X114)*(1-Seasonality!$D$59*X115)</f>
        <v/>
      </c>
      <c r="Y264" s="37">
        <f>Y263*(1-Y114)*(1-Seasonality!$D$59*Y115)</f>
        <v/>
      </c>
      <c r="Z264" s="37">
        <f>Z263*(1-Z114)*(1-Seasonality!$D$59*Z115)</f>
        <v/>
      </c>
      <c r="AA264" s="37">
        <f>AA263*(1-AA114)*(1-Seasonality!$D$59*AA115)</f>
        <v/>
      </c>
      <c r="AB264" s="37">
        <f>AB263*(1-AB114)*(1-Seasonality!$D$59*AB115)</f>
        <v/>
      </c>
      <c r="AC264" s="37">
        <f>AC263*(1-AC114)*(1-Seasonality!$D$59*AC115)</f>
        <v/>
      </c>
      <c r="AD264" s="37">
        <f>AD263*(1-AD114)*(1-Seasonality!$D$59*AD115)</f>
        <v/>
      </c>
      <c r="AE264" s="37">
        <f>AE263*(1-AE114)*(1-Seasonality!$D$59*AE115)</f>
        <v/>
      </c>
      <c r="AF264" s="37">
        <f>AF263*(1-AF114)*(1-Seasonality!$D$59*AF115)</f>
        <v/>
      </c>
      <c r="AG264" s="37">
        <f>AG263*(1-AG114)*(1-Seasonality!$D$59*AG115)</f>
        <v/>
      </c>
      <c r="AH264" s="37">
        <f>AH263*(1-AH114)*(1-Seasonality!$D$59*AH115)</f>
        <v/>
      </c>
      <c r="AI264" s="37">
        <f>AI263*(1-AI114)*(1-Seasonality!$D$59*AI115)</f>
        <v/>
      </c>
      <c r="AJ264" s="37">
        <f>AJ263*(1-AJ114)*(1-Seasonality!$D$59*AJ115)</f>
        <v/>
      </c>
      <c r="AK264" s="37">
        <f>AK263*(1-AK114)*(1-Seasonality!$D$59*AK115)</f>
        <v/>
      </c>
      <c r="AL264" s="37">
        <f>AL263*(1-AL114)*(1-Seasonality!$D$59*AL115)</f>
        <v/>
      </c>
      <c r="AM264" s="37">
        <f>AM263*(1-AM114)*(1-Seasonality!$D$59*AM115)</f>
        <v/>
      </c>
      <c r="AN264" s="37">
        <f>AN263*(1-AN114)*(1-Seasonality!$D$59*AN115)</f>
        <v/>
      </c>
      <c r="AO264" s="37">
        <f>AO263*(1-AO114)*(1-Seasonality!$D$59*AO115)</f>
        <v/>
      </c>
      <c r="AP264" s="37">
        <f>AP263*(1-AP114)*(1-Seasonality!$D$59*AP115)</f>
        <v/>
      </c>
      <c r="AQ264" s="37">
        <f>AQ263*(1-AQ114)*(1-Seasonality!$D$59*AQ115)</f>
        <v/>
      </c>
      <c r="AR264" s="37">
        <f>AR263*(1-AR114)*(1-Seasonality!$D$59*AR115)</f>
        <v/>
      </c>
      <c r="AS264" s="37">
        <f>AS263*(1-AS114)*(1-Seasonality!$D$59*AS115)</f>
        <v/>
      </c>
      <c r="AT264" s="37">
        <f>AT263*(1-AT114)*(1-Seasonality!$D$59*AT115)</f>
        <v/>
      </c>
      <c r="AU264" s="37">
        <f>AU263*(1-AU114)*(1-Seasonality!$D$59*AU115)</f>
        <v/>
      </c>
      <c r="AV264" s="37">
        <f>AV263*(1-AV114)*(1-Seasonality!$D$59*AV115)</f>
        <v/>
      </c>
    </row>
    <row r="265">
      <c r="B265" s="7" t="inlineStr">
        <is>
          <t>Share of institutes still paying · month 25</t>
        </is>
      </c>
      <c r="C265" s="5" t="inlineStr">
        <is>
          <t>%</t>
        </is>
      </c>
      <c r="D265" s="37">
        <f>D264*(1-D114)*(1-Seasonality!$D$60*D115)</f>
        <v/>
      </c>
      <c r="E265" s="37">
        <f>E264*(1-E114)*(1-Seasonality!$D$60*E115)</f>
        <v/>
      </c>
      <c r="F265" s="37">
        <f>F264*(1-F114)*(1-Seasonality!$D$60*F115)</f>
        <v/>
      </c>
      <c r="G265" s="37">
        <f>G264*(1-G114)*(1-Seasonality!$D$60*G115)</f>
        <v/>
      </c>
      <c r="H265" s="37">
        <f>H264*(1-H114)*(1-Seasonality!$D$60*H115)</f>
        <v/>
      </c>
      <c r="I265" s="37">
        <f>I264*(1-I114)*(1-Seasonality!$D$60*I115)</f>
        <v/>
      </c>
      <c r="J265" s="37">
        <f>J264*(1-J114)*(1-Seasonality!$D$60*J115)</f>
        <v/>
      </c>
      <c r="K265" s="37">
        <f>K264*(1-K114)*(1-Seasonality!$D$60*K115)</f>
        <v/>
      </c>
      <c r="L265" s="37">
        <f>L264*(1-L114)*(1-Seasonality!$D$60*L115)</f>
        <v/>
      </c>
      <c r="M265" s="37">
        <f>M264*(1-M114)*(1-Seasonality!$D$60*M115)</f>
        <v/>
      </c>
      <c r="N265" s="37">
        <f>N264*(1-N114)*(1-Seasonality!$D$60*N115)</f>
        <v/>
      </c>
      <c r="O265" s="37">
        <f>O264*(1-O114)*(1-Seasonality!$D$60*O115)</f>
        <v/>
      </c>
      <c r="P265" s="37">
        <f>P264*(1-P114)*(1-Seasonality!$D$60*P115)</f>
        <v/>
      </c>
      <c r="Q265" s="37">
        <f>Q264*(1-Q114)*(1-Seasonality!$D$60*Q115)</f>
        <v/>
      </c>
      <c r="R265" s="37">
        <f>R264*(1-R114)*(1-Seasonality!$D$60*R115)</f>
        <v/>
      </c>
      <c r="S265" s="37">
        <f>S264*(1-S114)*(1-Seasonality!$D$60*S115)</f>
        <v/>
      </c>
      <c r="T265" s="37">
        <f>T264*(1-T114)*(1-Seasonality!$D$60*T115)</f>
        <v/>
      </c>
      <c r="U265" s="37">
        <f>U264*(1-U114)*(1-Seasonality!$D$60*U115)</f>
        <v/>
      </c>
      <c r="V265" s="37">
        <f>V264*(1-V114)*(1-Seasonality!$D$60*V115)</f>
        <v/>
      </c>
      <c r="W265" s="37">
        <f>W264*(1-W114)*(1-Seasonality!$D$60*W115)</f>
        <v/>
      </c>
      <c r="X265" s="37">
        <f>X264*(1-X114)*(1-Seasonality!$D$60*X115)</f>
        <v/>
      </c>
      <c r="Y265" s="37">
        <f>Y264*(1-Y114)*(1-Seasonality!$D$60*Y115)</f>
        <v/>
      </c>
      <c r="Z265" s="37">
        <f>Z264*(1-Z114)*(1-Seasonality!$D$60*Z115)</f>
        <v/>
      </c>
      <c r="AA265" s="37">
        <f>AA264*(1-AA114)*(1-Seasonality!$D$60*AA115)</f>
        <v/>
      </c>
      <c r="AB265" s="37">
        <f>AB264*(1-AB114)*(1-Seasonality!$D$60*AB115)</f>
        <v/>
      </c>
      <c r="AC265" s="37">
        <f>AC264*(1-AC114)*(1-Seasonality!$D$60*AC115)</f>
        <v/>
      </c>
      <c r="AD265" s="37">
        <f>AD264*(1-AD114)*(1-Seasonality!$D$60*AD115)</f>
        <v/>
      </c>
      <c r="AE265" s="37">
        <f>AE264*(1-AE114)*(1-Seasonality!$D$60*AE115)</f>
        <v/>
      </c>
      <c r="AF265" s="37">
        <f>AF264*(1-AF114)*(1-Seasonality!$D$60*AF115)</f>
        <v/>
      </c>
      <c r="AG265" s="37">
        <f>AG264*(1-AG114)*(1-Seasonality!$D$60*AG115)</f>
        <v/>
      </c>
      <c r="AH265" s="37">
        <f>AH264*(1-AH114)*(1-Seasonality!$D$60*AH115)</f>
        <v/>
      </c>
      <c r="AI265" s="37">
        <f>AI264*(1-AI114)*(1-Seasonality!$D$60*AI115)</f>
        <v/>
      </c>
      <c r="AJ265" s="37">
        <f>AJ264*(1-AJ114)*(1-Seasonality!$D$60*AJ115)</f>
        <v/>
      </c>
      <c r="AK265" s="37">
        <f>AK264*(1-AK114)*(1-Seasonality!$D$60*AK115)</f>
        <v/>
      </c>
      <c r="AL265" s="37">
        <f>AL264*(1-AL114)*(1-Seasonality!$D$60*AL115)</f>
        <v/>
      </c>
      <c r="AM265" s="37">
        <f>AM264*(1-AM114)*(1-Seasonality!$D$60*AM115)</f>
        <v/>
      </c>
      <c r="AN265" s="37">
        <f>AN264*(1-AN114)*(1-Seasonality!$D$60*AN115)</f>
        <v/>
      </c>
      <c r="AO265" s="37">
        <f>AO264*(1-AO114)*(1-Seasonality!$D$60*AO115)</f>
        <v/>
      </c>
      <c r="AP265" s="37">
        <f>AP264*(1-AP114)*(1-Seasonality!$D$60*AP115)</f>
        <v/>
      </c>
      <c r="AQ265" s="37">
        <f>AQ264*(1-AQ114)*(1-Seasonality!$D$60*AQ115)</f>
        <v/>
      </c>
      <c r="AR265" s="37">
        <f>AR264*(1-AR114)*(1-Seasonality!$D$60*AR115)</f>
        <v/>
      </c>
      <c r="AS265" s="37">
        <f>AS264*(1-AS114)*(1-Seasonality!$D$60*AS115)</f>
        <v/>
      </c>
      <c r="AT265" s="37">
        <f>AT264*(1-AT114)*(1-Seasonality!$D$60*AT115)</f>
        <v/>
      </c>
      <c r="AU265" s="37">
        <f>AU264*(1-AU114)*(1-Seasonality!$D$60*AU115)</f>
        <v/>
      </c>
      <c r="AV265" s="37">
        <f>AV264*(1-AV114)*(1-Seasonality!$D$60*AV115)</f>
        <v/>
      </c>
    </row>
    <row r="266">
      <c r="B266" s="7" t="inlineStr">
        <is>
          <t>Share of institutes still paying · month 26</t>
        </is>
      </c>
      <c r="C266" s="5" t="inlineStr">
        <is>
          <t>%</t>
        </is>
      </c>
      <c r="D266" s="37">
        <f>D265*(1-D114)*(1-Seasonality!$D$61*D115)</f>
        <v/>
      </c>
      <c r="E266" s="37">
        <f>E265*(1-E114)*(1-Seasonality!$D$61*E115)</f>
        <v/>
      </c>
      <c r="F266" s="37">
        <f>F265*(1-F114)*(1-Seasonality!$D$61*F115)</f>
        <v/>
      </c>
      <c r="G266" s="37">
        <f>G265*(1-G114)*(1-Seasonality!$D$61*G115)</f>
        <v/>
      </c>
      <c r="H266" s="37">
        <f>H265*(1-H114)*(1-Seasonality!$D$61*H115)</f>
        <v/>
      </c>
      <c r="I266" s="37">
        <f>I265*(1-I114)*(1-Seasonality!$D$61*I115)</f>
        <v/>
      </c>
      <c r="J266" s="37">
        <f>J265*(1-J114)*(1-Seasonality!$D$61*J115)</f>
        <v/>
      </c>
      <c r="K266" s="37">
        <f>K265*(1-K114)*(1-Seasonality!$D$61*K115)</f>
        <v/>
      </c>
      <c r="L266" s="37">
        <f>L265*(1-L114)*(1-Seasonality!$D$61*L115)</f>
        <v/>
      </c>
      <c r="M266" s="37">
        <f>M265*(1-M114)*(1-Seasonality!$D$61*M115)</f>
        <v/>
      </c>
      <c r="N266" s="37">
        <f>N265*(1-N114)*(1-Seasonality!$D$61*N115)</f>
        <v/>
      </c>
      <c r="O266" s="37">
        <f>O265*(1-O114)*(1-Seasonality!$D$61*O115)</f>
        <v/>
      </c>
      <c r="P266" s="37">
        <f>P265*(1-P114)*(1-Seasonality!$D$61*P115)</f>
        <v/>
      </c>
      <c r="Q266" s="37">
        <f>Q265*(1-Q114)*(1-Seasonality!$D$61*Q115)</f>
        <v/>
      </c>
      <c r="R266" s="37">
        <f>R265*(1-R114)*(1-Seasonality!$D$61*R115)</f>
        <v/>
      </c>
      <c r="S266" s="37">
        <f>S265*(1-S114)*(1-Seasonality!$D$61*S115)</f>
        <v/>
      </c>
      <c r="T266" s="37">
        <f>T265*(1-T114)*(1-Seasonality!$D$61*T115)</f>
        <v/>
      </c>
      <c r="U266" s="37">
        <f>U265*(1-U114)*(1-Seasonality!$D$61*U115)</f>
        <v/>
      </c>
      <c r="V266" s="37">
        <f>V265*(1-V114)*(1-Seasonality!$D$61*V115)</f>
        <v/>
      </c>
      <c r="W266" s="37">
        <f>W265*(1-W114)*(1-Seasonality!$D$61*W115)</f>
        <v/>
      </c>
      <c r="X266" s="37">
        <f>X265*(1-X114)*(1-Seasonality!$D$61*X115)</f>
        <v/>
      </c>
      <c r="Y266" s="37">
        <f>Y265*(1-Y114)*(1-Seasonality!$D$61*Y115)</f>
        <v/>
      </c>
      <c r="Z266" s="37">
        <f>Z265*(1-Z114)*(1-Seasonality!$D$61*Z115)</f>
        <v/>
      </c>
      <c r="AA266" s="37">
        <f>AA265*(1-AA114)*(1-Seasonality!$D$61*AA115)</f>
        <v/>
      </c>
      <c r="AB266" s="37">
        <f>AB265*(1-AB114)*(1-Seasonality!$D$61*AB115)</f>
        <v/>
      </c>
      <c r="AC266" s="37">
        <f>AC265*(1-AC114)*(1-Seasonality!$D$61*AC115)</f>
        <v/>
      </c>
      <c r="AD266" s="37">
        <f>AD265*(1-AD114)*(1-Seasonality!$D$61*AD115)</f>
        <v/>
      </c>
      <c r="AE266" s="37">
        <f>AE265*(1-AE114)*(1-Seasonality!$D$61*AE115)</f>
        <v/>
      </c>
      <c r="AF266" s="37">
        <f>AF265*(1-AF114)*(1-Seasonality!$D$61*AF115)</f>
        <v/>
      </c>
      <c r="AG266" s="37">
        <f>AG265*(1-AG114)*(1-Seasonality!$D$61*AG115)</f>
        <v/>
      </c>
      <c r="AH266" s="37">
        <f>AH265*(1-AH114)*(1-Seasonality!$D$61*AH115)</f>
        <v/>
      </c>
      <c r="AI266" s="37">
        <f>AI265*(1-AI114)*(1-Seasonality!$D$61*AI115)</f>
        <v/>
      </c>
      <c r="AJ266" s="37">
        <f>AJ265*(1-AJ114)*(1-Seasonality!$D$61*AJ115)</f>
        <v/>
      </c>
      <c r="AK266" s="37">
        <f>AK265*(1-AK114)*(1-Seasonality!$D$61*AK115)</f>
        <v/>
      </c>
      <c r="AL266" s="37">
        <f>AL265*(1-AL114)*(1-Seasonality!$D$61*AL115)</f>
        <v/>
      </c>
      <c r="AM266" s="37">
        <f>AM265*(1-AM114)*(1-Seasonality!$D$61*AM115)</f>
        <v/>
      </c>
      <c r="AN266" s="37">
        <f>AN265*(1-AN114)*(1-Seasonality!$D$61*AN115)</f>
        <v/>
      </c>
      <c r="AO266" s="37">
        <f>AO265*(1-AO114)*(1-Seasonality!$D$61*AO115)</f>
        <v/>
      </c>
      <c r="AP266" s="37">
        <f>AP265*(1-AP114)*(1-Seasonality!$D$61*AP115)</f>
        <v/>
      </c>
      <c r="AQ266" s="37">
        <f>AQ265*(1-AQ114)*(1-Seasonality!$D$61*AQ115)</f>
        <v/>
      </c>
      <c r="AR266" s="37">
        <f>AR265*(1-AR114)*(1-Seasonality!$D$61*AR115)</f>
        <v/>
      </c>
      <c r="AS266" s="37">
        <f>AS265*(1-AS114)*(1-Seasonality!$D$61*AS115)</f>
        <v/>
      </c>
      <c r="AT266" s="37">
        <f>AT265*(1-AT114)*(1-Seasonality!$D$61*AT115)</f>
        <v/>
      </c>
      <c r="AU266" s="37">
        <f>AU265*(1-AU114)*(1-Seasonality!$D$61*AU115)</f>
        <v/>
      </c>
      <c r="AV266" s="37">
        <f>AV265*(1-AV114)*(1-Seasonality!$D$61*AV115)</f>
        <v/>
      </c>
    </row>
    <row r="267">
      <c r="B267" s="7" t="inlineStr">
        <is>
          <t>Share of institutes still paying · month 27</t>
        </is>
      </c>
      <c r="C267" s="5" t="inlineStr">
        <is>
          <t>%</t>
        </is>
      </c>
      <c r="D267" s="37">
        <f>D266*(1-D114)*(1-Seasonality!$D$62*D115)</f>
        <v/>
      </c>
      <c r="E267" s="37">
        <f>E266*(1-E114)*(1-Seasonality!$D$62*E115)</f>
        <v/>
      </c>
      <c r="F267" s="37">
        <f>F266*(1-F114)*(1-Seasonality!$D$62*F115)</f>
        <v/>
      </c>
      <c r="G267" s="37">
        <f>G266*(1-G114)*(1-Seasonality!$D$62*G115)</f>
        <v/>
      </c>
      <c r="H267" s="37">
        <f>H266*(1-H114)*(1-Seasonality!$D$62*H115)</f>
        <v/>
      </c>
      <c r="I267" s="37">
        <f>I266*(1-I114)*(1-Seasonality!$D$62*I115)</f>
        <v/>
      </c>
      <c r="J267" s="37">
        <f>J266*(1-J114)*(1-Seasonality!$D$62*J115)</f>
        <v/>
      </c>
      <c r="K267" s="37">
        <f>K266*(1-K114)*(1-Seasonality!$D$62*K115)</f>
        <v/>
      </c>
      <c r="L267" s="37">
        <f>L266*(1-L114)*(1-Seasonality!$D$62*L115)</f>
        <v/>
      </c>
      <c r="M267" s="37">
        <f>M266*(1-M114)*(1-Seasonality!$D$62*M115)</f>
        <v/>
      </c>
      <c r="N267" s="37">
        <f>N266*(1-N114)*(1-Seasonality!$D$62*N115)</f>
        <v/>
      </c>
      <c r="O267" s="37">
        <f>O266*(1-O114)*(1-Seasonality!$D$62*O115)</f>
        <v/>
      </c>
      <c r="P267" s="37">
        <f>P266*(1-P114)*(1-Seasonality!$D$62*P115)</f>
        <v/>
      </c>
      <c r="Q267" s="37">
        <f>Q266*(1-Q114)*(1-Seasonality!$D$62*Q115)</f>
        <v/>
      </c>
      <c r="R267" s="37">
        <f>R266*(1-R114)*(1-Seasonality!$D$62*R115)</f>
        <v/>
      </c>
      <c r="S267" s="37">
        <f>S266*(1-S114)*(1-Seasonality!$D$62*S115)</f>
        <v/>
      </c>
      <c r="T267" s="37">
        <f>T266*(1-T114)*(1-Seasonality!$D$62*T115)</f>
        <v/>
      </c>
      <c r="U267" s="37">
        <f>U266*(1-U114)*(1-Seasonality!$D$62*U115)</f>
        <v/>
      </c>
      <c r="V267" s="37">
        <f>V266*(1-V114)*(1-Seasonality!$D$62*V115)</f>
        <v/>
      </c>
      <c r="W267" s="37">
        <f>W266*(1-W114)*(1-Seasonality!$D$62*W115)</f>
        <v/>
      </c>
      <c r="X267" s="37">
        <f>X266*(1-X114)*(1-Seasonality!$D$62*X115)</f>
        <v/>
      </c>
      <c r="Y267" s="37">
        <f>Y266*(1-Y114)*(1-Seasonality!$D$62*Y115)</f>
        <v/>
      </c>
      <c r="Z267" s="37">
        <f>Z266*(1-Z114)*(1-Seasonality!$D$62*Z115)</f>
        <v/>
      </c>
      <c r="AA267" s="37">
        <f>AA266*(1-AA114)*(1-Seasonality!$D$62*AA115)</f>
        <v/>
      </c>
      <c r="AB267" s="37">
        <f>AB266*(1-AB114)*(1-Seasonality!$D$62*AB115)</f>
        <v/>
      </c>
      <c r="AC267" s="37">
        <f>AC266*(1-AC114)*(1-Seasonality!$D$62*AC115)</f>
        <v/>
      </c>
      <c r="AD267" s="37">
        <f>AD266*(1-AD114)*(1-Seasonality!$D$62*AD115)</f>
        <v/>
      </c>
      <c r="AE267" s="37">
        <f>AE266*(1-AE114)*(1-Seasonality!$D$62*AE115)</f>
        <v/>
      </c>
      <c r="AF267" s="37">
        <f>AF266*(1-AF114)*(1-Seasonality!$D$62*AF115)</f>
        <v/>
      </c>
      <c r="AG267" s="37">
        <f>AG266*(1-AG114)*(1-Seasonality!$D$62*AG115)</f>
        <v/>
      </c>
      <c r="AH267" s="37">
        <f>AH266*(1-AH114)*(1-Seasonality!$D$62*AH115)</f>
        <v/>
      </c>
      <c r="AI267" s="37">
        <f>AI266*(1-AI114)*(1-Seasonality!$D$62*AI115)</f>
        <v/>
      </c>
      <c r="AJ267" s="37">
        <f>AJ266*(1-AJ114)*(1-Seasonality!$D$62*AJ115)</f>
        <v/>
      </c>
      <c r="AK267" s="37">
        <f>AK266*(1-AK114)*(1-Seasonality!$D$62*AK115)</f>
        <v/>
      </c>
      <c r="AL267" s="37">
        <f>AL266*(1-AL114)*(1-Seasonality!$D$62*AL115)</f>
        <v/>
      </c>
      <c r="AM267" s="37">
        <f>AM266*(1-AM114)*(1-Seasonality!$D$62*AM115)</f>
        <v/>
      </c>
      <c r="AN267" s="37">
        <f>AN266*(1-AN114)*(1-Seasonality!$D$62*AN115)</f>
        <v/>
      </c>
      <c r="AO267" s="37">
        <f>AO266*(1-AO114)*(1-Seasonality!$D$62*AO115)</f>
        <v/>
      </c>
      <c r="AP267" s="37">
        <f>AP266*(1-AP114)*(1-Seasonality!$D$62*AP115)</f>
        <v/>
      </c>
      <c r="AQ267" s="37">
        <f>AQ266*(1-AQ114)*(1-Seasonality!$D$62*AQ115)</f>
        <v/>
      </c>
      <c r="AR267" s="37">
        <f>AR266*(1-AR114)*(1-Seasonality!$D$62*AR115)</f>
        <v/>
      </c>
      <c r="AS267" s="37">
        <f>AS266*(1-AS114)*(1-Seasonality!$D$62*AS115)</f>
        <v/>
      </c>
      <c r="AT267" s="37">
        <f>AT266*(1-AT114)*(1-Seasonality!$D$62*AT115)</f>
        <v/>
      </c>
      <c r="AU267" s="37">
        <f>AU266*(1-AU114)*(1-Seasonality!$D$62*AU115)</f>
        <v/>
      </c>
      <c r="AV267" s="37">
        <f>AV266*(1-AV114)*(1-Seasonality!$D$62*AV115)</f>
        <v/>
      </c>
    </row>
    <row r="268">
      <c r="B268" s="7" t="inlineStr">
        <is>
          <t>Share of institutes still paying · month 28</t>
        </is>
      </c>
      <c r="C268" s="5" t="inlineStr">
        <is>
          <t>%</t>
        </is>
      </c>
      <c r="D268" s="37">
        <f>D267*(1-D114)*(1-Seasonality!$D$63*D115)</f>
        <v/>
      </c>
      <c r="E268" s="37">
        <f>E267*(1-E114)*(1-Seasonality!$D$63*E115)</f>
        <v/>
      </c>
      <c r="F268" s="37">
        <f>F267*(1-F114)*(1-Seasonality!$D$63*F115)</f>
        <v/>
      </c>
      <c r="G268" s="37">
        <f>G267*(1-G114)*(1-Seasonality!$D$63*G115)</f>
        <v/>
      </c>
      <c r="H268" s="37">
        <f>H267*(1-H114)*(1-Seasonality!$D$63*H115)</f>
        <v/>
      </c>
      <c r="I268" s="37">
        <f>I267*(1-I114)*(1-Seasonality!$D$63*I115)</f>
        <v/>
      </c>
      <c r="J268" s="37">
        <f>J267*(1-J114)*(1-Seasonality!$D$63*J115)</f>
        <v/>
      </c>
      <c r="K268" s="37">
        <f>K267*(1-K114)*(1-Seasonality!$D$63*K115)</f>
        <v/>
      </c>
      <c r="L268" s="37">
        <f>L267*(1-L114)*(1-Seasonality!$D$63*L115)</f>
        <v/>
      </c>
      <c r="M268" s="37">
        <f>M267*(1-M114)*(1-Seasonality!$D$63*M115)</f>
        <v/>
      </c>
      <c r="N268" s="37">
        <f>N267*(1-N114)*(1-Seasonality!$D$63*N115)</f>
        <v/>
      </c>
      <c r="O268" s="37">
        <f>O267*(1-O114)*(1-Seasonality!$D$63*O115)</f>
        <v/>
      </c>
      <c r="P268" s="37">
        <f>P267*(1-P114)*(1-Seasonality!$D$63*P115)</f>
        <v/>
      </c>
      <c r="Q268" s="37">
        <f>Q267*(1-Q114)*(1-Seasonality!$D$63*Q115)</f>
        <v/>
      </c>
      <c r="R268" s="37">
        <f>R267*(1-R114)*(1-Seasonality!$D$63*R115)</f>
        <v/>
      </c>
      <c r="S268" s="37">
        <f>S267*(1-S114)*(1-Seasonality!$D$63*S115)</f>
        <v/>
      </c>
      <c r="T268" s="37">
        <f>T267*(1-T114)*(1-Seasonality!$D$63*T115)</f>
        <v/>
      </c>
      <c r="U268" s="37">
        <f>U267*(1-U114)*(1-Seasonality!$D$63*U115)</f>
        <v/>
      </c>
      <c r="V268" s="37">
        <f>V267*(1-V114)*(1-Seasonality!$D$63*V115)</f>
        <v/>
      </c>
      <c r="W268" s="37">
        <f>W267*(1-W114)*(1-Seasonality!$D$63*W115)</f>
        <v/>
      </c>
      <c r="X268" s="37">
        <f>X267*(1-X114)*(1-Seasonality!$D$63*X115)</f>
        <v/>
      </c>
      <c r="Y268" s="37">
        <f>Y267*(1-Y114)*(1-Seasonality!$D$63*Y115)</f>
        <v/>
      </c>
      <c r="Z268" s="37">
        <f>Z267*(1-Z114)*(1-Seasonality!$D$63*Z115)</f>
        <v/>
      </c>
      <c r="AA268" s="37">
        <f>AA267*(1-AA114)*(1-Seasonality!$D$63*AA115)</f>
        <v/>
      </c>
      <c r="AB268" s="37">
        <f>AB267*(1-AB114)*(1-Seasonality!$D$63*AB115)</f>
        <v/>
      </c>
      <c r="AC268" s="37">
        <f>AC267*(1-AC114)*(1-Seasonality!$D$63*AC115)</f>
        <v/>
      </c>
      <c r="AD268" s="37">
        <f>AD267*(1-AD114)*(1-Seasonality!$D$63*AD115)</f>
        <v/>
      </c>
      <c r="AE268" s="37">
        <f>AE267*(1-AE114)*(1-Seasonality!$D$63*AE115)</f>
        <v/>
      </c>
      <c r="AF268" s="37">
        <f>AF267*(1-AF114)*(1-Seasonality!$D$63*AF115)</f>
        <v/>
      </c>
      <c r="AG268" s="37">
        <f>AG267*(1-AG114)*(1-Seasonality!$D$63*AG115)</f>
        <v/>
      </c>
      <c r="AH268" s="37">
        <f>AH267*(1-AH114)*(1-Seasonality!$D$63*AH115)</f>
        <v/>
      </c>
      <c r="AI268" s="37">
        <f>AI267*(1-AI114)*(1-Seasonality!$D$63*AI115)</f>
        <v/>
      </c>
      <c r="AJ268" s="37">
        <f>AJ267*(1-AJ114)*(1-Seasonality!$D$63*AJ115)</f>
        <v/>
      </c>
      <c r="AK268" s="37">
        <f>AK267*(1-AK114)*(1-Seasonality!$D$63*AK115)</f>
        <v/>
      </c>
      <c r="AL268" s="37">
        <f>AL267*(1-AL114)*(1-Seasonality!$D$63*AL115)</f>
        <v/>
      </c>
      <c r="AM268" s="37">
        <f>AM267*(1-AM114)*(1-Seasonality!$D$63*AM115)</f>
        <v/>
      </c>
      <c r="AN268" s="37">
        <f>AN267*(1-AN114)*(1-Seasonality!$D$63*AN115)</f>
        <v/>
      </c>
      <c r="AO268" s="37">
        <f>AO267*(1-AO114)*(1-Seasonality!$D$63*AO115)</f>
        <v/>
      </c>
      <c r="AP268" s="37">
        <f>AP267*(1-AP114)*(1-Seasonality!$D$63*AP115)</f>
        <v/>
      </c>
      <c r="AQ268" s="37">
        <f>AQ267*(1-AQ114)*(1-Seasonality!$D$63*AQ115)</f>
        <v/>
      </c>
      <c r="AR268" s="37">
        <f>AR267*(1-AR114)*(1-Seasonality!$D$63*AR115)</f>
        <v/>
      </c>
      <c r="AS268" s="37">
        <f>AS267*(1-AS114)*(1-Seasonality!$D$63*AS115)</f>
        <v/>
      </c>
      <c r="AT268" s="37">
        <f>AT267*(1-AT114)*(1-Seasonality!$D$63*AT115)</f>
        <v/>
      </c>
      <c r="AU268" s="37">
        <f>AU267*(1-AU114)*(1-Seasonality!$D$63*AU115)</f>
        <v/>
      </c>
      <c r="AV268" s="37">
        <f>AV267*(1-AV114)*(1-Seasonality!$D$63*AV115)</f>
        <v/>
      </c>
    </row>
    <row r="269">
      <c r="B269" s="7" t="inlineStr">
        <is>
          <t>Share of institutes still paying · month 29</t>
        </is>
      </c>
      <c r="C269" s="5" t="inlineStr">
        <is>
          <t>%</t>
        </is>
      </c>
      <c r="D269" s="37">
        <f>D268*(1-D114)*(1-Seasonality!$D$64*D115)</f>
        <v/>
      </c>
      <c r="E269" s="37">
        <f>E268*(1-E114)*(1-Seasonality!$D$64*E115)</f>
        <v/>
      </c>
      <c r="F269" s="37">
        <f>F268*(1-F114)*(1-Seasonality!$D$64*F115)</f>
        <v/>
      </c>
      <c r="G269" s="37">
        <f>G268*(1-G114)*(1-Seasonality!$D$64*G115)</f>
        <v/>
      </c>
      <c r="H269" s="37">
        <f>H268*(1-H114)*(1-Seasonality!$D$64*H115)</f>
        <v/>
      </c>
      <c r="I269" s="37">
        <f>I268*(1-I114)*(1-Seasonality!$D$64*I115)</f>
        <v/>
      </c>
      <c r="J269" s="37">
        <f>J268*(1-J114)*(1-Seasonality!$D$64*J115)</f>
        <v/>
      </c>
      <c r="K269" s="37">
        <f>K268*(1-K114)*(1-Seasonality!$D$64*K115)</f>
        <v/>
      </c>
      <c r="L269" s="37">
        <f>L268*(1-L114)*(1-Seasonality!$D$64*L115)</f>
        <v/>
      </c>
      <c r="M269" s="37">
        <f>M268*(1-M114)*(1-Seasonality!$D$64*M115)</f>
        <v/>
      </c>
      <c r="N269" s="37">
        <f>N268*(1-N114)*(1-Seasonality!$D$64*N115)</f>
        <v/>
      </c>
      <c r="O269" s="37">
        <f>O268*(1-O114)*(1-Seasonality!$D$64*O115)</f>
        <v/>
      </c>
      <c r="P269" s="37">
        <f>P268*(1-P114)*(1-Seasonality!$D$64*P115)</f>
        <v/>
      </c>
      <c r="Q269" s="37">
        <f>Q268*(1-Q114)*(1-Seasonality!$D$64*Q115)</f>
        <v/>
      </c>
      <c r="R269" s="37">
        <f>R268*(1-R114)*(1-Seasonality!$D$64*R115)</f>
        <v/>
      </c>
      <c r="S269" s="37">
        <f>S268*(1-S114)*(1-Seasonality!$D$64*S115)</f>
        <v/>
      </c>
      <c r="T269" s="37">
        <f>T268*(1-T114)*(1-Seasonality!$D$64*T115)</f>
        <v/>
      </c>
      <c r="U269" s="37">
        <f>U268*(1-U114)*(1-Seasonality!$D$64*U115)</f>
        <v/>
      </c>
      <c r="V269" s="37">
        <f>V268*(1-V114)*(1-Seasonality!$D$64*V115)</f>
        <v/>
      </c>
      <c r="W269" s="37">
        <f>W268*(1-W114)*(1-Seasonality!$D$64*W115)</f>
        <v/>
      </c>
      <c r="X269" s="37">
        <f>X268*(1-X114)*(1-Seasonality!$D$64*X115)</f>
        <v/>
      </c>
      <c r="Y269" s="37">
        <f>Y268*(1-Y114)*(1-Seasonality!$D$64*Y115)</f>
        <v/>
      </c>
      <c r="Z269" s="37">
        <f>Z268*(1-Z114)*(1-Seasonality!$D$64*Z115)</f>
        <v/>
      </c>
      <c r="AA269" s="37">
        <f>AA268*(1-AA114)*(1-Seasonality!$D$64*AA115)</f>
        <v/>
      </c>
      <c r="AB269" s="37">
        <f>AB268*(1-AB114)*(1-Seasonality!$D$64*AB115)</f>
        <v/>
      </c>
      <c r="AC269" s="37">
        <f>AC268*(1-AC114)*(1-Seasonality!$D$64*AC115)</f>
        <v/>
      </c>
      <c r="AD269" s="37">
        <f>AD268*(1-AD114)*(1-Seasonality!$D$64*AD115)</f>
        <v/>
      </c>
      <c r="AE269" s="37">
        <f>AE268*(1-AE114)*(1-Seasonality!$D$64*AE115)</f>
        <v/>
      </c>
      <c r="AF269" s="37">
        <f>AF268*(1-AF114)*(1-Seasonality!$D$64*AF115)</f>
        <v/>
      </c>
      <c r="AG269" s="37">
        <f>AG268*(1-AG114)*(1-Seasonality!$D$64*AG115)</f>
        <v/>
      </c>
      <c r="AH269" s="37">
        <f>AH268*(1-AH114)*(1-Seasonality!$D$64*AH115)</f>
        <v/>
      </c>
      <c r="AI269" s="37">
        <f>AI268*(1-AI114)*(1-Seasonality!$D$64*AI115)</f>
        <v/>
      </c>
      <c r="AJ269" s="37">
        <f>AJ268*(1-AJ114)*(1-Seasonality!$D$64*AJ115)</f>
        <v/>
      </c>
      <c r="AK269" s="37">
        <f>AK268*(1-AK114)*(1-Seasonality!$D$64*AK115)</f>
        <v/>
      </c>
      <c r="AL269" s="37">
        <f>AL268*(1-AL114)*(1-Seasonality!$D$64*AL115)</f>
        <v/>
      </c>
      <c r="AM269" s="37">
        <f>AM268*(1-AM114)*(1-Seasonality!$D$64*AM115)</f>
        <v/>
      </c>
      <c r="AN269" s="37">
        <f>AN268*(1-AN114)*(1-Seasonality!$D$64*AN115)</f>
        <v/>
      </c>
      <c r="AO269" s="37">
        <f>AO268*(1-AO114)*(1-Seasonality!$D$64*AO115)</f>
        <v/>
      </c>
      <c r="AP269" s="37">
        <f>AP268*(1-AP114)*(1-Seasonality!$D$64*AP115)</f>
        <v/>
      </c>
      <c r="AQ269" s="37">
        <f>AQ268*(1-AQ114)*(1-Seasonality!$D$64*AQ115)</f>
        <v/>
      </c>
      <c r="AR269" s="37">
        <f>AR268*(1-AR114)*(1-Seasonality!$D$64*AR115)</f>
        <v/>
      </c>
      <c r="AS269" s="37">
        <f>AS268*(1-AS114)*(1-Seasonality!$D$64*AS115)</f>
        <v/>
      </c>
      <c r="AT269" s="37">
        <f>AT268*(1-AT114)*(1-Seasonality!$D$64*AT115)</f>
        <v/>
      </c>
      <c r="AU269" s="37">
        <f>AU268*(1-AU114)*(1-Seasonality!$D$64*AU115)</f>
        <v/>
      </c>
      <c r="AV269" s="37">
        <f>AV268*(1-AV114)*(1-Seasonality!$D$64*AV115)</f>
        <v/>
      </c>
    </row>
    <row r="270">
      <c r="B270" s="7" t="inlineStr">
        <is>
          <t>Share of institutes still paying · month 30</t>
        </is>
      </c>
      <c r="C270" s="5" t="inlineStr">
        <is>
          <t>%</t>
        </is>
      </c>
      <c r="D270" s="37">
        <f>D269*(1-D114)*(1-Seasonality!$D$65*D115)</f>
        <v/>
      </c>
      <c r="E270" s="37">
        <f>E269*(1-E114)*(1-Seasonality!$D$65*E115)</f>
        <v/>
      </c>
      <c r="F270" s="37">
        <f>F269*(1-F114)*(1-Seasonality!$D$65*F115)</f>
        <v/>
      </c>
      <c r="G270" s="37">
        <f>G269*(1-G114)*(1-Seasonality!$D$65*G115)</f>
        <v/>
      </c>
      <c r="H270" s="37">
        <f>H269*(1-H114)*(1-Seasonality!$D$65*H115)</f>
        <v/>
      </c>
      <c r="I270" s="37">
        <f>I269*(1-I114)*(1-Seasonality!$D$65*I115)</f>
        <v/>
      </c>
      <c r="J270" s="37">
        <f>J269*(1-J114)*(1-Seasonality!$D$65*J115)</f>
        <v/>
      </c>
      <c r="K270" s="37">
        <f>K269*(1-K114)*(1-Seasonality!$D$65*K115)</f>
        <v/>
      </c>
      <c r="L270" s="37">
        <f>L269*(1-L114)*(1-Seasonality!$D$65*L115)</f>
        <v/>
      </c>
      <c r="M270" s="37">
        <f>M269*(1-M114)*(1-Seasonality!$D$65*M115)</f>
        <v/>
      </c>
      <c r="N270" s="37">
        <f>N269*(1-N114)*(1-Seasonality!$D$65*N115)</f>
        <v/>
      </c>
      <c r="O270" s="37">
        <f>O269*(1-O114)*(1-Seasonality!$D$65*O115)</f>
        <v/>
      </c>
      <c r="P270" s="37">
        <f>P269*(1-P114)*(1-Seasonality!$D$65*P115)</f>
        <v/>
      </c>
      <c r="Q270" s="37">
        <f>Q269*(1-Q114)*(1-Seasonality!$D$65*Q115)</f>
        <v/>
      </c>
      <c r="R270" s="37">
        <f>R269*(1-R114)*(1-Seasonality!$D$65*R115)</f>
        <v/>
      </c>
      <c r="S270" s="37">
        <f>S269*(1-S114)*(1-Seasonality!$D$65*S115)</f>
        <v/>
      </c>
      <c r="T270" s="37">
        <f>T269*(1-T114)*(1-Seasonality!$D$65*T115)</f>
        <v/>
      </c>
      <c r="U270" s="37">
        <f>U269*(1-U114)*(1-Seasonality!$D$65*U115)</f>
        <v/>
      </c>
      <c r="V270" s="37">
        <f>V269*(1-V114)*(1-Seasonality!$D$65*V115)</f>
        <v/>
      </c>
      <c r="W270" s="37">
        <f>W269*(1-W114)*(1-Seasonality!$D$65*W115)</f>
        <v/>
      </c>
      <c r="X270" s="37">
        <f>X269*(1-X114)*(1-Seasonality!$D$65*X115)</f>
        <v/>
      </c>
      <c r="Y270" s="37">
        <f>Y269*(1-Y114)*(1-Seasonality!$D$65*Y115)</f>
        <v/>
      </c>
      <c r="Z270" s="37">
        <f>Z269*(1-Z114)*(1-Seasonality!$D$65*Z115)</f>
        <v/>
      </c>
      <c r="AA270" s="37">
        <f>AA269*(1-AA114)*(1-Seasonality!$D$65*AA115)</f>
        <v/>
      </c>
      <c r="AB270" s="37">
        <f>AB269*(1-AB114)*(1-Seasonality!$D$65*AB115)</f>
        <v/>
      </c>
      <c r="AC270" s="37">
        <f>AC269*(1-AC114)*(1-Seasonality!$D$65*AC115)</f>
        <v/>
      </c>
      <c r="AD270" s="37">
        <f>AD269*(1-AD114)*(1-Seasonality!$D$65*AD115)</f>
        <v/>
      </c>
      <c r="AE270" s="37">
        <f>AE269*(1-AE114)*(1-Seasonality!$D$65*AE115)</f>
        <v/>
      </c>
      <c r="AF270" s="37">
        <f>AF269*(1-AF114)*(1-Seasonality!$D$65*AF115)</f>
        <v/>
      </c>
      <c r="AG270" s="37">
        <f>AG269*(1-AG114)*(1-Seasonality!$D$65*AG115)</f>
        <v/>
      </c>
      <c r="AH270" s="37">
        <f>AH269*(1-AH114)*(1-Seasonality!$D$65*AH115)</f>
        <v/>
      </c>
      <c r="AI270" s="37">
        <f>AI269*(1-AI114)*(1-Seasonality!$D$65*AI115)</f>
        <v/>
      </c>
      <c r="AJ270" s="37">
        <f>AJ269*(1-AJ114)*(1-Seasonality!$D$65*AJ115)</f>
        <v/>
      </c>
      <c r="AK270" s="37">
        <f>AK269*(1-AK114)*(1-Seasonality!$D$65*AK115)</f>
        <v/>
      </c>
      <c r="AL270" s="37">
        <f>AL269*(1-AL114)*(1-Seasonality!$D$65*AL115)</f>
        <v/>
      </c>
      <c r="AM270" s="37">
        <f>AM269*(1-AM114)*(1-Seasonality!$D$65*AM115)</f>
        <v/>
      </c>
      <c r="AN270" s="37">
        <f>AN269*(1-AN114)*(1-Seasonality!$D$65*AN115)</f>
        <v/>
      </c>
      <c r="AO270" s="37">
        <f>AO269*(1-AO114)*(1-Seasonality!$D$65*AO115)</f>
        <v/>
      </c>
      <c r="AP270" s="37">
        <f>AP269*(1-AP114)*(1-Seasonality!$D$65*AP115)</f>
        <v/>
      </c>
      <c r="AQ270" s="37">
        <f>AQ269*(1-AQ114)*(1-Seasonality!$D$65*AQ115)</f>
        <v/>
      </c>
      <c r="AR270" s="37">
        <f>AR269*(1-AR114)*(1-Seasonality!$D$65*AR115)</f>
        <v/>
      </c>
      <c r="AS270" s="37">
        <f>AS269*(1-AS114)*(1-Seasonality!$D$65*AS115)</f>
        <v/>
      </c>
      <c r="AT270" s="37">
        <f>AT269*(1-AT114)*(1-Seasonality!$D$65*AT115)</f>
        <v/>
      </c>
      <c r="AU270" s="37">
        <f>AU269*(1-AU114)*(1-Seasonality!$D$65*AU115)</f>
        <v/>
      </c>
      <c r="AV270" s="37">
        <f>AV269*(1-AV114)*(1-Seasonality!$D$65*AV115)</f>
        <v/>
      </c>
    </row>
    <row r="271">
      <c r="B271" s="7" t="inlineStr">
        <is>
          <t>Share of institutes still paying · month 31</t>
        </is>
      </c>
      <c r="C271" s="5" t="inlineStr">
        <is>
          <t>%</t>
        </is>
      </c>
      <c r="D271" s="37">
        <f>D270*(1-D114)*(1-Seasonality!$D$66*D115)</f>
        <v/>
      </c>
      <c r="E271" s="37">
        <f>E270*(1-E114)*(1-Seasonality!$D$66*E115)</f>
        <v/>
      </c>
      <c r="F271" s="37">
        <f>F270*(1-F114)*(1-Seasonality!$D$66*F115)</f>
        <v/>
      </c>
      <c r="G271" s="37">
        <f>G270*(1-G114)*(1-Seasonality!$D$66*G115)</f>
        <v/>
      </c>
      <c r="H271" s="37">
        <f>H270*(1-H114)*(1-Seasonality!$D$66*H115)</f>
        <v/>
      </c>
      <c r="I271" s="37">
        <f>I270*(1-I114)*(1-Seasonality!$D$66*I115)</f>
        <v/>
      </c>
      <c r="J271" s="37">
        <f>J270*(1-J114)*(1-Seasonality!$D$66*J115)</f>
        <v/>
      </c>
      <c r="K271" s="37">
        <f>K270*(1-K114)*(1-Seasonality!$D$66*K115)</f>
        <v/>
      </c>
      <c r="L271" s="37">
        <f>L270*(1-L114)*(1-Seasonality!$D$66*L115)</f>
        <v/>
      </c>
      <c r="M271" s="37">
        <f>M270*(1-M114)*(1-Seasonality!$D$66*M115)</f>
        <v/>
      </c>
      <c r="N271" s="37">
        <f>N270*(1-N114)*(1-Seasonality!$D$66*N115)</f>
        <v/>
      </c>
      <c r="O271" s="37">
        <f>O270*(1-O114)*(1-Seasonality!$D$66*O115)</f>
        <v/>
      </c>
      <c r="P271" s="37">
        <f>P270*(1-P114)*(1-Seasonality!$D$66*P115)</f>
        <v/>
      </c>
      <c r="Q271" s="37">
        <f>Q270*(1-Q114)*(1-Seasonality!$D$66*Q115)</f>
        <v/>
      </c>
      <c r="R271" s="37">
        <f>R270*(1-R114)*(1-Seasonality!$D$66*R115)</f>
        <v/>
      </c>
      <c r="S271" s="37">
        <f>S270*(1-S114)*(1-Seasonality!$D$66*S115)</f>
        <v/>
      </c>
      <c r="T271" s="37">
        <f>T270*(1-T114)*(1-Seasonality!$D$66*T115)</f>
        <v/>
      </c>
      <c r="U271" s="37">
        <f>U270*(1-U114)*(1-Seasonality!$D$66*U115)</f>
        <v/>
      </c>
      <c r="V271" s="37">
        <f>V270*(1-V114)*(1-Seasonality!$D$66*V115)</f>
        <v/>
      </c>
      <c r="W271" s="37">
        <f>W270*(1-W114)*(1-Seasonality!$D$66*W115)</f>
        <v/>
      </c>
      <c r="X271" s="37">
        <f>X270*(1-X114)*(1-Seasonality!$D$66*X115)</f>
        <v/>
      </c>
      <c r="Y271" s="37">
        <f>Y270*(1-Y114)*(1-Seasonality!$D$66*Y115)</f>
        <v/>
      </c>
      <c r="Z271" s="37">
        <f>Z270*(1-Z114)*(1-Seasonality!$D$66*Z115)</f>
        <v/>
      </c>
      <c r="AA271" s="37">
        <f>AA270*(1-AA114)*(1-Seasonality!$D$66*AA115)</f>
        <v/>
      </c>
      <c r="AB271" s="37">
        <f>AB270*(1-AB114)*(1-Seasonality!$D$66*AB115)</f>
        <v/>
      </c>
      <c r="AC271" s="37">
        <f>AC270*(1-AC114)*(1-Seasonality!$D$66*AC115)</f>
        <v/>
      </c>
      <c r="AD271" s="37">
        <f>AD270*(1-AD114)*(1-Seasonality!$D$66*AD115)</f>
        <v/>
      </c>
      <c r="AE271" s="37">
        <f>AE270*(1-AE114)*(1-Seasonality!$D$66*AE115)</f>
        <v/>
      </c>
      <c r="AF271" s="37">
        <f>AF270*(1-AF114)*(1-Seasonality!$D$66*AF115)</f>
        <v/>
      </c>
      <c r="AG271" s="37">
        <f>AG270*(1-AG114)*(1-Seasonality!$D$66*AG115)</f>
        <v/>
      </c>
      <c r="AH271" s="37">
        <f>AH270*(1-AH114)*(1-Seasonality!$D$66*AH115)</f>
        <v/>
      </c>
      <c r="AI271" s="37">
        <f>AI270*(1-AI114)*(1-Seasonality!$D$66*AI115)</f>
        <v/>
      </c>
      <c r="AJ271" s="37">
        <f>AJ270*(1-AJ114)*(1-Seasonality!$D$66*AJ115)</f>
        <v/>
      </c>
      <c r="AK271" s="37">
        <f>AK270*(1-AK114)*(1-Seasonality!$D$66*AK115)</f>
        <v/>
      </c>
      <c r="AL271" s="37">
        <f>AL270*(1-AL114)*(1-Seasonality!$D$66*AL115)</f>
        <v/>
      </c>
      <c r="AM271" s="37">
        <f>AM270*(1-AM114)*(1-Seasonality!$D$66*AM115)</f>
        <v/>
      </c>
      <c r="AN271" s="37">
        <f>AN270*(1-AN114)*(1-Seasonality!$D$66*AN115)</f>
        <v/>
      </c>
      <c r="AO271" s="37">
        <f>AO270*(1-AO114)*(1-Seasonality!$D$66*AO115)</f>
        <v/>
      </c>
      <c r="AP271" s="37">
        <f>AP270*(1-AP114)*(1-Seasonality!$D$66*AP115)</f>
        <v/>
      </c>
      <c r="AQ271" s="37">
        <f>AQ270*(1-AQ114)*(1-Seasonality!$D$66*AQ115)</f>
        <v/>
      </c>
      <c r="AR271" s="37">
        <f>AR270*(1-AR114)*(1-Seasonality!$D$66*AR115)</f>
        <v/>
      </c>
      <c r="AS271" s="37">
        <f>AS270*(1-AS114)*(1-Seasonality!$D$66*AS115)</f>
        <v/>
      </c>
      <c r="AT271" s="37">
        <f>AT270*(1-AT114)*(1-Seasonality!$D$66*AT115)</f>
        <v/>
      </c>
      <c r="AU271" s="37">
        <f>AU270*(1-AU114)*(1-Seasonality!$D$66*AU115)</f>
        <v/>
      </c>
      <c r="AV271" s="37">
        <f>AV270*(1-AV114)*(1-Seasonality!$D$66*AV115)</f>
        <v/>
      </c>
    </row>
    <row r="272">
      <c r="B272" s="7" t="inlineStr">
        <is>
          <t>Share of institutes still paying · month 32</t>
        </is>
      </c>
      <c r="C272" s="5" t="inlineStr">
        <is>
          <t>%</t>
        </is>
      </c>
      <c r="D272" s="37">
        <f>D271*(1-D114)*(1-Seasonality!$D$67*D115)</f>
        <v/>
      </c>
      <c r="E272" s="37">
        <f>E271*(1-E114)*(1-Seasonality!$D$67*E115)</f>
        <v/>
      </c>
      <c r="F272" s="37">
        <f>F271*(1-F114)*(1-Seasonality!$D$67*F115)</f>
        <v/>
      </c>
      <c r="G272" s="37">
        <f>G271*(1-G114)*(1-Seasonality!$D$67*G115)</f>
        <v/>
      </c>
      <c r="H272" s="37">
        <f>H271*(1-H114)*(1-Seasonality!$D$67*H115)</f>
        <v/>
      </c>
      <c r="I272" s="37">
        <f>I271*(1-I114)*(1-Seasonality!$D$67*I115)</f>
        <v/>
      </c>
      <c r="J272" s="37">
        <f>J271*(1-J114)*(1-Seasonality!$D$67*J115)</f>
        <v/>
      </c>
      <c r="K272" s="37">
        <f>K271*(1-K114)*(1-Seasonality!$D$67*K115)</f>
        <v/>
      </c>
      <c r="L272" s="37">
        <f>L271*(1-L114)*(1-Seasonality!$D$67*L115)</f>
        <v/>
      </c>
      <c r="M272" s="37">
        <f>M271*(1-M114)*(1-Seasonality!$D$67*M115)</f>
        <v/>
      </c>
      <c r="N272" s="37">
        <f>N271*(1-N114)*(1-Seasonality!$D$67*N115)</f>
        <v/>
      </c>
      <c r="O272" s="37">
        <f>O271*(1-O114)*(1-Seasonality!$D$67*O115)</f>
        <v/>
      </c>
      <c r="P272" s="37">
        <f>P271*(1-P114)*(1-Seasonality!$D$67*P115)</f>
        <v/>
      </c>
      <c r="Q272" s="37">
        <f>Q271*(1-Q114)*(1-Seasonality!$D$67*Q115)</f>
        <v/>
      </c>
      <c r="R272" s="37">
        <f>R271*(1-R114)*(1-Seasonality!$D$67*R115)</f>
        <v/>
      </c>
      <c r="S272" s="37">
        <f>S271*(1-S114)*(1-Seasonality!$D$67*S115)</f>
        <v/>
      </c>
      <c r="T272" s="37">
        <f>T271*(1-T114)*(1-Seasonality!$D$67*T115)</f>
        <v/>
      </c>
      <c r="U272" s="37">
        <f>U271*(1-U114)*(1-Seasonality!$D$67*U115)</f>
        <v/>
      </c>
      <c r="V272" s="37">
        <f>V271*(1-V114)*(1-Seasonality!$D$67*V115)</f>
        <v/>
      </c>
      <c r="W272" s="37">
        <f>W271*(1-W114)*(1-Seasonality!$D$67*W115)</f>
        <v/>
      </c>
      <c r="X272" s="37">
        <f>X271*(1-X114)*(1-Seasonality!$D$67*X115)</f>
        <v/>
      </c>
      <c r="Y272" s="37">
        <f>Y271*(1-Y114)*(1-Seasonality!$D$67*Y115)</f>
        <v/>
      </c>
      <c r="Z272" s="37">
        <f>Z271*(1-Z114)*(1-Seasonality!$D$67*Z115)</f>
        <v/>
      </c>
      <c r="AA272" s="37">
        <f>AA271*(1-AA114)*(1-Seasonality!$D$67*AA115)</f>
        <v/>
      </c>
      <c r="AB272" s="37">
        <f>AB271*(1-AB114)*(1-Seasonality!$D$67*AB115)</f>
        <v/>
      </c>
      <c r="AC272" s="37">
        <f>AC271*(1-AC114)*(1-Seasonality!$D$67*AC115)</f>
        <v/>
      </c>
      <c r="AD272" s="37">
        <f>AD271*(1-AD114)*(1-Seasonality!$D$67*AD115)</f>
        <v/>
      </c>
      <c r="AE272" s="37">
        <f>AE271*(1-AE114)*(1-Seasonality!$D$67*AE115)</f>
        <v/>
      </c>
      <c r="AF272" s="37">
        <f>AF271*(1-AF114)*(1-Seasonality!$D$67*AF115)</f>
        <v/>
      </c>
      <c r="AG272" s="37">
        <f>AG271*(1-AG114)*(1-Seasonality!$D$67*AG115)</f>
        <v/>
      </c>
      <c r="AH272" s="37">
        <f>AH271*(1-AH114)*(1-Seasonality!$D$67*AH115)</f>
        <v/>
      </c>
      <c r="AI272" s="37">
        <f>AI271*(1-AI114)*(1-Seasonality!$D$67*AI115)</f>
        <v/>
      </c>
      <c r="AJ272" s="37">
        <f>AJ271*(1-AJ114)*(1-Seasonality!$D$67*AJ115)</f>
        <v/>
      </c>
      <c r="AK272" s="37">
        <f>AK271*(1-AK114)*(1-Seasonality!$D$67*AK115)</f>
        <v/>
      </c>
      <c r="AL272" s="37">
        <f>AL271*(1-AL114)*(1-Seasonality!$D$67*AL115)</f>
        <v/>
      </c>
      <c r="AM272" s="37">
        <f>AM271*(1-AM114)*(1-Seasonality!$D$67*AM115)</f>
        <v/>
      </c>
      <c r="AN272" s="37">
        <f>AN271*(1-AN114)*(1-Seasonality!$D$67*AN115)</f>
        <v/>
      </c>
      <c r="AO272" s="37">
        <f>AO271*(1-AO114)*(1-Seasonality!$D$67*AO115)</f>
        <v/>
      </c>
      <c r="AP272" s="37">
        <f>AP271*(1-AP114)*(1-Seasonality!$D$67*AP115)</f>
        <v/>
      </c>
      <c r="AQ272" s="37">
        <f>AQ271*(1-AQ114)*(1-Seasonality!$D$67*AQ115)</f>
        <v/>
      </c>
      <c r="AR272" s="37">
        <f>AR271*(1-AR114)*(1-Seasonality!$D$67*AR115)</f>
        <v/>
      </c>
      <c r="AS272" s="37">
        <f>AS271*(1-AS114)*(1-Seasonality!$D$67*AS115)</f>
        <v/>
      </c>
      <c r="AT272" s="37">
        <f>AT271*(1-AT114)*(1-Seasonality!$D$67*AT115)</f>
        <v/>
      </c>
      <c r="AU272" s="37">
        <f>AU271*(1-AU114)*(1-Seasonality!$D$67*AU115)</f>
        <v/>
      </c>
      <c r="AV272" s="37">
        <f>AV271*(1-AV114)*(1-Seasonality!$D$67*AV115)</f>
        <v/>
      </c>
    </row>
    <row r="273">
      <c r="B273" s="7" t="inlineStr">
        <is>
          <t>Share of institutes still paying · month 33</t>
        </is>
      </c>
      <c r="C273" s="5" t="inlineStr">
        <is>
          <t>%</t>
        </is>
      </c>
      <c r="D273" s="37">
        <f>D272*(1-D114)*(1-Seasonality!$D$68*D115)</f>
        <v/>
      </c>
      <c r="E273" s="37">
        <f>E272*(1-E114)*(1-Seasonality!$D$68*E115)</f>
        <v/>
      </c>
      <c r="F273" s="37">
        <f>F272*(1-F114)*(1-Seasonality!$D$68*F115)</f>
        <v/>
      </c>
      <c r="G273" s="37">
        <f>G272*(1-G114)*(1-Seasonality!$D$68*G115)</f>
        <v/>
      </c>
      <c r="H273" s="37">
        <f>H272*(1-H114)*(1-Seasonality!$D$68*H115)</f>
        <v/>
      </c>
      <c r="I273" s="37">
        <f>I272*(1-I114)*(1-Seasonality!$D$68*I115)</f>
        <v/>
      </c>
      <c r="J273" s="37">
        <f>J272*(1-J114)*(1-Seasonality!$D$68*J115)</f>
        <v/>
      </c>
      <c r="K273" s="37">
        <f>K272*(1-K114)*(1-Seasonality!$D$68*K115)</f>
        <v/>
      </c>
      <c r="L273" s="37">
        <f>L272*(1-L114)*(1-Seasonality!$D$68*L115)</f>
        <v/>
      </c>
      <c r="M273" s="37">
        <f>M272*(1-M114)*(1-Seasonality!$D$68*M115)</f>
        <v/>
      </c>
      <c r="N273" s="37">
        <f>N272*(1-N114)*(1-Seasonality!$D$68*N115)</f>
        <v/>
      </c>
      <c r="O273" s="37">
        <f>O272*(1-O114)*(1-Seasonality!$D$68*O115)</f>
        <v/>
      </c>
      <c r="P273" s="37">
        <f>P272*(1-P114)*(1-Seasonality!$D$68*P115)</f>
        <v/>
      </c>
      <c r="Q273" s="37">
        <f>Q272*(1-Q114)*(1-Seasonality!$D$68*Q115)</f>
        <v/>
      </c>
      <c r="R273" s="37">
        <f>R272*(1-R114)*(1-Seasonality!$D$68*R115)</f>
        <v/>
      </c>
      <c r="S273" s="37">
        <f>S272*(1-S114)*(1-Seasonality!$D$68*S115)</f>
        <v/>
      </c>
      <c r="T273" s="37">
        <f>T272*(1-T114)*(1-Seasonality!$D$68*T115)</f>
        <v/>
      </c>
      <c r="U273" s="37">
        <f>U272*(1-U114)*(1-Seasonality!$D$68*U115)</f>
        <v/>
      </c>
      <c r="V273" s="37">
        <f>V272*(1-V114)*(1-Seasonality!$D$68*V115)</f>
        <v/>
      </c>
      <c r="W273" s="37">
        <f>W272*(1-W114)*(1-Seasonality!$D$68*W115)</f>
        <v/>
      </c>
      <c r="X273" s="37">
        <f>X272*(1-X114)*(1-Seasonality!$D$68*X115)</f>
        <v/>
      </c>
      <c r="Y273" s="37">
        <f>Y272*(1-Y114)*(1-Seasonality!$D$68*Y115)</f>
        <v/>
      </c>
      <c r="Z273" s="37">
        <f>Z272*(1-Z114)*(1-Seasonality!$D$68*Z115)</f>
        <v/>
      </c>
      <c r="AA273" s="37">
        <f>AA272*(1-AA114)*(1-Seasonality!$D$68*AA115)</f>
        <v/>
      </c>
      <c r="AB273" s="37">
        <f>AB272*(1-AB114)*(1-Seasonality!$D$68*AB115)</f>
        <v/>
      </c>
      <c r="AC273" s="37">
        <f>AC272*(1-AC114)*(1-Seasonality!$D$68*AC115)</f>
        <v/>
      </c>
      <c r="AD273" s="37">
        <f>AD272*(1-AD114)*(1-Seasonality!$D$68*AD115)</f>
        <v/>
      </c>
      <c r="AE273" s="37">
        <f>AE272*(1-AE114)*(1-Seasonality!$D$68*AE115)</f>
        <v/>
      </c>
      <c r="AF273" s="37">
        <f>AF272*(1-AF114)*(1-Seasonality!$D$68*AF115)</f>
        <v/>
      </c>
      <c r="AG273" s="37">
        <f>AG272*(1-AG114)*(1-Seasonality!$D$68*AG115)</f>
        <v/>
      </c>
      <c r="AH273" s="37">
        <f>AH272*(1-AH114)*(1-Seasonality!$D$68*AH115)</f>
        <v/>
      </c>
      <c r="AI273" s="37">
        <f>AI272*(1-AI114)*(1-Seasonality!$D$68*AI115)</f>
        <v/>
      </c>
      <c r="AJ273" s="37">
        <f>AJ272*(1-AJ114)*(1-Seasonality!$D$68*AJ115)</f>
        <v/>
      </c>
      <c r="AK273" s="37">
        <f>AK272*(1-AK114)*(1-Seasonality!$D$68*AK115)</f>
        <v/>
      </c>
      <c r="AL273" s="37">
        <f>AL272*(1-AL114)*(1-Seasonality!$D$68*AL115)</f>
        <v/>
      </c>
      <c r="AM273" s="37">
        <f>AM272*(1-AM114)*(1-Seasonality!$D$68*AM115)</f>
        <v/>
      </c>
      <c r="AN273" s="37">
        <f>AN272*(1-AN114)*(1-Seasonality!$D$68*AN115)</f>
        <v/>
      </c>
      <c r="AO273" s="37">
        <f>AO272*(1-AO114)*(1-Seasonality!$D$68*AO115)</f>
        <v/>
      </c>
      <c r="AP273" s="37">
        <f>AP272*(1-AP114)*(1-Seasonality!$D$68*AP115)</f>
        <v/>
      </c>
      <c r="AQ273" s="37">
        <f>AQ272*(1-AQ114)*(1-Seasonality!$D$68*AQ115)</f>
        <v/>
      </c>
      <c r="AR273" s="37">
        <f>AR272*(1-AR114)*(1-Seasonality!$D$68*AR115)</f>
        <v/>
      </c>
      <c r="AS273" s="37">
        <f>AS272*(1-AS114)*(1-Seasonality!$D$68*AS115)</f>
        <v/>
      </c>
      <c r="AT273" s="37">
        <f>AT272*(1-AT114)*(1-Seasonality!$D$68*AT115)</f>
        <v/>
      </c>
      <c r="AU273" s="37">
        <f>AU272*(1-AU114)*(1-Seasonality!$D$68*AU115)</f>
        <v/>
      </c>
      <c r="AV273" s="37">
        <f>AV272*(1-AV114)*(1-Seasonality!$D$68*AV115)</f>
        <v/>
      </c>
    </row>
    <row r="274">
      <c r="B274" s="7" t="inlineStr">
        <is>
          <t>Share of institutes still paying · month 34</t>
        </is>
      </c>
      <c r="C274" s="5" t="inlineStr">
        <is>
          <t>%</t>
        </is>
      </c>
      <c r="D274" s="37">
        <f>D273*(1-D114)*(1-Seasonality!$D$69*D115)</f>
        <v/>
      </c>
      <c r="E274" s="37">
        <f>E273*(1-E114)*(1-Seasonality!$D$69*E115)</f>
        <v/>
      </c>
      <c r="F274" s="37">
        <f>F273*(1-F114)*(1-Seasonality!$D$69*F115)</f>
        <v/>
      </c>
      <c r="G274" s="37">
        <f>G273*(1-G114)*(1-Seasonality!$D$69*G115)</f>
        <v/>
      </c>
      <c r="H274" s="37">
        <f>H273*(1-H114)*(1-Seasonality!$D$69*H115)</f>
        <v/>
      </c>
      <c r="I274" s="37">
        <f>I273*(1-I114)*(1-Seasonality!$D$69*I115)</f>
        <v/>
      </c>
      <c r="J274" s="37">
        <f>J273*(1-J114)*(1-Seasonality!$D$69*J115)</f>
        <v/>
      </c>
      <c r="K274" s="37">
        <f>K273*(1-K114)*(1-Seasonality!$D$69*K115)</f>
        <v/>
      </c>
      <c r="L274" s="37">
        <f>L273*(1-L114)*(1-Seasonality!$D$69*L115)</f>
        <v/>
      </c>
      <c r="M274" s="37">
        <f>M273*(1-M114)*(1-Seasonality!$D$69*M115)</f>
        <v/>
      </c>
      <c r="N274" s="37">
        <f>N273*(1-N114)*(1-Seasonality!$D$69*N115)</f>
        <v/>
      </c>
      <c r="O274" s="37">
        <f>O273*(1-O114)*(1-Seasonality!$D$69*O115)</f>
        <v/>
      </c>
      <c r="P274" s="37">
        <f>P273*(1-P114)*(1-Seasonality!$D$69*P115)</f>
        <v/>
      </c>
      <c r="Q274" s="37">
        <f>Q273*(1-Q114)*(1-Seasonality!$D$69*Q115)</f>
        <v/>
      </c>
      <c r="R274" s="37">
        <f>R273*(1-R114)*(1-Seasonality!$D$69*R115)</f>
        <v/>
      </c>
      <c r="S274" s="37">
        <f>S273*(1-S114)*(1-Seasonality!$D$69*S115)</f>
        <v/>
      </c>
      <c r="T274" s="37">
        <f>T273*(1-T114)*(1-Seasonality!$D$69*T115)</f>
        <v/>
      </c>
      <c r="U274" s="37">
        <f>U273*(1-U114)*(1-Seasonality!$D$69*U115)</f>
        <v/>
      </c>
      <c r="V274" s="37">
        <f>V273*(1-V114)*(1-Seasonality!$D$69*V115)</f>
        <v/>
      </c>
      <c r="W274" s="37">
        <f>W273*(1-W114)*(1-Seasonality!$D$69*W115)</f>
        <v/>
      </c>
      <c r="X274" s="37">
        <f>X273*(1-X114)*(1-Seasonality!$D$69*X115)</f>
        <v/>
      </c>
      <c r="Y274" s="37">
        <f>Y273*(1-Y114)*(1-Seasonality!$D$69*Y115)</f>
        <v/>
      </c>
      <c r="Z274" s="37">
        <f>Z273*(1-Z114)*(1-Seasonality!$D$69*Z115)</f>
        <v/>
      </c>
      <c r="AA274" s="37">
        <f>AA273*(1-AA114)*(1-Seasonality!$D$69*AA115)</f>
        <v/>
      </c>
      <c r="AB274" s="37">
        <f>AB273*(1-AB114)*(1-Seasonality!$D$69*AB115)</f>
        <v/>
      </c>
      <c r="AC274" s="37">
        <f>AC273*(1-AC114)*(1-Seasonality!$D$69*AC115)</f>
        <v/>
      </c>
      <c r="AD274" s="37">
        <f>AD273*(1-AD114)*(1-Seasonality!$D$69*AD115)</f>
        <v/>
      </c>
      <c r="AE274" s="37">
        <f>AE273*(1-AE114)*(1-Seasonality!$D$69*AE115)</f>
        <v/>
      </c>
      <c r="AF274" s="37">
        <f>AF273*(1-AF114)*(1-Seasonality!$D$69*AF115)</f>
        <v/>
      </c>
      <c r="AG274" s="37">
        <f>AG273*(1-AG114)*(1-Seasonality!$D$69*AG115)</f>
        <v/>
      </c>
      <c r="AH274" s="37">
        <f>AH273*(1-AH114)*(1-Seasonality!$D$69*AH115)</f>
        <v/>
      </c>
      <c r="AI274" s="37">
        <f>AI273*(1-AI114)*(1-Seasonality!$D$69*AI115)</f>
        <v/>
      </c>
      <c r="AJ274" s="37">
        <f>AJ273*(1-AJ114)*(1-Seasonality!$D$69*AJ115)</f>
        <v/>
      </c>
      <c r="AK274" s="37">
        <f>AK273*(1-AK114)*(1-Seasonality!$D$69*AK115)</f>
        <v/>
      </c>
      <c r="AL274" s="37">
        <f>AL273*(1-AL114)*(1-Seasonality!$D$69*AL115)</f>
        <v/>
      </c>
      <c r="AM274" s="37">
        <f>AM273*(1-AM114)*(1-Seasonality!$D$69*AM115)</f>
        <v/>
      </c>
      <c r="AN274" s="37">
        <f>AN273*(1-AN114)*(1-Seasonality!$D$69*AN115)</f>
        <v/>
      </c>
      <c r="AO274" s="37">
        <f>AO273*(1-AO114)*(1-Seasonality!$D$69*AO115)</f>
        <v/>
      </c>
      <c r="AP274" s="37">
        <f>AP273*(1-AP114)*(1-Seasonality!$D$69*AP115)</f>
        <v/>
      </c>
      <c r="AQ274" s="37">
        <f>AQ273*(1-AQ114)*(1-Seasonality!$D$69*AQ115)</f>
        <v/>
      </c>
      <c r="AR274" s="37">
        <f>AR273*(1-AR114)*(1-Seasonality!$D$69*AR115)</f>
        <v/>
      </c>
      <c r="AS274" s="37">
        <f>AS273*(1-AS114)*(1-Seasonality!$D$69*AS115)</f>
        <v/>
      </c>
      <c r="AT274" s="37">
        <f>AT273*(1-AT114)*(1-Seasonality!$D$69*AT115)</f>
        <v/>
      </c>
      <c r="AU274" s="37">
        <f>AU273*(1-AU114)*(1-Seasonality!$D$69*AU115)</f>
        <v/>
      </c>
      <c r="AV274" s="37">
        <f>AV273*(1-AV114)*(1-Seasonality!$D$69*AV115)</f>
        <v/>
      </c>
    </row>
    <row r="275">
      <c r="B275" s="7" t="inlineStr">
        <is>
          <t>Share of institutes still paying · month 35</t>
        </is>
      </c>
      <c r="C275" s="5" t="inlineStr">
        <is>
          <t>%</t>
        </is>
      </c>
      <c r="D275" s="37">
        <f>D274*(1-D114)*(1-Seasonality!$D$70*D115)</f>
        <v/>
      </c>
      <c r="E275" s="37">
        <f>E274*(1-E114)*(1-Seasonality!$D$70*E115)</f>
        <v/>
      </c>
      <c r="F275" s="37">
        <f>F274*(1-F114)*(1-Seasonality!$D$70*F115)</f>
        <v/>
      </c>
      <c r="G275" s="37">
        <f>G274*(1-G114)*(1-Seasonality!$D$70*G115)</f>
        <v/>
      </c>
      <c r="H275" s="37">
        <f>H274*(1-H114)*(1-Seasonality!$D$70*H115)</f>
        <v/>
      </c>
      <c r="I275" s="37">
        <f>I274*(1-I114)*(1-Seasonality!$D$70*I115)</f>
        <v/>
      </c>
      <c r="J275" s="37">
        <f>J274*(1-J114)*(1-Seasonality!$D$70*J115)</f>
        <v/>
      </c>
      <c r="K275" s="37">
        <f>K274*(1-K114)*(1-Seasonality!$D$70*K115)</f>
        <v/>
      </c>
      <c r="L275" s="37">
        <f>L274*(1-L114)*(1-Seasonality!$D$70*L115)</f>
        <v/>
      </c>
      <c r="M275" s="37">
        <f>M274*(1-M114)*(1-Seasonality!$D$70*M115)</f>
        <v/>
      </c>
      <c r="N275" s="37">
        <f>N274*(1-N114)*(1-Seasonality!$D$70*N115)</f>
        <v/>
      </c>
      <c r="O275" s="37">
        <f>O274*(1-O114)*(1-Seasonality!$D$70*O115)</f>
        <v/>
      </c>
      <c r="P275" s="37">
        <f>P274*(1-P114)*(1-Seasonality!$D$70*P115)</f>
        <v/>
      </c>
      <c r="Q275" s="37">
        <f>Q274*(1-Q114)*(1-Seasonality!$D$70*Q115)</f>
        <v/>
      </c>
      <c r="R275" s="37">
        <f>R274*(1-R114)*(1-Seasonality!$D$70*R115)</f>
        <v/>
      </c>
      <c r="S275" s="37">
        <f>S274*(1-S114)*(1-Seasonality!$D$70*S115)</f>
        <v/>
      </c>
      <c r="T275" s="37">
        <f>T274*(1-T114)*(1-Seasonality!$D$70*T115)</f>
        <v/>
      </c>
      <c r="U275" s="37">
        <f>U274*(1-U114)*(1-Seasonality!$D$70*U115)</f>
        <v/>
      </c>
      <c r="V275" s="37">
        <f>V274*(1-V114)*(1-Seasonality!$D$70*V115)</f>
        <v/>
      </c>
      <c r="W275" s="37">
        <f>W274*(1-W114)*(1-Seasonality!$D$70*W115)</f>
        <v/>
      </c>
      <c r="X275" s="37">
        <f>X274*(1-X114)*(1-Seasonality!$D$70*X115)</f>
        <v/>
      </c>
      <c r="Y275" s="37">
        <f>Y274*(1-Y114)*(1-Seasonality!$D$70*Y115)</f>
        <v/>
      </c>
      <c r="Z275" s="37">
        <f>Z274*(1-Z114)*(1-Seasonality!$D$70*Z115)</f>
        <v/>
      </c>
      <c r="AA275" s="37">
        <f>AA274*(1-AA114)*(1-Seasonality!$D$70*AA115)</f>
        <v/>
      </c>
      <c r="AB275" s="37">
        <f>AB274*(1-AB114)*(1-Seasonality!$D$70*AB115)</f>
        <v/>
      </c>
      <c r="AC275" s="37">
        <f>AC274*(1-AC114)*(1-Seasonality!$D$70*AC115)</f>
        <v/>
      </c>
      <c r="AD275" s="37">
        <f>AD274*(1-AD114)*(1-Seasonality!$D$70*AD115)</f>
        <v/>
      </c>
      <c r="AE275" s="37">
        <f>AE274*(1-AE114)*(1-Seasonality!$D$70*AE115)</f>
        <v/>
      </c>
      <c r="AF275" s="37">
        <f>AF274*(1-AF114)*(1-Seasonality!$D$70*AF115)</f>
        <v/>
      </c>
      <c r="AG275" s="37">
        <f>AG274*(1-AG114)*(1-Seasonality!$D$70*AG115)</f>
        <v/>
      </c>
      <c r="AH275" s="37">
        <f>AH274*(1-AH114)*(1-Seasonality!$D$70*AH115)</f>
        <v/>
      </c>
      <c r="AI275" s="37">
        <f>AI274*(1-AI114)*(1-Seasonality!$D$70*AI115)</f>
        <v/>
      </c>
      <c r="AJ275" s="37">
        <f>AJ274*(1-AJ114)*(1-Seasonality!$D$70*AJ115)</f>
        <v/>
      </c>
      <c r="AK275" s="37">
        <f>AK274*(1-AK114)*(1-Seasonality!$D$70*AK115)</f>
        <v/>
      </c>
      <c r="AL275" s="37">
        <f>AL274*(1-AL114)*(1-Seasonality!$D$70*AL115)</f>
        <v/>
      </c>
      <c r="AM275" s="37">
        <f>AM274*(1-AM114)*(1-Seasonality!$D$70*AM115)</f>
        <v/>
      </c>
      <c r="AN275" s="37">
        <f>AN274*(1-AN114)*(1-Seasonality!$D$70*AN115)</f>
        <v/>
      </c>
      <c r="AO275" s="37">
        <f>AO274*(1-AO114)*(1-Seasonality!$D$70*AO115)</f>
        <v/>
      </c>
      <c r="AP275" s="37">
        <f>AP274*(1-AP114)*(1-Seasonality!$D$70*AP115)</f>
        <v/>
      </c>
      <c r="AQ275" s="37">
        <f>AQ274*(1-AQ114)*(1-Seasonality!$D$70*AQ115)</f>
        <v/>
      </c>
      <c r="AR275" s="37">
        <f>AR274*(1-AR114)*(1-Seasonality!$D$70*AR115)</f>
        <v/>
      </c>
      <c r="AS275" s="37">
        <f>AS274*(1-AS114)*(1-Seasonality!$D$70*AS115)</f>
        <v/>
      </c>
      <c r="AT275" s="37">
        <f>AT274*(1-AT114)*(1-Seasonality!$D$70*AT115)</f>
        <v/>
      </c>
      <c r="AU275" s="37">
        <f>AU274*(1-AU114)*(1-Seasonality!$D$70*AU115)</f>
        <v/>
      </c>
      <c r="AV275" s="37">
        <f>AV274*(1-AV114)*(1-Seasonality!$D$70*AV115)</f>
        <v/>
      </c>
    </row>
    <row r="276">
      <c r="B276" s="7" t="inlineStr">
        <is>
          <t>Share of institutes still paying · month 36</t>
        </is>
      </c>
      <c r="C276" s="5" t="inlineStr">
        <is>
          <t>%</t>
        </is>
      </c>
      <c r="D276" s="37">
        <f>D275*(1-D114)*(1-Seasonality!$D$71*D115)</f>
        <v/>
      </c>
      <c r="E276" s="37">
        <f>E275*(1-E114)*(1-Seasonality!$D$71*E115)</f>
        <v/>
      </c>
      <c r="F276" s="37">
        <f>F275*(1-F114)*(1-Seasonality!$D$71*F115)</f>
        <v/>
      </c>
      <c r="G276" s="37">
        <f>G275*(1-G114)*(1-Seasonality!$D$71*G115)</f>
        <v/>
      </c>
      <c r="H276" s="37">
        <f>H275*(1-H114)*(1-Seasonality!$D$71*H115)</f>
        <v/>
      </c>
      <c r="I276" s="37">
        <f>I275*(1-I114)*(1-Seasonality!$D$71*I115)</f>
        <v/>
      </c>
      <c r="J276" s="37">
        <f>J275*(1-J114)*(1-Seasonality!$D$71*J115)</f>
        <v/>
      </c>
      <c r="K276" s="37">
        <f>K275*(1-K114)*(1-Seasonality!$D$71*K115)</f>
        <v/>
      </c>
      <c r="L276" s="37">
        <f>L275*(1-L114)*(1-Seasonality!$D$71*L115)</f>
        <v/>
      </c>
      <c r="M276" s="37">
        <f>M275*(1-M114)*(1-Seasonality!$D$71*M115)</f>
        <v/>
      </c>
      <c r="N276" s="37">
        <f>N275*(1-N114)*(1-Seasonality!$D$71*N115)</f>
        <v/>
      </c>
      <c r="O276" s="37">
        <f>O275*(1-O114)*(1-Seasonality!$D$71*O115)</f>
        <v/>
      </c>
      <c r="P276" s="37">
        <f>P275*(1-P114)*(1-Seasonality!$D$71*P115)</f>
        <v/>
      </c>
      <c r="Q276" s="37">
        <f>Q275*(1-Q114)*(1-Seasonality!$D$71*Q115)</f>
        <v/>
      </c>
      <c r="R276" s="37">
        <f>R275*(1-R114)*(1-Seasonality!$D$71*R115)</f>
        <v/>
      </c>
      <c r="S276" s="37">
        <f>S275*(1-S114)*(1-Seasonality!$D$71*S115)</f>
        <v/>
      </c>
      <c r="T276" s="37">
        <f>T275*(1-T114)*(1-Seasonality!$D$71*T115)</f>
        <v/>
      </c>
      <c r="U276" s="37">
        <f>U275*(1-U114)*(1-Seasonality!$D$71*U115)</f>
        <v/>
      </c>
      <c r="V276" s="37">
        <f>V275*(1-V114)*(1-Seasonality!$D$71*V115)</f>
        <v/>
      </c>
      <c r="W276" s="37">
        <f>W275*(1-W114)*(1-Seasonality!$D$71*W115)</f>
        <v/>
      </c>
      <c r="X276" s="37">
        <f>X275*(1-X114)*(1-Seasonality!$D$71*X115)</f>
        <v/>
      </c>
      <c r="Y276" s="37">
        <f>Y275*(1-Y114)*(1-Seasonality!$D$71*Y115)</f>
        <v/>
      </c>
      <c r="Z276" s="37">
        <f>Z275*(1-Z114)*(1-Seasonality!$D$71*Z115)</f>
        <v/>
      </c>
      <c r="AA276" s="37">
        <f>AA275*(1-AA114)*(1-Seasonality!$D$71*AA115)</f>
        <v/>
      </c>
      <c r="AB276" s="37">
        <f>AB275*(1-AB114)*(1-Seasonality!$D$71*AB115)</f>
        <v/>
      </c>
      <c r="AC276" s="37">
        <f>AC275*(1-AC114)*(1-Seasonality!$D$71*AC115)</f>
        <v/>
      </c>
      <c r="AD276" s="37">
        <f>AD275*(1-AD114)*(1-Seasonality!$D$71*AD115)</f>
        <v/>
      </c>
      <c r="AE276" s="37">
        <f>AE275*(1-AE114)*(1-Seasonality!$D$71*AE115)</f>
        <v/>
      </c>
      <c r="AF276" s="37">
        <f>AF275*(1-AF114)*(1-Seasonality!$D$71*AF115)</f>
        <v/>
      </c>
      <c r="AG276" s="37">
        <f>AG275*(1-AG114)*(1-Seasonality!$D$71*AG115)</f>
        <v/>
      </c>
      <c r="AH276" s="37">
        <f>AH275*(1-AH114)*(1-Seasonality!$D$71*AH115)</f>
        <v/>
      </c>
      <c r="AI276" s="37">
        <f>AI275*(1-AI114)*(1-Seasonality!$D$71*AI115)</f>
        <v/>
      </c>
      <c r="AJ276" s="37">
        <f>AJ275*(1-AJ114)*(1-Seasonality!$D$71*AJ115)</f>
        <v/>
      </c>
      <c r="AK276" s="37">
        <f>AK275*(1-AK114)*(1-Seasonality!$D$71*AK115)</f>
        <v/>
      </c>
      <c r="AL276" s="37">
        <f>AL275*(1-AL114)*(1-Seasonality!$D$71*AL115)</f>
        <v/>
      </c>
      <c r="AM276" s="37">
        <f>AM275*(1-AM114)*(1-Seasonality!$D$71*AM115)</f>
        <v/>
      </c>
      <c r="AN276" s="37">
        <f>AN275*(1-AN114)*(1-Seasonality!$D$71*AN115)</f>
        <v/>
      </c>
      <c r="AO276" s="37">
        <f>AO275*(1-AO114)*(1-Seasonality!$D$71*AO115)</f>
        <v/>
      </c>
      <c r="AP276" s="37">
        <f>AP275*(1-AP114)*(1-Seasonality!$D$71*AP115)</f>
        <v/>
      </c>
      <c r="AQ276" s="37">
        <f>AQ275*(1-AQ114)*(1-Seasonality!$D$71*AQ115)</f>
        <v/>
      </c>
      <c r="AR276" s="37">
        <f>AR275*(1-AR114)*(1-Seasonality!$D$71*AR115)</f>
        <v/>
      </c>
      <c r="AS276" s="37">
        <f>AS275*(1-AS114)*(1-Seasonality!$D$71*AS115)</f>
        <v/>
      </c>
      <c r="AT276" s="37">
        <f>AT275*(1-AT114)*(1-Seasonality!$D$71*AT115)</f>
        <v/>
      </c>
      <c r="AU276" s="37">
        <f>AU275*(1-AU114)*(1-Seasonality!$D$71*AU115)</f>
        <v/>
      </c>
      <c r="AV276" s="37">
        <f>AV275*(1-AV114)*(1-Seasonality!$D$71*AV115)</f>
        <v/>
      </c>
    </row>
    <row r="277">
      <c r="B277" s="7" t="inlineStr">
        <is>
          <t>Share of institutes still paying · month 37</t>
        </is>
      </c>
      <c r="C277" s="5" t="inlineStr">
        <is>
          <t>%</t>
        </is>
      </c>
      <c r="D277" s="37">
        <f>D276*(1-D114)*(1-Seasonality!$D$72*D115)</f>
        <v/>
      </c>
      <c r="E277" s="37">
        <f>E276*(1-E114)*(1-Seasonality!$D$72*E115)</f>
        <v/>
      </c>
      <c r="F277" s="37">
        <f>F276*(1-F114)*(1-Seasonality!$D$72*F115)</f>
        <v/>
      </c>
      <c r="G277" s="37">
        <f>G276*(1-G114)*(1-Seasonality!$D$72*G115)</f>
        <v/>
      </c>
      <c r="H277" s="37">
        <f>H276*(1-H114)*(1-Seasonality!$D$72*H115)</f>
        <v/>
      </c>
      <c r="I277" s="37">
        <f>I276*(1-I114)*(1-Seasonality!$D$72*I115)</f>
        <v/>
      </c>
      <c r="J277" s="37">
        <f>J276*(1-J114)*(1-Seasonality!$D$72*J115)</f>
        <v/>
      </c>
      <c r="K277" s="37">
        <f>K276*(1-K114)*(1-Seasonality!$D$72*K115)</f>
        <v/>
      </c>
      <c r="L277" s="37">
        <f>L276*(1-L114)*(1-Seasonality!$D$72*L115)</f>
        <v/>
      </c>
      <c r="M277" s="37">
        <f>M276*(1-M114)*(1-Seasonality!$D$72*M115)</f>
        <v/>
      </c>
      <c r="N277" s="37">
        <f>N276*(1-N114)*(1-Seasonality!$D$72*N115)</f>
        <v/>
      </c>
      <c r="O277" s="37">
        <f>O276*(1-O114)*(1-Seasonality!$D$72*O115)</f>
        <v/>
      </c>
      <c r="P277" s="37">
        <f>P276*(1-P114)*(1-Seasonality!$D$72*P115)</f>
        <v/>
      </c>
      <c r="Q277" s="37">
        <f>Q276*(1-Q114)*(1-Seasonality!$D$72*Q115)</f>
        <v/>
      </c>
      <c r="R277" s="37">
        <f>R276*(1-R114)*(1-Seasonality!$D$72*R115)</f>
        <v/>
      </c>
      <c r="S277" s="37">
        <f>S276*(1-S114)*(1-Seasonality!$D$72*S115)</f>
        <v/>
      </c>
      <c r="T277" s="37">
        <f>T276*(1-T114)*(1-Seasonality!$D$72*T115)</f>
        <v/>
      </c>
      <c r="U277" s="37">
        <f>U276*(1-U114)*(1-Seasonality!$D$72*U115)</f>
        <v/>
      </c>
      <c r="V277" s="37">
        <f>V276*(1-V114)*(1-Seasonality!$D$72*V115)</f>
        <v/>
      </c>
      <c r="W277" s="37">
        <f>W276*(1-W114)*(1-Seasonality!$D$72*W115)</f>
        <v/>
      </c>
      <c r="X277" s="37">
        <f>X276*(1-X114)*(1-Seasonality!$D$72*X115)</f>
        <v/>
      </c>
      <c r="Y277" s="37">
        <f>Y276*(1-Y114)*(1-Seasonality!$D$72*Y115)</f>
        <v/>
      </c>
      <c r="Z277" s="37">
        <f>Z276*(1-Z114)*(1-Seasonality!$D$72*Z115)</f>
        <v/>
      </c>
      <c r="AA277" s="37">
        <f>AA276*(1-AA114)*(1-Seasonality!$D$72*AA115)</f>
        <v/>
      </c>
      <c r="AB277" s="37">
        <f>AB276*(1-AB114)*(1-Seasonality!$D$72*AB115)</f>
        <v/>
      </c>
      <c r="AC277" s="37">
        <f>AC276*(1-AC114)*(1-Seasonality!$D$72*AC115)</f>
        <v/>
      </c>
      <c r="AD277" s="37">
        <f>AD276*(1-AD114)*(1-Seasonality!$D$72*AD115)</f>
        <v/>
      </c>
      <c r="AE277" s="37">
        <f>AE276*(1-AE114)*(1-Seasonality!$D$72*AE115)</f>
        <v/>
      </c>
      <c r="AF277" s="37">
        <f>AF276*(1-AF114)*(1-Seasonality!$D$72*AF115)</f>
        <v/>
      </c>
      <c r="AG277" s="37">
        <f>AG276*(1-AG114)*(1-Seasonality!$D$72*AG115)</f>
        <v/>
      </c>
      <c r="AH277" s="37">
        <f>AH276*(1-AH114)*(1-Seasonality!$D$72*AH115)</f>
        <v/>
      </c>
      <c r="AI277" s="37">
        <f>AI276*(1-AI114)*(1-Seasonality!$D$72*AI115)</f>
        <v/>
      </c>
      <c r="AJ277" s="37">
        <f>AJ276*(1-AJ114)*(1-Seasonality!$D$72*AJ115)</f>
        <v/>
      </c>
      <c r="AK277" s="37">
        <f>AK276*(1-AK114)*(1-Seasonality!$D$72*AK115)</f>
        <v/>
      </c>
      <c r="AL277" s="37">
        <f>AL276*(1-AL114)*(1-Seasonality!$D$72*AL115)</f>
        <v/>
      </c>
      <c r="AM277" s="37">
        <f>AM276*(1-AM114)*(1-Seasonality!$D$72*AM115)</f>
        <v/>
      </c>
      <c r="AN277" s="37">
        <f>AN276*(1-AN114)*(1-Seasonality!$D$72*AN115)</f>
        <v/>
      </c>
      <c r="AO277" s="37">
        <f>AO276*(1-AO114)*(1-Seasonality!$D$72*AO115)</f>
        <v/>
      </c>
      <c r="AP277" s="37">
        <f>AP276*(1-AP114)*(1-Seasonality!$D$72*AP115)</f>
        <v/>
      </c>
      <c r="AQ277" s="37">
        <f>AQ276*(1-AQ114)*(1-Seasonality!$D$72*AQ115)</f>
        <v/>
      </c>
      <c r="AR277" s="37">
        <f>AR276*(1-AR114)*(1-Seasonality!$D$72*AR115)</f>
        <v/>
      </c>
      <c r="AS277" s="37">
        <f>AS276*(1-AS114)*(1-Seasonality!$D$72*AS115)</f>
        <v/>
      </c>
      <c r="AT277" s="37">
        <f>AT276*(1-AT114)*(1-Seasonality!$D$72*AT115)</f>
        <v/>
      </c>
      <c r="AU277" s="37">
        <f>AU276*(1-AU114)*(1-Seasonality!$D$72*AU115)</f>
        <v/>
      </c>
      <c r="AV277" s="37">
        <f>AV276*(1-AV114)*(1-Seasonality!$D$72*AV115)</f>
        <v/>
      </c>
    </row>
    <row r="278">
      <c r="B278" s="7" t="inlineStr">
        <is>
          <t>Share of institutes still paying · month 38</t>
        </is>
      </c>
      <c r="C278" s="5" t="inlineStr">
        <is>
          <t>%</t>
        </is>
      </c>
      <c r="D278" s="37">
        <f>D277*(1-D114)*(1-Seasonality!$D$73*D115)</f>
        <v/>
      </c>
      <c r="E278" s="37">
        <f>E277*(1-E114)*(1-Seasonality!$D$73*E115)</f>
        <v/>
      </c>
      <c r="F278" s="37">
        <f>F277*(1-F114)*(1-Seasonality!$D$73*F115)</f>
        <v/>
      </c>
      <c r="G278" s="37">
        <f>G277*(1-G114)*(1-Seasonality!$D$73*G115)</f>
        <v/>
      </c>
      <c r="H278" s="37">
        <f>H277*(1-H114)*(1-Seasonality!$D$73*H115)</f>
        <v/>
      </c>
      <c r="I278" s="37">
        <f>I277*(1-I114)*(1-Seasonality!$D$73*I115)</f>
        <v/>
      </c>
      <c r="J278" s="37">
        <f>J277*(1-J114)*(1-Seasonality!$D$73*J115)</f>
        <v/>
      </c>
      <c r="K278" s="37">
        <f>K277*(1-K114)*(1-Seasonality!$D$73*K115)</f>
        <v/>
      </c>
      <c r="L278" s="37">
        <f>L277*(1-L114)*(1-Seasonality!$D$73*L115)</f>
        <v/>
      </c>
      <c r="M278" s="37">
        <f>M277*(1-M114)*(1-Seasonality!$D$73*M115)</f>
        <v/>
      </c>
      <c r="N278" s="37">
        <f>N277*(1-N114)*(1-Seasonality!$D$73*N115)</f>
        <v/>
      </c>
      <c r="O278" s="37">
        <f>O277*(1-O114)*(1-Seasonality!$D$73*O115)</f>
        <v/>
      </c>
      <c r="P278" s="37">
        <f>P277*(1-P114)*(1-Seasonality!$D$73*P115)</f>
        <v/>
      </c>
      <c r="Q278" s="37">
        <f>Q277*(1-Q114)*(1-Seasonality!$D$73*Q115)</f>
        <v/>
      </c>
      <c r="R278" s="37">
        <f>R277*(1-R114)*(1-Seasonality!$D$73*R115)</f>
        <v/>
      </c>
      <c r="S278" s="37">
        <f>S277*(1-S114)*(1-Seasonality!$D$73*S115)</f>
        <v/>
      </c>
      <c r="T278" s="37">
        <f>T277*(1-T114)*(1-Seasonality!$D$73*T115)</f>
        <v/>
      </c>
      <c r="U278" s="37">
        <f>U277*(1-U114)*(1-Seasonality!$D$73*U115)</f>
        <v/>
      </c>
      <c r="V278" s="37">
        <f>V277*(1-V114)*(1-Seasonality!$D$73*V115)</f>
        <v/>
      </c>
      <c r="W278" s="37">
        <f>W277*(1-W114)*(1-Seasonality!$D$73*W115)</f>
        <v/>
      </c>
      <c r="X278" s="37">
        <f>X277*(1-X114)*(1-Seasonality!$D$73*X115)</f>
        <v/>
      </c>
      <c r="Y278" s="37">
        <f>Y277*(1-Y114)*(1-Seasonality!$D$73*Y115)</f>
        <v/>
      </c>
      <c r="Z278" s="37">
        <f>Z277*(1-Z114)*(1-Seasonality!$D$73*Z115)</f>
        <v/>
      </c>
      <c r="AA278" s="37">
        <f>AA277*(1-AA114)*(1-Seasonality!$D$73*AA115)</f>
        <v/>
      </c>
      <c r="AB278" s="37">
        <f>AB277*(1-AB114)*(1-Seasonality!$D$73*AB115)</f>
        <v/>
      </c>
      <c r="AC278" s="37">
        <f>AC277*(1-AC114)*(1-Seasonality!$D$73*AC115)</f>
        <v/>
      </c>
      <c r="AD278" s="37">
        <f>AD277*(1-AD114)*(1-Seasonality!$D$73*AD115)</f>
        <v/>
      </c>
      <c r="AE278" s="37">
        <f>AE277*(1-AE114)*(1-Seasonality!$D$73*AE115)</f>
        <v/>
      </c>
      <c r="AF278" s="37">
        <f>AF277*(1-AF114)*(1-Seasonality!$D$73*AF115)</f>
        <v/>
      </c>
      <c r="AG278" s="37">
        <f>AG277*(1-AG114)*(1-Seasonality!$D$73*AG115)</f>
        <v/>
      </c>
      <c r="AH278" s="37">
        <f>AH277*(1-AH114)*(1-Seasonality!$D$73*AH115)</f>
        <v/>
      </c>
      <c r="AI278" s="37">
        <f>AI277*(1-AI114)*(1-Seasonality!$D$73*AI115)</f>
        <v/>
      </c>
      <c r="AJ278" s="37">
        <f>AJ277*(1-AJ114)*(1-Seasonality!$D$73*AJ115)</f>
        <v/>
      </c>
      <c r="AK278" s="37">
        <f>AK277*(1-AK114)*(1-Seasonality!$D$73*AK115)</f>
        <v/>
      </c>
      <c r="AL278" s="37">
        <f>AL277*(1-AL114)*(1-Seasonality!$D$73*AL115)</f>
        <v/>
      </c>
      <c r="AM278" s="37">
        <f>AM277*(1-AM114)*(1-Seasonality!$D$73*AM115)</f>
        <v/>
      </c>
      <c r="AN278" s="37">
        <f>AN277*(1-AN114)*(1-Seasonality!$D$73*AN115)</f>
        <v/>
      </c>
      <c r="AO278" s="37">
        <f>AO277*(1-AO114)*(1-Seasonality!$D$73*AO115)</f>
        <v/>
      </c>
      <c r="AP278" s="37">
        <f>AP277*(1-AP114)*(1-Seasonality!$D$73*AP115)</f>
        <v/>
      </c>
      <c r="AQ278" s="37">
        <f>AQ277*(1-AQ114)*(1-Seasonality!$D$73*AQ115)</f>
        <v/>
      </c>
      <c r="AR278" s="37">
        <f>AR277*(1-AR114)*(1-Seasonality!$D$73*AR115)</f>
        <v/>
      </c>
      <c r="AS278" s="37">
        <f>AS277*(1-AS114)*(1-Seasonality!$D$73*AS115)</f>
        <v/>
      </c>
      <c r="AT278" s="37">
        <f>AT277*(1-AT114)*(1-Seasonality!$D$73*AT115)</f>
        <v/>
      </c>
      <c r="AU278" s="37">
        <f>AU277*(1-AU114)*(1-Seasonality!$D$73*AU115)</f>
        <v/>
      </c>
      <c r="AV278" s="37">
        <f>AV277*(1-AV114)*(1-Seasonality!$D$73*AV115)</f>
        <v/>
      </c>
    </row>
    <row r="279">
      <c r="B279" s="7" t="inlineStr">
        <is>
          <t>Share of institutes still paying · month 39</t>
        </is>
      </c>
      <c r="C279" s="5" t="inlineStr">
        <is>
          <t>%</t>
        </is>
      </c>
      <c r="D279" s="37">
        <f>D278*(1-D114)*(1-Seasonality!$D$74*D115)</f>
        <v/>
      </c>
      <c r="E279" s="37">
        <f>E278*(1-E114)*(1-Seasonality!$D$74*E115)</f>
        <v/>
      </c>
      <c r="F279" s="37">
        <f>F278*(1-F114)*(1-Seasonality!$D$74*F115)</f>
        <v/>
      </c>
      <c r="G279" s="37">
        <f>G278*(1-G114)*(1-Seasonality!$D$74*G115)</f>
        <v/>
      </c>
      <c r="H279" s="37">
        <f>H278*(1-H114)*(1-Seasonality!$D$74*H115)</f>
        <v/>
      </c>
      <c r="I279" s="37">
        <f>I278*(1-I114)*(1-Seasonality!$D$74*I115)</f>
        <v/>
      </c>
      <c r="J279" s="37">
        <f>J278*(1-J114)*(1-Seasonality!$D$74*J115)</f>
        <v/>
      </c>
      <c r="K279" s="37">
        <f>K278*(1-K114)*(1-Seasonality!$D$74*K115)</f>
        <v/>
      </c>
      <c r="L279" s="37">
        <f>L278*(1-L114)*(1-Seasonality!$D$74*L115)</f>
        <v/>
      </c>
      <c r="M279" s="37">
        <f>M278*(1-M114)*(1-Seasonality!$D$74*M115)</f>
        <v/>
      </c>
      <c r="N279" s="37">
        <f>N278*(1-N114)*(1-Seasonality!$D$74*N115)</f>
        <v/>
      </c>
      <c r="O279" s="37">
        <f>O278*(1-O114)*(1-Seasonality!$D$74*O115)</f>
        <v/>
      </c>
      <c r="P279" s="37">
        <f>P278*(1-P114)*(1-Seasonality!$D$74*P115)</f>
        <v/>
      </c>
      <c r="Q279" s="37">
        <f>Q278*(1-Q114)*(1-Seasonality!$D$74*Q115)</f>
        <v/>
      </c>
      <c r="R279" s="37">
        <f>R278*(1-R114)*(1-Seasonality!$D$74*R115)</f>
        <v/>
      </c>
      <c r="S279" s="37">
        <f>S278*(1-S114)*(1-Seasonality!$D$74*S115)</f>
        <v/>
      </c>
      <c r="T279" s="37">
        <f>T278*(1-T114)*(1-Seasonality!$D$74*T115)</f>
        <v/>
      </c>
      <c r="U279" s="37">
        <f>U278*(1-U114)*(1-Seasonality!$D$74*U115)</f>
        <v/>
      </c>
      <c r="V279" s="37">
        <f>V278*(1-V114)*(1-Seasonality!$D$74*V115)</f>
        <v/>
      </c>
      <c r="W279" s="37">
        <f>W278*(1-W114)*(1-Seasonality!$D$74*W115)</f>
        <v/>
      </c>
      <c r="X279" s="37">
        <f>X278*(1-X114)*(1-Seasonality!$D$74*X115)</f>
        <v/>
      </c>
      <c r="Y279" s="37">
        <f>Y278*(1-Y114)*(1-Seasonality!$D$74*Y115)</f>
        <v/>
      </c>
      <c r="Z279" s="37">
        <f>Z278*(1-Z114)*(1-Seasonality!$D$74*Z115)</f>
        <v/>
      </c>
      <c r="AA279" s="37">
        <f>AA278*(1-AA114)*(1-Seasonality!$D$74*AA115)</f>
        <v/>
      </c>
      <c r="AB279" s="37">
        <f>AB278*(1-AB114)*(1-Seasonality!$D$74*AB115)</f>
        <v/>
      </c>
      <c r="AC279" s="37">
        <f>AC278*(1-AC114)*(1-Seasonality!$D$74*AC115)</f>
        <v/>
      </c>
      <c r="AD279" s="37">
        <f>AD278*(1-AD114)*(1-Seasonality!$D$74*AD115)</f>
        <v/>
      </c>
      <c r="AE279" s="37">
        <f>AE278*(1-AE114)*(1-Seasonality!$D$74*AE115)</f>
        <v/>
      </c>
      <c r="AF279" s="37">
        <f>AF278*(1-AF114)*(1-Seasonality!$D$74*AF115)</f>
        <v/>
      </c>
      <c r="AG279" s="37">
        <f>AG278*(1-AG114)*(1-Seasonality!$D$74*AG115)</f>
        <v/>
      </c>
      <c r="AH279" s="37">
        <f>AH278*(1-AH114)*(1-Seasonality!$D$74*AH115)</f>
        <v/>
      </c>
      <c r="AI279" s="37">
        <f>AI278*(1-AI114)*(1-Seasonality!$D$74*AI115)</f>
        <v/>
      </c>
      <c r="AJ279" s="37">
        <f>AJ278*(1-AJ114)*(1-Seasonality!$D$74*AJ115)</f>
        <v/>
      </c>
      <c r="AK279" s="37">
        <f>AK278*(1-AK114)*(1-Seasonality!$D$74*AK115)</f>
        <v/>
      </c>
      <c r="AL279" s="37">
        <f>AL278*(1-AL114)*(1-Seasonality!$D$74*AL115)</f>
        <v/>
      </c>
      <c r="AM279" s="37">
        <f>AM278*(1-AM114)*(1-Seasonality!$D$74*AM115)</f>
        <v/>
      </c>
      <c r="AN279" s="37">
        <f>AN278*(1-AN114)*(1-Seasonality!$D$74*AN115)</f>
        <v/>
      </c>
      <c r="AO279" s="37">
        <f>AO278*(1-AO114)*(1-Seasonality!$D$74*AO115)</f>
        <v/>
      </c>
      <c r="AP279" s="37">
        <f>AP278*(1-AP114)*(1-Seasonality!$D$74*AP115)</f>
        <v/>
      </c>
      <c r="AQ279" s="37">
        <f>AQ278*(1-AQ114)*(1-Seasonality!$D$74*AQ115)</f>
        <v/>
      </c>
      <c r="AR279" s="37">
        <f>AR278*(1-AR114)*(1-Seasonality!$D$74*AR115)</f>
        <v/>
      </c>
      <c r="AS279" s="37">
        <f>AS278*(1-AS114)*(1-Seasonality!$D$74*AS115)</f>
        <v/>
      </c>
      <c r="AT279" s="37">
        <f>AT278*(1-AT114)*(1-Seasonality!$D$74*AT115)</f>
        <v/>
      </c>
      <c r="AU279" s="37">
        <f>AU278*(1-AU114)*(1-Seasonality!$D$74*AU115)</f>
        <v/>
      </c>
      <c r="AV279" s="37">
        <f>AV278*(1-AV114)*(1-Seasonality!$D$74*AV115)</f>
        <v/>
      </c>
    </row>
    <row r="280">
      <c r="B280" s="7" t="inlineStr">
        <is>
          <t>Share of institutes still paying · month 40</t>
        </is>
      </c>
      <c r="C280" s="5" t="inlineStr">
        <is>
          <t>%</t>
        </is>
      </c>
      <c r="D280" s="37">
        <f>D279*(1-D114)*(1-Seasonality!$D$75*D115)</f>
        <v/>
      </c>
      <c r="E280" s="37">
        <f>E279*(1-E114)*(1-Seasonality!$D$75*E115)</f>
        <v/>
      </c>
      <c r="F280" s="37">
        <f>F279*(1-F114)*(1-Seasonality!$D$75*F115)</f>
        <v/>
      </c>
      <c r="G280" s="37">
        <f>G279*(1-G114)*(1-Seasonality!$D$75*G115)</f>
        <v/>
      </c>
      <c r="H280" s="37">
        <f>H279*(1-H114)*(1-Seasonality!$D$75*H115)</f>
        <v/>
      </c>
      <c r="I280" s="37">
        <f>I279*(1-I114)*(1-Seasonality!$D$75*I115)</f>
        <v/>
      </c>
      <c r="J280" s="37">
        <f>J279*(1-J114)*(1-Seasonality!$D$75*J115)</f>
        <v/>
      </c>
      <c r="K280" s="37">
        <f>K279*(1-K114)*(1-Seasonality!$D$75*K115)</f>
        <v/>
      </c>
      <c r="L280" s="37">
        <f>L279*(1-L114)*(1-Seasonality!$D$75*L115)</f>
        <v/>
      </c>
      <c r="M280" s="37">
        <f>M279*(1-M114)*(1-Seasonality!$D$75*M115)</f>
        <v/>
      </c>
      <c r="N280" s="37">
        <f>N279*(1-N114)*(1-Seasonality!$D$75*N115)</f>
        <v/>
      </c>
      <c r="O280" s="37">
        <f>O279*(1-O114)*(1-Seasonality!$D$75*O115)</f>
        <v/>
      </c>
      <c r="P280" s="37">
        <f>P279*(1-P114)*(1-Seasonality!$D$75*P115)</f>
        <v/>
      </c>
      <c r="Q280" s="37">
        <f>Q279*(1-Q114)*(1-Seasonality!$D$75*Q115)</f>
        <v/>
      </c>
      <c r="R280" s="37">
        <f>R279*(1-R114)*(1-Seasonality!$D$75*R115)</f>
        <v/>
      </c>
      <c r="S280" s="37">
        <f>S279*(1-S114)*(1-Seasonality!$D$75*S115)</f>
        <v/>
      </c>
      <c r="T280" s="37">
        <f>T279*(1-T114)*(1-Seasonality!$D$75*T115)</f>
        <v/>
      </c>
      <c r="U280" s="37">
        <f>U279*(1-U114)*(1-Seasonality!$D$75*U115)</f>
        <v/>
      </c>
      <c r="V280" s="37">
        <f>V279*(1-V114)*(1-Seasonality!$D$75*V115)</f>
        <v/>
      </c>
      <c r="W280" s="37">
        <f>W279*(1-W114)*(1-Seasonality!$D$75*W115)</f>
        <v/>
      </c>
      <c r="X280" s="37">
        <f>X279*(1-X114)*(1-Seasonality!$D$75*X115)</f>
        <v/>
      </c>
      <c r="Y280" s="37">
        <f>Y279*(1-Y114)*(1-Seasonality!$D$75*Y115)</f>
        <v/>
      </c>
      <c r="Z280" s="37">
        <f>Z279*(1-Z114)*(1-Seasonality!$D$75*Z115)</f>
        <v/>
      </c>
      <c r="AA280" s="37">
        <f>AA279*(1-AA114)*(1-Seasonality!$D$75*AA115)</f>
        <v/>
      </c>
      <c r="AB280" s="37">
        <f>AB279*(1-AB114)*(1-Seasonality!$D$75*AB115)</f>
        <v/>
      </c>
      <c r="AC280" s="37">
        <f>AC279*(1-AC114)*(1-Seasonality!$D$75*AC115)</f>
        <v/>
      </c>
      <c r="AD280" s="37">
        <f>AD279*(1-AD114)*(1-Seasonality!$D$75*AD115)</f>
        <v/>
      </c>
      <c r="AE280" s="37">
        <f>AE279*(1-AE114)*(1-Seasonality!$D$75*AE115)</f>
        <v/>
      </c>
      <c r="AF280" s="37">
        <f>AF279*(1-AF114)*(1-Seasonality!$D$75*AF115)</f>
        <v/>
      </c>
      <c r="AG280" s="37">
        <f>AG279*(1-AG114)*(1-Seasonality!$D$75*AG115)</f>
        <v/>
      </c>
      <c r="AH280" s="37">
        <f>AH279*(1-AH114)*(1-Seasonality!$D$75*AH115)</f>
        <v/>
      </c>
      <c r="AI280" s="37">
        <f>AI279*(1-AI114)*(1-Seasonality!$D$75*AI115)</f>
        <v/>
      </c>
      <c r="AJ280" s="37">
        <f>AJ279*(1-AJ114)*(1-Seasonality!$D$75*AJ115)</f>
        <v/>
      </c>
      <c r="AK280" s="37">
        <f>AK279*(1-AK114)*(1-Seasonality!$D$75*AK115)</f>
        <v/>
      </c>
      <c r="AL280" s="37">
        <f>AL279*(1-AL114)*(1-Seasonality!$D$75*AL115)</f>
        <v/>
      </c>
      <c r="AM280" s="37">
        <f>AM279*(1-AM114)*(1-Seasonality!$D$75*AM115)</f>
        <v/>
      </c>
      <c r="AN280" s="37">
        <f>AN279*(1-AN114)*(1-Seasonality!$D$75*AN115)</f>
        <v/>
      </c>
      <c r="AO280" s="37">
        <f>AO279*(1-AO114)*(1-Seasonality!$D$75*AO115)</f>
        <v/>
      </c>
      <c r="AP280" s="37">
        <f>AP279*(1-AP114)*(1-Seasonality!$D$75*AP115)</f>
        <v/>
      </c>
      <c r="AQ280" s="37">
        <f>AQ279*(1-AQ114)*(1-Seasonality!$D$75*AQ115)</f>
        <v/>
      </c>
      <c r="AR280" s="37">
        <f>AR279*(1-AR114)*(1-Seasonality!$D$75*AR115)</f>
        <v/>
      </c>
      <c r="AS280" s="37">
        <f>AS279*(1-AS114)*(1-Seasonality!$D$75*AS115)</f>
        <v/>
      </c>
      <c r="AT280" s="37">
        <f>AT279*(1-AT114)*(1-Seasonality!$D$75*AT115)</f>
        <v/>
      </c>
      <c r="AU280" s="37">
        <f>AU279*(1-AU114)*(1-Seasonality!$D$75*AU115)</f>
        <v/>
      </c>
      <c r="AV280" s="37">
        <f>AV279*(1-AV114)*(1-Seasonality!$D$75*AV115)</f>
        <v/>
      </c>
    </row>
    <row r="281">
      <c r="B281" s="7" t="inlineStr">
        <is>
          <t>Share of institutes still paying · month 41</t>
        </is>
      </c>
      <c r="C281" s="5" t="inlineStr">
        <is>
          <t>%</t>
        </is>
      </c>
      <c r="D281" s="37">
        <f>D280*(1-D114)*(1-Seasonality!$D$76*D115)</f>
        <v/>
      </c>
      <c r="E281" s="37">
        <f>E280*(1-E114)*(1-Seasonality!$D$76*E115)</f>
        <v/>
      </c>
      <c r="F281" s="37">
        <f>F280*(1-F114)*(1-Seasonality!$D$76*F115)</f>
        <v/>
      </c>
      <c r="G281" s="37">
        <f>G280*(1-G114)*(1-Seasonality!$D$76*G115)</f>
        <v/>
      </c>
      <c r="H281" s="37">
        <f>H280*(1-H114)*(1-Seasonality!$D$76*H115)</f>
        <v/>
      </c>
      <c r="I281" s="37">
        <f>I280*(1-I114)*(1-Seasonality!$D$76*I115)</f>
        <v/>
      </c>
      <c r="J281" s="37">
        <f>J280*(1-J114)*(1-Seasonality!$D$76*J115)</f>
        <v/>
      </c>
      <c r="K281" s="37">
        <f>K280*(1-K114)*(1-Seasonality!$D$76*K115)</f>
        <v/>
      </c>
      <c r="L281" s="37">
        <f>L280*(1-L114)*(1-Seasonality!$D$76*L115)</f>
        <v/>
      </c>
      <c r="M281" s="37">
        <f>M280*(1-M114)*(1-Seasonality!$D$76*M115)</f>
        <v/>
      </c>
      <c r="N281" s="37">
        <f>N280*(1-N114)*(1-Seasonality!$D$76*N115)</f>
        <v/>
      </c>
      <c r="O281" s="37">
        <f>O280*(1-O114)*(1-Seasonality!$D$76*O115)</f>
        <v/>
      </c>
      <c r="P281" s="37">
        <f>P280*(1-P114)*(1-Seasonality!$D$76*P115)</f>
        <v/>
      </c>
      <c r="Q281" s="37">
        <f>Q280*(1-Q114)*(1-Seasonality!$D$76*Q115)</f>
        <v/>
      </c>
      <c r="R281" s="37">
        <f>R280*(1-R114)*(1-Seasonality!$D$76*R115)</f>
        <v/>
      </c>
      <c r="S281" s="37">
        <f>S280*(1-S114)*(1-Seasonality!$D$76*S115)</f>
        <v/>
      </c>
      <c r="T281" s="37">
        <f>T280*(1-T114)*(1-Seasonality!$D$76*T115)</f>
        <v/>
      </c>
      <c r="U281" s="37">
        <f>U280*(1-U114)*(1-Seasonality!$D$76*U115)</f>
        <v/>
      </c>
      <c r="V281" s="37">
        <f>V280*(1-V114)*(1-Seasonality!$D$76*V115)</f>
        <v/>
      </c>
      <c r="W281" s="37">
        <f>W280*(1-W114)*(1-Seasonality!$D$76*W115)</f>
        <v/>
      </c>
      <c r="X281" s="37">
        <f>X280*(1-X114)*(1-Seasonality!$D$76*X115)</f>
        <v/>
      </c>
      <c r="Y281" s="37">
        <f>Y280*(1-Y114)*(1-Seasonality!$D$76*Y115)</f>
        <v/>
      </c>
      <c r="Z281" s="37">
        <f>Z280*(1-Z114)*(1-Seasonality!$D$76*Z115)</f>
        <v/>
      </c>
      <c r="AA281" s="37">
        <f>AA280*(1-AA114)*(1-Seasonality!$D$76*AA115)</f>
        <v/>
      </c>
      <c r="AB281" s="37">
        <f>AB280*(1-AB114)*(1-Seasonality!$D$76*AB115)</f>
        <v/>
      </c>
      <c r="AC281" s="37">
        <f>AC280*(1-AC114)*(1-Seasonality!$D$76*AC115)</f>
        <v/>
      </c>
      <c r="AD281" s="37">
        <f>AD280*(1-AD114)*(1-Seasonality!$D$76*AD115)</f>
        <v/>
      </c>
      <c r="AE281" s="37">
        <f>AE280*(1-AE114)*(1-Seasonality!$D$76*AE115)</f>
        <v/>
      </c>
      <c r="AF281" s="37">
        <f>AF280*(1-AF114)*(1-Seasonality!$D$76*AF115)</f>
        <v/>
      </c>
      <c r="AG281" s="37">
        <f>AG280*(1-AG114)*(1-Seasonality!$D$76*AG115)</f>
        <v/>
      </c>
      <c r="AH281" s="37">
        <f>AH280*(1-AH114)*(1-Seasonality!$D$76*AH115)</f>
        <v/>
      </c>
      <c r="AI281" s="37">
        <f>AI280*(1-AI114)*(1-Seasonality!$D$76*AI115)</f>
        <v/>
      </c>
      <c r="AJ281" s="37">
        <f>AJ280*(1-AJ114)*(1-Seasonality!$D$76*AJ115)</f>
        <v/>
      </c>
      <c r="AK281" s="37">
        <f>AK280*(1-AK114)*(1-Seasonality!$D$76*AK115)</f>
        <v/>
      </c>
      <c r="AL281" s="37">
        <f>AL280*(1-AL114)*(1-Seasonality!$D$76*AL115)</f>
        <v/>
      </c>
      <c r="AM281" s="37">
        <f>AM280*(1-AM114)*(1-Seasonality!$D$76*AM115)</f>
        <v/>
      </c>
      <c r="AN281" s="37">
        <f>AN280*(1-AN114)*(1-Seasonality!$D$76*AN115)</f>
        <v/>
      </c>
      <c r="AO281" s="37">
        <f>AO280*(1-AO114)*(1-Seasonality!$D$76*AO115)</f>
        <v/>
      </c>
      <c r="AP281" s="37">
        <f>AP280*(1-AP114)*(1-Seasonality!$D$76*AP115)</f>
        <v/>
      </c>
      <c r="AQ281" s="37">
        <f>AQ280*(1-AQ114)*(1-Seasonality!$D$76*AQ115)</f>
        <v/>
      </c>
      <c r="AR281" s="37">
        <f>AR280*(1-AR114)*(1-Seasonality!$D$76*AR115)</f>
        <v/>
      </c>
      <c r="AS281" s="37">
        <f>AS280*(1-AS114)*(1-Seasonality!$D$76*AS115)</f>
        <v/>
      </c>
      <c r="AT281" s="37">
        <f>AT280*(1-AT114)*(1-Seasonality!$D$76*AT115)</f>
        <v/>
      </c>
      <c r="AU281" s="37">
        <f>AU280*(1-AU114)*(1-Seasonality!$D$76*AU115)</f>
        <v/>
      </c>
      <c r="AV281" s="37">
        <f>AV280*(1-AV114)*(1-Seasonality!$D$76*AV115)</f>
        <v/>
      </c>
    </row>
    <row r="282">
      <c r="B282" s="7" t="inlineStr">
        <is>
          <t>Share of institutes still paying · month 42</t>
        </is>
      </c>
      <c r="C282" s="5" t="inlineStr">
        <is>
          <t>%</t>
        </is>
      </c>
      <c r="D282" s="37">
        <f>D281*(1-D114)*(1-Seasonality!$D$77*D115)</f>
        <v/>
      </c>
      <c r="E282" s="37">
        <f>E281*(1-E114)*(1-Seasonality!$D$77*E115)</f>
        <v/>
      </c>
      <c r="F282" s="37">
        <f>F281*(1-F114)*(1-Seasonality!$D$77*F115)</f>
        <v/>
      </c>
      <c r="G282" s="37">
        <f>G281*(1-G114)*(1-Seasonality!$D$77*G115)</f>
        <v/>
      </c>
      <c r="H282" s="37">
        <f>H281*(1-H114)*(1-Seasonality!$D$77*H115)</f>
        <v/>
      </c>
      <c r="I282" s="37">
        <f>I281*(1-I114)*(1-Seasonality!$D$77*I115)</f>
        <v/>
      </c>
      <c r="J282" s="37">
        <f>J281*(1-J114)*(1-Seasonality!$D$77*J115)</f>
        <v/>
      </c>
      <c r="K282" s="37">
        <f>K281*(1-K114)*(1-Seasonality!$D$77*K115)</f>
        <v/>
      </c>
      <c r="L282" s="37">
        <f>L281*(1-L114)*(1-Seasonality!$D$77*L115)</f>
        <v/>
      </c>
      <c r="M282" s="37">
        <f>M281*(1-M114)*(1-Seasonality!$D$77*M115)</f>
        <v/>
      </c>
      <c r="N282" s="37">
        <f>N281*(1-N114)*(1-Seasonality!$D$77*N115)</f>
        <v/>
      </c>
      <c r="O282" s="37">
        <f>O281*(1-O114)*(1-Seasonality!$D$77*O115)</f>
        <v/>
      </c>
      <c r="P282" s="37">
        <f>P281*(1-P114)*(1-Seasonality!$D$77*P115)</f>
        <v/>
      </c>
      <c r="Q282" s="37">
        <f>Q281*(1-Q114)*(1-Seasonality!$D$77*Q115)</f>
        <v/>
      </c>
      <c r="R282" s="37">
        <f>R281*(1-R114)*(1-Seasonality!$D$77*R115)</f>
        <v/>
      </c>
      <c r="S282" s="37">
        <f>S281*(1-S114)*(1-Seasonality!$D$77*S115)</f>
        <v/>
      </c>
      <c r="T282" s="37">
        <f>T281*(1-T114)*(1-Seasonality!$D$77*T115)</f>
        <v/>
      </c>
      <c r="U282" s="37">
        <f>U281*(1-U114)*(1-Seasonality!$D$77*U115)</f>
        <v/>
      </c>
      <c r="V282" s="37">
        <f>V281*(1-V114)*(1-Seasonality!$D$77*V115)</f>
        <v/>
      </c>
      <c r="W282" s="37">
        <f>W281*(1-W114)*(1-Seasonality!$D$77*W115)</f>
        <v/>
      </c>
      <c r="X282" s="37">
        <f>X281*(1-X114)*(1-Seasonality!$D$77*X115)</f>
        <v/>
      </c>
      <c r="Y282" s="37">
        <f>Y281*(1-Y114)*(1-Seasonality!$D$77*Y115)</f>
        <v/>
      </c>
      <c r="Z282" s="37">
        <f>Z281*(1-Z114)*(1-Seasonality!$D$77*Z115)</f>
        <v/>
      </c>
      <c r="AA282" s="37">
        <f>AA281*(1-AA114)*(1-Seasonality!$D$77*AA115)</f>
        <v/>
      </c>
      <c r="AB282" s="37">
        <f>AB281*(1-AB114)*(1-Seasonality!$D$77*AB115)</f>
        <v/>
      </c>
      <c r="AC282" s="37">
        <f>AC281*(1-AC114)*(1-Seasonality!$D$77*AC115)</f>
        <v/>
      </c>
      <c r="AD282" s="37">
        <f>AD281*(1-AD114)*(1-Seasonality!$D$77*AD115)</f>
        <v/>
      </c>
      <c r="AE282" s="37">
        <f>AE281*(1-AE114)*(1-Seasonality!$D$77*AE115)</f>
        <v/>
      </c>
      <c r="AF282" s="37">
        <f>AF281*(1-AF114)*(1-Seasonality!$D$77*AF115)</f>
        <v/>
      </c>
      <c r="AG282" s="37">
        <f>AG281*(1-AG114)*(1-Seasonality!$D$77*AG115)</f>
        <v/>
      </c>
      <c r="AH282" s="37">
        <f>AH281*(1-AH114)*(1-Seasonality!$D$77*AH115)</f>
        <v/>
      </c>
      <c r="AI282" s="37">
        <f>AI281*(1-AI114)*(1-Seasonality!$D$77*AI115)</f>
        <v/>
      </c>
      <c r="AJ282" s="37">
        <f>AJ281*(1-AJ114)*(1-Seasonality!$D$77*AJ115)</f>
        <v/>
      </c>
      <c r="AK282" s="37">
        <f>AK281*(1-AK114)*(1-Seasonality!$D$77*AK115)</f>
        <v/>
      </c>
      <c r="AL282" s="37">
        <f>AL281*(1-AL114)*(1-Seasonality!$D$77*AL115)</f>
        <v/>
      </c>
      <c r="AM282" s="37">
        <f>AM281*(1-AM114)*(1-Seasonality!$D$77*AM115)</f>
        <v/>
      </c>
      <c r="AN282" s="37">
        <f>AN281*(1-AN114)*(1-Seasonality!$D$77*AN115)</f>
        <v/>
      </c>
      <c r="AO282" s="37">
        <f>AO281*(1-AO114)*(1-Seasonality!$D$77*AO115)</f>
        <v/>
      </c>
      <c r="AP282" s="37">
        <f>AP281*(1-AP114)*(1-Seasonality!$D$77*AP115)</f>
        <v/>
      </c>
      <c r="AQ282" s="37">
        <f>AQ281*(1-AQ114)*(1-Seasonality!$D$77*AQ115)</f>
        <v/>
      </c>
      <c r="AR282" s="37">
        <f>AR281*(1-AR114)*(1-Seasonality!$D$77*AR115)</f>
        <v/>
      </c>
      <c r="AS282" s="37">
        <f>AS281*(1-AS114)*(1-Seasonality!$D$77*AS115)</f>
        <v/>
      </c>
      <c r="AT282" s="37">
        <f>AT281*(1-AT114)*(1-Seasonality!$D$77*AT115)</f>
        <v/>
      </c>
      <c r="AU282" s="37">
        <f>AU281*(1-AU114)*(1-Seasonality!$D$77*AU115)</f>
        <v/>
      </c>
      <c r="AV282" s="37">
        <f>AV281*(1-AV114)*(1-Seasonality!$D$77*AV115)</f>
        <v/>
      </c>
    </row>
    <row r="283">
      <c r="B283" s="7" t="inlineStr">
        <is>
          <t>Share of institutes still paying · month 43</t>
        </is>
      </c>
      <c r="C283" s="5" t="inlineStr">
        <is>
          <t>%</t>
        </is>
      </c>
      <c r="D283" s="37">
        <f>D282*(1-D114)*(1-Seasonality!$D$78*D115)</f>
        <v/>
      </c>
      <c r="E283" s="37">
        <f>E282*(1-E114)*(1-Seasonality!$D$78*E115)</f>
        <v/>
      </c>
      <c r="F283" s="37">
        <f>F282*(1-F114)*(1-Seasonality!$D$78*F115)</f>
        <v/>
      </c>
      <c r="G283" s="37">
        <f>G282*(1-G114)*(1-Seasonality!$D$78*G115)</f>
        <v/>
      </c>
      <c r="H283" s="37">
        <f>H282*(1-H114)*(1-Seasonality!$D$78*H115)</f>
        <v/>
      </c>
      <c r="I283" s="37">
        <f>I282*(1-I114)*(1-Seasonality!$D$78*I115)</f>
        <v/>
      </c>
      <c r="J283" s="37">
        <f>J282*(1-J114)*(1-Seasonality!$D$78*J115)</f>
        <v/>
      </c>
      <c r="K283" s="37">
        <f>K282*(1-K114)*(1-Seasonality!$D$78*K115)</f>
        <v/>
      </c>
      <c r="L283" s="37">
        <f>L282*(1-L114)*(1-Seasonality!$D$78*L115)</f>
        <v/>
      </c>
      <c r="M283" s="37">
        <f>M282*(1-M114)*(1-Seasonality!$D$78*M115)</f>
        <v/>
      </c>
      <c r="N283" s="37">
        <f>N282*(1-N114)*(1-Seasonality!$D$78*N115)</f>
        <v/>
      </c>
      <c r="O283" s="37">
        <f>O282*(1-O114)*(1-Seasonality!$D$78*O115)</f>
        <v/>
      </c>
      <c r="P283" s="37">
        <f>P282*(1-P114)*(1-Seasonality!$D$78*P115)</f>
        <v/>
      </c>
      <c r="Q283" s="37">
        <f>Q282*(1-Q114)*(1-Seasonality!$D$78*Q115)</f>
        <v/>
      </c>
      <c r="R283" s="37">
        <f>R282*(1-R114)*(1-Seasonality!$D$78*R115)</f>
        <v/>
      </c>
      <c r="S283" s="37">
        <f>S282*(1-S114)*(1-Seasonality!$D$78*S115)</f>
        <v/>
      </c>
      <c r="T283" s="37">
        <f>T282*(1-T114)*(1-Seasonality!$D$78*T115)</f>
        <v/>
      </c>
      <c r="U283" s="37">
        <f>U282*(1-U114)*(1-Seasonality!$D$78*U115)</f>
        <v/>
      </c>
      <c r="V283" s="37">
        <f>V282*(1-V114)*(1-Seasonality!$D$78*V115)</f>
        <v/>
      </c>
      <c r="W283" s="37">
        <f>W282*(1-W114)*(1-Seasonality!$D$78*W115)</f>
        <v/>
      </c>
      <c r="X283" s="37">
        <f>X282*(1-X114)*(1-Seasonality!$D$78*X115)</f>
        <v/>
      </c>
      <c r="Y283" s="37">
        <f>Y282*(1-Y114)*(1-Seasonality!$D$78*Y115)</f>
        <v/>
      </c>
      <c r="Z283" s="37">
        <f>Z282*(1-Z114)*(1-Seasonality!$D$78*Z115)</f>
        <v/>
      </c>
      <c r="AA283" s="37">
        <f>AA282*(1-AA114)*(1-Seasonality!$D$78*AA115)</f>
        <v/>
      </c>
      <c r="AB283" s="37">
        <f>AB282*(1-AB114)*(1-Seasonality!$D$78*AB115)</f>
        <v/>
      </c>
      <c r="AC283" s="37">
        <f>AC282*(1-AC114)*(1-Seasonality!$D$78*AC115)</f>
        <v/>
      </c>
      <c r="AD283" s="37">
        <f>AD282*(1-AD114)*(1-Seasonality!$D$78*AD115)</f>
        <v/>
      </c>
      <c r="AE283" s="37">
        <f>AE282*(1-AE114)*(1-Seasonality!$D$78*AE115)</f>
        <v/>
      </c>
      <c r="AF283" s="37">
        <f>AF282*(1-AF114)*(1-Seasonality!$D$78*AF115)</f>
        <v/>
      </c>
      <c r="AG283" s="37">
        <f>AG282*(1-AG114)*(1-Seasonality!$D$78*AG115)</f>
        <v/>
      </c>
      <c r="AH283" s="37">
        <f>AH282*(1-AH114)*(1-Seasonality!$D$78*AH115)</f>
        <v/>
      </c>
      <c r="AI283" s="37">
        <f>AI282*(1-AI114)*(1-Seasonality!$D$78*AI115)</f>
        <v/>
      </c>
      <c r="AJ283" s="37">
        <f>AJ282*(1-AJ114)*(1-Seasonality!$D$78*AJ115)</f>
        <v/>
      </c>
      <c r="AK283" s="37">
        <f>AK282*(1-AK114)*(1-Seasonality!$D$78*AK115)</f>
        <v/>
      </c>
      <c r="AL283" s="37">
        <f>AL282*(1-AL114)*(1-Seasonality!$D$78*AL115)</f>
        <v/>
      </c>
      <c r="AM283" s="37">
        <f>AM282*(1-AM114)*(1-Seasonality!$D$78*AM115)</f>
        <v/>
      </c>
      <c r="AN283" s="37">
        <f>AN282*(1-AN114)*(1-Seasonality!$D$78*AN115)</f>
        <v/>
      </c>
      <c r="AO283" s="37">
        <f>AO282*(1-AO114)*(1-Seasonality!$D$78*AO115)</f>
        <v/>
      </c>
      <c r="AP283" s="37">
        <f>AP282*(1-AP114)*(1-Seasonality!$D$78*AP115)</f>
        <v/>
      </c>
      <c r="AQ283" s="37">
        <f>AQ282*(1-AQ114)*(1-Seasonality!$D$78*AQ115)</f>
        <v/>
      </c>
      <c r="AR283" s="37">
        <f>AR282*(1-AR114)*(1-Seasonality!$D$78*AR115)</f>
        <v/>
      </c>
      <c r="AS283" s="37">
        <f>AS282*(1-AS114)*(1-Seasonality!$D$78*AS115)</f>
        <v/>
      </c>
      <c r="AT283" s="37">
        <f>AT282*(1-AT114)*(1-Seasonality!$D$78*AT115)</f>
        <v/>
      </c>
      <c r="AU283" s="37">
        <f>AU282*(1-AU114)*(1-Seasonality!$D$78*AU115)</f>
        <v/>
      </c>
      <c r="AV283" s="37">
        <f>AV282*(1-AV114)*(1-Seasonality!$D$78*AV115)</f>
        <v/>
      </c>
    </row>
    <row r="284">
      <c r="B284" s="7" t="inlineStr">
        <is>
          <t>Share of institutes still paying · month 44</t>
        </is>
      </c>
      <c r="C284" s="5" t="inlineStr">
        <is>
          <t>%</t>
        </is>
      </c>
      <c r="D284" s="37">
        <f>D283*(1-D114)*(1-Seasonality!$D$79*D115)</f>
        <v/>
      </c>
      <c r="E284" s="37">
        <f>E283*(1-E114)*(1-Seasonality!$D$79*E115)</f>
        <v/>
      </c>
      <c r="F284" s="37">
        <f>F283*(1-F114)*(1-Seasonality!$D$79*F115)</f>
        <v/>
      </c>
      <c r="G284" s="37">
        <f>G283*(1-G114)*(1-Seasonality!$D$79*G115)</f>
        <v/>
      </c>
      <c r="H284" s="37">
        <f>H283*(1-H114)*(1-Seasonality!$D$79*H115)</f>
        <v/>
      </c>
      <c r="I284" s="37">
        <f>I283*(1-I114)*(1-Seasonality!$D$79*I115)</f>
        <v/>
      </c>
      <c r="J284" s="37">
        <f>J283*(1-J114)*(1-Seasonality!$D$79*J115)</f>
        <v/>
      </c>
      <c r="K284" s="37">
        <f>K283*(1-K114)*(1-Seasonality!$D$79*K115)</f>
        <v/>
      </c>
      <c r="L284" s="37">
        <f>L283*(1-L114)*(1-Seasonality!$D$79*L115)</f>
        <v/>
      </c>
      <c r="M284" s="37">
        <f>M283*(1-M114)*(1-Seasonality!$D$79*M115)</f>
        <v/>
      </c>
      <c r="N284" s="37">
        <f>N283*(1-N114)*(1-Seasonality!$D$79*N115)</f>
        <v/>
      </c>
      <c r="O284" s="37">
        <f>O283*(1-O114)*(1-Seasonality!$D$79*O115)</f>
        <v/>
      </c>
      <c r="P284" s="37">
        <f>P283*(1-P114)*(1-Seasonality!$D$79*P115)</f>
        <v/>
      </c>
      <c r="Q284" s="37">
        <f>Q283*(1-Q114)*(1-Seasonality!$D$79*Q115)</f>
        <v/>
      </c>
      <c r="R284" s="37">
        <f>R283*(1-R114)*(1-Seasonality!$D$79*R115)</f>
        <v/>
      </c>
      <c r="S284" s="37">
        <f>S283*(1-S114)*(1-Seasonality!$D$79*S115)</f>
        <v/>
      </c>
      <c r="T284" s="37">
        <f>T283*(1-T114)*(1-Seasonality!$D$79*T115)</f>
        <v/>
      </c>
      <c r="U284" s="37">
        <f>U283*(1-U114)*(1-Seasonality!$D$79*U115)</f>
        <v/>
      </c>
      <c r="V284" s="37">
        <f>V283*(1-V114)*(1-Seasonality!$D$79*V115)</f>
        <v/>
      </c>
      <c r="W284" s="37">
        <f>W283*(1-W114)*(1-Seasonality!$D$79*W115)</f>
        <v/>
      </c>
      <c r="X284" s="37">
        <f>X283*(1-X114)*(1-Seasonality!$D$79*X115)</f>
        <v/>
      </c>
      <c r="Y284" s="37">
        <f>Y283*(1-Y114)*(1-Seasonality!$D$79*Y115)</f>
        <v/>
      </c>
      <c r="Z284" s="37">
        <f>Z283*(1-Z114)*(1-Seasonality!$D$79*Z115)</f>
        <v/>
      </c>
      <c r="AA284" s="37">
        <f>AA283*(1-AA114)*(1-Seasonality!$D$79*AA115)</f>
        <v/>
      </c>
      <c r="AB284" s="37">
        <f>AB283*(1-AB114)*(1-Seasonality!$D$79*AB115)</f>
        <v/>
      </c>
      <c r="AC284" s="37">
        <f>AC283*(1-AC114)*(1-Seasonality!$D$79*AC115)</f>
        <v/>
      </c>
      <c r="AD284" s="37">
        <f>AD283*(1-AD114)*(1-Seasonality!$D$79*AD115)</f>
        <v/>
      </c>
      <c r="AE284" s="37">
        <f>AE283*(1-AE114)*(1-Seasonality!$D$79*AE115)</f>
        <v/>
      </c>
      <c r="AF284" s="37">
        <f>AF283*(1-AF114)*(1-Seasonality!$D$79*AF115)</f>
        <v/>
      </c>
      <c r="AG284" s="37">
        <f>AG283*(1-AG114)*(1-Seasonality!$D$79*AG115)</f>
        <v/>
      </c>
      <c r="AH284" s="37">
        <f>AH283*(1-AH114)*(1-Seasonality!$D$79*AH115)</f>
        <v/>
      </c>
      <c r="AI284" s="37">
        <f>AI283*(1-AI114)*(1-Seasonality!$D$79*AI115)</f>
        <v/>
      </c>
      <c r="AJ284" s="37">
        <f>AJ283*(1-AJ114)*(1-Seasonality!$D$79*AJ115)</f>
        <v/>
      </c>
      <c r="AK284" s="37">
        <f>AK283*(1-AK114)*(1-Seasonality!$D$79*AK115)</f>
        <v/>
      </c>
      <c r="AL284" s="37">
        <f>AL283*(1-AL114)*(1-Seasonality!$D$79*AL115)</f>
        <v/>
      </c>
      <c r="AM284" s="37">
        <f>AM283*(1-AM114)*(1-Seasonality!$D$79*AM115)</f>
        <v/>
      </c>
      <c r="AN284" s="37">
        <f>AN283*(1-AN114)*(1-Seasonality!$D$79*AN115)</f>
        <v/>
      </c>
      <c r="AO284" s="37">
        <f>AO283*(1-AO114)*(1-Seasonality!$D$79*AO115)</f>
        <v/>
      </c>
      <c r="AP284" s="37">
        <f>AP283*(1-AP114)*(1-Seasonality!$D$79*AP115)</f>
        <v/>
      </c>
      <c r="AQ284" s="37">
        <f>AQ283*(1-AQ114)*(1-Seasonality!$D$79*AQ115)</f>
        <v/>
      </c>
      <c r="AR284" s="37">
        <f>AR283*(1-AR114)*(1-Seasonality!$D$79*AR115)</f>
        <v/>
      </c>
      <c r="AS284" s="37">
        <f>AS283*(1-AS114)*(1-Seasonality!$D$79*AS115)</f>
        <v/>
      </c>
      <c r="AT284" s="37">
        <f>AT283*(1-AT114)*(1-Seasonality!$D$79*AT115)</f>
        <v/>
      </c>
      <c r="AU284" s="37">
        <f>AU283*(1-AU114)*(1-Seasonality!$D$79*AU115)</f>
        <v/>
      </c>
      <c r="AV284" s="37">
        <f>AV283*(1-AV114)*(1-Seasonality!$D$79*AV115)</f>
        <v/>
      </c>
    </row>
    <row r="285">
      <c r="B285" s="7" t="inlineStr">
        <is>
          <t>Share of institutes still paying · month 45</t>
        </is>
      </c>
      <c r="C285" s="5" t="inlineStr">
        <is>
          <t>%</t>
        </is>
      </c>
      <c r="D285" s="37">
        <f>D284*(1-D114)*(1-Seasonality!$D$80*D115)</f>
        <v/>
      </c>
      <c r="E285" s="37">
        <f>E284*(1-E114)*(1-Seasonality!$D$80*E115)</f>
        <v/>
      </c>
      <c r="F285" s="37">
        <f>F284*(1-F114)*(1-Seasonality!$D$80*F115)</f>
        <v/>
      </c>
      <c r="G285" s="37">
        <f>G284*(1-G114)*(1-Seasonality!$D$80*G115)</f>
        <v/>
      </c>
      <c r="H285" s="37">
        <f>H284*(1-H114)*(1-Seasonality!$D$80*H115)</f>
        <v/>
      </c>
      <c r="I285" s="37">
        <f>I284*(1-I114)*(1-Seasonality!$D$80*I115)</f>
        <v/>
      </c>
      <c r="J285" s="37">
        <f>J284*(1-J114)*(1-Seasonality!$D$80*J115)</f>
        <v/>
      </c>
      <c r="K285" s="37">
        <f>K284*(1-K114)*(1-Seasonality!$D$80*K115)</f>
        <v/>
      </c>
      <c r="L285" s="37">
        <f>L284*(1-L114)*(1-Seasonality!$D$80*L115)</f>
        <v/>
      </c>
      <c r="M285" s="37">
        <f>M284*(1-M114)*(1-Seasonality!$D$80*M115)</f>
        <v/>
      </c>
      <c r="N285" s="37">
        <f>N284*(1-N114)*(1-Seasonality!$D$80*N115)</f>
        <v/>
      </c>
      <c r="O285" s="37">
        <f>O284*(1-O114)*(1-Seasonality!$D$80*O115)</f>
        <v/>
      </c>
      <c r="P285" s="37">
        <f>P284*(1-P114)*(1-Seasonality!$D$80*P115)</f>
        <v/>
      </c>
      <c r="Q285" s="37">
        <f>Q284*(1-Q114)*(1-Seasonality!$D$80*Q115)</f>
        <v/>
      </c>
      <c r="R285" s="37">
        <f>R284*(1-R114)*(1-Seasonality!$D$80*R115)</f>
        <v/>
      </c>
      <c r="S285" s="37">
        <f>S284*(1-S114)*(1-Seasonality!$D$80*S115)</f>
        <v/>
      </c>
      <c r="T285" s="37">
        <f>T284*(1-T114)*(1-Seasonality!$D$80*T115)</f>
        <v/>
      </c>
      <c r="U285" s="37">
        <f>U284*(1-U114)*(1-Seasonality!$D$80*U115)</f>
        <v/>
      </c>
      <c r="V285" s="37">
        <f>V284*(1-V114)*(1-Seasonality!$D$80*V115)</f>
        <v/>
      </c>
      <c r="W285" s="37">
        <f>W284*(1-W114)*(1-Seasonality!$D$80*W115)</f>
        <v/>
      </c>
      <c r="X285" s="37">
        <f>X284*(1-X114)*(1-Seasonality!$D$80*X115)</f>
        <v/>
      </c>
      <c r="Y285" s="37">
        <f>Y284*(1-Y114)*(1-Seasonality!$D$80*Y115)</f>
        <v/>
      </c>
      <c r="Z285" s="37">
        <f>Z284*(1-Z114)*(1-Seasonality!$D$80*Z115)</f>
        <v/>
      </c>
      <c r="AA285" s="37">
        <f>AA284*(1-AA114)*(1-Seasonality!$D$80*AA115)</f>
        <v/>
      </c>
      <c r="AB285" s="37">
        <f>AB284*(1-AB114)*(1-Seasonality!$D$80*AB115)</f>
        <v/>
      </c>
      <c r="AC285" s="37">
        <f>AC284*(1-AC114)*(1-Seasonality!$D$80*AC115)</f>
        <v/>
      </c>
      <c r="AD285" s="37">
        <f>AD284*(1-AD114)*(1-Seasonality!$D$80*AD115)</f>
        <v/>
      </c>
      <c r="AE285" s="37">
        <f>AE284*(1-AE114)*(1-Seasonality!$D$80*AE115)</f>
        <v/>
      </c>
      <c r="AF285" s="37">
        <f>AF284*(1-AF114)*(1-Seasonality!$D$80*AF115)</f>
        <v/>
      </c>
      <c r="AG285" s="37">
        <f>AG284*(1-AG114)*(1-Seasonality!$D$80*AG115)</f>
        <v/>
      </c>
      <c r="AH285" s="37">
        <f>AH284*(1-AH114)*(1-Seasonality!$D$80*AH115)</f>
        <v/>
      </c>
      <c r="AI285" s="37">
        <f>AI284*(1-AI114)*(1-Seasonality!$D$80*AI115)</f>
        <v/>
      </c>
      <c r="AJ285" s="37">
        <f>AJ284*(1-AJ114)*(1-Seasonality!$D$80*AJ115)</f>
        <v/>
      </c>
      <c r="AK285" s="37">
        <f>AK284*(1-AK114)*(1-Seasonality!$D$80*AK115)</f>
        <v/>
      </c>
      <c r="AL285" s="37">
        <f>AL284*(1-AL114)*(1-Seasonality!$D$80*AL115)</f>
        <v/>
      </c>
      <c r="AM285" s="37">
        <f>AM284*(1-AM114)*(1-Seasonality!$D$80*AM115)</f>
        <v/>
      </c>
      <c r="AN285" s="37">
        <f>AN284*(1-AN114)*(1-Seasonality!$D$80*AN115)</f>
        <v/>
      </c>
      <c r="AO285" s="37">
        <f>AO284*(1-AO114)*(1-Seasonality!$D$80*AO115)</f>
        <v/>
      </c>
      <c r="AP285" s="37">
        <f>AP284*(1-AP114)*(1-Seasonality!$D$80*AP115)</f>
        <v/>
      </c>
      <c r="AQ285" s="37">
        <f>AQ284*(1-AQ114)*(1-Seasonality!$D$80*AQ115)</f>
        <v/>
      </c>
      <c r="AR285" s="37">
        <f>AR284*(1-AR114)*(1-Seasonality!$D$80*AR115)</f>
        <v/>
      </c>
      <c r="AS285" s="37">
        <f>AS284*(1-AS114)*(1-Seasonality!$D$80*AS115)</f>
        <v/>
      </c>
      <c r="AT285" s="37">
        <f>AT284*(1-AT114)*(1-Seasonality!$D$80*AT115)</f>
        <v/>
      </c>
      <c r="AU285" s="37">
        <f>AU284*(1-AU114)*(1-Seasonality!$D$80*AU115)</f>
        <v/>
      </c>
      <c r="AV285" s="37">
        <f>AV284*(1-AV114)*(1-Seasonality!$D$80*AV115)</f>
        <v/>
      </c>
    </row>
    <row r="286">
      <c r="B286" s="7" t="inlineStr">
        <is>
          <t>Share of institutes still paying · month 46</t>
        </is>
      </c>
      <c r="C286" s="5" t="inlineStr">
        <is>
          <t>%</t>
        </is>
      </c>
      <c r="D286" s="37">
        <f>D285*(1-D114)*(1-Seasonality!$D$81*D115)</f>
        <v/>
      </c>
      <c r="E286" s="37">
        <f>E285*(1-E114)*(1-Seasonality!$D$81*E115)</f>
        <v/>
      </c>
      <c r="F286" s="37">
        <f>F285*(1-F114)*(1-Seasonality!$D$81*F115)</f>
        <v/>
      </c>
      <c r="G286" s="37">
        <f>G285*(1-G114)*(1-Seasonality!$D$81*G115)</f>
        <v/>
      </c>
      <c r="H286" s="37">
        <f>H285*(1-H114)*(1-Seasonality!$D$81*H115)</f>
        <v/>
      </c>
      <c r="I286" s="37">
        <f>I285*(1-I114)*(1-Seasonality!$D$81*I115)</f>
        <v/>
      </c>
      <c r="J286" s="37">
        <f>J285*(1-J114)*(1-Seasonality!$D$81*J115)</f>
        <v/>
      </c>
      <c r="K286" s="37">
        <f>K285*(1-K114)*(1-Seasonality!$D$81*K115)</f>
        <v/>
      </c>
      <c r="L286" s="37">
        <f>L285*(1-L114)*(1-Seasonality!$D$81*L115)</f>
        <v/>
      </c>
      <c r="M286" s="37">
        <f>M285*(1-M114)*(1-Seasonality!$D$81*M115)</f>
        <v/>
      </c>
      <c r="N286" s="37">
        <f>N285*(1-N114)*(1-Seasonality!$D$81*N115)</f>
        <v/>
      </c>
      <c r="O286" s="37">
        <f>O285*(1-O114)*(1-Seasonality!$D$81*O115)</f>
        <v/>
      </c>
      <c r="P286" s="37">
        <f>P285*(1-P114)*(1-Seasonality!$D$81*P115)</f>
        <v/>
      </c>
      <c r="Q286" s="37">
        <f>Q285*(1-Q114)*(1-Seasonality!$D$81*Q115)</f>
        <v/>
      </c>
      <c r="R286" s="37">
        <f>R285*(1-R114)*(1-Seasonality!$D$81*R115)</f>
        <v/>
      </c>
      <c r="S286" s="37">
        <f>S285*(1-S114)*(1-Seasonality!$D$81*S115)</f>
        <v/>
      </c>
      <c r="T286" s="37">
        <f>T285*(1-T114)*(1-Seasonality!$D$81*T115)</f>
        <v/>
      </c>
      <c r="U286" s="37">
        <f>U285*(1-U114)*(1-Seasonality!$D$81*U115)</f>
        <v/>
      </c>
      <c r="V286" s="37">
        <f>V285*(1-V114)*(1-Seasonality!$D$81*V115)</f>
        <v/>
      </c>
      <c r="W286" s="37">
        <f>W285*(1-W114)*(1-Seasonality!$D$81*W115)</f>
        <v/>
      </c>
      <c r="X286" s="37">
        <f>X285*(1-X114)*(1-Seasonality!$D$81*X115)</f>
        <v/>
      </c>
      <c r="Y286" s="37">
        <f>Y285*(1-Y114)*(1-Seasonality!$D$81*Y115)</f>
        <v/>
      </c>
      <c r="Z286" s="37">
        <f>Z285*(1-Z114)*(1-Seasonality!$D$81*Z115)</f>
        <v/>
      </c>
      <c r="AA286" s="37">
        <f>AA285*(1-AA114)*(1-Seasonality!$D$81*AA115)</f>
        <v/>
      </c>
      <c r="AB286" s="37">
        <f>AB285*(1-AB114)*(1-Seasonality!$D$81*AB115)</f>
        <v/>
      </c>
      <c r="AC286" s="37">
        <f>AC285*(1-AC114)*(1-Seasonality!$D$81*AC115)</f>
        <v/>
      </c>
      <c r="AD286" s="37">
        <f>AD285*(1-AD114)*(1-Seasonality!$D$81*AD115)</f>
        <v/>
      </c>
      <c r="AE286" s="37">
        <f>AE285*(1-AE114)*(1-Seasonality!$D$81*AE115)</f>
        <v/>
      </c>
      <c r="AF286" s="37">
        <f>AF285*(1-AF114)*(1-Seasonality!$D$81*AF115)</f>
        <v/>
      </c>
      <c r="AG286" s="37">
        <f>AG285*(1-AG114)*(1-Seasonality!$D$81*AG115)</f>
        <v/>
      </c>
      <c r="AH286" s="37">
        <f>AH285*(1-AH114)*(1-Seasonality!$D$81*AH115)</f>
        <v/>
      </c>
      <c r="AI286" s="37">
        <f>AI285*(1-AI114)*(1-Seasonality!$D$81*AI115)</f>
        <v/>
      </c>
      <c r="AJ286" s="37">
        <f>AJ285*(1-AJ114)*(1-Seasonality!$D$81*AJ115)</f>
        <v/>
      </c>
      <c r="AK286" s="37">
        <f>AK285*(1-AK114)*(1-Seasonality!$D$81*AK115)</f>
        <v/>
      </c>
      <c r="AL286" s="37">
        <f>AL285*(1-AL114)*(1-Seasonality!$D$81*AL115)</f>
        <v/>
      </c>
      <c r="AM286" s="37">
        <f>AM285*(1-AM114)*(1-Seasonality!$D$81*AM115)</f>
        <v/>
      </c>
      <c r="AN286" s="37">
        <f>AN285*(1-AN114)*(1-Seasonality!$D$81*AN115)</f>
        <v/>
      </c>
      <c r="AO286" s="37">
        <f>AO285*(1-AO114)*(1-Seasonality!$D$81*AO115)</f>
        <v/>
      </c>
      <c r="AP286" s="37">
        <f>AP285*(1-AP114)*(1-Seasonality!$D$81*AP115)</f>
        <v/>
      </c>
      <c r="AQ286" s="37">
        <f>AQ285*(1-AQ114)*(1-Seasonality!$D$81*AQ115)</f>
        <v/>
      </c>
      <c r="AR286" s="37">
        <f>AR285*(1-AR114)*(1-Seasonality!$D$81*AR115)</f>
        <v/>
      </c>
      <c r="AS286" s="37">
        <f>AS285*(1-AS114)*(1-Seasonality!$D$81*AS115)</f>
        <v/>
      </c>
      <c r="AT286" s="37">
        <f>AT285*(1-AT114)*(1-Seasonality!$D$81*AT115)</f>
        <v/>
      </c>
      <c r="AU286" s="37">
        <f>AU285*(1-AU114)*(1-Seasonality!$D$81*AU115)</f>
        <v/>
      </c>
      <c r="AV286" s="37">
        <f>AV285*(1-AV114)*(1-Seasonality!$D$81*AV115)</f>
        <v/>
      </c>
    </row>
    <row r="287">
      <c r="B287" s="7" t="inlineStr">
        <is>
          <t>Share of institutes still paying · month 47</t>
        </is>
      </c>
      <c r="C287" s="5" t="inlineStr">
        <is>
          <t>%</t>
        </is>
      </c>
      <c r="D287" s="37">
        <f>D286*(1-D114)*(1-Seasonality!$D$82*D115)</f>
        <v/>
      </c>
      <c r="E287" s="37">
        <f>E286*(1-E114)*(1-Seasonality!$D$82*E115)</f>
        <v/>
      </c>
      <c r="F287" s="37">
        <f>F286*(1-F114)*(1-Seasonality!$D$82*F115)</f>
        <v/>
      </c>
      <c r="G287" s="37">
        <f>G286*(1-G114)*(1-Seasonality!$D$82*G115)</f>
        <v/>
      </c>
      <c r="H287" s="37">
        <f>H286*(1-H114)*(1-Seasonality!$D$82*H115)</f>
        <v/>
      </c>
      <c r="I287" s="37">
        <f>I286*(1-I114)*(1-Seasonality!$D$82*I115)</f>
        <v/>
      </c>
      <c r="J287" s="37">
        <f>J286*(1-J114)*(1-Seasonality!$D$82*J115)</f>
        <v/>
      </c>
      <c r="K287" s="37">
        <f>K286*(1-K114)*(1-Seasonality!$D$82*K115)</f>
        <v/>
      </c>
      <c r="L287" s="37">
        <f>L286*(1-L114)*(1-Seasonality!$D$82*L115)</f>
        <v/>
      </c>
      <c r="M287" s="37">
        <f>M286*(1-M114)*(1-Seasonality!$D$82*M115)</f>
        <v/>
      </c>
      <c r="N287" s="37">
        <f>N286*(1-N114)*(1-Seasonality!$D$82*N115)</f>
        <v/>
      </c>
      <c r="O287" s="37">
        <f>O286*(1-O114)*(1-Seasonality!$D$82*O115)</f>
        <v/>
      </c>
      <c r="P287" s="37">
        <f>P286*(1-P114)*(1-Seasonality!$D$82*P115)</f>
        <v/>
      </c>
      <c r="Q287" s="37">
        <f>Q286*(1-Q114)*(1-Seasonality!$D$82*Q115)</f>
        <v/>
      </c>
      <c r="R287" s="37">
        <f>R286*(1-R114)*(1-Seasonality!$D$82*R115)</f>
        <v/>
      </c>
      <c r="S287" s="37">
        <f>S286*(1-S114)*(1-Seasonality!$D$82*S115)</f>
        <v/>
      </c>
      <c r="T287" s="37">
        <f>T286*(1-T114)*(1-Seasonality!$D$82*T115)</f>
        <v/>
      </c>
      <c r="U287" s="37">
        <f>U286*(1-U114)*(1-Seasonality!$D$82*U115)</f>
        <v/>
      </c>
      <c r="V287" s="37">
        <f>V286*(1-V114)*(1-Seasonality!$D$82*V115)</f>
        <v/>
      </c>
      <c r="W287" s="37">
        <f>W286*(1-W114)*(1-Seasonality!$D$82*W115)</f>
        <v/>
      </c>
      <c r="X287" s="37">
        <f>X286*(1-X114)*(1-Seasonality!$D$82*X115)</f>
        <v/>
      </c>
      <c r="Y287" s="37">
        <f>Y286*(1-Y114)*(1-Seasonality!$D$82*Y115)</f>
        <v/>
      </c>
      <c r="Z287" s="37">
        <f>Z286*(1-Z114)*(1-Seasonality!$D$82*Z115)</f>
        <v/>
      </c>
      <c r="AA287" s="37">
        <f>AA286*(1-AA114)*(1-Seasonality!$D$82*AA115)</f>
        <v/>
      </c>
      <c r="AB287" s="37">
        <f>AB286*(1-AB114)*(1-Seasonality!$D$82*AB115)</f>
        <v/>
      </c>
      <c r="AC287" s="37">
        <f>AC286*(1-AC114)*(1-Seasonality!$D$82*AC115)</f>
        <v/>
      </c>
      <c r="AD287" s="37">
        <f>AD286*(1-AD114)*(1-Seasonality!$D$82*AD115)</f>
        <v/>
      </c>
      <c r="AE287" s="37">
        <f>AE286*(1-AE114)*(1-Seasonality!$D$82*AE115)</f>
        <v/>
      </c>
      <c r="AF287" s="37">
        <f>AF286*(1-AF114)*(1-Seasonality!$D$82*AF115)</f>
        <v/>
      </c>
      <c r="AG287" s="37">
        <f>AG286*(1-AG114)*(1-Seasonality!$D$82*AG115)</f>
        <v/>
      </c>
      <c r="AH287" s="37">
        <f>AH286*(1-AH114)*(1-Seasonality!$D$82*AH115)</f>
        <v/>
      </c>
      <c r="AI287" s="37">
        <f>AI286*(1-AI114)*(1-Seasonality!$D$82*AI115)</f>
        <v/>
      </c>
      <c r="AJ287" s="37">
        <f>AJ286*(1-AJ114)*(1-Seasonality!$D$82*AJ115)</f>
        <v/>
      </c>
      <c r="AK287" s="37">
        <f>AK286*(1-AK114)*(1-Seasonality!$D$82*AK115)</f>
        <v/>
      </c>
      <c r="AL287" s="37">
        <f>AL286*(1-AL114)*(1-Seasonality!$D$82*AL115)</f>
        <v/>
      </c>
      <c r="AM287" s="37">
        <f>AM286*(1-AM114)*(1-Seasonality!$D$82*AM115)</f>
        <v/>
      </c>
      <c r="AN287" s="37">
        <f>AN286*(1-AN114)*(1-Seasonality!$D$82*AN115)</f>
        <v/>
      </c>
      <c r="AO287" s="37">
        <f>AO286*(1-AO114)*(1-Seasonality!$D$82*AO115)</f>
        <v/>
      </c>
      <c r="AP287" s="37">
        <f>AP286*(1-AP114)*(1-Seasonality!$D$82*AP115)</f>
        <v/>
      </c>
      <c r="AQ287" s="37">
        <f>AQ286*(1-AQ114)*(1-Seasonality!$D$82*AQ115)</f>
        <v/>
      </c>
      <c r="AR287" s="37">
        <f>AR286*(1-AR114)*(1-Seasonality!$D$82*AR115)</f>
        <v/>
      </c>
      <c r="AS287" s="37">
        <f>AS286*(1-AS114)*(1-Seasonality!$D$82*AS115)</f>
        <v/>
      </c>
      <c r="AT287" s="37">
        <f>AT286*(1-AT114)*(1-Seasonality!$D$82*AT115)</f>
        <v/>
      </c>
      <c r="AU287" s="37">
        <f>AU286*(1-AU114)*(1-Seasonality!$D$82*AU115)</f>
        <v/>
      </c>
      <c r="AV287" s="37">
        <f>AV286*(1-AV114)*(1-Seasonality!$D$82*AV115)</f>
        <v/>
      </c>
    </row>
    <row r="288">
      <c r="B288" s="7" t="inlineStr">
        <is>
          <t>Share of institutes still paying · month 48</t>
        </is>
      </c>
      <c r="C288" s="5" t="inlineStr">
        <is>
          <t>%</t>
        </is>
      </c>
      <c r="D288" s="37">
        <f>D287*(1-D114)*(1-Seasonality!$D$83*D115)</f>
        <v/>
      </c>
      <c r="E288" s="37">
        <f>E287*(1-E114)*(1-Seasonality!$D$83*E115)</f>
        <v/>
      </c>
      <c r="F288" s="37">
        <f>F287*(1-F114)*(1-Seasonality!$D$83*F115)</f>
        <v/>
      </c>
      <c r="G288" s="37">
        <f>G287*(1-G114)*(1-Seasonality!$D$83*G115)</f>
        <v/>
      </c>
      <c r="H288" s="37">
        <f>H287*(1-H114)*(1-Seasonality!$D$83*H115)</f>
        <v/>
      </c>
      <c r="I288" s="37">
        <f>I287*(1-I114)*(1-Seasonality!$D$83*I115)</f>
        <v/>
      </c>
      <c r="J288" s="37">
        <f>J287*(1-J114)*(1-Seasonality!$D$83*J115)</f>
        <v/>
      </c>
      <c r="K288" s="37">
        <f>K287*(1-K114)*(1-Seasonality!$D$83*K115)</f>
        <v/>
      </c>
      <c r="L288" s="37">
        <f>L287*(1-L114)*(1-Seasonality!$D$83*L115)</f>
        <v/>
      </c>
      <c r="M288" s="37">
        <f>M287*(1-M114)*(1-Seasonality!$D$83*M115)</f>
        <v/>
      </c>
      <c r="N288" s="37">
        <f>N287*(1-N114)*(1-Seasonality!$D$83*N115)</f>
        <v/>
      </c>
      <c r="O288" s="37">
        <f>O287*(1-O114)*(1-Seasonality!$D$83*O115)</f>
        <v/>
      </c>
      <c r="P288" s="37">
        <f>P287*(1-P114)*(1-Seasonality!$D$83*P115)</f>
        <v/>
      </c>
      <c r="Q288" s="37">
        <f>Q287*(1-Q114)*(1-Seasonality!$D$83*Q115)</f>
        <v/>
      </c>
      <c r="R288" s="37">
        <f>R287*(1-R114)*(1-Seasonality!$D$83*R115)</f>
        <v/>
      </c>
      <c r="S288" s="37">
        <f>S287*(1-S114)*(1-Seasonality!$D$83*S115)</f>
        <v/>
      </c>
      <c r="T288" s="37">
        <f>T287*(1-T114)*(1-Seasonality!$D$83*T115)</f>
        <v/>
      </c>
      <c r="U288" s="37">
        <f>U287*(1-U114)*(1-Seasonality!$D$83*U115)</f>
        <v/>
      </c>
      <c r="V288" s="37">
        <f>V287*(1-V114)*(1-Seasonality!$D$83*V115)</f>
        <v/>
      </c>
      <c r="W288" s="37">
        <f>W287*(1-W114)*(1-Seasonality!$D$83*W115)</f>
        <v/>
      </c>
      <c r="X288" s="37">
        <f>X287*(1-X114)*(1-Seasonality!$D$83*X115)</f>
        <v/>
      </c>
      <c r="Y288" s="37">
        <f>Y287*(1-Y114)*(1-Seasonality!$D$83*Y115)</f>
        <v/>
      </c>
      <c r="Z288" s="37">
        <f>Z287*(1-Z114)*(1-Seasonality!$D$83*Z115)</f>
        <v/>
      </c>
      <c r="AA288" s="37">
        <f>AA287*(1-AA114)*(1-Seasonality!$D$83*AA115)</f>
        <v/>
      </c>
      <c r="AB288" s="37">
        <f>AB287*(1-AB114)*(1-Seasonality!$D$83*AB115)</f>
        <v/>
      </c>
      <c r="AC288" s="37">
        <f>AC287*(1-AC114)*(1-Seasonality!$D$83*AC115)</f>
        <v/>
      </c>
      <c r="AD288" s="37">
        <f>AD287*(1-AD114)*(1-Seasonality!$D$83*AD115)</f>
        <v/>
      </c>
      <c r="AE288" s="37">
        <f>AE287*(1-AE114)*(1-Seasonality!$D$83*AE115)</f>
        <v/>
      </c>
      <c r="AF288" s="37">
        <f>AF287*(1-AF114)*(1-Seasonality!$D$83*AF115)</f>
        <v/>
      </c>
      <c r="AG288" s="37">
        <f>AG287*(1-AG114)*(1-Seasonality!$D$83*AG115)</f>
        <v/>
      </c>
      <c r="AH288" s="37">
        <f>AH287*(1-AH114)*(1-Seasonality!$D$83*AH115)</f>
        <v/>
      </c>
      <c r="AI288" s="37">
        <f>AI287*(1-AI114)*(1-Seasonality!$D$83*AI115)</f>
        <v/>
      </c>
      <c r="AJ288" s="37">
        <f>AJ287*(1-AJ114)*(1-Seasonality!$D$83*AJ115)</f>
        <v/>
      </c>
      <c r="AK288" s="37">
        <f>AK287*(1-AK114)*(1-Seasonality!$D$83*AK115)</f>
        <v/>
      </c>
      <c r="AL288" s="37">
        <f>AL287*(1-AL114)*(1-Seasonality!$D$83*AL115)</f>
        <v/>
      </c>
      <c r="AM288" s="37">
        <f>AM287*(1-AM114)*(1-Seasonality!$D$83*AM115)</f>
        <v/>
      </c>
      <c r="AN288" s="37">
        <f>AN287*(1-AN114)*(1-Seasonality!$D$83*AN115)</f>
        <v/>
      </c>
      <c r="AO288" s="37">
        <f>AO287*(1-AO114)*(1-Seasonality!$D$83*AO115)</f>
        <v/>
      </c>
      <c r="AP288" s="37">
        <f>AP287*(1-AP114)*(1-Seasonality!$D$83*AP115)</f>
        <v/>
      </c>
      <c r="AQ288" s="37">
        <f>AQ287*(1-AQ114)*(1-Seasonality!$D$83*AQ115)</f>
        <v/>
      </c>
      <c r="AR288" s="37">
        <f>AR287*(1-AR114)*(1-Seasonality!$D$83*AR115)</f>
        <v/>
      </c>
      <c r="AS288" s="37">
        <f>AS287*(1-AS114)*(1-Seasonality!$D$83*AS115)</f>
        <v/>
      </c>
      <c r="AT288" s="37">
        <f>AT287*(1-AT114)*(1-Seasonality!$D$83*AT115)</f>
        <v/>
      </c>
      <c r="AU288" s="37">
        <f>AU287*(1-AU114)*(1-Seasonality!$D$83*AU115)</f>
        <v/>
      </c>
      <c r="AV288" s="37">
        <f>AV287*(1-AV114)*(1-Seasonality!$D$83*AV115)</f>
        <v/>
      </c>
    </row>
    <row r="289">
      <c r="B289" s="7" t="inlineStr">
        <is>
          <t>Share of institutes still paying · month 49</t>
        </is>
      </c>
      <c r="C289" s="5" t="inlineStr">
        <is>
          <t>%</t>
        </is>
      </c>
      <c r="D289" s="37">
        <f>D288*(1-D114)*(1-Seasonality!$D$84*D115)</f>
        <v/>
      </c>
      <c r="E289" s="37">
        <f>E288*(1-E114)*(1-Seasonality!$D$84*E115)</f>
        <v/>
      </c>
      <c r="F289" s="37">
        <f>F288*(1-F114)*(1-Seasonality!$D$84*F115)</f>
        <v/>
      </c>
      <c r="G289" s="37">
        <f>G288*(1-G114)*(1-Seasonality!$D$84*G115)</f>
        <v/>
      </c>
      <c r="H289" s="37">
        <f>H288*(1-H114)*(1-Seasonality!$D$84*H115)</f>
        <v/>
      </c>
      <c r="I289" s="37">
        <f>I288*(1-I114)*(1-Seasonality!$D$84*I115)</f>
        <v/>
      </c>
      <c r="J289" s="37">
        <f>J288*(1-J114)*(1-Seasonality!$D$84*J115)</f>
        <v/>
      </c>
      <c r="K289" s="37">
        <f>K288*(1-K114)*(1-Seasonality!$D$84*K115)</f>
        <v/>
      </c>
      <c r="L289" s="37">
        <f>L288*(1-L114)*(1-Seasonality!$D$84*L115)</f>
        <v/>
      </c>
      <c r="M289" s="37">
        <f>M288*(1-M114)*(1-Seasonality!$D$84*M115)</f>
        <v/>
      </c>
      <c r="N289" s="37">
        <f>N288*(1-N114)*(1-Seasonality!$D$84*N115)</f>
        <v/>
      </c>
      <c r="O289" s="37">
        <f>O288*(1-O114)*(1-Seasonality!$D$84*O115)</f>
        <v/>
      </c>
      <c r="P289" s="37">
        <f>P288*(1-P114)*(1-Seasonality!$D$84*P115)</f>
        <v/>
      </c>
      <c r="Q289" s="37">
        <f>Q288*(1-Q114)*(1-Seasonality!$D$84*Q115)</f>
        <v/>
      </c>
      <c r="R289" s="37">
        <f>R288*(1-R114)*(1-Seasonality!$D$84*R115)</f>
        <v/>
      </c>
      <c r="S289" s="37">
        <f>S288*(1-S114)*(1-Seasonality!$D$84*S115)</f>
        <v/>
      </c>
      <c r="T289" s="37">
        <f>T288*(1-T114)*(1-Seasonality!$D$84*T115)</f>
        <v/>
      </c>
      <c r="U289" s="37">
        <f>U288*(1-U114)*(1-Seasonality!$D$84*U115)</f>
        <v/>
      </c>
      <c r="V289" s="37">
        <f>V288*(1-V114)*(1-Seasonality!$D$84*V115)</f>
        <v/>
      </c>
      <c r="W289" s="37">
        <f>W288*(1-W114)*(1-Seasonality!$D$84*W115)</f>
        <v/>
      </c>
      <c r="X289" s="37">
        <f>X288*(1-X114)*(1-Seasonality!$D$84*X115)</f>
        <v/>
      </c>
      <c r="Y289" s="37">
        <f>Y288*(1-Y114)*(1-Seasonality!$D$84*Y115)</f>
        <v/>
      </c>
      <c r="Z289" s="37">
        <f>Z288*(1-Z114)*(1-Seasonality!$D$84*Z115)</f>
        <v/>
      </c>
      <c r="AA289" s="37">
        <f>AA288*(1-AA114)*(1-Seasonality!$D$84*AA115)</f>
        <v/>
      </c>
      <c r="AB289" s="37">
        <f>AB288*(1-AB114)*(1-Seasonality!$D$84*AB115)</f>
        <v/>
      </c>
      <c r="AC289" s="37">
        <f>AC288*(1-AC114)*(1-Seasonality!$D$84*AC115)</f>
        <v/>
      </c>
      <c r="AD289" s="37">
        <f>AD288*(1-AD114)*(1-Seasonality!$D$84*AD115)</f>
        <v/>
      </c>
      <c r="AE289" s="37">
        <f>AE288*(1-AE114)*(1-Seasonality!$D$84*AE115)</f>
        <v/>
      </c>
      <c r="AF289" s="37">
        <f>AF288*(1-AF114)*(1-Seasonality!$D$84*AF115)</f>
        <v/>
      </c>
      <c r="AG289" s="37">
        <f>AG288*(1-AG114)*(1-Seasonality!$D$84*AG115)</f>
        <v/>
      </c>
      <c r="AH289" s="37">
        <f>AH288*(1-AH114)*(1-Seasonality!$D$84*AH115)</f>
        <v/>
      </c>
      <c r="AI289" s="37">
        <f>AI288*(1-AI114)*(1-Seasonality!$D$84*AI115)</f>
        <v/>
      </c>
      <c r="AJ289" s="37">
        <f>AJ288*(1-AJ114)*(1-Seasonality!$D$84*AJ115)</f>
        <v/>
      </c>
      <c r="AK289" s="37">
        <f>AK288*(1-AK114)*(1-Seasonality!$D$84*AK115)</f>
        <v/>
      </c>
      <c r="AL289" s="37">
        <f>AL288*(1-AL114)*(1-Seasonality!$D$84*AL115)</f>
        <v/>
      </c>
      <c r="AM289" s="37">
        <f>AM288*(1-AM114)*(1-Seasonality!$D$84*AM115)</f>
        <v/>
      </c>
      <c r="AN289" s="37">
        <f>AN288*(1-AN114)*(1-Seasonality!$D$84*AN115)</f>
        <v/>
      </c>
      <c r="AO289" s="37">
        <f>AO288*(1-AO114)*(1-Seasonality!$D$84*AO115)</f>
        <v/>
      </c>
      <c r="AP289" s="37">
        <f>AP288*(1-AP114)*(1-Seasonality!$D$84*AP115)</f>
        <v/>
      </c>
      <c r="AQ289" s="37">
        <f>AQ288*(1-AQ114)*(1-Seasonality!$D$84*AQ115)</f>
        <v/>
      </c>
      <c r="AR289" s="37">
        <f>AR288*(1-AR114)*(1-Seasonality!$D$84*AR115)</f>
        <v/>
      </c>
      <c r="AS289" s="37">
        <f>AS288*(1-AS114)*(1-Seasonality!$D$84*AS115)</f>
        <v/>
      </c>
      <c r="AT289" s="37">
        <f>AT288*(1-AT114)*(1-Seasonality!$D$84*AT115)</f>
        <v/>
      </c>
      <c r="AU289" s="37">
        <f>AU288*(1-AU114)*(1-Seasonality!$D$84*AU115)</f>
        <v/>
      </c>
      <c r="AV289" s="37">
        <f>AV288*(1-AV114)*(1-Seasonality!$D$84*AV115)</f>
        <v/>
      </c>
    </row>
    <row r="290">
      <c r="B290" s="7" t="inlineStr">
        <is>
          <t>Share of institutes still paying · month 50</t>
        </is>
      </c>
      <c r="C290" s="5" t="inlineStr">
        <is>
          <t>%</t>
        </is>
      </c>
      <c r="D290" s="37">
        <f>D289*(1-D114)*(1-Seasonality!$D$85*D115)</f>
        <v/>
      </c>
      <c r="E290" s="37">
        <f>E289*(1-E114)*(1-Seasonality!$D$85*E115)</f>
        <v/>
      </c>
      <c r="F290" s="37">
        <f>F289*(1-F114)*(1-Seasonality!$D$85*F115)</f>
        <v/>
      </c>
      <c r="G290" s="37">
        <f>G289*(1-G114)*(1-Seasonality!$D$85*G115)</f>
        <v/>
      </c>
      <c r="H290" s="37">
        <f>H289*(1-H114)*(1-Seasonality!$D$85*H115)</f>
        <v/>
      </c>
      <c r="I290" s="37">
        <f>I289*(1-I114)*(1-Seasonality!$D$85*I115)</f>
        <v/>
      </c>
      <c r="J290" s="37">
        <f>J289*(1-J114)*(1-Seasonality!$D$85*J115)</f>
        <v/>
      </c>
      <c r="K290" s="37">
        <f>K289*(1-K114)*(1-Seasonality!$D$85*K115)</f>
        <v/>
      </c>
      <c r="L290" s="37">
        <f>L289*(1-L114)*(1-Seasonality!$D$85*L115)</f>
        <v/>
      </c>
      <c r="M290" s="37">
        <f>M289*(1-M114)*(1-Seasonality!$D$85*M115)</f>
        <v/>
      </c>
      <c r="N290" s="37">
        <f>N289*(1-N114)*(1-Seasonality!$D$85*N115)</f>
        <v/>
      </c>
      <c r="O290" s="37">
        <f>O289*(1-O114)*(1-Seasonality!$D$85*O115)</f>
        <v/>
      </c>
      <c r="P290" s="37">
        <f>P289*(1-P114)*(1-Seasonality!$D$85*P115)</f>
        <v/>
      </c>
      <c r="Q290" s="37">
        <f>Q289*(1-Q114)*(1-Seasonality!$D$85*Q115)</f>
        <v/>
      </c>
      <c r="R290" s="37">
        <f>R289*(1-R114)*(1-Seasonality!$D$85*R115)</f>
        <v/>
      </c>
      <c r="S290" s="37">
        <f>S289*(1-S114)*(1-Seasonality!$D$85*S115)</f>
        <v/>
      </c>
      <c r="T290" s="37">
        <f>T289*(1-T114)*(1-Seasonality!$D$85*T115)</f>
        <v/>
      </c>
      <c r="U290" s="37">
        <f>U289*(1-U114)*(1-Seasonality!$D$85*U115)</f>
        <v/>
      </c>
      <c r="V290" s="37">
        <f>V289*(1-V114)*(1-Seasonality!$D$85*V115)</f>
        <v/>
      </c>
      <c r="W290" s="37">
        <f>W289*(1-W114)*(1-Seasonality!$D$85*W115)</f>
        <v/>
      </c>
      <c r="X290" s="37">
        <f>X289*(1-X114)*(1-Seasonality!$D$85*X115)</f>
        <v/>
      </c>
      <c r="Y290" s="37">
        <f>Y289*(1-Y114)*(1-Seasonality!$D$85*Y115)</f>
        <v/>
      </c>
      <c r="Z290" s="37">
        <f>Z289*(1-Z114)*(1-Seasonality!$D$85*Z115)</f>
        <v/>
      </c>
      <c r="AA290" s="37">
        <f>AA289*(1-AA114)*(1-Seasonality!$D$85*AA115)</f>
        <v/>
      </c>
      <c r="AB290" s="37">
        <f>AB289*(1-AB114)*(1-Seasonality!$D$85*AB115)</f>
        <v/>
      </c>
      <c r="AC290" s="37">
        <f>AC289*(1-AC114)*(1-Seasonality!$D$85*AC115)</f>
        <v/>
      </c>
      <c r="AD290" s="37">
        <f>AD289*(1-AD114)*(1-Seasonality!$D$85*AD115)</f>
        <v/>
      </c>
      <c r="AE290" s="37">
        <f>AE289*(1-AE114)*(1-Seasonality!$D$85*AE115)</f>
        <v/>
      </c>
      <c r="AF290" s="37">
        <f>AF289*(1-AF114)*(1-Seasonality!$D$85*AF115)</f>
        <v/>
      </c>
      <c r="AG290" s="37">
        <f>AG289*(1-AG114)*(1-Seasonality!$D$85*AG115)</f>
        <v/>
      </c>
      <c r="AH290" s="37">
        <f>AH289*(1-AH114)*(1-Seasonality!$D$85*AH115)</f>
        <v/>
      </c>
      <c r="AI290" s="37">
        <f>AI289*(1-AI114)*(1-Seasonality!$D$85*AI115)</f>
        <v/>
      </c>
      <c r="AJ290" s="37">
        <f>AJ289*(1-AJ114)*(1-Seasonality!$D$85*AJ115)</f>
        <v/>
      </c>
      <c r="AK290" s="37">
        <f>AK289*(1-AK114)*(1-Seasonality!$D$85*AK115)</f>
        <v/>
      </c>
      <c r="AL290" s="37">
        <f>AL289*(1-AL114)*(1-Seasonality!$D$85*AL115)</f>
        <v/>
      </c>
      <c r="AM290" s="37">
        <f>AM289*(1-AM114)*(1-Seasonality!$D$85*AM115)</f>
        <v/>
      </c>
      <c r="AN290" s="37">
        <f>AN289*(1-AN114)*(1-Seasonality!$D$85*AN115)</f>
        <v/>
      </c>
      <c r="AO290" s="37">
        <f>AO289*(1-AO114)*(1-Seasonality!$D$85*AO115)</f>
        <v/>
      </c>
      <c r="AP290" s="37">
        <f>AP289*(1-AP114)*(1-Seasonality!$D$85*AP115)</f>
        <v/>
      </c>
      <c r="AQ290" s="37">
        <f>AQ289*(1-AQ114)*(1-Seasonality!$D$85*AQ115)</f>
        <v/>
      </c>
      <c r="AR290" s="37">
        <f>AR289*(1-AR114)*(1-Seasonality!$D$85*AR115)</f>
        <v/>
      </c>
      <c r="AS290" s="37">
        <f>AS289*(1-AS114)*(1-Seasonality!$D$85*AS115)</f>
        <v/>
      </c>
      <c r="AT290" s="37">
        <f>AT289*(1-AT114)*(1-Seasonality!$D$85*AT115)</f>
        <v/>
      </c>
      <c r="AU290" s="37">
        <f>AU289*(1-AU114)*(1-Seasonality!$D$85*AU115)</f>
        <v/>
      </c>
      <c r="AV290" s="37">
        <f>AV289*(1-AV114)*(1-Seasonality!$D$85*AV115)</f>
        <v/>
      </c>
    </row>
    <row r="291">
      <c r="B291" s="7" t="inlineStr">
        <is>
          <t>Share of institutes still paying · month 51</t>
        </is>
      </c>
      <c r="C291" s="5" t="inlineStr">
        <is>
          <t>%</t>
        </is>
      </c>
      <c r="D291" s="37">
        <f>D290*(1-D114)*(1-Seasonality!$D$86*D115)</f>
        <v/>
      </c>
      <c r="E291" s="37">
        <f>E290*(1-E114)*(1-Seasonality!$D$86*E115)</f>
        <v/>
      </c>
      <c r="F291" s="37">
        <f>F290*(1-F114)*(1-Seasonality!$D$86*F115)</f>
        <v/>
      </c>
      <c r="G291" s="37">
        <f>G290*(1-G114)*(1-Seasonality!$D$86*G115)</f>
        <v/>
      </c>
      <c r="H291" s="37">
        <f>H290*(1-H114)*(1-Seasonality!$D$86*H115)</f>
        <v/>
      </c>
      <c r="I291" s="37">
        <f>I290*(1-I114)*(1-Seasonality!$D$86*I115)</f>
        <v/>
      </c>
      <c r="J291" s="37">
        <f>J290*(1-J114)*(1-Seasonality!$D$86*J115)</f>
        <v/>
      </c>
      <c r="K291" s="37">
        <f>K290*(1-K114)*(1-Seasonality!$D$86*K115)</f>
        <v/>
      </c>
      <c r="L291" s="37">
        <f>L290*(1-L114)*(1-Seasonality!$D$86*L115)</f>
        <v/>
      </c>
      <c r="M291" s="37">
        <f>M290*(1-M114)*(1-Seasonality!$D$86*M115)</f>
        <v/>
      </c>
      <c r="N291" s="37">
        <f>N290*(1-N114)*(1-Seasonality!$D$86*N115)</f>
        <v/>
      </c>
      <c r="O291" s="37">
        <f>O290*(1-O114)*(1-Seasonality!$D$86*O115)</f>
        <v/>
      </c>
      <c r="P291" s="37">
        <f>P290*(1-P114)*(1-Seasonality!$D$86*P115)</f>
        <v/>
      </c>
      <c r="Q291" s="37">
        <f>Q290*(1-Q114)*(1-Seasonality!$D$86*Q115)</f>
        <v/>
      </c>
      <c r="R291" s="37">
        <f>R290*(1-R114)*(1-Seasonality!$D$86*R115)</f>
        <v/>
      </c>
      <c r="S291" s="37">
        <f>S290*(1-S114)*(1-Seasonality!$D$86*S115)</f>
        <v/>
      </c>
      <c r="T291" s="37">
        <f>T290*(1-T114)*(1-Seasonality!$D$86*T115)</f>
        <v/>
      </c>
      <c r="U291" s="37">
        <f>U290*(1-U114)*(1-Seasonality!$D$86*U115)</f>
        <v/>
      </c>
      <c r="V291" s="37">
        <f>V290*(1-V114)*(1-Seasonality!$D$86*V115)</f>
        <v/>
      </c>
      <c r="W291" s="37">
        <f>W290*(1-W114)*(1-Seasonality!$D$86*W115)</f>
        <v/>
      </c>
      <c r="X291" s="37">
        <f>X290*(1-X114)*(1-Seasonality!$D$86*X115)</f>
        <v/>
      </c>
      <c r="Y291" s="37">
        <f>Y290*(1-Y114)*(1-Seasonality!$D$86*Y115)</f>
        <v/>
      </c>
      <c r="Z291" s="37">
        <f>Z290*(1-Z114)*(1-Seasonality!$D$86*Z115)</f>
        <v/>
      </c>
      <c r="AA291" s="37">
        <f>AA290*(1-AA114)*(1-Seasonality!$D$86*AA115)</f>
        <v/>
      </c>
      <c r="AB291" s="37">
        <f>AB290*(1-AB114)*(1-Seasonality!$D$86*AB115)</f>
        <v/>
      </c>
      <c r="AC291" s="37">
        <f>AC290*(1-AC114)*(1-Seasonality!$D$86*AC115)</f>
        <v/>
      </c>
      <c r="AD291" s="37">
        <f>AD290*(1-AD114)*(1-Seasonality!$D$86*AD115)</f>
        <v/>
      </c>
      <c r="AE291" s="37">
        <f>AE290*(1-AE114)*(1-Seasonality!$D$86*AE115)</f>
        <v/>
      </c>
      <c r="AF291" s="37">
        <f>AF290*(1-AF114)*(1-Seasonality!$D$86*AF115)</f>
        <v/>
      </c>
      <c r="AG291" s="37">
        <f>AG290*(1-AG114)*(1-Seasonality!$D$86*AG115)</f>
        <v/>
      </c>
      <c r="AH291" s="37">
        <f>AH290*(1-AH114)*(1-Seasonality!$D$86*AH115)</f>
        <v/>
      </c>
      <c r="AI291" s="37">
        <f>AI290*(1-AI114)*(1-Seasonality!$D$86*AI115)</f>
        <v/>
      </c>
      <c r="AJ291" s="37">
        <f>AJ290*(1-AJ114)*(1-Seasonality!$D$86*AJ115)</f>
        <v/>
      </c>
      <c r="AK291" s="37">
        <f>AK290*(1-AK114)*(1-Seasonality!$D$86*AK115)</f>
        <v/>
      </c>
      <c r="AL291" s="37">
        <f>AL290*(1-AL114)*(1-Seasonality!$D$86*AL115)</f>
        <v/>
      </c>
      <c r="AM291" s="37">
        <f>AM290*(1-AM114)*(1-Seasonality!$D$86*AM115)</f>
        <v/>
      </c>
      <c r="AN291" s="37">
        <f>AN290*(1-AN114)*(1-Seasonality!$D$86*AN115)</f>
        <v/>
      </c>
      <c r="AO291" s="37">
        <f>AO290*(1-AO114)*(1-Seasonality!$D$86*AO115)</f>
        <v/>
      </c>
      <c r="AP291" s="37">
        <f>AP290*(1-AP114)*(1-Seasonality!$D$86*AP115)</f>
        <v/>
      </c>
      <c r="AQ291" s="37">
        <f>AQ290*(1-AQ114)*(1-Seasonality!$D$86*AQ115)</f>
        <v/>
      </c>
      <c r="AR291" s="37">
        <f>AR290*(1-AR114)*(1-Seasonality!$D$86*AR115)</f>
        <v/>
      </c>
      <c r="AS291" s="37">
        <f>AS290*(1-AS114)*(1-Seasonality!$D$86*AS115)</f>
        <v/>
      </c>
      <c r="AT291" s="37">
        <f>AT290*(1-AT114)*(1-Seasonality!$D$86*AT115)</f>
        <v/>
      </c>
      <c r="AU291" s="37">
        <f>AU290*(1-AU114)*(1-Seasonality!$D$86*AU115)</f>
        <v/>
      </c>
      <c r="AV291" s="37">
        <f>AV290*(1-AV114)*(1-Seasonality!$D$86*AV115)</f>
        <v/>
      </c>
    </row>
    <row r="292">
      <c r="B292" s="7" t="inlineStr">
        <is>
          <t>Share of institutes still paying · month 52</t>
        </is>
      </c>
      <c r="C292" s="5" t="inlineStr">
        <is>
          <t>%</t>
        </is>
      </c>
      <c r="D292" s="37">
        <f>D291*(1-D114)*(1-Seasonality!$D$87*D115)</f>
        <v/>
      </c>
      <c r="E292" s="37">
        <f>E291*(1-E114)*(1-Seasonality!$D$87*E115)</f>
        <v/>
      </c>
      <c r="F292" s="37">
        <f>F291*(1-F114)*(1-Seasonality!$D$87*F115)</f>
        <v/>
      </c>
      <c r="G292" s="37">
        <f>G291*(1-G114)*(1-Seasonality!$D$87*G115)</f>
        <v/>
      </c>
      <c r="H292" s="37">
        <f>H291*(1-H114)*(1-Seasonality!$D$87*H115)</f>
        <v/>
      </c>
      <c r="I292" s="37">
        <f>I291*(1-I114)*(1-Seasonality!$D$87*I115)</f>
        <v/>
      </c>
      <c r="J292" s="37">
        <f>J291*(1-J114)*(1-Seasonality!$D$87*J115)</f>
        <v/>
      </c>
      <c r="K292" s="37">
        <f>K291*(1-K114)*(1-Seasonality!$D$87*K115)</f>
        <v/>
      </c>
      <c r="L292" s="37">
        <f>L291*(1-L114)*(1-Seasonality!$D$87*L115)</f>
        <v/>
      </c>
      <c r="M292" s="37">
        <f>M291*(1-M114)*(1-Seasonality!$D$87*M115)</f>
        <v/>
      </c>
      <c r="N292" s="37">
        <f>N291*(1-N114)*(1-Seasonality!$D$87*N115)</f>
        <v/>
      </c>
      <c r="O292" s="37">
        <f>O291*(1-O114)*(1-Seasonality!$D$87*O115)</f>
        <v/>
      </c>
      <c r="P292" s="37">
        <f>P291*(1-P114)*(1-Seasonality!$D$87*P115)</f>
        <v/>
      </c>
      <c r="Q292" s="37">
        <f>Q291*(1-Q114)*(1-Seasonality!$D$87*Q115)</f>
        <v/>
      </c>
      <c r="R292" s="37">
        <f>R291*(1-R114)*(1-Seasonality!$D$87*R115)</f>
        <v/>
      </c>
      <c r="S292" s="37">
        <f>S291*(1-S114)*(1-Seasonality!$D$87*S115)</f>
        <v/>
      </c>
      <c r="T292" s="37">
        <f>T291*(1-T114)*(1-Seasonality!$D$87*T115)</f>
        <v/>
      </c>
      <c r="U292" s="37">
        <f>U291*(1-U114)*(1-Seasonality!$D$87*U115)</f>
        <v/>
      </c>
      <c r="V292" s="37">
        <f>V291*(1-V114)*(1-Seasonality!$D$87*V115)</f>
        <v/>
      </c>
      <c r="W292" s="37">
        <f>W291*(1-W114)*(1-Seasonality!$D$87*W115)</f>
        <v/>
      </c>
      <c r="X292" s="37">
        <f>X291*(1-X114)*(1-Seasonality!$D$87*X115)</f>
        <v/>
      </c>
      <c r="Y292" s="37">
        <f>Y291*(1-Y114)*(1-Seasonality!$D$87*Y115)</f>
        <v/>
      </c>
      <c r="Z292" s="37">
        <f>Z291*(1-Z114)*(1-Seasonality!$D$87*Z115)</f>
        <v/>
      </c>
      <c r="AA292" s="37">
        <f>AA291*(1-AA114)*(1-Seasonality!$D$87*AA115)</f>
        <v/>
      </c>
      <c r="AB292" s="37">
        <f>AB291*(1-AB114)*(1-Seasonality!$D$87*AB115)</f>
        <v/>
      </c>
      <c r="AC292" s="37">
        <f>AC291*(1-AC114)*(1-Seasonality!$D$87*AC115)</f>
        <v/>
      </c>
      <c r="AD292" s="37">
        <f>AD291*(1-AD114)*(1-Seasonality!$D$87*AD115)</f>
        <v/>
      </c>
      <c r="AE292" s="37">
        <f>AE291*(1-AE114)*(1-Seasonality!$D$87*AE115)</f>
        <v/>
      </c>
      <c r="AF292" s="37">
        <f>AF291*(1-AF114)*(1-Seasonality!$D$87*AF115)</f>
        <v/>
      </c>
      <c r="AG292" s="37">
        <f>AG291*(1-AG114)*(1-Seasonality!$D$87*AG115)</f>
        <v/>
      </c>
      <c r="AH292" s="37">
        <f>AH291*(1-AH114)*(1-Seasonality!$D$87*AH115)</f>
        <v/>
      </c>
      <c r="AI292" s="37">
        <f>AI291*(1-AI114)*(1-Seasonality!$D$87*AI115)</f>
        <v/>
      </c>
      <c r="AJ292" s="37">
        <f>AJ291*(1-AJ114)*(1-Seasonality!$D$87*AJ115)</f>
        <v/>
      </c>
      <c r="AK292" s="37">
        <f>AK291*(1-AK114)*(1-Seasonality!$D$87*AK115)</f>
        <v/>
      </c>
      <c r="AL292" s="37">
        <f>AL291*(1-AL114)*(1-Seasonality!$D$87*AL115)</f>
        <v/>
      </c>
      <c r="AM292" s="37">
        <f>AM291*(1-AM114)*(1-Seasonality!$D$87*AM115)</f>
        <v/>
      </c>
      <c r="AN292" s="37">
        <f>AN291*(1-AN114)*(1-Seasonality!$D$87*AN115)</f>
        <v/>
      </c>
      <c r="AO292" s="37">
        <f>AO291*(1-AO114)*(1-Seasonality!$D$87*AO115)</f>
        <v/>
      </c>
      <c r="AP292" s="37">
        <f>AP291*(1-AP114)*(1-Seasonality!$D$87*AP115)</f>
        <v/>
      </c>
      <c r="AQ292" s="37">
        <f>AQ291*(1-AQ114)*(1-Seasonality!$D$87*AQ115)</f>
        <v/>
      </c>
      <c r="AR292" s="37">
        <f>AR291*(1-AR114)*(1-Seasonality!$D$87*AR115)</f>
        <v/>
      </c>
      <c r="AS292" s="37">
        <f>AS291*(1-AS114)*(1-Seasonality!$D$87*AS115)</f>
        <v/>
      </c>
      <c r="AT292" s="37">
        <f>AT291*(1-AT114)*(1-Seasonality!$D$87*AT115)</f>
        <v/>
      </c>
      <c r="AU292" s="37">
        <f>AU291*(1-AU114)*(1-Seasonality!$D$87*AU115)</f>
        <v/>
      </c>
      <c r="AV292" s="37">
        <f>AV291*(1-AV114)*(1-Seasonality!$D$87*AV115)</f>
        <v/>
      </c>
    </row>
    <row r="293">
      <c r="B293" s="7" t="inlineStr">
        <is>
          <t>Share of institutes still paying · month 53</t>
        </is>
      </c>
      <c r="C293" s="5" t="inlineStr">
        <is>
          <t>%</t>
        </is>
      </c>
      <c r="D293" s="37">
        <f>D292*(1-D114)*(1-Seasonality!$D$88*D115)</f>
        <v/>
      </c>
      <c r="E293" s="37">
        <f>E292*(1-E114)*(1-Seasonality!$D$88*E115)</f>
        <v/>
      </c>
      <c r="F293" s="37">
        <f>F292*(1-F114)*(1-Seasonality!$D$88*F115)</f>
        <v/>
      </c>
      <c r="G293" s="37">
        <f>G292*(1-G114)*(1-Seasonality!$D$88*G115)</f>
        <v/>
      </c>
      <c r="H293" s="37">
        <f>H292*(1-H114)*(1-Seasonality!$D$88*H115)</f>
        <v/>
      </c>
      <c r="I293" s="37">
        <f>I292*(1-I114)*(1-Seasonality!$D$88*I115)</f>
        <v/>
      </c>
      <c r="J293" s="37">
        <f>J292*(1-J114)*(1-Seasonality!$D$88*J115)</f>
        <v/>
      </c>
      <c r="K293" s="37">
        <f>K292*(1-K114)*(1-Seasonality!$D$88*K115)</f>
        <v/>
      </c>
      <c r="L293" s="37">
        <f>L292*(1-L114)*(1-Seasonality!$D$88*L115)</f>
        <v/>
      </c>
      <c r="M293" s="37">
        <f>M292*(1-M114)*(1-Seasonality!$D$88*M115)</f>
        <v/>
      </c>
      <c r="N293" s="37">
        <f>N292*(1-N114)*(1-Seasonality!$D$88*N115)</f>
        <v/>
      </c>
      <c r="O293" s="37">
        <f>O292*(1-O114)*(1-Seasonality!$D$88*O115)</f>
        <v/>
      </c>
      <c r="P293" s="37">
        <f>P292*(1-P114)*(1-Seasonality!$D$88*P115)</f>
        <v/>
      </c>
      <c r="Q293" s="37">
        <f>Q292*(1-Q114)*(1-Seasonality!$D$88*Q115)</f>
        <v/>
      </c>
      <c r="R293" s="37">
        <f>R292*(1-R114)*(1-Seasonality!$D$88*R115)</f>
        <v/>
      </c>
      <c r="S293" s="37">
        <f>S292*(1-S114)*(1-Seasonality!$D$88*S115)</f>
        <v/>
      </c>
      <c r="T293" s="37">
        <f>T292*(1-T114)*(1-Seasonality!$D$88*T115)</f>
        <v/>
      </c>
      <c r="U293" s="37">
        <f>U292*(1-U114)*(1-Seasonality!$D$88*U115)</f>
        <v/>
      </c>
      <c r="V293" s="37">
        <f>V292*(1-V114)*(1-Seasonality!$D$88*V115)</f>
        <v/>
      </c>
      <c r="W293" s="37">
        <f>W292*(1-W114)*(1-Seasonality!$D$88*W115)</f>
        <v/>
      </c>
      <c r="X293" s="37">
        <f>X292*(1-X114)*(1-Seasonality!$D$88*X115)</f>
        <v/>
      </c>
      <c r="Y293" s="37">
        <f>Y292*(1-Y114)*(1-Seasonality!$D$88*Y115)</f>
        <v/>
      </c>
      <c r="Z293" s="37">
        <f>Z292*(1-Z114)*(1-Seasonality!$D$88*Z115)</f>
        <v/>
      </c>
      <c r="AA293" s="37">
        <f>AA292*(1-AA114)*(1-Seasonality!$D$88*AA115)</f>
        <v/>
      </c>
      <c r="AB293" s="37">
        <f>AB292*(1-AB114)*(1-Seasonality!$D$88*AB115)</f>
        <v/>
      </c>
      <c r="AC293" s="37">
        <f>AC292*(1-AC114)*(1-Seasonality!$D$88*AC115)</f>
        <v/>
      </c>
      <c r="AD293" s="37">
        <f>AD292*(1-AD114)*(1-Seasonality!$D$88*AD115)</f>
        <v/>
      </c>
      <c r="AE293" s="37">
        <f>AE292*(1-AE114)*(1-Seasonality!$D$88*AE115)</f>
        <v/>
      </c>
      <c r="AF293" s="37">
        <f>AF292*(1-AF114)*(1-Seasonality!$D$88*AF115)</f>
        <v/>
      </c>
      <c r="AG293" s="37">
        <f>AG292*(1-AG114)*(1-Seasonality!$D$88*AG115)</f>
        <v/>
      </c>
      <c r="AH293" s="37">
        <f>AH292*(1-AH114)*(1-Seasonality!$D$88*AH115)</f>
        <v/>
      </c>
      <c r="AI293" s="37">
        <f>AI292*(1-AI114)*(1-Seasonality!$D$88*AI115)</f>
        <v/>
      </c>
      <c r="AJ293" s="37">
        <f>AJ292*(1-AJ114)*(1-Seasonality!$D$88*AJ115)</f>
        <v/>
      </c>
      <c r="AK293" s="37">
        <f>AK292*(1-AK114)*(1-Seasonality!$D$88*AK115)</f>
        <v/>
      </c>
      <c r="AL293" s="37">
        <f>AL292*(1-AL114)*(1-Seasonality!$D$88*AL115)</f>
        <v/>
      </c>
      <c r="AM293" s="37">
        <f>AM292*(1-AM114)*(1-Seasonality!$D$88*AM115)</f>
        <v/>
      </c>
      <c r="AN293" s="37">
        <f>AN292*(1-AN114)*(1-Seasonality!$D$88*AN115)</f>
        <v/>
      </c>
      <c r="AO293" s="37">
        <f>AO292*(1-AO114)*(1-Seasonality!$D$88*AO115)</f>
        <v/>
      </c>
      <c r="AP293" s="37">
        <f>AP292*(1-AP114)*(1-Seasonality!$D$88*AP115)</f>
        <v/>
      </c>
      <c r="AQ293" s="37">
        <f>AQ292*(1-AQ114)*(1-Seasonality!$D$88*AQ115)</f>
        <v/>
      </c>
      <c r="AR293" s="37">
        <f>AR292*(1-AR114)*(1-Seasonality!$D$88*AR115)</f>
        <v/>
      </c>
      <c r="AS293" s="37">
        <f>AS292*(1-AS114)*(1-Seasonality!$D$88*AS115)</f>
        <v/>
      </c>
      <c r="AT293" s="37">
        <f>AT292*(1-AT114)*(1-Seasonality!$D$88*AT115)</f>
        <v/>
      </c>
      <c r="AU293" s="37">
        <f>AU292*(1-AU114)*(1-Seasonality!$D$88*AU115)</f>
        <v/>
      </c>
      <c r="AV293" s="37">
        <f>AV292*(1-AV114)*(1-Seasonality!$D$88*AV115)</f>
        <v/>
      </c>
    </row>
    <row r="294">
      <c r="B294" s="7" t="inlineStr">
        <is>
          <t>Share of institutes still paying · month 54</t>
        </is>
      </c>
      <c r="C294" s="5" t="inlineStr">
        <is>
          <t>%</t>
        </is>
      </c>
      <c r="D294" s="37">
        <f>D293*(1-D114)*(1-Seasonality!$D$89*D115)</f>
        <v/>
      </c>
      <c r="E294" s="37">
        <f>E293*(1-E114)*(1-Seasonality!$D$89*E115)</f>
        <v/>
      </c>
      <c r="F294" s="37">
        <f>F293*(1-F114)*(1-Seasonality!$D$89*F115)</f>
        <v/>
      </c>
      <c r="G294" s="37">
        <f>G293*(1-G114)*(1-Seasonality!$D$89*G115)</f>
        <v/>
      </c>
      <c r="H294" s="37">
        <f>H293*(1-H114)*(1-Seasonality!$D$89*H115)</f>
        <v/>
      </c>
      <c r="I294" s="37">
        <f>I293*(1-I114)*(1-Seasonality!$D$89*I115)</f>
        <v/>
      </c>
      <c r="J294" s="37">
        <f>J293*(1-J114)*(1-Seasonality!$D$89*J115)</f>
        <v/>
      </c>
      <c r="K294" s="37">
        <f>K293*(1-K114)*(1-Seasonality!$D$89*K115)</f>
        <v/>
      </c>
      <c r="L294" s="37">
        <f>L293*(1-L114)*(1-Seasonality!$D$89*L115)</f>
        <v/>
      </c>
      <c r="M294" s="37">
        <f>M293*(1-M114)*(1-Seasonality!$D$89*M115)</f>
        <v/>
      </c>
      <c r="N294" s="37">
        <f>N293*(1-N114)*(1-Seasonality!$D$89*N115)</f>
        <v/>
      </c>
      <c r="O294" s="37">
        <f>O293*(1-O114)*(1-Seasonality!$D$89*O115)</f>
        <v/>
      </c>
      <c r="P294" s="37">
        <f>P293*(1-P114)*(1-Seasonality!$D$89*P115)</f>
        <v/>
      </c>
      <c r="Q294" s="37">
        <f>Q293*(1-Q114)*(1-Seasonality!$D$89*Q115)</f>
        <v/>
      </c>
      <c r="R294" s="37">
        <f>R293*(1-R114)*(1-Seasonality!$D$89*R115)</f>
        <v/>
      </c>
      <c r="S294" s="37">
        <f>S293*(1-S114)*(1-Seasonality!$D$89*S115)</f>
        <v/>
      </c>
      <c r="T294" s="37">
        <f>T293*(1-T114)*(1-Seasonality!$D$89*T115)</f>
        <v/>
      </c>
      <c r="U294" s="37">
        <f>U293*(1-U114)*(1-Seasonality!$D$89*U115)</f>
        <v/>
      </c>
      <c r="V294" s="37">
        <f>V293*(1-V114)*(1-Seasonality!$D$89*V115)</f>
        <v/>
      </c>
      <c r="W294" s="37">
        <f>W293*(1-W114)*(1-Seasonality!$D$89*W115)</f>
        <v/>
      </c>
      <c r="X294" s="37">
        <f>X293*(1-X114)*(1-Seasonality!$D$89*X115)</f>
        <v/>
      </c>
      <c r="Y294" s="37">
        <f>Y293*(1-Y114)*(1-Seasonality!$D$89*Y115)</f>
        <v/>
      </c>
      <c r="Z294" s="37">
        <f>Z293*(1-Z114)*(1-Seasonality!$D$89*Z115)</f>
        <v/>
      </c>
      <c r="AA294" s="37">
        <f>AA293*(1-AA114)*(1-Seasonality!$D$89*AA115)</f>
        <v/>
      </c>
      <c r="AB294" s="37">
        <f>AB293*(1-AB114)*(1-Seasonality!$D$89*AB115)</f>
        <v/>
      </c>
      <c r="AC294" s="37">
        <f>AC293*(1-AC114)*(1-Seasonality!$D$89*AC115)</f>
        <v/>
      </c>
      <c r="AD294" s="37">
        <f>AD293*(1-AD114)*(1-Seasonality!$D$89*AD115)</f>
        <v/>
      </c>
      <c r="AE294" s="37">
        <f>AE293*(1-AE114)*(1-Seasonality!$D$89*AE115)</f>
        <v/>
      </c>
      <c r="AF294" s="37">
        <f>AF293*(1-AF114)*(1-Seasonality!$D$89*AF115)</f>
        <v/>
      </c>
      <c r="AG294" s="37">
        <f>AG293*(1-AG114)*(1-Seasonality!$D$89*AG115)</f>
        <v/>
      </c>
      <c r="AH294" s="37">
        <f>AH293*(1-AH114)*(1-Seasonality!$D$89*AH115)</f>
        <v/>
      </c>
      <c r="AI294" s="37">
        <f>AI293*(1-AI114)*(1-Seasonality!$D$89*AI115)</f>
        <v/>
      </c>
      <c r="AJ294" s="37">
        <f>AJ293*(1-AJ114)*(1-Seasonality!$D$89*AJ115)</f>
        <v/>
      </c>
      <c r="AK294" s="37">
        <f>AK293*(1-AK114)*(1-Seasonality!$D$89*AK115)</f>
        <v/>
      </c>
      <c r="AL294" s="37">
        <f>AL293*(1-AL114)*(1-Seasonality!$D$89*AL115)</f>
        <v/>
      </c>
      <c r="AM294" s="37">
        <f>AM293*(1-AM114)*(1-Seasonality!$D$89*AM115)</f>
        <v/>
      </c>
      <c r="AN294" s="37">
        <f>AN293*(1-AN114)*(1-Seasonality!$D$89*AN115)</f>
        <v/>
      </c>
      <c r="AO294" s="37">
        <f>AO293*(1-AO114)*(1-Seasonality!$D$89*AO115)</f>
        <v/>
      </c>
      <c r="AP294" s="37">
        <f>AP293*(1-AP114)*(1-Seasonality!$D$89*AP115)</f>
        <v/>
      </c>
      <c r="AQ294" s="37">
        <f>AQ293*(1-AQ114)*(1-Seasonality!$D$89*AQ115)</f>
        <v/>
      </c>
      <c r="AR294" s="37">
        <f>AR293*(1-AR114)*(1-Seasonality!$D$89*AR115)</f>
        <v/>
      </c>
      <c r="AS294" s="37">
        <f>AS293*(1-AS114)*(1-Seasonality!$D$89*AS115)</f>
        <v/>
      </c>
      <c r="AT294" s="37">
        <f>AT293*(1-AT114)*(1-Seasonality!$D$89*AT115)</f>
        <v/>
      </c>
      <c r="AU294" s="37">
        <f>AU293*(1-AU114)*(1-Seasonality!$D$89*AU115)</f>
        <v/>
      </c>
      <c r="AV294" s="37">
        <f>AV293*(1-AV114)*(1-Seasonality!$D$89*AV115)</f>
        <v/>
      </c>
    </row>
    <row r="295">
      <c r="B295" s="7" t="inlineStr">
        <is>
          <t>Share of institutes still paying · month 55</t>
        </is>
      </c>
      <c r="C295" s="5" t="inlineStr">
        <is>
          <t>%</t>
        </is>
      </c>
      <c r="D295" s="37">
        <f>D294*(1-D114)*(1-Seasonality!$D$90*D115)</f>
        <v/>
      </c>
      <c r="E295" s="37">
        <f>E294*(1-E114)*(1-Seasonality!$D$90*E115)</f>
        <v/>
      </c>
      <c r="F295" s="37">
        <f>F294*(1-F114)*(1-Seasonality!$D$90*F115)</f>
        <v/>
      </c>
      <c r="G295" s="37">
        <f>G294*(1-G114)*(1-Seasonality!$D$90*G115)</f>
        <v/>
      </c>
      <c r="H295" s="37">
        <f>H294*(1-H114)*(1-Seasonality!$D$90*H115)</f>
        <v/>
      </c>
      <c r="I295" s="37">
        <f>I294*(1-I114)*(1-Seasonality!$D$90*I115)</f>
        <v/>
      </c>
      <c r="J295" s="37">
        <f>J294*(1-J114)*(1-Seasonality!$D$90*J115)</f>
        <v/>
      </c>
      <c r="K295" s="37">
        <f>K294*(1-K114)*(1-Seasonality!$D$90*K115)</f>
        <v/>
      </c>
      <c r="L295" s="37">
        <f>L294*(1-L114)*(1-Seasonality!$D$90*L115)</f>
        <v/>
      </c>
      <c r="M295" s="37">
        <f>M294*(1-M114)*(1-Seasonality!$D$90*M115)</f>
        <v/>
      </c>
      <c r="N295" s="37">
        <f>N294*(1-N114)*(1-Seasonality!$D$90*N115)</f>
        <v/>
      </c>
      <c r="O295" s="37">
        <f>O294*(1-O114)*(1-Seasonality!$D$90*O115)</f>
        <v/>
      </c>
      <c r="P295" s="37">
        <f>P294*(1-P114)*(1-Seasonality!$D$90*P115)</f>
        <v/>
      </c>
      <c r="Q295" s="37">
        <f>Q294*(1-Q114)*(1-Seasonality!$D$90*Q115)</f>
        <v/>
      </c>
      <c r="R295" s="37">
        <f>R294*(1-R114)*(1-Seasonality!$D$90*R115)</f>
        <v/>
      </c>
      <c r="S295" s="37">
        <f>S294*(1-S114)*(1-Seasonality!$D$90*S115)</f>
        <v/>
      </c>
      <c r="T295" s="37">
        <f>T294*(1-T114)*(1-Seasonality!$D$90*T115)</f>
        <v/>
      </c>
      <c r="U295" s="37">
        <f>U294*(1-U114)*(1-Seasonality!$D$90*U115)</f>
        <v/>
      </c>
      <c r="V295" s="37">
        <f>V294*(1-V114)*(1-Seasonality!$D$90*V115)</f>
        <v/>
      </c>
      <c r="W295" s="37">
        <f>W294*(1-W114)*(1-Seasonality!$D$90*W115)</f>
        <v/>
      </c>
      <c r="X295" s="37">
        <f>X294*(1-X114)*(1-Seasonality!$D$90*X115)</f>
        <v/>
      </c>
      <c r="Y295" s="37">
        <f>Y294*(1-Y114)*(1-Seasonality!$D$90*Y115)</f>
        <v/>
      </c>
      <c r="Z295" s="37">
        <f>Z294*(1-Z114)*(1-Seasonality!$D$90*Z115)</f>
        <v/>
      </c>
      <c r="AA295" s="37">
        <f>AA294*(1-AA114)*(1-Seasonality!$D$90*AA115)</f>
        <v/>
      </c>
      <c r="AB295" s="37">
        <f>AB294*(1-AB114)*(1-Seasonality!$D$90*AB115)</f>
        <v/>
      </c>
      <c r="AC295" s="37">
        <f>AC294*(1-AC114)*(1-Seasonality!$D$90*AC115)</f>
        <v/>
      </c>
      <c r="AD295" s="37">
        <f>AD294*(1-AD114)*(1-Seasonality!$D$90*AD115)</f>
        <v/>
      </c>
      <c r="AE295" s="37">
        <f>AE294*(1-AE114)*(1-Seasonality!$D$90*AE115)</f>
        <v/>
      </c>
      <c r="AF295" s="37">
        <f>AF294*(1-AF114)*(1-Seasonality!$D$90*AF115)</f>
        <v/>
      </c>
      <c r="AG295" s="37">
        <f>AG294*(1-AG114)*(1-Seasonality!$D$90*AG115)</f>
        <v/>
      </c>
      <c r="AH295" s="37">
        <f>AH294*(1-AH114)*(1-Seasonality!$D$90*AH115)</f>
        <v/>
      </c>
      <c r="AI295" s="37">
        <f>AI294*(1-AI114)*(1-Seasonality!$D$90*AI115)</f>
        <v/>
      </c>
      <c r="AJ295" s="37">
        <f>AJ294*(1-AJ114)*(1-Seasonality!$D$90*AJ115)</f>
        <v/>
      </c>
      <c r="AK295" s="37">
        <f>AK294*(1-AK114)*(1-Seasonality!$D$90*AK115)</f>
        <v/>
      </c>
      <c r="AL295" s="37">
        <f>AL294*(1-AL114)*(1-Seasonality!$D$90*AL115)</f>
        <v/>
      </c>
      <c r="AM295" s="37">
        <f>AM294*(1-AM114)*(1-Seasonality!$D$90*AM115)</f>
        <v/>
      </c>
      <c r="AN295" s="37">
        <f>AN294*(1-AN114)*(1-Seasonality!$D$90*AN115)</f>
        <v/>
      </c>
      <c r="AO295" s="37">
        <f>AO294*(1-AO114)*(1-Seasonality!$D$90*AO115)</f>
        <v/>
      </c>
      <c r="AP295" s="37">
        <f>AP294*(1-AP114)*(1-Seasonality!$D$90*AP115)</f>
        <v/>
      </c>
      <c r="AQ295" s="37">
        <f>AQ294*(1-AQ114)*(1-Seasonality!$D$90*AQ115)</f>
        <v/>
      </c>
      <c r="AR295" s="37">
        <f>AR294*(1-AR114)*(1-Seasonality!$D$90*AR115)</f>
        <v/>
      </c>
      <c r="AS295" s="37">
        <f>AS294*(1-AS114)*(1-Seasonality!$D$90*AS115)</f>
        <v/>
      </c>
      <c r="AT295" s="37">
        <f>AT294*(1-AT114)*(1-Seasonality!$D$90*AT115)</f>
        <v/>
      </c>
      <c r="AU295" s="37">
        <f>AU294*(1-AU114)*(1-Seasonality!$D$90*AU115)</f>
        <v/>
      </c>
      <c r="AV295" s="37">
        <f>AV294*(1-AV114)*(1-Seasonality!$D$90*AV115)</f>
        <v/>
      </c>
    </row>
    <row r="296">
      <c r="B296" s="7" t="inlineStr">
        <is>
          <t>Share of institutes still paying · month 56</t>
        </is>
      </c>
      <c r="C296" s="5" t="inlineStr">
        <is>
          <t>%</t>
        </is>
      </c>
      <c r="D296" s="37">
        <f>D295*(1-D114)*(1-Seasonality!$D$91*D115)</f>
        <v/>
      </c>
      <c r="E296" s="37">
        <f>E295*(1-E114)*(1-Seasonality!$D$91*E115)</f>
        <v/>
      </c>
      <c r="F296" s="37">
        <f>F295*(1-F114)*(1-Seasonality!$D$91*F115)</f>
        <v/>
      </c>
      <c r="G296" s="37">
        <f>G295*(1-G114)*(1-Seasonality!$D$91*G115)</f>
        <v/>
      </c>
      <c r="H296" s="37">
        <f>H295*(1-H114)*(1-Seasonality!$D$91*H115)</f>
        <v/>
      </c>
      <c r="I296" s="37">
        <f>I295*(1-I114)*(1-Seasonality!$D$91*I115)</f>
        <v/>
      </c>
      <c r="J296" s="37">
        <f>J295*(1-J114)*(1-Seasonality!$D$91*J115)</f>
        <v/>
      </c>
      <c r="K296" s="37">
        <f>K295*(1-K114)*(1-Seasonality!$D$91*K115)</f>
        <v/>
      </c>
      <c r="L296" s="37">
        <f>L295*(1-L114)*(1-Seasonality!$D$91*L115)</f>
        <v/>
      </c>
      <c r="M296" s="37">
        <f>M295*(1-M114)*(1-Seasonality!$D$91*M115)</f>
        <v/>
      </c>
      <c r="N296" s="37">
        <f>N295*(1-N114)*(1-Seasonality!$D$91*N115)</f>
        <v/>
      </c>
      <c r="O296" s="37">
        <f>O295*(1-O114)*(1-Seasonality!$D$91*O115)</f>
        <v/>
      </c>
      <c r="P296" s="37">
        <f>P295*(1-P114)*(1-Seasonality!$D$91*P115)</f>
        <v/>
      </c>
      <c r="Q296" s="37">
        <f>Q295*(1-Q114)*(1-Seasonality!$D$91*Q115)</f>
        <v/>
      </c>
      <c r="R296" s="37">
        <f>R295*(1-R114)*(1-Seasonality!$D$91*R115)</f>
        <v/>
      </c>
      <c r="S296" s="37">
        <f>S295*(1-S114)*(1-Seasonality!$D$91*S115)</f>
        <v/>
      </c>
      <c r="T296" s="37">
        <f>T295*(1-T114)*(1-Seasonality!$D$91*T115)</f>
        <v/>
      </c>
      <c r="U296" s="37">
        <f>U295*(1-U114)*(1-Seasonality!$D$91*U115)</f>
        <v/>
      </c>
      <c r="V296" s="37">
        <f>V295*(1-V114)*(1-Seasonality!$D$91*V115)</f>
        <v/>
      </c>
      <c r="W296" s="37">
        <f>W295*(1-W114)*(1-Seasonality!$D$91*W115)</f>
        <v/>
      </c>
      <c r="X296" s="37">
        <f>X295*(1-X114)*(1-Seasonality!$D$91*X115)</f>
        <v/>
      </c>
      <c r="Y296" s="37">
        <f>Y295*(1-Y114)*(1-Seasonality!$D$91*Y115)</f>
        <v/>
      </c>
      <c r="Z296" s="37">
        <f>Z295*(1-Z114)*(1-Seasonality!$D$91*Z115)</f>
        <v/>
      </c>
      <c r="AA296" s="37">
        <f>AA295*(1-AA114)*(1-Seasonality!$D$91*AA115)</f>
        <v/>
      </c>
      <c r="AB296" s="37">
        <f>AB295*(1-AB114)*(1-Seasonality!$D$91*AB115)</f>
        <v/>
      </c>
      <c r="AC296" s="37">
        <f>AC295*(1-AC114)*(1-Seasonality!$D$91*AC115)</f>
        <v/>
      </c>
      <c r="AD296" s="37">
        <f>AD295*(1-AD114)*(1-Seasonality!$D$91*AD115)</f>
        <v/>
      </c>
      <c r="AE296" s="37">
        <f>AE295*(1-AE114)*(1-Seasonality!$D$91*AE115)</f>
        <v/>
      </c>
      <c r="AF296" s="37">
        <f>AF295*(1-AF114)*(1-Seasonality!$D$91*AF115)</f>
        <v/>
      </c>
      <c r="AG296" s="37">
        <f>AG295*(1-AG114)*(1-Seasonality!$D$91*AG115)</f>
        <v/>
      </c>
      <c r="AH296" s="37">
        <f>AH295*(1-AH114)*(1-Seasonality!$D$91*AH115)</f>
        <v/>
      </c>
      <c r="AI296" s="37">
        <f>AI295*(1-AI114)*(1-Seasonality!$D$91*AI115)</f>
        <v/>
      </c>
      <c r="AJ296" s="37">
        <f>AJ295*(1-AJ114)*(1-Seasonality!$D$91*AJ115)</f>
        <v/>
      </c>
      <c r="AK296" s="37">
        <f>AK295*(1-AK114)*(1-Seasonality!$D$91*AK115)</f>
        <v/>
      </c>
      <c r="AL296" s="37">
        <f>AL295*(1-AL114)*(1-Seasonality!$D$91*AL115)</f>
        <v/>
      </c>
      <c r="AM296" s="37">
        <f>AM295*(1-AM114)*(1-Seasonality!$D$91*AM115)</f>
        <v/>
      </c>
      <c r="AN296" s="37">
        <f>AN295*(1-AN114)*(1-Seasonality!$D$91*AN115)</f>
        <v/>
      </c>
      <c r="AO296" s="37">
        <f>AO295*(1-AO114)*(1-Seasonality!$D$91*AO115)</f>
        <v/>
      </c>
      <c r="AP296" s="37">
        <f>AP295*(1-AP114)*(1-Seasonality!$D$91*AP115)</f>
        <v/>
      </c>
      <c r="AQ296" s="37">
        <f>AQ295*(1-AQ114)*(1-Seasonality!$D$91*AQ115)</f>
        <v/>
      </c>
      <c r="AR296" s="37">
        <f>AR295*(1-AR114)*(1-Seasonality!$D$91*AR115)</f>
        <v/>
      </c>
      <c r="AS296" s="37">
        <f>AS295*(1-AS114)*(1-Seasonality!$D$91*AS115)</f>
        <v/>
      </c>
      <c r="AT296" s="37">
        <f>AT295*(1-AT114)*(1-Seasonality!$D$91*AT115)</f>
        <v/>
      </c>
      <c r="AU296" s="37">
        <f>AU295*(1-AU114)*(1-Seasonality!$D$91*AU115)</f>
        <v/>
      </c>
      <c r="AV296" s="37">
        <f>AV295*(1-AV114)*(1-Seasonality!$D$91*AV115)</f>
        <v/>
      </c>
    </row>
    <row r="297">
      <c r="B297" s="7" t="inlineStr">
        <is>
          <t>Share of institutes still paying · month 57</t>
        </is>
      </c>
      <c r="C297" s="5" t="inlineStr">
        <is>
          <t>%</t>
        </is>
      </c>
      <c r="D297" s="37">
        <f>D296*(1-D114)*(1-Seasonality!$D$92*D115)</f>
        <v/>
      </c>
      <c r="E297" s="37">
        <f>E296*(1-E114)*(1-Seasonality!$D$92*E115)</f>
        <v/>
      </c>
      <c r="F297" s="37">
        <f>F296*(1-F114)*(1-Seasonality!$D$92*F115)</f>
        <v/>
      </c>
      <c r="G297" s="37">
        <f>G296*(1-G114)*(1-Seasonality!$D$92*G115)</f>
        <v/>
      </c>
      <c r="H297" s="37">
        <f>H296*(1-H114)*(1-Seasonality!$D$92*H115)</f>
        <v/>
      </c>
      <c r="I297" s="37">
        <f>I296*(1-I114)*(1-Seasonality!$D$92*I115)</f>
        <v/>
      </c>
      <c r="J297" s="37">
        <f>J296*(1-J114)*(1-Seasonality!$D$92*J115)</f>
        <v/>
      </c>
      <c r="K297" s="37">
        <f>K296*(1-K114)*(1-Seasonality!$D$92*K115)</f>
        <v/>
      </c>
      <c r="L297" s="37">
        <f>L296*(1-L114)*(1-Seasonality!$D$92*L115)</f>
        <v/>
      </c>
      <c r="M297" s="37">
        <f>M296*(1-M114)*(1-Seasonality!$D$92*M115)</f>
        <v/>
      </c>
      <c r="N297" s="37">
        <f>N296*(1-N114)*(1-Seasonality!$D$92*N115)</f>
        <v/>
      </c>
      <c r="O297" s="37">
        <f>O296*(1-O114)*(1-Seasonality!$D$92*O115)</f>
        <v/>
      </c>
      <c r="P297" s="37">
        <f>P296*(1-P114)*(1-Seasonality!$D$92*P115)</f>
        <v/>
      </c>
      <c r="Q297" s="37">
        <f>Q296*(1-Q114)*(1-Seasonality!$D$92*Q115)</f>
        <v/>
      </c>
      <c r="R297" s="37">
        <f>R296*(1-R114)*(1-Seasonality!$D$92*R115)</f>
        <v/>
      </c>
      <c r="S297" s="37">
        <f>S296*(1-S114)*(1-Seasonality!$D$92*S115)</f>
        <v/>
      </c>
      <c r="T297" s="37">
        <f>T296*(1-T114)*(1-Seasonality!$D$92*T115)</f>
        <v/>
      </c>
      <c r="U297" s="37">
        <f>U296*(1-U114)*(1-Seasonality!$D$92*U115)</f>
        <v/>
      </c>
      <c r="V297" s="37">
        <f>V296*(1-V114)*(1-Seasonality!$D$92*V115)</f>
        <v/>
      </c>
      <c r="W297" s="37">
        <f>W296*(1-W114)*(1-Seasonality!$D$92*W115)</f>
        <v/>
      </c>
      <c r="X297" s="37">
        <f>X296*(1-X114)*(1-Seasonality!$D$92*X115)</f>
        <v/>
      </c>
      <c r="Y297" s="37">
        <f>Y296*(1-Y114)*(1-Seasonality!$D$92*Y115)</f>
        <v/>
      </c>
      <c r="Z297" s="37">
        <f>Z296*(1-Z114)*(1-Seasonality!$D$92*Z115)</f>
        <v/>
      </c>
      <c r="AA297" s="37">
        <f>AA296*(1-AA114)*(1-Seasonality!$D$92*AA115)</f>
        <v/>
      </c>
      <c r="AB297" s="37">
        <f>AB296*(1-AB114)*(1-Seasonality!$D$92*AB115)</f>
        <v/>
      </c>
      <c r="AC297" s="37">
        <f>AC296*(1-AC114)*(1-Seasonality!$D$92*AC115)</f>
        <v/>
      </c>
      <c r="AD297" s="37">
        <f>AD296*(1-AD114)*(1-Seasonality!$D$92*AD115)</f>
        <v/>
      </c>
      <c r="AE297" s="37">
        <f>AE296*(1-AE114)*(1-Seasonality!$D$92*AE115)</f>
        <v/>
      </c>
      <c r="AF297" s="37">
        <f>AF296*(1-AF114)*(1-Seasonality!$D$92*AF115)</f>
        <v/>
      </c>
      <c r="AG297" s="37">
        <f>AG296*(1-AG114)*(1-Seasonality!$D$92*AG115)</f>
        <v/>
      </c>
      <c r="AH297" s="37">
        <f>AH296*(1-AH114)*(1-Seasonality!$D$92*AH115)</f>
        <v/>
      </c>
      <c r="AI297" s="37">
        <f>AI296*(1-AI114)*(1-Seasonality!$D$92*AI115)</f>
        <v/>
      </c>
      <c r="AJ297" s="37">
        <f>AJ296*(1-AJ114)*(1-Seasonality!$D$92*AJ115)</f>
        <v/>
      </c>
      <c r="AK297" s="37">
        <f>AK296*(1-AK114)*(1-Seasonality!$D$92*AK115)</f>
        <v/>
      </c>
      <c r="AL297" s="37">
        <f>AL296*(1-AL114)*(1-Seasonality!$D$92*AL115)</f>
        <v/>
      </c>
      <c r="AM297" s="37">
        <f>AM296*(1-AM114)*(1-Seasonality!$D$92*AM115)</f>
        <v/>
      </c>
      <c r="AN297" s="37">
        <f>AN296*(1-AN114)*(1-Seasonality!$D$92*AN115)</f>
        <v/>
      </c>
      <c r="AO297" s="37">
        <f>AO296*(1-AO114)*(1-Seasonality!$D$92*AO115)</f>
        <v/>
      </c>
      <c r="AP297" s="37">
        <f>AP296*(1-AP114)*(1-Seasonality!$D$92*AP115)</f>
        <v/>
      </c>
      <c r="AQ297" s="37">
        <f>AQ296*(1-AQ114)*(1-Seasonality!$D$92*AQ115)</f>
        <v/>
      </c>
      <c r="AR297" s="37">
        <f>AR296*(1-AR114)*(1-Seasonality!$D$92*AR115)</f>
        <v/>
      </c>
      <c r="AS297" s="37">
        <f>AS296*(1-AS114)*(1-Seasonality!$D$92*AS115)</f>
        <v/>
      </c>
      <c r="AT297" s="37">
        <f>AT296*(1-AT114)*(1-Seasonality!$D$92*AT115)</f>
        <v/>
      </c>
      <c r="AU297" s="37">
        <f>AU296*(1-AU114)*(1-Seasonality!$D$92*AU115)</f>
        <v/>
      </c>
      <c r="AV297" s="37">
        <f>AV296*(1-AV114)*(1-Seasonality!$D$92*AV115)</f>
        <v/>
      </c>
    </row>
    <row r="298">
      <c r="B298" s="7" t="inlineStr">
        <is>
          <t>Share of institutes still paying · month 58</t>
        </is>
      </c>
      <c r="C298" s="5" t="inlineStr">
        <is>
          <t>%</t>
        </is>
      </c>
      <c r="D298" s="37">
        <f>D297*(1-D114)*(1-Seasonality!$D$93*D115)</f>
        <v/>
      </c>
      <c r="E298" s="37">
        <f>E297*(1-E114)*(1-Seasonality!$D$93*E115)</f>
        <v/>
      </c>
      <c r="F298" s="37">
        <f>F297*(1-F114)*(1-Seasonality!$D$93*F115)</f>
        <v/>
      </c>
      <c r="G298" s="37">
        <f>G297*(1-G114)*(1-Seasonality!$D$93*G115)</f>
        <v/>
      </c>
      <c r="H298" s="37">
        <f>H297*(1-H114)*(1-Seasonality!$D$93*H115)</f>
        <v/>
      </c>
      <c r="I298" s="37">
        <f>I297*(1-I114)*(1-Seasonality!$D$93*I115)</f>
        <v/>
      </c>
      <c r="J298" s="37">
        <f>J297*(1-J114)*(1-Seasonality!$D$93*J115)</f>
        <v/>
      </c>
      <c r="K298" s="37">
        <f>K297*(1-K114)*(1-Seasonality!$D$93*K115)</f>
        <v/>
      </c>
      <c r="L298" s="37">
        <f>L297*(1-L114)*(1-Seasonality!$D$93*L115)</f>
        <v/>
      </c>
      <c r="M298" s="37">
        <f>M297*(1-M114)*(1-Seasonality!$D$93*M115)</f>
        <v/>
      </c>
      <c r="N298" s="37">
        <f>N297*(1-N114)*(1-Seasonality!$D$93*N115)</f>
        <v/>
      </c>
      <c r="O298" s="37">
        <f>O297*(1-O114)*(1-Seasonality!$D$93*O115)</f>
        <v/>
      </c>
      <c r="P298" s="37">
        <f>P297*(1-P114)*(1-Seasonality!$D$93*P115)</f>
        <v/>
      </c>
      <c r="Q298" s="37">
        <f>Q297*(1-Q114)*(1-Seasonality!$D$93*Q115)</f>
        <v/>
      </c>
      <c r="R298" s="37">
        <f>R297*(1-R114)*(1-Seasonality!$D$93*R115)</f>
        <v/>
      </c>
      <c r="S298" s="37">
        <f>S297*(1-S114)*(1-Seasonality!$D$93*S115)</f>
        <v/>
      </c>
      <c r="T298" s="37">
        <f>T297*(1-T114)*(1-Seasonality!$D$93*T115)</f>
        <v/>
      </c>
      <c r="U298" s="37">
        <f>U297*(1-U114)*(1-Seasonality!$D$93*U115)</f>
        <v/>
      </c>
      <c r="V298" s="37">
        <f>V297*(1-V114)*(1-Seasonality!$D$93*V115)</f>
        <v/>
      </c>
      <c r="W298" s="37">
        <f>W297*(1-W114)*(1-Seasonality!$D$93*W115)</f>
        <v/>
      </c>
      <c r="X298" s="37">
        <f>X297*(1-X114)*(1-Seasonality!$D$93*X115)</f>
        <v/>
      </c>
      <c r="Y298" s="37">
        <f>Y297*(1-Y114)*(1-Seasonality!$D$93*Y115)</f>
        <v/>
      </c>
      <c r="Z298" s="37">
        <f>Z297*(1-Z114)*(1-Seasonality!$D$93*Z115)</f>
        <v/>
      </c>
      <c r="AA298" s="37">
        <f>AA297*(1-AA114)*(1-Seasonality!$D$93*AA115)</f>
        <v/>
      </c>
      <c r="AB298" s="37">
        <f>AB297*(1-AB114)*(1-Seasonality!$D$93*AB115)</f>
        <v/>
      </c>
      <c r="AC298" s="37">
        <f>AC297*(1-AC114)*(1-Seasonality!$D$93*AC115)</f>
        <v/>
      </c>
      <c r="AD298" s="37">
        <f>AD297*(1-AD114)*(1-Seasonality!$D$93*AD115)</f>
        <v/>
      </c>
      <c r="AE298" s="37">
        <f>AE297*(1-AE114)*(1-Seasonality!$D$93*AE115)</f>
        <v/>
      </c>
      <c r="AF298" s="37">
        <f>AF297*(1-AF114)*(1-Seasonality!$D$93*AF115)</f>
        <v/>
      </c>
      <c r="AG298" s="37">
        <f>AG297*(1-AG114)*(1-Seasonality!$D$93*AG115)</f>
        <v/>
      </c>
      <c r="AH298" s="37">
        <f>AH297*(1-AH114)*(1-Seasonality!$D$93*AH115)</f>
        <v/>
      </c>
      <c r="AI298" s="37">
        <f>AI297*(1-AI114)*(1-Seasonality!$D$93*AI115)</f>
        <v/>
      </c>
      <c r="AJ298" s="37">
        <f>AJ297*(1-AJ114)*(1-Seasonality!$D$93*AJ115)</f>
        <v/>
      </c>
      <c r="AK298" s="37">
        <f>AK297*(1-AK114)*(1-Seasonality!$D$93*AK115)</f>
        <v/>
      </c>
      <c r="AL298" s="37">
        <f>AL297*(1-AL114)*(1-Seasonality!$D$93*AL115)</f>
        <v/>
      </c>
      <c r="AM298" s="37">
        <f>AM297*(1-AM114)*(1-Seasonality!$D$93*AM115)</f>
        <v/>
      </c>
      <c r="AN298" s="37">
        <f>AN297*(1-AN114)*(1-Seasonality!$D$93*AN115)</f>
        <v/>
      </c>
      <c r="AO298" s="37">
        <f>AO297*(1-AO114)*(1-Seasonality!$D$93*AO115)</f>
        <v/>
      </c>
      <c r="AP298" s="37">
        <f>AP297*(1-AP114)*(1-Seasonality!$D$93*AP115)</f>
        <v/>
      </c>
      <c r="AQ298" s="37">
        <f>AQ297*(1-AQ114)*(1-Seasonality!$D$93*AQ115)</f>
        <v/>
      </c>
      <c r="AR298" s="37">
        <f>AR297*(1-AR114)*(1-Seasonality!$D$93*AR115)</f>
        <v/>
      </c>
      <c r="AS298" s="37">
        <f>AS297*(1-AS114)*(1-Seasonality!$D$93*AS115)</f>
        <v/>
      </c>
      <c r="AT298" s="37">
        <f>AT297*(1-AT114)*(1-Seasonality!$D$93*AT115)</f>
        <v/>
      </c>
      <c r="AU298" s="37">
        <f>AU297*(1-AU114)*(1-Seasonality!$D$93*AU115)</f>
        <v/>
      </c>
      <c r="AV298" s="37">
        <f>AV297*(1-AV114)*(1-Seasonality!$D$93*AV115)</f>
        <v/>
      </c>
    </row>
    <row r="299">
      <c r="B299" s="7" t="inlineStr">
        <is>
          <t>Share of institutes still paying · month 59</t>
        </is>
      </c>
      <c r="C299" s="5" t="inlineStr">
        <is>
          <t>%</t>
        </is>
      </c>
      <c r="D299" s="37">
        <f>D298*(1-D114)*(1-Seasonality!$D$94*D115)</f>
        <v/>
      </c>
      <c r="E299" s="37">
        <f>E298*(1-E114)*(1-Seasonality!$D$94*E115)</f>
        <v/>
      </c>
      <c r="F299" s="37">
        <f>F298*(1-F114)*(1-Seasonality!$D$94*F115)</f>
        <v/>
      </c>
      <c r="G299" s="37">
        <f>G298*(1-G114)*(1-Seasonality!$D$94*G115)</f>
        <v/>
      </c>
      <c r="H299" s="37">
        <f>H298*(1-H114)*(1-Seasonality!$D$94*H115)</f>
        <v/>
      </c>
      <c r="I299" s="37">
        <f>I298*(1-I114)*(1-Seasonality!$D$94*I115)</f>
        <v/>
      </c>
      <c r="J299" s="37">
        <f>J298*(1-J114)*(1-Seasonality!$D$94*J115)</f>
        <v/>
      </c>
      <c r="K299" s="37">
        <f>K298*(1-K114)*(1-Seasonality!$D$94*K115)</f>
        <v/>
      </c>
      <c r="L299" s="37">
        <f>L298*(1-L114)*(1-Seasonality!$D$94*L115)</f>
        <v/>
      </c>
      <c r="M299" s="37">
        <f>M298*(1-M114)*(1-Seasonality!$D$94*M115)</f>
        <v/>
      </c>
      <c r="N299" s="37">
        <f>N298*(1-N114)*(1-Seasonality!$D$94*N115)</f>
        <v/>
      </c>
      <c r="O299" s="37">
        <f>O298*(1-O114)*(1-Seasonality!$D$94*O115)</f>
        <v/>
      </c>
      <c r="P299" s="37">
        <f>P298*(1-P114)*(1-Seasonality!$D$94*P115)</f>
        <v/>
      </c>
      <c r="Q299" s="37">
        <f>Q298*(1-Q114)*(1-Seasonality!$D$94*Q115)</f>
        <v/>
      </c>
      <c r="R299" s="37">
        <f>R298*(1-R114)*(1-Seasonality!$D$94*R115)</f>
        <v/>
      </c>
      <c r="S299" s="37">
        <f>S298*(1-S114)*(1-Seasonality!$D$94*S115)</f>
        <v/>
      </c>
      <c r="T299" s="37">
        <f>T298*(1-T114)*(1-Seasonality!$D$94*T115)</f>
        <v/>
      </c>
      <c r="U299" s="37">
        <f>U298*(1-U114)*(1-Seasonality!$D$94*U115)</f>
        <v/>
      </c>
      <c r="V299" s="37">
        <f>V298*(1-V114)*(1-Seasonality!$D$94*V115)</f>
        <v/>
      </c>
      <c r="W299" s="37">
        <f>W298*(1-W114)*(1-Seasonality!$D$94*W115)</f>
        <v/>
      </c>
      <c r="X299" s="37">
        <f>X298*(1-X114)*(1-Seasonality!$D$94*X115)</f>
        <v/>
      </c>
      <c r="Y299" s="37">
        <f>Y298*(1-Y114)*(1-Seasonality!$D$94*Y115)</f>
        <v/>
      </c>
      <c r="Z299" s="37">
        <f>Z298*(1-Z114)*(1-Seasonality!$D$94*Z115)</f>
        <v/>
      </c>
      <c r="AA299" s="37">
        <f>AA298*(1-AA114)*(1-Seasonality!$D$94*AA115)</f>
        <v/>
      </c>
      <c r="AB299" s="37">
        <f>AB298*(1-AB114)*(1-Seasonality!$D$94*AB115)</f>
        <v/>
      </c>
      <c r="AC299" s="37">
        <f>AC298*(1-AC114)*(1-Seasonality!$D$94*AC115)</f>
        <v/>
      </c>
      <c r="AD299" s="37">
        <f>AD298*(1-AD114)*(1-Seasonality!$D$94*AD115)</f>
        <v/>
      </c>
      <c r="AE299" s="37">
        <f>AE298*(1-AE114)*(1-Seasonality!$D$94*AE115)</f>
        <v/>
      </c>
      <c r="AF299" s="37">
        <f>AF298*(1-AF114)*(1-Seasonality!$D$94*AF115)</f>
        <v/>
      </c>
      <c r="AG299" s="37">
        <f>AG298*(1-AG114)*(1-Seasonality!$D$94*AG115)</f>
        <v/>
      </c>
      <c r="AH299" s="37">
        <f>AH298*(1-AH114)*(1-Seasonality!$D$94*AH115)</f>
        <v/>
      </c>
      <c r="AI299" s="37">
        <f>AI298*(1-AI114)*(1-Seasonality!$D$94*AI115)</f>
        <v/>
      </c>
      <c r="AJ299" s="37">
        <f>AJ298*(1-AJ114)*(1-Seasonality!$D$94*AJ115)</f>
        <v/>
      </c>
      <c r="AK299" s="37">
        <f>AK298*(1-AK114)*(1-Seasonality!$D$94*AK115)</f>
        <v/>
      </c>
      <c r="AL299" s="37">
        <f>AL298*(1-AL114)*(1-Seasonality!$D$94*AL115)</f>
        <v/>
      </c>
      <c r="AM299" s="37">
        <f>AM298*(1-AM114)*(1-Seasonality!$D$94*AM115)</f>
        <v/>
      </c>
      <c r="AN299" s="37">
        <f>AN298*(1-AN114)*(1-Seasonality!$D$94*AN115)</f>
        <v/>
      </c>
      <c r="AO299" s="37">
        <f>AO298*(1-AO114)*(1-Seasonality!$D$94*AO115)</f>
        <v/>
      </c>
      <c r="AP299" s="37">
        <f>AP298*(1-AP114)*(1-Seasonality!$D$94*AP115)</f>
        <v/>
      </c>
      <c r="AQ299" s="37">
        <f>AQ298*(1-AQ114)*(1-Seasonality!$D$94*AQ115)</f>
        <v/>
      </c>
      <c r="AR299" s="37">
        <f>AR298*(1-AR114)*(1-Seasonality!$D$94*AR115)</f>
        <v/>
      </c>
      <c r="AS299" s="37">
        <f>AS298*(1-AS114)*(1-Seasonality!$D$94*AS115)</f>
        <v/>
      </c>
      <c r="AT299" s="37">
        <f>AT298*(1-AT114)*(1-Seasonality!$D$94*AT115)</f>
        <v/>
      </c>
      <c r="AU299" s="37">
        <f>AU298*(1-AU114)*(1-Seasonality!$D$94*AU115)</f>
        <v/>
      </c>
      <c r="AV299" s="37">
        <f>AV298*(1-AV114)*(1-Seasonality!$D$94*AV115)</f>
        <v/>
      </c>
    </row>
    <row r="300">
      <c r="B300" s="7" t="inlineStr">
        <is>
          <t>Share of institutes still paying · month 60</t>
        </is>
      </c>
      <c r="C300" s="5" t="inlineStr">
        <is>
          <t>%</t>
        </is>
      </c>
      <c r="D300" s="37">
        <f>D299*(1-D114)*(1-Seasonality!$D$95*D115)</f>
        <v/>
      </c>
      <c r="E300" s="37">
        <f>E299*(1-E114)*(1-Seasonality!$D$95*E115)</f>
        <v/>
      </c>
      <c r="F300" s="37">
        <f>F299*(1-F114)*(1-Seasonality!$D$95*F115)</f>
        <v/>
      </c>
      <c r="G300" s="37">
        <f>G299*(1-G114)*(1-Seasonality!$D$95*G115)</f>
        <v/>
      </c>
      <c r="H300" s="37">
        <f>H299*(1-H114)*(1-Seasonality!$D$95*H115)</f>
        <v/>
      </c>
      <c r="I300" s="37">
        <f>I299*(1-I114)*(1-Seasonality!$D$95*I115)</f>
        <v/>
      </c>
      <c r="J300" s="37">
        <f>J299*(1-J114)*(1-Seasonality!$D$95*J115)</f>
        <v/>
      </c>
      <c r="K300" s="37">
        <f>K299*(1-K114)*(1-Seasonality!$D$95*K115)</f>
        <v/>
      </c>
      <c r="L300" s="37">
        <f>L299*(1-L114)*(1-Seasonality!$D$95*L115)</f>
        <v/>
      </c>
      <c r="M300" s="37">
        <f>M299*(1-M114)*(1-Seasonality!$D$95*M115)</f>
        <v/>
      </c>
      <c r="N300" s="37">
        <f>N299*(1-N114)*(1-Seasonality!$D$95*N115)</f>
        <v/>
      </c>
      <c r="O300" s="37">
        <f>O299*(1-O114)*(1-Seasonality!$D$95*O115)</f>
        <v/>
      </c>
      <c r="P300" s="37">
        <f>P299*(1-P114)*(1-Seasonality!$D$95*P115)</f>
        <v/>
      </c>
      <c r="Q300" s="37">
        <f>Q299*(1-Q114)*(1-Seasonality!$D$95*Q115)</f>
        <v/>
      </c>
      <c r="R300" s="37">
        <f>R299*(1-R114)*(1-Seasonality!$D$95*R115)</f>
        <v/>
      </c>
      <c r="S300" s="37">
        <f>S299*(1-S114)*(1-Seasonality!$D$95*S115)</f>
        <v/>
      </c>
      <c r="T300" s="37">
        <f>T299*(1-T114)*(1-Seasonality!$D$95*T115)</f>
        <v/>
      </c>
      <c r="U300" s="37">
        <f>U299*(1-U114)*(1-Seasonality!$D$95*U115)</f>
        <v/>
      </c>
      <c r="V300" s="37">
        <f>V299*(1-V114)*(1-Seasonality!$D$95*V115)</f>
        <v/>
      </c>
      <c r="W300" s="37">
        <f>W299*(1-W114)*(1-Seasonality!$D$95*W115)</f>
        <v/>
      </c>
      <c r="X300" s="37">
        <f>X299*(1-X114)*(1-Seasonality!$D$95*X115)</f>
        <v/>
      </c>
      <c r="Y300" s="37">
        <f>Y299*(1-Y114)*(1-Seasonality!$D$95*Y115)</f>
        <v/>
      </c>
      <c r="Z300" s="37">
        <f>Z299*(1-Z114)*(1-Seasonality!$D$95*Z115)</f>
        <v/>
      </c>
      <c r="AA300" s="37">
        <f>AA299*(1-AA114)*(1-Seasonality!$D$95*AA115)</f>
        <v/>
      </c>
      <c r="AB300" s="37">
        <f>AB299*(1-AB114)*(1-Seasonality!$D$95*AB115)</f>
        <v/>
      </c>
      <c r="AC300" s="37">
        <f>AC299*(1-AC114)*(1-Seasonality!$D$95*AC115)</f>
        <v/>
      </c>
      <c r="AD300" s="37">
        <f>AD299*(1-AD114)*(1-Seasonality!$D$95*AD115)</f>
        <v/>
      </c>
      <c r="AE300" s="37">
        <f>AE299*(1-AE114)*(1-Seasonality!$D$95*AE115)</f>
        <v/>
      </c>
      <c r="AF300" s="37">
        <f>AF299*(1-AF114)*(1-Seasonality!$D$95*AF115)</f>
        <v/>
      </c>
      <c r="AG300" s="37">
        <f>AG299*(1-AG114)*(1-Seasonality!$D$95*AG115)</f>
        <v/>
      </c>
      <c r="AH300" s="37">
        <f>AH299*(1-AH114)*(1-Seasonality!$D$95*AH115)</f>
        <v/>
      </c>
      <c r="AI300" s="37">
        <f>AI299*(1-AI114)*(1-Seasonality!$D$95*AI115)</f>
        <v/>
      </c>
      <c r="AJ300" s="37">
        <f>AJ299*(1-AJ114)*(1-Seasonality!$D$95*AJ115)</f>
        <v/>
      </c>
      <c r="AK300" s="37">
        <f>AK299*(1-AK114)*(1-Seasonality!$D$95*AK115)</f>
        <v/>
      </c>
      <c r="AL300" s="37">
        <f>AL299*(1-AL114)*(1-Seasonality!$D$95*AL115)</f>
        <v/>
      </c>
      <c r="AM300" s="37">
        <f>AM299*(1-AM114)*(1-Seasonality!$D$95*AM115)</f>
        <v/>
      </c>
      <c r="AN300" s="37">
        <f>AN299*(1-AN114)*(1-Seasonality!$D$95*AN115)</f>
        <v/>
      </c>
      <c r="AO300" s="37">
        <f>AO299*(1-AO114)*(1-Seasonality!$D$95*AO115)</f>
        <v/>
      </c>
      <c r="AP300" s="37">
        <f>AP299*(1-AP114)*(1-Seasonality!$D$95*AP115)</f>
        <v/>
      </c>
      <c r="AQ300" s="37">
        <f>AQ299*(1-AQ114)*(1-Seasonality!$D$95*AQ115)</f>
        <v/>
      </c>
      <c r="AR300" s="37">
        <f>AR299*(1-AR114)*(1-Seasonality!$D$95*AR115)</f>
        <v/>
      </c>
      <c r="AS300" s="37">
        <f>AS299*(1-AS114)*(1-Seasonality!$D$95*AS115)</f>
        <v/>
      </c>
      <c r="AT300" s="37">
        <f>AT299*(1-AT114)*(1-Seasonality!$D$95*AT115)</f>
        <v/>
      </c>
      <c r="AU300" s="37">
        <f>AU299*(1-AU114)*(1-Seasonality!$D$95*AU115)</f>
        <v/>
      </c>
      <c r="AV300" s="37">
        <f>AV299*(1-AV114)*(1-Seasonality!$D$95*AV115)</f>
        <v/>
      </c>
    </row>
    <row r="301">
      <c r="B301" s="7" t="inlineStr">
        <is>
          <t>Cumulative discounted contribution · month 1</t>
        </is>
      </c>
      <c r="C301" s="5" t="inlineStr">
        <is>
          <t>₹</t>
        </is>
      </c>
      <c r="D301" s="48">
        <f>D241*D181*Seasonality!$E$37</f>
        <v/>
      </c>
      <c r="E301" s="48">
        <f>E241*E181*Seasonality!$E$37</f>
        <v/>
      </c>
      <c r="F301" s="48">
        <f>F241*F181*Seasonality!$E$37</f>
        <v/>
      </c>
      <c r="G301" s="48">
        <f>G241*G181*Seasonality!$E$37</f>
        <v/>
      </c>
      <c r="H301" s="48">
        <f>H241*H181*Seasonality!$E$37</f>
        <v/>
      </c>
      <c r="I301" s="48">
        <f>I241*I181*Seasonality!$E$37</f>
        <v/>
      </c>
      <c r="J301" s="48">
        <f>J241*J181*Seasonality!$E$37</f>
        <v/>
      </c>
      <c r="K301" s="48">
        <f>K241*K181*Seasonality!$E$37</f>
        <v/>
      </c>
      <c r="L301" s="48">
        <f>L241*L181*Seasonality!$E$37</f>
        <v/>
      </c>
      <c r="M301" s="48">
        <f>M241*M181*Seasonality!$E$37</f>
        <v/>
      </c>
      <c r="N301" s="48">
        <f>N241*N181*Seasonality!$E$37</f>
        <v/>
      </c>
      <c r="O301" s="48">
        <f>O241*O181*Seasonality!$E$37</f>
        <v/>
      </c>
      <c r="P301" s="48">
        <f>P241*P181*Seasonality!$E$37</f>
        <v/>
      </c>
      <c r="Q301" s="48">
        <f>Q241*Q181*Seasonality!$E$37</f>
        <v/>
      </c>
      <c r="R301" s="48">
        <f>R241*R181*Seasonality!$E$37</f>
        <v/>
      </c>
      <c r="S301" s="48">
        <f>S241*S181*Seasonality!$E$37</f>
        <v/>
      </c>
      <c r="T301" s="48">
        <f>T241*T181*Seasonality!$E$37</f>
        <v/>
      </c>
      <c r="U301" s="48">
        <f>U241*U181*Seasonality!$E$37</f>
        <v/>
      </c>
      <c r="V301" s="48">
        <f>V241*V181*Seasonality!$E$37</f>
        <v/>
      </c>
      <c r="W301" s="48">
        <f>W241*W181*Seasonality!$E$37</f>
        <v/>
      </c>
      <c r="X301" s="48">
        <f>X241*X181*Seasonality!$E$37</f>
        <v/>
      </c>
      <c r="Y301" s="48">
        <f>Y241*Y181*Seasonality!$E$37</f>
        <v/>
      </c>
      <c r="Z301" s="48">
        <f>Z241*Z181*Seasonality!$E$37</f>
        <v/>
      </c>
      <c r="AA301" s="48">
        <f>AA241*AA181*Seasonality!$E$37</f>
        <v/>
      </c>
      <c r="AB301" s="48">
        <f>AB241*AB181*Seasonality!$E$37</f>
        <v/>
      </c>
      <c r="AC301" s="48">
        <f>AC241*AC181*Seasonality!$E$37</f>
        <v/>
      </c>
      <c r="AD301" s="48">
        <f>AD241*AD181*Seasonality!$E$37</f>
        <v/>
      </c>
      <c r="AE301" s="48">
        <f>AE241*AE181*Seasonality!$E$37</f>
        <v/>
      </c>
      <c r="AF301" s="48">
        <f>AF241*AF181*Seasonality!$E$37</f>
        <v/>
      </c>
      <c r="AG301" s="48">
        <f>AG241*AG181*Seasonality!$E$37</f>
        <v/>
      </c>
      <c r="AH301" s="48">
        <f>AH241*AH181*Seasonality!$E$37</f>
        <v/>
      </c>
      <c r="AI301" s="48">
        <f>AI241*AI181*Seasonality!$E$37</f>
        <v/>
      </c>
      <c r="AJ301" s="48">
        <f>AJ241*AJ181*Seasonality!$E$37</f>
        <v/>
      </c>
      <c r="AK301" s="48">
        <f>AK241*AK181*Seasonality!$E$37</f>
        <v/>
      </c>
      <c r="AL301" s="48">
        <f>AL241*AL181*Seasonality!$E$37</f>
        <v/>
      </c>
      <c r="AM301" s="48">
        <f>AM241*AM181*Seasonality!$E$37</f>
        <v/>
      </c>
      <c r="AN301" s="48">
        <f>AN241*AN181*Seasonality!$E$37</f>
        <v/>
      </c>
      <c r="AO301" s="48">
        <f>AO241*AO181*Seasonality!$E$37</f>
        <v/>
      </c>
      <c r="AP301" s="48">
        <f>AP241*AP181*Seasonality!$E$37</f>
        <v/>
      </c>
      <c r="AQ301" s="48">
        <f>AQ241*AQ181*Seasonality!$E$37</f>
        <v/>
      </c>
      <c r="AR301" s="48">
        <f>AR241*AR181*Seasonality!$E$37</f>
        <v/>
      </c>
      <c r="AS301" s="48">
        <f>AS241*AS181*Seasonality!$E$37</f>
        <v/>
      </c>
      <c r="AT301" s="48">
        <f>AT241*AT181*Seasonality!$E$37</f>
        <v/>
      </c>
      <c r="AU301" s="48">
        <f>AU241*AU181*Seasonality!$E$37</f>
        <v/>
      </c>
      <c r="AV301" s="48">
        <f>AV241*AV181*Seasonality!$E$37</f>
        <v/>
      </c>
    </row>
    <row r="302">
      <c r="B302" s="7" t="inlineStr">
        <is>
          <t>Cumulative discounted contribution · month 2</t>
        </is>
      </c>
      <c r="C302" s="5" t="inlineStr">
        <is>
          <t>₹</t>
        </is>
      </c>
      <c r="D302" s="48">
        <f>D301+D242*D182*Seasonality!$E$38</f>
        <v/>
      </c>
      <c r="E302" s="48">
        <f>E301+E242*E182*Seasonality!$E$38</f>
        <v/>
      </c>
      <c r="F302" s="48">
        <f>F301+F242*F182*Seasonality!$E$38</f>
        <v/>
      </c>
      <c r="G302" s="48">
        <f>G301+G242*G182*Seasonality!$E$38</f>
        <v/>
      </c>
      <c r="H302" s="48">
        <f>H301+H242*H182*Seasonality!$E$38</f>
        <v/>
      </c>
      <c r="I302" s="48">
        <f>I301+I242*I182*Seasonality!$E$38</f>
        <v/>
      </c>
      <c r="J302" s="48">
        <f>J301+J242*J182*Seasonality!$E$38</f>
        <v/>
      </c>
      <c r="K302" s="48">
        <f>K301+K242*K182*Seasonality!$E$38</f>
        <v/>
      </c>
      <c r="L302" s="48">
        <f>L301+L242*L182*Seasonality!$E$38</f>
        <v/>
      </c>
      <c r="M302" s="48">
        <f>M301+M242*M182*Seasonality!$E$38</f>
        <v/>
      </c>
      <c r="N302" s="48">
        <f>N301+N242*N182*Seasonality!$E$38</f>
        <v/>
      </c>
      <c r="O302" s="48">
        <f>O301+O242*O182*Seasonality!$E$38</f>
        <v/>
      </c>
      <c r="P302" s="48">
        <f>P301+P242*P182*Seasonality!$E$38</f>
        <v/>
      </c>
      <c r="Q302" s="48">
        <f>Q301+Q242*Q182*Seasonality!$E$38</f>
        <v/>
      </c>
      <c r="R302" s="48">
        <f>R301+R242*R182*Seasonality!$E$38</f>
        <v/>
      </c>
      <c r="S302" s="48">
        <f>S301+S242*S182*Seasonality!$E$38</f>
        <v/>
      </c>
      <c r="T302" s="48">
        <f>T301+T242*T182*Seasonality!$E$38</f>
        <v/>
      </c>
      <c r="U302" s="48">
        <f>U301+U242*U182*Seasonality!$E$38</f>
        <v/>
      </c>
      <c r="V302" s="48">
        <f>V301+V242*V182*Seasonality!$E$38</f>
        <v/>
      </c>
      <c r="W302" s="48">
        <f>W301+W242*W182*Seasonality!$E$38</f>
        <v/>
      </c>
      <c r="X302" s="48">
        <f>X301+X242*X182*Seasonality!$E$38</f>
        <v/>
      </c>
      <c r="Y302" s="48">
        <f>Y301+Y242*Y182*Seasonality!$E$38</f>
        <v/>
      </c>
      <c r="Z302" s="48">
        <f>Z301+Z242*Z182*Seasonality!$E$38</f>
        <v/>
      </c>
      <c r="AA302" s="48">
        <f>AA301+AA242*AA182*Seasonality!$E$38</f>
        <v/>
      </c>
      <c r="AB302" s="48">
        <f>AB301+AB242*AB182*Seasonality!$E$38</f>
        <v/>
      </c>
      <c r="AC302" s="48">
        <f>AC301+AC242*AC182*Seasonality!$E$38</f>
        <v/>
      </c>
      <c r="AD302" s="48">
        <f>AD301+AD242*AD182*Seasonality!$E$38</f>
        <v/>
      </c>
      <c r="AE302" s="48">
        <f>AE301+AE242*AE182*Seasonality!$E$38</f>
        <v/>
      </c>
      <c r="AF302" s="48">
        <f>AF301+AF242*AF182*Seasonality!$E$38</f>
        <v/>
      </c>
      <c r="AG302" s="48">
        <f>AG301+AG242*AG182*Seasonality!$E$38</f>
        <v/>
      </c>
      <c r="AH302" s="48">
        <f>AH301+AH242*AH182*Seasonality!$E$38</f>
        <v/>
      </c>
      <c r="AI302" s="48">
        <f>AI301+AI242*AI182*Seasonality!$E$38</f>
        <v/>
      </c>
      <c r="AJ302" s="48">
        <f>AJ301+AJ242*AJ182*Seasonality!$E$38</f>
        <v/>
      </c>
      <c r="AK302" s="48">
        <f>AK301+AK242*AK182*Seasonality!$E$38</f>
        <v/>
      </c>
      <c r="AL302" s="48">
        <f>AL301+AL242*AL182*Seasonality!$E$38</f>
        <v/>
      </c>
      <c r="AM302" s="48">
        <f>AM301+AM242*AM182*Seasonality!$E$38</f>
        <v/>
      </c>
      <c r="AN302" s="48">
        <f>AN301+AN242*AN182*Seasonality!$E$38</f>
        <v/>
      </c>
      <c r="AO302" s="48">
        <f>AO301+AO242*AO182*Seasonality!$E$38</f>
        <v/>
      </c>
      <c r="AP302" s="48">
        <f>AP301+AP242*AP182*Seasonality!$E$38</f>
        <v/>
      </c>
      <c r="AQ302" s="48">
        <f>AQ301+AQ242*AQ182*Seasonality!$E$38</f>
        <v/>
      </c>
      <c r="AR302" s="48">
        <f>AR301+AR242*AR182*Seasonality!$E$38</f>
        <v/>
      </c>
      <c r="AS302" s="48">
        <f>AS301+AS242*AS182*Seasonality!$E$38</f>
        <v/>
      </c>
      <c r="AT302" s="48">
        <f>AT301+AT242*AT182*Seasonality!$E$38</f>
        <v/>
      </c>
      <c r="AU302" s="48">
        <f>AU301+AU242*AU182*Seasonality!$E$38</f>
        <v/>
      </c>
      <c r="AV302" s="48">
        <f>AV301+AV242*AV182*Seasonality!$E$38</f>
        <v/>
      </c>
    </row>
    <row r="303">
      <c r="B303" s="7" t="inlineStr">
        <is>
          <t>Cumulative discounted contribution · month 3</t>
        </is>
      </c>
      <c r="C303" s="5" t="inlineStr">
        <is>
          <t>₹</t>
        </is>
      </c>
      <c r="D303" s="48">
        <f>D302+D243*D183*Seasonality!$E$39</f>
        <v/>
      </c>
      <c r="E303" s="48">
        <f>E302+E243*E183*Seasonality!$E$39</f>
        <v/>
      </c>
      <c r="F303" s="48">
        <f>F302+F243*F183*Seasonality!$E$39</f>
        <v/>
      </c>
      <c r="G303" s="48">
        <f>G302+G243*G183*Seasonality!$E$39</f>
        <v/>
      </c>
      <c r="H303" s="48">
        <f>H302+H243*H183*Seasonality!$E$39</f>
        <v/>
      </c>
      <c r="I303" s="48">
        <f>I302+I243*I183*Seasonality!$E$39</f>
        <v/>
      </c>
      <c r="J303" s="48">
        <f>J302+J243*J183*Seasonality!$E$39</f>
        <v/>
      </c>
      <c r="K303" s="48">
        <f>K302+K243*K183*Seasonality!$E$39</f>
        <v/>
      </c>
      <c r="L303" s="48">
        <f>L302+L243*L183*Seasonality!$E$39</f>
        <v/>
      </c>
      <c r="M303" s="48">
        <f>M302+M243*M183*Seasonality!$E$39</f>
        <v/>
      </c>
      <c r="N303" s="48">
        <f>N302+N243*N183*Seasonality!$E$39</f>
        <v/>
      </c>
      <c r="O303" s="48">
        <f>O302+O243*O183*Seasonality!$E$39</f>
        <v/>
      </c>
      <c r="P303" s="48">
        <f>P302+P243*P183*Seasonality!$E$39</f>
        <v/>
      </c>
      <c r="Q303" s="48">
        <f>Q302+Q243*Q183*Seasonality!$E$39</f>
        <v/>
      </c>
      <c r="R303" s="48">
        <f>R302+R243*R183*Seasonality!$E$39</f>
        <v/>
      </c>
      <c r="S303" s="48">
        <f>S302+S243*S183*Seasonality!$E$39</f>
        <v/>
      </c>
      <c r="T303" s="48">
        <f>T302+T243*T183*Seasonality!$E$39</f>
        <v/>
      </c>
      <c r="U303" s="48">
        <f>U302+U243*U183*Seasonality!$E$39</f>
        <v/>
      </c>
      <c r="V303" s="48">
        <f>V302+V243*V183*Seasonality!$E$39</f>
        <v/>
      </c>
      <c r="W303" s="48">
        <f>W302+W243*W183*Seasonality!$E$39</f>
        <v/>
      </c>
      <c r="X303" s="48">
        <f>X302+X243*X183*Seasonality!$E$39</f>
        <v/>
      </c>
      <c r="Y303" s="48">
        <f>Y302+Y243*Y183*Seasonality!$E$39</f>
        <v/>
      </c>
      <c r="Z303" s="48">
        <f>Z302+Z243*Z183*Seasonality!$E$39</f>
        <v/>
      </c>
      <c r="AA303" s="48">
        <f>AA302+AA243*AA183*Seasonality!$E$39</f>
        <v/>
      </c>
      <c r="AB303" s="48">
        <f>AB302+AB243*AB183*Seasonality!$E$39</f>
        <v/>
      </c>
      <c r="AC303" s="48">
        <f>AC302+AC243*AC183*Seasonality!$E$39</f>
        <v/>
      </c>
      <c r="AD303" s="48">
        <f>AD302+AD243*AD183*Seasonality!$E$39</f>
        <v/>
      </c>
      <c r="AE303" s="48">
        <f>AE302+AE243*AE183*Seasonality!$E$39</f>
        <v/>
      </c>
      <c r="AF303" s="48">
        <f>AF302+AF243*AF183*Seasonality!$E$39</f>
        <v/>
      </c>
      <c r="AG303" s="48">
        <f>AG302+AG243*AG183*Seasonality!$E$39</f>
        <v/>
      </c>
      <c r="AH303" s="48">
        <f>AH302+AH243*AH183*Seasonality!$E$39</f>
        <v/>
      </c>
      <c r="AI303" s="48">
        <f>AI302+AI243*AI183*Seasonality!$E$39</f>
        <v/>
      </c>
      <c r="AJ303" s="48">
        <f>AJ302+AJ243*AJ183*Seasonality!$E$39</f>
        <v/>
      </c>
      <c r="AK303" s="48">
        <f>AK302+AK243*AK183*Seasonality!$E$39</f>
        <v/>
      </c>
      <c r="AL303" s="48">
        <f>AL302+AL243*AL183*Seasonality!$E$39</f>
        <v/>
      </c>
      <c r="AM303" s="48">
        <f>AM302+AM243*AM183*Seasonality!$E$39</f>
        <v/>
      </c>
      <c r="AN303" s="48">
        <f>AN302+AN243*AN183*Seasonality!$E$39</f>
        <v/>
      </c>
      <c r="AO303" s="48">
        <f>AO302+AO243*AO183*Seasonality!$E$39</f>
        <v/>
      </c>
      <c r="AP303" s="48">
        <f>AP302+AP243*AP183*Seasonality!$E$39</f>
        <v/>
      </c>
      <c r="AQ303" s="48">
        <f>AQ302+AQ243*AQ183*Seasonality!$E$39</f>
        <v/>
      </c>
      <c r="AR303" s="48">
        <f>AR302+AR243*AR183*Seasonality!$E$39</f>
        <v/>
      </c>
      <c r="AS303" s="48">
        <f>AS302+AS243*AS183*Seasonality!$E$39</f>
        <v/>
      </c>
      <c r="AT303" s="48">
        <f>AT302+AT243*AT183*Seasonality!$E$39</f>
        <v/>
      </c>
      <c r="AU303" s="48">
        <f>AU302+AU243*AU183*Seasonality!$E$39</f>
        <v/>
      </c>
      <c r="AV303" s="48">
        <f>AV302+AV243*AV183*Seasonality!$E$39</f>
        <v/>
      </c>
    </row>
    <row r="304">
      <c r="B304" s="7" t="inlineStr">
        <is>
          <t>Cumulative discounted contribution · month 4</t>
        </is>
      </c>
      <c r="C304" s="5" t="inlineStr">
        <is>
          <t>₹</t>
        </is>
      </c>
      <c r="D304" s="48">
        <f>D303+D244*D184*Seasonality!$E$40</f>
        <v/>
      </c>
      <c r="E304" s="48">
        <f>E303+E244*E184*Seasonality!$E$40</f>
        <v/>
      </c>
      <c r="F304" s="48">
        <f>F303+F244*F184*Seasonality!$E$40</f>
        <v/>
      </c>
      <c r="G304" s="48">
        <f>G303+G244*G184*Seasonality!$E$40</f>
        <v/>
      </c>
      <c r="H304" s="48">
        <f>H303+H244*H184*Seasonality!$E$40</f>
        <v/>
      </c>
      <c r="I304" s="48">
        <f>I303+I244*I184*Seasonality!$E$40</f>
        <v/>
      </c>
      <c r="J304" s="48">
        <f>J303+J244*J184*Seasonality!$E$40</f>
        <v/>
      </c>
      <c r="K304" s="48">
        <f>K303+K244*K184*Seasonality!$E$40</f>
        <v/>
      </c>
      <c r="L304" s="48">
        <f>L303+L244*L184*Seasonality!$E$40</f>
        <v/>
      </c>
      <c r="M304" s="48">
        <f>M303+M244*M184*Seasonality!$E$40</f>
        <v/>
      </c>
      <c r="N304" s="48">
        <f>N303+N244*N184*Seasonality!$E$40</f>
        <v/>
      </c>
      <c r="O304" s="48">
        <f>O303+O244*O184*Seasonality!$E$40</f>
        <v/>
      </c>
      <c r="P304" s="48">
        <f>P303+P244*P184*Seasonality!$E$40</f>
        <v/>
      </c>
      <c r="Q304" s="48">
        <f>Q303+Q244*Q184*Seasonality!$E$40</f>
        <v/>
      </c>
      <c r="R304" s="48">
        <f>R303+R244*R184*Seasonality!$E$40</f>
        <v/>
      </c>
      <c r="S304" s="48">
        <f>S303+S244*S184*Seasonality!$E$40</f>
        <v/>
      </c>
      <c r="T304" s="48">
        <f>T303+T244*T184*Seasonality!$E$40</f>
        <v/>
      </c>
      <c r="U304" s="48">
        <f>U303+U244*U184*Seasonality!$E$40</f>
        <v/>
      </c>
      <c r="V304" s="48">
        <f>V303+V244*V184*Seasonality!$E$40</f>
        <v/>
      </c>
      <c r="W304" s="48">
        <f>W303+W244*W184*Seasonality!$E$40</f>
        <v/>
      </c>
      <c r="X304" s="48">
        <f>X303+X244*X184*Seasonality!$E$40</f>
        <v/>
      </c>
      <c r="Y304" s="48">
        <f>Y303+Y244*Y184*Seasonality!$E$40</f>
        <v/>
      </c>
      <c r="Z304" s="48">
        <f>Z303+Z244*Z184*Seasonality!$E$40</f>
        <v/>
      </c>
      <c r="AA304" s="48">
        <f>AA303+AA244*AA184*Seasonality!$E$40</f>
        <v/>
      </c>
      <c r="AB304" s="48">
        <f>AB303+AB244*AB184*Seasonality!$E$40</f>
        <v/>
      </c>
      <c r="AC304" s="48">
        <f>AC303+AC244*AC184*Seasonality!$E$40</f>
        <v/>
      </c>
      <c r="AD304" s="48">
        <f>AD303+AD244*AD184*Seasonality!$E$40</f>
        <v/>
      </c>
      <c r="AE304" s="48">
        <f>AE303+AE244*AE184*Seasonality!$E$40</f>
        <v/>
      </c>
      <c r="AF304" s="48">
        <f>AF303+AF244*AF184*Seasonality!$E$40</f>
        <v/>
      </c>
      <c r="AG304" s="48">
        <f>AG303+AG244*AG184*Seasonality!$E$40</f>
        <v/>
      </c>
      <c r="AH304" s="48">
        <f>AH303+AH244*AH184*Seasonality!$E$40</f>
        <v/>
      </c>
      <c r="AI304" s="48">
        <f>AI303+AI244*AI184*Seasonality!$E$40</f>
        <v/>
      </c>
      <c r="AJ304" s="48">
        <f>AJ303+AJ244*AJ184*Seasonality!$E$40</f>
        <v/>
      </c>
      <c r="AK304" s="48">
        <f>AK303+AK244*AK184*Seasonality!$E$40</f>
        <v/>
      </c>
      <c r="AL304" s="48">
        <f>AL303+AL244*AL184*Seasonality!$E$40</f>
        <v/>
      </c>
      <c r="AM304" s="48">
        <f>AM303+AM244*AM184*Seasonality!$E$40</f>
        <v/>
      </c>
      <c r="AN304" s="48">
        <f>AN303+AN244*AN184*Seasonality!$E$40</f>
        <v/>
      </c>
      <c r="AO304" s="48">
        <f>AO303+AO244*AO184*Seasonality!$E$40</f>
        <v/>
      </c>
      <c r="AP304" s="48">
        <f>AP303+AP244*AP184*Seasonality!$E$40</f>
        <v/>
      </c>
      <c r="AQ304" s="48">
        <f>AQ303+AQ244*AQ184*Seasonality!$E$40</f>
        <v/>
      </c>
      <c r="AR304" s="48">
        <f>AR303+AR244*AR184*Seasonality!$E$40</f>
        <v/>
      </c>
      <c r="AS304" s="48">
        <f>AS303+AS244*AS184*Seasonality!$E$40</f>
        <v/>
      </c>
      <c r="AT304" s="48">
        <f>AT303+AT244*AT184*Seasonality!$E$40</f>
        <v/>
      </c>
      <c r="AU304" s="48">
        <f>AU303+AU244*AU184*Seasonality!$E$40</f>
        <v/>
      </c>
      <c r="AV304" s="48">
        <f>AV303+AV244*AV184*Seasonality!$E$40</f>
        <v/>
      </c>
    </row>
    <row r="305">
      <c r="B305" s="7" t="inlineStr">
        <is>
          <t>Cumulative discounted contribution · month 5</t>
        </is>
      </c>
      <c r="C305" s="5" t="inlineStr">
        <is>
          <t>₹</t>
        </is>
      </c>
      <c r="D305" s="48">
        <f>D304+D245*D185*Seasonality!$E$41</f>
        <v/>
      </c>
      <c r="E305" s="48">
        <f>E304+E245*E185*Seasonality!$E$41</f>
        <v/>
      </c>
      <c r="F305" s="48">
        <f>F304+F245*F185*Seasonality!$E$41</f>
        <v/>
      </c>
      <c r="G305" s="48">
        <f>G304+G245*G185*Seasonality!$E$41</f>
        <v/>
      </c>
      <c r="H305" s="48">
        <f>H304+H245*H185*Seasonality!$E$41</f>
        <v/>
      </c>
      <c r="I305" s="48">
        <f>I304+I245*I185*Seasonality!$E$41</f>
        <v/>
      </c>
      <c r="J305" s="48">
        <f>J304+J245*J185*Seasonality!$E$41</f>
        <v/>
      </c>
      <c r="K305" s="48">
        <f>K304+K245*K185*Seasonality!$E$41</f>
        <v/>
      </c>
      <c r="L305" s="48">
        <f>L304+L245*L185*Seasonality!$E$41</f>
        <v/>
      </c>
      <c r="M305" s="48">
        <f>M304+M245*M185*Seasonality!$E$41</f>
        <v/>
      </c>
      <c r="N305" s="48">
        <f>N304+N245*N185*Seasonality!$E$41</f>
        <v/>
      </c>
      <c r="O305" s="48">
        <f>O304+O245*O185*Seasonality!$E$41</f>
        <v/>
      </c>
      <c r="P305" s="48">
        <f>P304+P245*P185*Seasonality!$E$41</f>
        <v/>
      </c>
      <c r="Q305" s="48">
        <f>Q304+Q245*Q185*Seasonality!$E$41</f>
        <v/>
      </c>
      <c r="R305" s="48">
        <f>R304+R245*R185*Seasonality!$E$41</f>
        <v/>
      </c>
      <c r="S305" s="48">
        <f>S304+S245*S185*Seasonality!$E$41</f>
        <v/>
      </c>
      <c r="T305" s="48">
        <f>T304+T245*T185*Seasonality!$E$41</f>
        <v/>
      </c>
      <c r="U305" s="48">
        <f>U304+U245*U185*Seasonality!$E$41</f>
        <v/>
      </c>
      <c r="V305" s="48">
        <f>V304+V245*V185*Seasonality!$E$41</f>
        <v/>
      </c>
      <c r="W305" s="48">
        <f>W304+W245*W185*Seasonality!$E$41</f>
        <v/>
      </c>
      <c r="X305" s="48">
        <f>X304+X245*X185*Seasonality!$E$41</f>
        <v/>
      </c>
      <c r="Y305" s="48">
        <f>Y304+Y245*Y185*Seasonality!$E$41</f>
        <v/>
      </c>
      <c r="Z305" s="48">
        <f>Z304+Z245*Z185*Seasonality!$E$41</f>
        <v/>
      </c>
      <c r="AA305" s="48">
        <f>AA304+AA245*AA185*Seasonality!$E$41</f>
        <v/>
      </c>
      <c r="AB305" s="48">
        <f>AB304+AB245*AB185*Seasonality!$E$41</f>
        <v/>
      </c>
      <c r="AC305" s="48">
        <f>AC304+AC245*AC185*Seasonality!$E$41</f>
        <v/>
      </c>
      <c r="AD305" s="48">
        <f>AD304+AD245*AD185*Seasonality!$E$41</f>
        <v/>
      </c>
      <c r="AE305" s="48">
        <f>AE304+AE245*AE185*Seasonality!$E$41</f>
        <v/>
      </c>
      <c r="AF305" s="48">
        <f>AF304+AF245*AF185*Seasonality!$E$41</f>
        <v/>
      </c>
      <c r="AG305" s="48">
        <f>AG304+AG245*AG185*Seasonality!$E$41</f>
        <v/>
      </c>
      <c r="AH305" s="48">
        <f>AH304+AH245*AH185*Seasonality!$E$41</f>
        <v/>
      </c>
      <c r="AI305" s="48">
        <f>AI304+AI245*AI185*Seasonality!$E$41</f>
        <v/>
      </c>
      <c r="AJ305" s="48">
        <f>AJ304+AJ245*AJ185*Seasonality!$E$41</f>
        <v/>
      </c>
      <c r="AK305" s="48">
        <f>AK304+AK245*AK185*Seasonality!$E$41</f>
        <v/>
      </c>
      <c r="AL305" s="48">
        <f>AL304+AL245*AL185*Seasonality!$E$41</f>
        <v/>
      </c>
      <c r="AM305" s="48">
        <f>AM304+AM245*AM185*Seasonality!$E$41</f>
        <v/>
      </c>
      <c r="AN305" s="48">
        <f>AN304+AN245*AN185*Seasonality!$E$41</f>
        <v/>
      </c>
      <c r="AO305" s="48">
        <f>AO304+AO245*AO185*Seasonality!$E$41</f>
        <v/>
      </c>
      <c r="AP305" s="48">
        <f>AP304+AP245*AP185*Seasonality!$E$41</f>
        <v/>
      </c>
      <c r="AQ305" s="48">
        <f>AQ304+AQ245*AQ185*Seasonality!$E$41</f>
        <v/>
      </c>
      <c r="AR305" s="48">
        <f>AR304+AR245*AR185*Seasonality!$E$41</f>
        <v/>
      </c>
      <c r="AS305" s="48">
        <f>AS304+AS245*AS185*Seasonality!$E$41</f>
        <v/>
      </c>
      <c r="AT305" s="48">
        <f>AT304+AT245*AT185*Seasonality!$E$41</f>
        <v/>
      </c>
      <c r="AU305" s="48">
        <f>AU304+AU245*AU185*Seasonality!$E$41</f>
        <v/>
      </c>
      <c r="AV305" s="48">
        <f>AV304+AV245*AV185*Seasonality!$E$41</f>
        <v/>
      </c>
    </row>
    <row r="306">
      <c r="B306" s="7" t="inlineStr">
        <is>
          <t>Cumulative discounted contribution · month 6</t>
        </is>
      </c>
      <c r="C306" s="5" t="inlineStr">
        <is>
          <t>₹</t>
        </is>
      </c>
      <c r="D306" s="48">
        <f>D305+D246*D186*Seasonality!$E$42</f>
        <v/>
      </c>
      <c r="E306" s="48">
        <f>E305+E246*E186*Seasonality!$E$42</f>
        <v/>
      </c>
      <c r="F306" s="48">
        <f>F305+F246*F186*Seasonality!$E$42</f>
        <v/>
      </c>
      <c r="G306" s="48">
        <f>G305+G246*G186*Seasonality!$E$42</f>
        <v/>
      </c>
      <c r="H306" s="48">
        <f>H305+H246*H186*Seasonality!$E$42</f>
        <v/>
      </c>
      <c r="I306" s="48">
        <f>I305+I246*I186*Seasonality!$E$42</f>
        <v/>
      </c>
      <c r="J306" s="48">
        <f>J305+J246*J186*Seasonality!$E$42</f>
        <v/>
      </c>
      <c r="K306" s="48">
        <f>K305+K246*K186*Seasonality!$E$42</f>
        <v/>
      </c>
      <c r="L306" s="48">
        <f>L305+L246*L186*Seasonality!$E$42</f>
        <v/>
      </c>
      <c r="M306" s="48">
        <f>M305+M246*M186*Seasonality!$E$42</f>
        <v/>
      </c>
      <c r="N306" s="48">
        <f>N305+N246*N186*Seasonality!$E$42</f>
        <v/>
      </c>
      <c r="O306" s="48">
        <f>O305+O246*O186*Seasonality!$E$42</f>
        <v/>
      </c>
      <c r="P306" s="48">
        <f>P305+P246*P186*Seasonality!$E$42</f>
        <v/>
      </c>
      <c r="Q306" s="48">
        <f>Q305+Q246*Q186*Seasonality!$E$42</f>
        <v/>
      </c>
      <c r="R306" s="48">
        <f>R305+R246*R186*Seasonality!$E$42</f>
        <v/>
      </c>
      <c r="S306" s="48">
        <f>S305+S246*S186*Seasonality!$E$42</f>
        <v/>
      </c>
      <c r="T306" s="48">
        <f>T305+T246*T186*Seasonality!$E$42</f>
        <v/>
      </c>
      <c r="U306" s="48">
        <f>U305+U246*U186*Seasonality!$E$42</f>
        <v/>
      </c>
      <c r="V306" s="48">
        <f>V305+V246*V186*Seasonality!$E$42</f>
        <v/>
      </c>
      <c r="W306" s="48">
        <f>W305+W246*W186*Seasonality!$E$42</f>
        <v/>
      </c>
      <c r="X306" s="48">
        <f>X305+X246*X186*Seasonality!$E$42</f>
        <v/>
      </c>
      <c r="Y306" s="48">
        <f>Y305+Y246*Y186*Seasonality!$E$42</f>
        <v/>
      </c>
      <c r="Z306" s="48">
        <f>Z305+Z246*Z186*Seasonality!$E$42</f>
        <v/>
      </c>
      <c r="AA306" s="48">
        <f>AA305+AA246*AA186*Seasonality!$E$42</f>
        <v/>
      </c>
      <c r="AB306" s="48">
        <f>AB305+AB246*AB186*Seasonality!$E$42</f>
        <v/>
      </c>
      <c r="AC306" s="48">
        <f>AC305+AC246*AC186*Seasonality!$E$42</f>
        <v/>
      </c>
      <c r="AD306" s="48">
        <f>AD305+AD246*AD186*Seasonality!$E$42</f>
        <v/>
      </c>
      <c r="AE306" s="48">
        <f>AE305+AE246*AE186*Seasonality!$E$42</f>
        <v/>
      </c>
      <c r="AF306" s="48">
        <f>AF305+AF246*AF186*Seasonality!$E$42</f>
        <v/>
      </c>
      <c r="AG306" s="48">
        <f>AG305+AG246*AG186*Seasonality!$E$42</f>
        <v/>
      </c>
      <c r="AH306" s="48">
        <f>AH305+AH246*AH186*Seasonality!$E$42</f>
        <v/>
      </c>
      <c r="AI306" s="48">
        <f>AI305+AI246*AI186*Seasonality!$E$42</f>
        <v/>
      </c>
      <c r="AJ306" s="48">
        <f>AJ305+AJ246*AJ186*Seasonality!$E$42</f>
        <v/>
      </c>
      <c r="AK306" s="48">
        <f>AK305+AK246*AK186*Seasonality!$E$42</f>
        <v/>
      </c>
      <c r="AL306" s="48">
        <f>AL305+AL246*AL186*Seasonality!$E$42</f>
        <v/>
      </c>
      <c r="AM306" s="48">
        <f>AM305+AM246*AM186*Seasonality!$E$42</f>
        <v/>
      </c>
      <c r="AN306" s="48">
        <f>AN305+AN246*AN186*Seasonality!$E$42</f>
        <v/>
      </c>
      <c r="AO306" s="48">
        <f>AO305+AO246*AO186*Seasonality!$E$42</f>
        <v/>
      </c>
      <c r="AP306" s="48">
        <f>AP305+AP246*AP186*Seasonality!$E$42</f>
        <v/>
      </c>
      <c r="AQ306" s="48">
        <f>AQ305+AQ246*AQ186*Seasonality!$E$42</f>
        <v/>
      </c>
      <c r="AR306" s="48">
        <f>AR305+AR246*AR186*Seasonality!$E$42</f>
        <v/>
      </c>
      <c r="AS306" s="48">
        <f>AS305+AS246*AS186*Seasonality!$E$42</f>
        <v/>
      </c>
      <c r="AT306" s="48">
        <f>AT305+AT246*AT186*Seasonality!$E$42</f>
        <v/>
      </c>
      <c r="AU306" s="48">
        <f>AU305+AU246*AU186*Seasonality!$E$42</f>
        <v/>
      </c>
      <c r="AV306" s="48">
        <f>AV305+AV246*AV186*Seasonality!$E$42</f>
        <v/>
      </c>
    </row>
    <row r="307">
      <c r="B307" s="7" t="inlineStr">
        <is>
          <t>Cumulative discounted contribution · month 7</t>
        </is>
      </c>
      <c r="C307" s="5" t="inlineStr">
        <is>
          <t>₹</t>
        </is>
      </c>
      <c r="D307" s="48">
        <f>D306+D247*D187*Seasonality!$E$43</f>
        <v/>
      </c>
      <c r="E307" s="48">
        <f>E306+E247*E187*Seasonality!$E$43</f>
        <v/>
      </c>
      <c r="F307" s="48">
        <f>F306+F247*F187*Seasonality!$E$43</f>
        <v/>
      </c>
      <c r="G307" s="48">
        <f>G306+G247*G187*Seasonality!$E$43</f>
        <v/>
      </c>
      <c r="H307" s="48">
        <f>H306+H247*H187*Seasonality!$E$43</f>
        <v/>
      </c>
      <c r="I307" s="48">
        <f>I306+I247*I187*Seasonality!$E$43</f>
        <v/>
      </c>
      <c r="J307" s="48">
        <f>J306+J247*J187*Seasonality!$E$43</f>
        <v/>
      </c>
      <c r="K307" s="48">
        <f>K306+K247*K187*Seasonality!$E$43</f>
        <v/>
      </c>
      <c r="L307" s="48">
        <f>L306+L247*L187*Seasonality!$E$43</f>
        <v/>
      </c>
      <c r="M307" s="48">
        <f>M306+M247*M187*Seasonality!$E$43</f>
        <v/>
      </c>
      <c r="N307" s="48">
        <f>N306+N247*N187*Seasonality!$E$43</f>
        <v/>
      </c>
      <c r="O307" s="48">
        <f>O306+O247*O187*Seasonality!$E$43</f>
        <v/>
      </c>
      <c r="P307" s="48">
        <f>P306+P247*P187*Seasonality!$E$43</f>
        <v/>
      </c>
      <c r="Q307" s="48">
        <f>Q306+Q247*Q187*Seasonality!$E$43</f>
        <v/>
      </c>
      <c r="R307" s="48">
        <f>R306+R247*R187*Seasonality!$E$43</f>
        <v/>
      </c>
      <c r="S307" s="48">
        <f>S306+S247*S187*Seasonality!$E$43</f>
        <v/>
      </c>
      <c r="T307" s="48">
        <f>T306+T247*T187*Seasonality!$E$43</f>
        <v/>
      </c>
      <c r="U307" s="48">
        <f>U306+U247*U187*Seasonality!$E$43</f>
        <v/>
      </c>
      <c r="V307" s="48">
        <f>V306+V247*V187*Seasonality!$E$43</f>
        <v/>
      </c>
      <c r="W307" s="48">
        <f>W306+W247*W187*Seasonality!$E$43</f>
        <v/>
      </c>
      <c r="X307" s="48">
        <f>X306+X247*X187*Seasonality!$E$43</f>
        <v/>
      </c>
      <c r="Y307" s="48">
        <f>Y306+Y247*Y187*Seasonality!$E$43</f>
        <v/>
      </c>
      <c r="Z307" s="48">
        <f>Z306+Z247*Z187*Seasonality!$E$43</f>
        <v/>
      </c>
      <c r="AA307" s="48">
        <f>AA306+AA247*AA187*Seasonality!$E$43</f>
        <v/>
      </c>
      <c r="AB307" s="48">
        <f>AB306+AB247*AB187*Seasonality!$E$43</f>
        <v/>
      </c>
      <c r="AC307" s="48">
        <f>AC306+AC247*AC187*Seasonality!$E$43</f>
        <v/>
      </c>
      <c r="AD307" s="48">
        <f>AD306+AD247*AD187*Seasonality!$E$43</f>
        <v/>
      </c>
      <c r="AE307" s="48">
        <f>AE306+AE247*AE187*Seasonality!$E$43</f>
        <v/>
      </c>
      <c r="AF307" s="48">
        <f>AF306+AF247*AF187*Seasonality!$E$43</f>
        <v/>
      </c>
      <c r="AG307" s="48">
        <f>AG306+AG247*AG187*Seasonality!$E$43</f>
        <v/>
      </c>
      <c r="AH307" s="48">
        <f>AH306+AH247*AH187*Seasonality!$E$43</f>
        <v/>
      </c>
      <c r="AI307" s="48">
        <f>AI306+AI247*AI187*Seasonality!$E$43</f>
        <v/>
      </c>
      <c r="AJ307" s="48">
        <f>AJ306+AJ247*AJ187*Seasonality!$E$43</f>
        <v/>
      </c>
      <c r="AK307" s="48">
        <f>AK306+AK247*AK187*Seasonality!$E$43</f>
        <v/>
      </c>
      <c r="AL307" s="48">
        <f>AL306+AL247*AL187*Seasonality!$E$43</f>
        <v/>
      </c>
      <c r="AM307" s="48">
        <f>AM306+AM247*AM187*Seasonality!$E$43</f>
        <v/>
      </c>
      <c r="AN307" s="48">
        <f>AN306+AN247*AN187*Seasonality!$E$43</f>
        <v/>
      </c>
      <c r="AO307" s="48">
        <f>AO306+AO247*AO187*Seasonality!$E$43</f>
        <v/>
      </c>
      <c r="AP307" s="48">
        <f>AP306+AP247*AP187*Seasonality!$E$43</f>
        <v/>
      </c>
      <c r="AQ307" s="48">
        <f>AQ306+AQ247*AQ187*Seasonality!$E$43</f>
        <v/>
      </c>
      <c r="AR307" s="48">
        <f>AR306+AR247*AR187*Seasonality!$E$43</f>
        <v/>
      </c>
      <c r="AS307" s="48">
        <f>AS306+AS247*AS187*Seasonality!$E$43</f>
        <v/>
      </c>
      <c r="AT307" s="48">
        <f>AT306+AT247*AT187*Seasonality!$E$43</f>
        <v/>
      </c>
      <c r="AU307" s="48">
        <f>AU306+AU247*AU187*Seasonality!$E$43</f>
        <v/>
      </c>
      <c r="AV307" s="48">
        <f>AV306+AV247*AV187*Seasonality!$E$43</f>
        <v/>
      </c>
    </row>
    <row r="308">
      <c r="B308" s="7" t="inlineStr">
        <is>
          <t>Cumulative discounted contribution · month 8</t>
        </is>
      </c>
      <c r="C308" s="5" t="inlineStr">
        <is>
          <t>₹</t>
        </is>
      </c>
      <c r="D308" s="48">
        <f>D307+D248*D188*Seasonality!$E$44</f>
        <v/>
      </c>
      <c r="E308" s="48">
        <f>E307+E248*E188*Seasonality!$E$44</f>
        <v/>
      </c>
      <c r="F308" s="48">
        <f>F307+F248*F188*Seasonality!$E$44</f>
        <v/>
      </c>
      <c r="G308" s="48">
        <f>G307+G248*G188*Seasonality!$E$44</f>
        <v/>
      </c>
      <c r="H308" s="48">
        <f>H307+H248*H188*Seasonality!$E$44</f>
        <v/>
      </c>
      <c r="I308" s="48">
        <f>I307+I248*I188*Seasonality!$E$44</f>
        <v/>
      </c>
      <c r="J308" s="48">
        <f>J307+J248*J188*Seasonality!$E$44</f>
        <v/>
      </c>
      <c r="K308" s="48">
        <f>K307+K248*K188*Seasonality!$E$44</f>
        <v/>
      </c>
      <c r="L308" s="48">
        <f>L307+L248*L188*Seasonality!$E$44</f>
        <v/>
      </c>
      <c r="M308" s="48">
        <f>M307+M248*M188*Seasonality!$E$44</f>
        <v/>
      </c>
      <c r="N308" s="48">
        <f>N307+N248*N188*Seasonality!$E$44</f>
        <v/>
      </c>
      <c r="O308" s="48">
        <f>O307+O248*O188*Seasonality!$E$44</f>
        <v/>
      </c>
      <c r="P308" s="48">
        <f>P307+P248*P188*Seasonality!$E$44</f>
        <v/>
      </c>
      <c r="Q308" s="48">
        <f>Q307+Q248*Q188*Seasonality!$E$44</f>
        <v/>
      </c>
      <c r="R308" s="48">
        <f>R307+R248*R188*Seasonality!$E$44</f>
        <v/>
      </c>
      <c r="S308" s="48">
        <f>S307+S248*S188*Seasonality!$E$44</f>
        <v/>
      </c>
      <c r="T308" s="48">
        <f>T307+T248*T188*Seasonality!$E$44</f>
        <v/>
      </c>
      <c r="U308" s="48">
        <f>U307+U248*U188*Seasonality!$E$44</f>
        <v/>
      </c>
      <c r="V308" s="48">
        <f>V307+V248*V188*Seasonality!$E$44</f>
        <v/>
      </c>
      <c r="W308" s="48">
        <f>W307+W248*W188*Seasonality!$E$44</f>
        <v/>
      </c>
      <c r="X308" s="48">
        <f>X307+X248*X188*Seasonality!$E$44</f>
        <v/>
      </c>
      <c r="Y308" s="48">
        <f>Y307+Y248*Y188*Seasonality!$E$44</f>
        <v/>
      </c>
      <c r="Z308" s="48">
        <f>Z307+Z248*Z188*Seasonality!$E$44</f>
        <v/>
      </c>
      <c r="AA308" s="48">
        <f>AA307+AA248*AA188*Seasonality!$E$44</f>
        <v/>
      </c>
      <c r="AB308" s="48">
        <f>AB307+AB248*AB188*Seasonality!$E$44</f>
        <v/>
      </c>
      <c r="AC308" s="48">
        <f>AC307+AC248*AC188*Seasonality!$E$44</f>
        <v/>
      </c>
      <c r="AD308" s="48">
        <f>AD307+AD248*AD188*Seasonality!$E$44</f>
        <v/>
      </c>
      <c r="AE308" s="48">
        <f>AE307+AE248*AE188*Seasonality!$E$44</f>
        <v/>
      </c>
      <c r="AF308" s="48">
        <f>AF307+AF248*AF188*Seasonality!$E$44</f>
        <v/>
      </c>
      <c r="AG308" s="48">
        <f>AG307+AG248*AG188*Seasonality!$E$44</f>
        <v/>
      </c>
      <c r="AH308" s="48">
        <f>AH307+AH248*AH188*Seasonality!$E$44</f>
        <v/>
      </c>
      <c r="AI308" s="48">
        <f>AI307+AI248*AI188*Seasonality!$E$44</f>
        <v/>
      </c>
      <c r="AJ308" s="48">
        <f>AJ307+AJ248*AJ188*Seasonality!$E$44</f>
        <v/>
      </c>
      <c r="AK308" s="48">
        <f>AK307+AK248*AK188*Seasonality!$E$44</f>
        <v/>
      </c>
      <c r="AL308" s="48">
        <f>AL307+AL248*AL188*Seasonality!$E$44</f>
        <v/>
      </c>
      <c r="AM308" s="48">
        <f>AM307+AM248*AM188*Seasonality!$E$44</f>
        <v/>
      </c>
      <c r="AN308" s="48">
        <f>AN307+AN248*AN188*Seasonality!$E$44</f>
        <v/>
      </c>
      <c r="AO308" s="48">
        <f>AO307+AO248*AO188*Seasonality!$E$44</f>
        <v/>
      </c>
      <c r="AP308" s="48">
        <f>AP307+AP248*AP188*Seasonality!$E$44</f>
        <v/>
      </c>
      <c r="AQ308" s="48">
        <f>AQ307+AQ248*AQ188*Seasonality!$E$44</f>
        <v/>
      </c>
      <c r="AR308" s="48">
        <f>AR307+AR248*AR188*Seasonality!$E$44</f>
        <v/>
      </c>
      <c r="AS308" s="48">
        <f>AS307+AS248*AS188*Seasonality!$E$44</f>
        <v/>
      </c>
      <c r="AT308" s="48">
        <f>AT307+AT248*AT188*Seasonality!$E$44</f>
        <v/>
      </c>
      <c r="AU308" s="48">
        <f>AU307+AU248*AU188*Seasonality!$E$44</f>
        <v/>
      </c>
      <c r="AV308" s="48">
        <f>AV307+AV248*AV188*Seasonality!$E$44</f>
        <v/>
      </c>
    </row>
    <row r="309">
      <c r="B309" s="7" t="inlineStr">
        <is>
          <t>Cumulative discounted contribution · month 9</t>
        </is>
      </c>
      <c r="C309" s="5" t="inlineStr">
        <is>
          <t>₹</t>
        </is>
      </c>
      <c r="D309" s="48">
        <f>D308+D249*D189*Seasonality!$E$45</f>
        <v/>
      </c>
      <c r="E309" s="48">
        <f>E308+E249*E189*Seasonality!$E$45</f>
        <v/>
      </c>
      <c r="F309" s="48">
        <f>F308+F249*F189*Seasonality!$E$45</f>
        <v/>
      </c>
      <c r="G309" s="48">
        <f>G308+G249*G189*Seasonality!$E$45</f>
        <v/>
      </c>
      <c r="H309" s="48">
        <f>H308+H249*H189*Seasonality!$E$45</f>
        <v/>
      </c>
      <c r="I309" s="48">
        <f>I308+I249*I189*Seasonality!$E$45</f>
        <v/>
      </c>
      <c r="J309" s="48">
        <f>J308+J249*J189*Seasonality!$E$45</f>
        <v/>
      </c>
      <c r="K309" s="48">
        <f>K308+K249*K189*Seasonality!$E$45</f>
        <v/>
      </c>
      <c r="L309" s="48">
        <f>L308+L249*L189*Seasonality!$E$45</f>
        <v/>
      </c>
      <c r="M309" s="48">
        <f>M308+M249*M189*Seasonality!$E$45</f>
        <v/>
      </c>
      <c r="N309" s="48">
        <f>N308+N249*N189*Seasonality!$E$45</f>
        <v/>
      </c>
      <c r="O309" s="48">
        <f>O308+O249*O189*Seasonality!$E$45</f>
        <v/>
      </c>
      <c r="P309" s="48">
        <f>P308+P249*P189*Seasonality!$E$45</f>
        <v/>
      </c>
      <c r="Q309" s="48">
        <f>Q308+Q249*Q189*Seasonality!$E$45</f>
        <v/>
      </c>
      <c r="R309" s="48">
        <f>R308+R249*R189*Seasonality!$E$45</f>
        <v/>
      </c>
      <c r="S309" s="48">
        <f>S308+S249*S189*Seasonality!$E$45</f>
        <v/>
      </c>
      <c r="T309" s="48">
        <f>T308+T249*T189*Seasonality!$E$45</f>
        <v/>
      </c>
      <c r="U309" s="48">
        <f>U308+U249*U189*Seasonality!$E$45</f>
        <v/>
      </c>
      <c r="V309" s="48">
        <f>V308+V249*V189*Seasonality!$E$45</f>
        <v/>
      </c>
      <c r="W309" s="48">
        <f>W308+W249*W189*Seasonality!$E$45</f>
        <v/>
      </c>
      <c r="X309" s="48">
        <f>X308+X249*X189*Seasonality!$E$45</f>
        <v/>
      </c>
      <c r="Y309" s="48">
        <f>Y308+Y249*Y189*Seasonality!$E$45</f>
        <v/>
      </c>
      <c r="Z309" s="48">
        <f>Z308+Z249*Z189*Seasonality!$E$45</f>
        <v/>
      </c>
      <c r="AA309" s="48">
        <f>AA308+AA249*AA189*Seasonality!$E$45</f>
        <v/>
      </c>
      <c r="AB309" s="48">
        <f>AB308+AB249*AB189*Seasonality!$E$45</f>
        <v/>
      </c>
      <c r="AC309" s="48">
        <f>AC308+AC249*AC189*Seasonality!$E$45</f>
        <v/>
      </c>
      <c r="AD309" s="48">
        <f>AD308+AD249*AD189*Seasonality!$E$45</f>
        <v/>
      </c>
      <c r="AE309" s="48">
        <f>AE308+AE249*AE189*Seasonality!$E$45</f>
        <v/>
      </c>
      <c r="AF309" s="48">
        <f>AF308+AF249*AF189*Seasonality!$E$45</f>
        <v/>
      </c>
      <c r="AG309" s="48">
        <f>AG308+AG249*AG189*Seasonality!$E$45</f>
        <v/>
      </c>
      <c r="AH309" s="48">
        <f>AH308+AH249*AH189*Seasonality!$E$45</f>
        <v/>
      </c>
      <c r="AI309" s="48">
        <f>AI308+AI249*AI189*Seasonality!$E$45</f>
        <v/>
      </c>
      <c r="AJ309" s="48">
        <f>AJ308+AJ249*AJ189*Seasonality!$E$45</f>
        <v/>
      </c>
      <c r="AK309" s="48">
        <f>AK308+AK249*AK189*Seasonality!$E$45</f>
        <v/>
      </c>
      <c r="AL309" s="48">
        <f>AL308+AL249*AL189*Seasonality!$E$45</f>
        <v/>
      </c>
      <c r="AM309" s="48">
        <f>AM308+AM249*AM189*Seasonality!$E$45</f>
        <v/>
      </c>
      <c r="AN309" s="48">
        <f>AN308+AN249*AN189*Seasonality!$E$45</f>
        <v/>
      </c>
      <c r="AO309" s="48">
        <f>AO308+AO249*AO189*Seasonality!$E$45</f>
        <v/>
      </c>
      <c r="AP309" s="48">
        <f>AP308+AP249*AP189*Seasonality!$E$45</f>
        <v/>
      </c>
      <c r="AQ309" s="48">
        <f>AQ308+AQ249*AQ189*Seasonality!$E$45</f>
        <v/>
      </c>
      <c r="AR309" s="48">
        <f>AR308+AR249*AR189*Seasonality!$E$45</f>
        <v/>
      </c>
      <c r="AS309" s="48">
        <f>AS308+AS249*AS189*Seasonality!$E$45</f>
        <v/>
      </c>
      <c r="AT309" s="48">
        <f>AT308+AT249*AT189*Seasonality!$E$45</f>
        <v/>
      </c>
      <c r="AU309" s="48">
        <f>AU308+AU249*AU189*Seasonality!$E$45</f>
        <v/>
      </c>
      <c r="AV309" s="48">
        <f>AV308+AV249*AV189*Seasonality!$E$45</f>
        <v/>
      </c>
    </row>
    <row r="310">
      <c r="B310" s="7" t="inlineStr">
        <is>
          <t>Cumulative discounted contribution · month 10</t>
        </is>
      </c>
      <c r="C310" s="5" t="inlineStr">
        <is>
          <t>₹</t>
        </is>
      </c>
      <c r="D310" s="48">
        <f>D309+D250*D190*Seasonality!$E$46</f>
        <v/>
      </c>
      <c r="E310" s="48">
        <f>E309+E250*E190*Seasonality!$E$46</f>
        <v/>
      </c>
      <c r="F310" s="48">
        <f>F309+F250*F190*Seasonality!$E$46</f>
        <v/>
      </c>
      <c r="G310" s="48">
        <f>G309+G250*G190*Seasonality!$E$46</f>
        <v/>
      </c>
      <c r="H310" s="48">
        <f>H309+H250*H190*Seasonality!$E$46</f>
        <v/>
      </c>
      <c r="I310" s="48">
        <f>I309+I250*I190*Seasonality!$E$46</f>
        <v/>
      </c>
      <c r="J310" s="48">
        <f>J309+J250*J190*Seasonality!$E$46</f>
        <v/>
      </c>
      <c r="K310" s="48">
        <f>K309+K250*K190*Seasonality!$E$46</f>
        <v/>
      </c>
      <c r="L310" s="48">
        <f>L309+L250*L190*Seasonality!$E$46</f>
        <v/>
      </c>
      <c r="M310" s="48">
        <f>M309+M250*M190*Seasonality!$E$46</f>
        <v/>
      </c>
      <c r="N310" s="48">
        <f>N309+N250*N190*Seasonality!$E$46</f>
        <v/>
      </c>
      <c r="O310" s="48">
        <f>O309+O250*O190*Seasonality!$E$46</f>
        <v/>
      </c>
      <c r="P310" s="48">
        <f>P309+P250*P190*Seasonality!$E$46</f>
        <v/>
      </c>
      <c r="Q310" s="48">
        <f>Q309+Q250*Q190*Seasonality!$E$46</f>
        <v/>
      </c>
      <c r="R310" s="48">
        <f>R309+R250*R190*Seasonality!$E$46</f>
        <v/>
      </c>
      <c r="S310" s="48">
        <f>S309+S250*S190*Seasonality!$E$46</f>
        <v/>
      </c>
      <c r="T310" s="48">
        <f>T309+T250*T190*Seasonality!$E$46</f>
        <v/>
      </c>
      <c r="U310" s="48">
        <f>U309+U250*U190*Seasonality!$E$46</f>
        <v/>
      </c>
      <c r="V310" s="48">
        <f>V309+V250*V190*Seasonality!$E$46</f>
        <v/>
      </c>
      <c r="W310" s="48">
        <f>W309+W250*W190*Seasonality!$E$46</f>
        <v/>
      </c>
      <c r="X310" s="48">
        <f>X309+X250*X190*Seasonality!$E$46</f>
        <v/>
      </c>
      <c r="Y310" s="48">
        <f>Y309+Y250*Y190*Seasonality!$E$46</f>
        <v/>
      </c>
      <c r="Z310" s="48">
        <f>Z309+Z250*Z190*Seasonality!$E$46</f>
        <v/>
      </c>
      <c r="AA310" s="48">
        <f>AA309+AA250*AA190*Seasonality!$E$46</f>
        <v/>
      </c>
      <c r="AB310" s="48">
        <f>AB309+AB250*AB190*Seasonality!$E$46</f>
        <v/>
      </c>
      <c r="AC310" s="48">
        <f>AC309+AC250*AC190*Seasonality!$E$46</f>
        <v/>
      </c>
      <c r="AD310" s="48">
        <f>AD309+AD250*AD190*Seasonality!$E$46</f>
        <v/>
      </c>
      <c r="AE310" s="48">
        <f>AE309+AE250*AE190*Seasonality!$E$46</f>
        <v/>
      </c>
      <c r="AF310" s="48">
        <f>AF309+AF250*AF190*Seasonality!$E$46</f>
        <v/>
      </c>
      <c r="AG310" s="48">
        <f>AG309+AG250*AG190*Seasonality!$E$46</f>
        <v/>
      </c>
      <c r="AH310" s="48">
        <f>AH309+AH250*AH190*Seasonality!$E$46</f>
        <v/>
      </c>
      <c r="AI310" s="48">
        <f>AI309+AI250*AI190*Seasonality!$E$46</f>
        <v/>
      </c>
      <c r="AJ310" s="48">
        <f>AJ309+AJ250*AJ190*Seasonality!$E$46</f>
        <v/>
      </c>
      <c r="AK310" s="48">
        <f>AK309+AK250*AK190*Seasonality!$E$46</f>
        <v/>
      </c>
      <c r="AL310" s="48">
        <f>AL309+AL250*AL190*Seasonality!$E$46</f>
        <v/>
      </c>
      <c r="AM310" s="48">
        <f>AM309+AM250*AM190*Seasonality!$E$46</f>
        <v/>
      </c>
      <c r="AN310" s="48">
        <f>AN309+AN250*AN190*Seasonality!$E$46</f>
        <v/>
      </c>
      <c r="AO310" s="48">
        <f>AO309+AO250*AO190*Seasonality!$E$46</f>
        <v/>
      </c>
      <c r="AP310" s="48">
        <f>AP309+AP250*AP190*Seasonality!$E$46</f>
        <v/>
      </c>
      <c r="AQ310" s="48">
        <f>AQ309+AQ250*AQ190*Seasonality!$E$46</f>
        <v/>
      </c>
      <c r="AR310" s="48">
        <f>AR309+AR250*AR190*Seasonality!$E$46</f>
        <v/>
      </c>
      <c r="AS310" s="48">
        <f>AS309+AS250*AS190*Seasonality!$E$46</f>
        <v/>
      </c>
      <c r="AT310" s="48">
        <f>AT309+AT250*AT190*Seasonality!$E$46</f>
        <v/>
      </c>
      <c r="AU310" s="48">
        <f>AU309+AU250*AU190*Seasonality!$E$46</f>
        <v/>
      </c>
      <c r="AV310" s="48">
        <f>AV309+AV250*AV190*Seasonality!$E$46</f>
        <v/>
      </c>
    </row>
    <row r="311">
      <c r="B311" s="7" t="inlineStr">
        <is>
          <t>Cumulative discounted contribution · month 11</t>
        </is>
      </c>
      <c r="C311" s="5" t="inlineStr">
        <is>
          <t>₹</t>
        </is>
      </c>
      <c r="D311" s="48">
        <f>D310+D251*D191*Seasonality!$E$47</f>
        <v/>
      </c>
      <c r="E311" s="48">
        <f>E310+E251*E191*Seasonality!$E$47</f>
        <v/>
      </c>
      <c r="F311" s="48">
        <f>F310+F251*F191*Seasonality!$E$47</f>
        <v/>
      </c>
      <c r="G311" s="48">
        <f>G310+G251*G191*Seasonality!$E$47</f>
        <v/>
      </c>
      <c r="H311" s="48">
        <f>H310+H251*H191*Seasonality!$E$47</f>
        <v/>
      </c>
      <c r="I311" s="48">
        <f>I310+I251*I191*Seasonality!$E$47</f>
        <v/>
      </c>
      <c r="J311" s="48">
        <f>J310+J251*J191*Seasonality!$E$47</f>
        <v/>
      </c>
      <c r="K311" s="48">
        <f>K310+K251*K191*Seasonality!$E$47</f>
        <v/>
      </c>
      <c r="L311" s="48">
        <f>L310+L251*L191*Seasonality!$E$47</f>
        <v/>
      </c>
      <c r="M311" s="48">
        <f>M310+M251*M191*Seasonality!$E$47</f>
        <v/>
      </c>
      <c r="N311" s="48">
        <f>N310+N251*N191*Seasonality!$E$47</f>
        <v/>
      </c>
      <c r="O311" s="48">
        <f>O310+O251*O191*Seasonality!$E$47</f>
        <v/>
      </c>
      <c r="P311" s="48">
        <f>P310+P251*P191*Seasonality!$E$47</f>
        <v/>
      </c>
      <c r="Q311" s="48">
        <f>Q310+Q251*Q191*Seasonality!$E$47</f>
        <v/>
      </c>
      <c r="R311" s="48">
        <f>R310+R251*R191*Seasonality!$E$47</f>
        <v/>
      </c>
      <c r="S311" s="48">
        <f>S310+S251*S191*Seasonality!$E$47</f>
        <v/>
      </c>
      <c r="T311" s="48">
        <f>T310+T251*T191*Seasonality!$E$47</f>
        <v/>
      </c>
      <c r="U311" s="48">
        <f>U310+U251*U191*Seasonality!$E$47</f>
        <v/>
      </c>
      <c r="V311" s="48">
        <f>V310+V251*V191*Seasonality!$E$47</f>
        <v/>
      </c>
      <c r="W311" s="48">
        <f>W310+W251*W191*Seasonality!$E$47</f>
        <v/>
      </c>
      <c r="X311" s="48">
        <f>X310+X251*X191*Seasonality!$E$47</f>
        <v/>
      </c>
      <c r="Y311" s="48">
        <f>Y310+Y251*Y191*Seasonality!$E$47</f>
        <v/>
      </c>
      <c r="Z311" s="48">
        <f>Z310+Z251*Z191*Seasonality!$E$47</f>
        <v/>
      </c>
      <c r="AA311" s="48">
        <f>AA310+AA251*AA191*Seasonality!$E$47</f>
        <v/>
      </c>
      <c r="AB311" s="48">
        <f>AB310+AB251*AB191*Seasonality!$E$47</f>
        <v/>
      </c>
      <c r="AC311" s="48">
        <f>AC310+AC251*AC191*Seasonality!$E$47</f>
        <v/>
      </c>
      <c r="AD311" s="48">
        <f>AD310+AD251*AD191*Seasonality!$E$47</f>
        <v/>
      </c>
      <c r="AE311" s="48">
        <f>AE310+AE251*AE191*Seasonality!$E$47</f>
        <v/>
      </c>
      <c r="AF311" s="48">
        <f>AF310+AF251*AF191*Seasonality!$E$47</f>
        <v/>
      </c>
      <c r="AG311" s="48">
        <f>AG310+AG251*AG191*Seasonality!$E$47</f>
        <v/>
      </c>
      <c r="AH311" s="48">
        <f>AH310+AH251*AH191*Seasonality!$E$47</f>
        <v/>
      </c>
      <c r="AI311" s="48">
        <f>AI310+AI251*AI191*Seasonality!$E$47</f>
        <v/>
      </c>
      <c r="AJ311" s="48">
        <f>AJ310+AJ251*AJ191*Seasonality!$E$47</f>
        <v/>
      </c>
      <c r="AK311" s="48">
        <f>AK310+AK251*AK191*Seasonality!$E$47</f>
        <v/>
      </c>
      <c r="AL311" s="48">
        <f>AL310+AL251*AL191*Seasonality!$E$47</f>
        <v/>
      </c>
      <c r="AM311" s="48">
        <f>AM310+AM251*AM191*Seasonality!$E$47</f>
        <v/>
      </c>
      <c r="AN311" s="48">
        <f>AN310+AN251*AN191*Seasonality!$E$47</f>
        <v/>
      </c>
      <c r="AO311" s="48">
        <f>AO310+AO251*AO191*Seasonality!$E$47</f>
        <v/>
      </c>
      <c r="AP311" s="48">
        <f>AP310+AP251*AP191*Seasonality!$E$47</f>
        <v/>
      </c>
      <c r="AQ311" s="48">
        <f>AQ310+AQ251*AQ191*Seasonality!$E$47</f>
        <v/>
      </c>
      <c r="AR311" s="48">
        <f>AR310+AR251*AR191*Seasonality!$E$47</f>
        <v/>
      </c>
      <c r="AS311" s="48">
        <f>AS310+AS251*AS191*Seasonality!$E$47</f>
        <v/>
      </c>
      <c r="AT311" s="48">
        <f>AT310+AT251*AT191*Seasonality!$E$47</f>
        <v/>
      </c>
      <c r="AU311" s="48">
        <f>AU310+AU251*AU191*Seasonality!$E$47</f>
        <v/>
      </c>
      <c r="AV311" s="48">
        <f>AV310+AV251*AV191*Seasonality!$E$47</f>
        <v/>
      </c>
    </row>
    <row r="312">
      <c r="B312" s="7" t="inlineStr">
        <is>
          <t>Cumulative discounted contribution · month 12</t>
        </is>
      </c>
      <c r="C312" s="5" t="inlineStr">
        <is>
          <t>₹</t>
        </is>
      </c>
      <c r="D312" s="48">
        <f>D311+D252*D192*Seasonality!$E$48</f>
        <v/>
      </c>
      <c r="E312" s="48">
        <f>E311+E252*E192*Seasonality!$E$48</f>
        <v/>
      </c>
      <c r="F312" s="48">
        <f>F311+F252*F192*Seasonality!$E$48</f>
        <v/>
      </c>
      <c r="G312" s="48">
        <f>G311+G252*G192*Seasonality!$E$48</f>
        <v/>
      </c>
      <c r="H312" s="48">
        <f>H311+H252*H192*Seasonality!$E$48</f>
        <v/>
      </c>
      <c r="I312" s="48">
        <f>I311+I252*I192*Seasonality!$E$48</f>
        <v/>
      </c>
      <c r="J312" s="48">
        <f>J311+J252*J192*Seasonality!$E$48</f>
        <v/>
      </c>
      <c r="K312" s="48">
        <f>K311+K252*K192*Seasonality!$E$48</f>
        <v/>
      </c>
      <c r="L312" s="48">
        <f>L311+L252*L192*Seasonality!$E$48</f>
        <v/>
      </c>
      <c r="M312" s="48">
        <f>M311+M252*M192*Seasonality!$E$48</f>
        <v/>
      </c>
      <c r="N312" s="48">
        <f>N311+N252*N192*Seasonality!$E$48</f>
        <v/>
      </c>
      <c r="O312" s="48">
        <f>O311+O252*O192*Seasonality!$E$48</f>
        <v/>
      </c>
      <c r="P312" s="48">
        <f>P311+P252*P192*Seasonality!$E$48</f>
        <v/>
      </c>
      <c r="Q312" s="48">
        <f>Q311+Q252*Q192*Seasonality!$E$48</f>
        <v/>
      </c>
      <c r="R312" s="48">
        <f>R311+R252*R192*Seasonality!$E$48</f>
        <v/>
      </c>
      <c r="S312" s="48">
        <f>S311+S252*S192*Seasonality!$E$48</f>
        <v/>
      </c>
      <c r="T312" s="48">
        <f>T311+T252*T192*Seasonality!$E$48</f>
        <v/>
      </c>
      <c r="U312" s="48">
        <f>U311+U252*U192*Seasonality!$E$48</f>
        <v/>
      </c>
      <c r="V312" s="48">
        <f>V311+V252*V192*Seasonality!$E$48</f>
        <v/>
      </c>
      <c r="W312" s="48">
        <f>W311+W252*W192*Seasonality!$E$48</f>
        <v/>
      </c>
      <c r="X312" s="48">
        <f>X311+X252*X192*Seasonality!$E$48</f>
        <v/>
      </c>
      <c r="Y312" s="48">
        <f>Y311+Y252*Y192*Seasonality!$E$48</f>
        <v/>
      </c>
      <c r="Z312" s="48">
        <f>Z311+Z252*Z192*Seasonality!$E$48</f>
        <v/>
      </c>
      <c r="AA312" s="48">
        <f>AA311+AA252*AA192*Seasonality!$E$48</f>
        <v/>
      </c>
      <c r="AB312" s="48">
        <f>AB311+AB252*AB192*Seasonality!$E$48</f>
        <v/>
      </c>
      <c r="AC312" s="48">
        <f>AC311+AC252*AC192*Seasonality!$E$48</f>
        <v/>
      </c>
      <c r="AD312" s="48">
        <f>AD311+AD252*AD192*Seasonality!$E$48</f>
        <v/>
      </c>
      <c r="AE312" s="48">
        <f>AE311+AE252*AE192*Seasonality!$E$48</f>
        <v/>
      </c>
      <c r="AF312" s="48">
        <f>AF311+AF252*AF192*Seasonality!$E$48</f>
        <v/>
      </c>
      <c r="AG312" s="48">
        <f>AG311+AG252*AG192*Seasonality!$E$48</f>
        <v/>
      </c>
      <c r="AH312" s="48">
        <f>AH311+AH252*AH192*Seasonality!$E$48</f>
        <v/>
      </c>
      <c r="AI312" s="48">
        <f>AI311+AI252*AI192*Seasonality!$E$48</f>
        <v/>
      </c>
      <c r="AJ312" s="48">
        <f>AJ311+AJ252*AJ192*Seasonality!$E$48</f>
        <v/>
      </c>
      <c r="AK312" s="48">
        <f>AK311+AK252*AK192*Seasonality!$E$48</f>
        <v/>
      </c>
      <c r="AL312" s="48">
        <f>AL311+AL252*AL192*Seasonality!$E$48</f>
        <v/>
      </c>
      <c r="AM312" s="48">
        <f>AM311+AM252*AM192*Seasonality!$E$48</f>
        <v/>
      </c>
      <c r="AN312" s="48">
        <f>AN311+AN252*AN192*Seasonality!$E$48</f>
        <v/>
      </c>
      <c r="AO312" s="48">
        <f>AO311+AO252*AO192*Seasonality!$E$48</f>
        <v/>
      </c>
      <c r="AP312" s="48">
        <f>AP311+AP252*AP192*Seasonality!$E$48</f>
        <v/>
      </c>
      <c r="AQ312" s="48">
        <f>AQ311+AQ252*AQ192*Seasonality!$E$48</f>
        <v/>
      </c>
      <c r="AR312" s="48">
        <f>AR311+AR252*AR192*Seasonality!$E$48</f>
        <v/>
      </c>
      <c r="AS312" s="48">
        <f>AS311+AS252*AS192*Seasonality!$E$48</f>
        <v/>
      </c>
      <c r="AT312" s="48">
        <f>AT311+AT252*AT192*Seasonality!$E$48</f>
        <v/>
      </c>
      <c r="AU312" s="48">
        <f>AU311+AU252*AU192*Seasonality!$E$48</f>
        <v/>
      </c>
      <c r="AV312" s="48">
        <f>AV311+AV252*AV192*Seasonality!$E$48</f>
        <v/>
      </c>
    </row>
    <row r="313">
      <c r="B313" s="7" t="inlineStr">
        <is>
          <t>Cumulative discounted contribution · month 13</t>
        </is>
      </c>
      <c r="C313" s="5" t="inlineStr">
        <is>
          <t>₹</t>
        </is>
      </c>
      <c r="D313" s="48">
        <f>D312+D253*D193*Seasonality!$E$49</f>
        <v/>
      </c>
      <c r="E313" s="48">
        <f>E312+E253*E193*Seasonality!$E$49</f>
        <v/>
      </c>
      <c r="F313" s="48">
        <f>F312+F253*F193*Seasonality!$E$49</f>
        <v/>
      </c>
      <c r="G313" s="48">
        <f>G312+G253*G193*Seasonality!$E$49</f>
        <v/>
      </c>
      <c r="H313" s="48">
        <f>H312+H253*H193*Seasonality!$E$49</f>
        <v/>
      </c>
      <c r="I313" s="48">
        <f>I312+I253*I193*Seasonality!$E$49</f>
        <v/>
      </c>
      <c r="J313" s="48">
        <f>J312+J253*J193*Seasonality!$E$49</f>
        <v/>
      </c>
      <c r="K313" s="48">
        <f>K312+K253*K193*Seasonality!$E$49</f>
        <v/>
      </c>
      <c r="L313" s="48">
        <f>L312+L253*L193*Seasonality!$E$49</f>
        <v/>
      </c>
      <c r="M313" s="48">
        <f>M312+M253*M193*Seasonality!$E$49</f>
        <v/>
      </c>
      <c r="N313" s="48">
        <f>N312+N253*N193*Seasonality!$E$49</f>
        <v/>
      </c>
      <c r="O313" s="48">
        <f>O312+O253*O193*Seasonality!$E$49</f>
        <v/>
      </c>
      <c r="P313" s="48">
        <f>P312+P253*P193*Seasonality!$E$49</f>
        <v/>
      </c>
      <c r="Q313" s="48">
        <f>Q312+Q253*Q193*Seasonality!$E$49</f>
        <v/>
      </c>
      <c r="R313" s="48">
        <f>R312+R253*R193*Seasonality!$E$49</f>
        <v/>
      </c>
      <c r="S313" s="48">
        <f>S312+S253*S193*Seasonality!$E$49</f>
        <v/>
      </c>
      <c r="T313" s="48">
        <f>T312+T253*T193*Seasonality!$E$49</f>
        <v/>
      </c>
      <c r="U313" s="48">
        <f>U312+U253*U193*Seasonality!$E$49</f>
        <v/>
      </c>
      <c r="V313" s="48">
        <f>V312+V253*V193*Seasonality!$E$49</f>
        <v/>
      </c>
      <c r="W313" s="48">
        <f>W312+W253*W193*Seasonality!$E$49</f>
        <v/>
      </c>
      <c r="X313" s="48">
        <f>X312+X253*X193*Seasonality!$E$49</f>
        <v/>
      </c>
      <c r="Y313" s="48">
        <f>Y312+Y253*Y193*Seasonality!$E$49</f>
        <v/>
      </c>
      <c r="Z313" s="48">
        <f>Z312+Z253*Z193*Seasonality!$E$49</f>
        <v/>
      </c>
      <c r="AA313" s="48">
        <f>AA312+AA253*AA193*Seasonality!$E$49</f>
        <v/>
      </c>
      <c r="AB313" s="48">
        <f>AB312+AB253*AB193*Seasonality!$E$49</f>
        <v/>
      </c>
      <c r="AC313" s="48">
        <f>AC312+AC253*AC193*Seasonality!$E$49</f>
        <v/>
      </c>
      <c r="AD313" s="48">
        <f>AD312+AD253*AD193*Seasonality!$E$49</f>
        <v/>
      </c>
      <c r="AE313" s="48">
        <f>AE312+AE253*AE193*Seasonality!$E$49</f>
        <v/>
      </c>
      <c r="AF313" s="48">
        <f>AF312+AF253*AF193*Seasonality!$E$49</f>
        <v/>
      </c>
      <c r="AG313" s="48">
        <f>AG312+AG253*AG193*Seasonality!$E$49</f>
        <v/>
      </c>
      <c r="AH313" s="48">
        <f>AH312+AH253*AH193*Seasonality!$E$49</f>
        <v/>
      </c>
      <c r="AI313" s="48">
        <f>AI312+AI253*AI193*Seasonality!$E$49</f>
        <v/>
      </c>
      <c r="AJ313" s="48">
        <f>AJ312+AJ253*AJ193*Seasonality!$E$49</f>
        <v/>
      </c>
      <c r="AK313" s="48">
        <f>AK312+AK253*AK193*Seasonality!$E$49</f>
        <v/>
      </c>
      <c r="AL313" s="48">
        <f>AL312+AL253*AL193*Seasonality!$E$49</f>
        <v/>
      </c>
      <c r="AM313" s="48">
        <f>AM312+AM253*AM193*Seasonality!$E$49</f>
        <v/>
      </c>
      <c r="AN313" s="48">
        <f>AN312+AN253*AN193*Seasonality!$E$49</f>
        <v/>
      </c>
      <c r="AO313" s="48">
        <f>AO312+AO253*AO193*Seasonality!$E$49</f>
        <v/>
      </c>
      <c r="AP313" s="48">
        <f>AP312+AP253*AP193*Seasonality!$E$49</f>
        <v/>
      </c>
      <c r="AQ313" s="48">
        <f>AQ312+AQ253*AQ193*Seasonality!$E$49</f>
        <v/>
      </c>
      <c r="AR313" s="48">
        <f>AR312+AR253*AR193*Seasonality!$E$49</f>
        <v/>
      </c>
      <c r="AS313" s="48">
        <f>AS312+AS253*AS193*Seasonality!$E$49</f>
        <v/>
      </c>
      <c r="AT313" s="48">
        <f>AT312+AT253*AT193*Seasonality!$E$49</f>
        <v/>
      </c>
      <c r="AU313" s="48">
        <f>AU312+AU253*AU193*Seasonality!$E$49</f>
        <v/>
      </c>
      <c r="AV313" s="48">
        <f>AV312+AV253*AV193*Seasonality!$E$49</f>
        <v/>
      </c>
    </row>
    <row r="314">
      <c r="B314" s="7" t="inlineStr">
        <is>
          <t>Cumulative discounted contribution · month 14</t>
        </is>
      </c>
      <c r="C314" s="5" t="inlineStr">
        <is>
          <t>₹</t>
        </is>
      </c>
      <c r="D314" s="48">
        <f>D313+D254*D194*Seasonality!$E$50</f>
        <v/>
      </c>
      <c r="E314" s="48">
        <f>E313+E254*E194*Seasonality!$E$50</f>
        <v/>
      </c>
      <c r="F314" s="48">
        <f>F313+F254*F194*Seasonality!$E$50</f>
        <v/>
      </c>
      <c r="G314" s="48">
        <f>G313+G254*G194*Seasonality!$E$50</f>
        <v/>
      </c>
      <c r="H314" s="48">
        <f>H313+H254*H194*Seasonality!$E$50</f>
        <v/>
      </c>
      <c r="I314" s="48">
        <f>I313+I254*I194*Seasonality!$E$50</f>
        <v/>
      </c>
      <c r="J314" s="48">
        <f>J313+J254*J194*Seasonality!$E$50</f>
        <v/>
      </c>
      <c r="K314" s="48">
        <f>K313+K254*K194*Seasonality!$E$50</f>
        <v/>
      </c>
      <c r="L314" s="48">
        <f>L313+L254*L194*Seasonality!$E$50</f>
        <v/>
      </c>
      <c r="M314" s="48">
        <f>M313+M254*M194*Seasonality!$E$50</f>
        <v/>
      </c>
      <c r="N314" s="48">
        <f>N313+N254*N194*Seasonality!$E$50</f>
        <v/>
      </c>
      <c r="O314" s="48">
        <f>O313+O254*O194*Seasonality!$E$50</f>
        <v/>
      </c>
      <c r="P314" s="48">
        <f>P313+P254*P194*Seasonality!$E$50</f>
        <v/>
      </c>
      <c r="Q314" s="48">
        <f>Q313+Q254*Q194*Seasonality!$E$50</f>
        <v/>
      </c>
      <c r="R314" s="48">
        <f>R313+R254*R194*Seasonality!$E$50</f>
        <v/>
      </c>
      <c r="S314" s="48">
        <f>S313+S254*S194*Seasonality!$E$50</f>
        <v/>
      </c>
      <c r="T314" s="48">
        <f>T313+T254*T194*Seasonality!$E$50</f>
        <v/>
      </c>
      <c r="U314" s="48">
        <f>U313+U254*U194*Seasonality!$E$50</f>
        <v/>
      </c>
      <c r="V314" s="48">
        <f>V313+V254*V194*Seasonality!$E$50</f>
        <v/>
      </c>
      <c r="W314" s="48">
        <f>W313+W254*W194*Seasonality!$E$50</f>
        <v/>
      </c>
      <c r="X314" s="48">
        <f>X313+X254*X194*Seasonality!$E$50</f>
        <v/>
      </c>
      <c r="Y314" s="48">
        <f>Y313+Y254*Y194*Seasonality!$E$50</f>
        <v/>
      </c>
      <c r="Z314" s="48">
        <f>Z313+Z254*Z194*Seasonality!$E$50</f>
        <v/>
      </c>
      <c r="AA314" s="48">
        <f>AA313+AA254*AA194*Seasonality!$E$50</f>
        <v/>
      </c>
      <c r="AB314" s="48">
        <f>AB313+AB254*AB194*Seasonality!$E$50</f>
        <v/>
      </c>
      <c r="AC314" s="48">
        <f>AC313+AC254*AC194*Seasonality!$E$50</f>
        <v/>
      </c>
      <c r="AD314" s="48">
        <f>AD313+AD254*AD194*Seasonality!$E$50</f>
        <v/>
      </c>
      <c r="AE314" s="48">
        <f>AE313+AE254*AE194*Seasonality!$E$50</f>
        <v/>
      </c>
      <c r="AF314" s="48">
        <f>AF313+AF254*AF194*Seasonality!$E$50</f>
        <v/>
      </c>
      <c r="AG314" s="48">
        <f>AG313+AG254*AG194*Seasonality!$E$50</f>
        <v/>
      </c>
      <c r="AH314" s="48">
        <f>AH313+AH254*AH194*Seasonality!$E$50</f>
        <v/>
      </c>
      <c r="AI314" s="48">
        <f>AI313+AI254*AI194*Seasonality!$E$50</f>
        <v/>
      </c>
      <c r="AJ314" s="48">
        <f>AJ313+AJ254*AJ194*Seasonality!$E$50</f>
        <v/>
      </c>
      <c r="AK314" s="48">
        <f>AK313+AK254*AK194*Seasonality!$E$50</f>
        <v/>
      </c>
      <c r="AL314" s="48">
        <f>AL313+AL254*AL194*Seasonality!$E$50</f>
        <v/>
      </c>
      <c r="AM314" s="48">
        <f>AM313+AM254*AM194*Seasonality!$E$50</f>
        <v/>
      </c>
      <c r="AN314" s="48">
        <f>AN313+AN254*AN194*Seasonality!$E$50</f>
        <v/>
      </c>
      <c r="AO314" s="48">
        <f>AO313+AO254*AO194*Seasonality!$E$50</f>
        <v/>
      </c>
      <c r="AP314" s="48">
        <f>AP313+AP254*AP194*Seasonality!$E$50</f>
        <v/>
      </c>
      <c r="AQ314" s="48">
        <f>AQ313+AQ254*AQ194*Seasonality!$E$50</f>
        <v/>
      </c>
      <c r="AR314" s="48">
        <f>AR313+AR254*AR194*Seasonality!$E$50</f>
        <v/>
      </c>
      <c r="AS314" s="48">
        <f>AS313+AS254*AS194*Seasonality!$E$50</f>
        <v/>
      </c>
      <c r="AT314" s="48">
        <f>AT313+AT254*AT194*Seasonality!$E$50</f>
        <v/>
      </c>
      <c r="AU314" s="48">
        <f>AU313+AU254*AU194*Seasonality!$E$50</f>
        <v/>
      </c>
      <c r="AV314" s="48">
        <f>AV313+AV254*AV194*Seasonality!$E$50</f>
        <v/>
      </c>
    </row>
    <row r="315">
      <c r="B315" s="7" t="inlineStr">
        <is>
          <t>Cumulative discounted contribution · month 15</t>
        </is>
      </c>
      <c r="C315" s="5" t="inlineStr">
        <is>
          <t>₹</t>
        </is>
      </c>
      <c r="D315" s="48">
        <f>D314+D255*D195*Seasonality!$E$51</f>
        <v/>
      </c>
      <c r="E315" s="48">
        <f>E314+E255*E195*Seasonality!$E$51</f>
        <v/>
      </c>
      <c r="F315" s="48">
        <f>F314+F255*F195*Seasonality!$E$51</f>
        <v/>
      </c>
      <c r="G315" s="48">
        <f>G314+G255*G195*Seasonality!$E$51</f>
        <v/>
      </c>
      <c r="H315" s="48">
        <f>H314+H255*H195*Seasonality!$E$51</f>
        <v/>
      </c>
      <c r="I315" s="48">
        <f>I314+I255*I195*Seasonality!$E$51</f>
        <v/>
      </c>
      <c r="J315" s="48">
        <f>J314+J255*J195*Seasonality!$E$51</f>
        <v/>
      </c>
      <c r="K315" s="48">
        <f>K314+K255*K195*Seasonality!$E$51</f>
        <v/>
      </c>
      <c r="L315" s="48">
        <f>L314+L255*L195*Seasonality!$E$51</f>
        <v/>
      </c>
      <c r="M315" s="48">
        <f>M314+M255*M195*Seasonality!$E$51</f>
        <v/>
      </c>
      <c r="N315" s="48">
        <f>N314+N255*N195*Seasonality!$E$51</f>
        <v/>
      </c>
      <c r="O315" s="48">
        <f>O314+O255*O195*Seasonality!$E$51</f>
        <v/>
      </c>
      <c r="P315" s="48">
        <f>P314+P255*P195*Seasonality!$E$51</f>
        <v/>
      </c>
      <c r="Q315" s="48">
        <f>Q314+Q255*Q195*Seasonality!$E$51</f>
        <v/>
      </c>
      <c r="R315" s="48">
        <f>R314+R255*R195*Seasonality!$E$51</f>
        <v/>
      </c>
      <c r="S315" s="48">
        <f>S314+S255*S195*Seasonality!$E$51</f>
        <v/>
      </c>
      <c r="T315" s="48">
        <f>T314+T255*T195*Seasonality!$E$51</f>
        <v/>
      </c>
      <c r="U315" s="48">
        <f>U314+U255*U195*Seasonality!$E$51</f>
        <v/>
      </c>
      <c r="V315" s="48">
        <f>V314+V255*V195*Seasonality!$E$51</f>
        <v/>
      </c>
      <c r="W315" s="48">
        <f>W314+W255*W195*Seasonality!$E$51</f>
        <v/>
      </c>
      <c r="X315" s="48">
        <f>X314+X255*X195*Seasonality!$E$51</f>
        <v/>
      </c>
      <c r="Y315" s="48">
        <f>Y314+Y255*Y195*Seasonality!$E$51</f>
        <v/>
      </c>
      <c r="Z315" s="48">
        <f>Z314+Z255*Z195*Seasonality!$E$51</f>
        <v/>
      </c>
      <c r="AA315" s="48">
        <f>AA314+AA255*AA195*Seasonality!$E$51</f>
        <v/>
      </c>
      <c r="AB315" s="48">
        <f>AB314+AB255*AB195*Seasonality!$E$51</f>
        <v/>
      </c>
      <c r="AC315" s="48">
        <f>AC314+AC255*AC195*Seasonality!$E$51</f>
        <v/>
      </c>
      <c r="AD315" s="48">
        <f>AD314+AD255*AD195*Seasonality!$E$51</f>
        <v/>
      </c>
      <c r="AE315" s="48">
        <f>AE314+AE255*AE195*Seasonality!$E$51</f>
        <v/>
      </c>
      <c r="AF315" s="48">
        <f>AF314+AF255*AF195*Seasonality!$E$51</f>
        <v/>
      </c>
      <c r="AG315" s="48">
        <f>AG314+AG255*AG195*Seasonality!$E$51</f>
        <v/>
      </c>
      <c r="AH315" s="48">
        <f>AH314+AH255*AH195*Seasonality!$E$51</f>
        <v/>
      </c>
      <c r="AI315" s="48">
        <f>AI314+AI255*AI195*Seasonality!$E$51</f>
        <v/>
      </c>
      <c r="AJ315" s="48">
        <f>AJ314+AJ255*AJ195*Seasonality!$E$51</f>
        <v/>
      </c>
      <c r="AK315" s="48">
        <f>AK314+AK255*AK195*Seasonality!$E$51</f>
        <v/>
      </c>
      <c r="AL315" s="48">
        <f>AL314+AL255*AL195*Seasonality!$E$51</f>
        <v/>
      </c>
      <c r="AM315" s="48">
        <f>AM314+AM255*AM195*Seasonality!$E$51</f>
        <v/>
      </c>
      <c r="AN315" s="48">
        <f>AN314+AN255*AN195*Seasonality!$E$51</f>
        <v/>
      </c>
      <c r="AO315" s="48">
        <f>AO314+AO255*AO195*Seasonality!$E$51</f>
        <v/>
      </c>
      <c r="AP315" s="48">
        <f>AP314+AP255*AP195*Seasonality!$E$51</f>
        <v/>
      </c>
      <c r="AQ315" s="48">
        <f>AQ314+AQ255*AQ195*Seasonality!$E$51</f>
        <v/>
      </c>
      <c r="AR315" s="48">
        <f>AR314+AR255*AR195*Seasonality!$E$51</f>
        <v/>
      </c>
      <c r="AS315" s="48">
        <f>AS314+AS255*AS195*Seasonality!$E$51</f>
        <v/>
      </c>
      <c r="AT315" s="48">
        <f>AT314+AT255*AT195*Seasonality!$E$51</f>
        <v/>
      </c>
      <c r="AU315" s="48">
        <f>AU314+AU255*AU195*Seasonality!$E$51</f>
        <v/>
      </c>
      <c r="AV315" s="48">
        <f>AV314+AV255*AV195*Seasonality!$E$51</f>
        <v/>
      </c>
    </row>
    <row r="316">
      <c r="B316" s="7" t="inlineStr">
        <is>
          <t>Cumulative discounted contribution · month 16</t>
        </is>
      </c>
      <c r="C316" s="5" t="inlineStr">
        <is>
          <t>₹</t>
        </is>
      </c>
      <c r="D316" s="48">
        <f>D315+D256*D196*Seasonality!$E$52</f>
        <v/>
      </c>
      <c r="E316" s="48">
        <f>E315+E256*E196*Seasonality!$E$52</f>
        <v/>
      </c>
      <c r="F316" s="48">
        <f>F315+F256*F196*Seasonality!$E$52</f>
        <v/>
      </c>
      <c r="G316" s="48">
        <f>G315+G256*G196*Seasonality!$E$52</f>
        <v/>
      </c>
      <c r="H316" s="48">
        <f>H315+H256*H196*Seasonality!$E$52</f>
        <v/>
      </c>
      <c r="I316" s="48">
        <f>I315+I256*I196*Seasonality!$E$52</f>
        <v/>
      </c>
      <c r="J316" s="48">
        <f>J315+J256*J196*Seasonality!$E$52</f>
        <v/>
      </c>
      <c r="K316" s="48">
        <f>K315+K256*K196*Seasonality!$E$52</f>
        <v/>
      </c>
      <c r="L316" s="48">
        <f>L315+L256*L196*Seasonality!$E$52</f>
        <v/>
      </c>
      <c r="M316" s="48">
        <f>M315+M256*M196*Seasonality!$E$52</f>
        <v/>
      </c>
      <c r="N316" s="48">
        <f>N315+N256*N196*Seasonality!$E$52</f>
        <v/>
      </c>
      <c r="O316" s="48">
        <f>O315+O256*O196*Seasonality!$E$52</f>
        <v/>
      </c>
      <c r="P316" s="48">
        <f>P315+P256*P196*Seasonality!$E$52</f>
        <v/>
      </c>
      <c r="Q316" s="48">
        <f>Q315+Q256*Q196*Seasonality!$E$52</f>
        <v/>
      </c>
      <c r="R316" s="48">
        <f>R315+R256*R196*Seasonality!$E$52</f>
        <v/>
      </c>
      <c r="S316" s="48">
        <f>S315+S256*S196*Seasonality!$E$52</f>
        <v/>
      </c>
      <c r="T316" s="48">
        <f>T315+T256*T196*Seasonality!$E$52</f>
        <v/>
      </c>
      <c r="U316" s="48">
        <f>U315+U256*U196*Seasonality!$E$52</f>
        <v/>
      </c>
      <c r="V316" s="48">
        <f>V315+V256*V196*Seasonality!$E$52</f>
        <v/>
      </c>
      <c r="W316" s="48">
        <f>W315+W256*W196*Seasonality!$E$52</f>
        <v/>
      </c>
      <c r="X316" s="48">
        <f>X315+X256*X196*Seasonality!$E$52</f>
        <v/>
      </c>
      <c r="Y316" s="48">
        <f>Y315+Y256*Y196*Seasonality!$E$52</f>
        <v/>
      </c>
      <c r="Z316" s="48">
        <f>Z315+Z256*Z196*Seasonality!$E$52</f>
        <v/>
      </c>
      <c r="AA316" s="48">
        <f>AA315+AA256*AA196*Seasonality!$E$52</f>
        <v/>
      </c>
      <c r="AB316" s="48">
        <f>AB315+AB256*AB196*Seasonality!$E$52</f>
        <v/>
      </c>
      <c r="AC316" s="48">
        <f>AC315+AC256*AC196*Seasonality!$E$52</f>
        <v/>
      </c>
      <c r="AD316" s="48">
        <f>AD315+AD256*AD196*Seasonality!$E$52</f>
        <v/>
      </c>
      <c r="AE316" s="48">
        <f>AE315+AE256*AE196*Seasonality!$E$52</f>
        <v/>
      </c>
      <c r="AF316" s="48">
        <f>AF315+AF256*AF196*Seasonality!$E$52</f>
        <v/>
      </c>
      <c r="AG316" s="48">
        <f>AG315+AG256*AG196*Seasonality!$E$52</f>
        <v/>
      </c>
      <c r="AH316" s="48">
        <f>AH315+AH256*AH196*Seasonality!$E$52</f>
        <v/>
      </c>
      <c r="AI316" s="48">
        <f>AI315+AI256*AI196*Seasonality!$E$52</f>
        <v/>
      </c>
      <c r="AJ316" s="48">
        <f>AJ315+AJ256*AJ196*Seasonality!$E$52</f>
        <v/>
      </c>
      <c r="AK316" s="48">
        <f>AK315+AK256*AK196*Seasonality!$E$52</f>
        <v/>
      </c>
      <c r="AL316" s="48">
        <f>AL315+AL256*AL196*Seasonality!$E$52</f>
        <v/>
      </c>
      <c r="AM316" s="48">
        <f>AM315+AM256*AM196*Seasonality!$E$52</f>
        <v/>
      </c>
      <c r="AN316" s="48">
        <f>AN315+AN256*AN196*Seasonality!$E$52</f>
        <v/>
      </c>
      <c r="AO316" s="48">
        <f>AO315+AO256*AO196*Seasonality!$E$52</f>
        <v/>
      </c>
      <c r="AP316" s="48">
        <f>AP315+AP256*AP196*Seasonality!$E$52</f>
        <v/>
      </c>
      <c r="AQ316" s="48">
        <f>AQ315+AQ256*AQ196*Seasonality!$E$52</f>
        <v/>
      </c>
      <c r="AR316" s="48">
        <f>AR315+AR256*AR196*Seasonality!$E$52</f>
        <v/>
      </c>
      <c r="AS316" s="48">
        <f>AS315+AS256*AS196*Seasonality!$E$52</f>
        <v/>
      </c>
      <c r="AT316" s="48">
        <f>AT315+AT256*AT196*Seasonality!$E$52</f>
        <v/>
      </c>
      <c r="AU316" s="48">
        <f>AU315+AU256*AU196*Seasonality!$E$52</f>
        <v/>
      </c>
      <c r="AV316" s="48">
        <f>AV315+AV256*AV196*Seasonality!$E$52</f>
        <v/>
      </c>
    </row>
    <row r="317">
      <c r="B317" s="7" t="inlineStr">
        <is>
          <t>Cumulative discounted contribution · month 17</t>
        </is>
      </c>
      <c r="C317" s="5" t="inlineStr">
        <is>
          <t>₹</t>
        </is>
      </c>
      <c r="D317" s="48">
        <f>D316+D257*D197*Seasonality!$E$53</f>
        <v/>
      </c>
      <c r="E317" s="48">
        <f>E316+E257*E197*Seasonality!$E$53</f>
        <v/>
      </c>
      <c r="F317" s="48">
        <f>F316+F257*F197*Seasonality!$E$53</f>
        <v/>
      </c>
      <c r="G317" s="48">
        <f>G316+G257*G197*Seasonality!$E$53</f>
        <v/>
      </c>
      <c r="H317" s="48">
        <f>H316+H257*H197*Seasonality!$E$53</f>
        <v/>
      </c>
      <c r="I317" s="48">
        <f>I316+I257*I197*Seasonality!$E$53</f>
        <v/>
      </c>
      <c r="J317" s="48">
        <f>J316+J257*J197*Seasonality!$E$53</f>
        <v/>
      </c>
      <c r="K317" s="48">
        <f>K316+K257*K197*Seasonality!$E$53</f>
        <v/>
      </c>
      <c r="L317" s="48">
        <f>L316+L257*L197*Seasonality!$E$53</f>
        <v/>
      </c>
      <c r="M317" s="48">
        <f>M316+M257*M197*Seasonality!$E$53</f>
        <v/>
      </c>
      <c r="N317" s="48">
        <f>N316+N257*N197*Seasonality!$E$53</f>
        <v/>
      </c>
      <c r="O317" s="48">
        <f>O316+O257*O197*Seasonality!$E$53</f>
        <v/>
      </c>
      <c r="P317" s="48">
        <f>P316+P257*P197*Seasonality!$E$53</f>
        <v/>
      </c>
      <c r="Q317" s="48">
        <f>Q316+Q257*Q197*Seasonality!$E$53</f>
        <v/>
      </c>
      <c r="R317" s="48">
        <f>R316+R257*R197*Seasonality!$E$53</f>
        <v/>
      </c>
      <c r="S317" s="48">
        <f>S316+S257*S197*Seasonality!$E$53</f>
        <v/>
      </c>
      <c r="T317" s="48">
        <f>T316+T257*T197*Seasonality!$E$53</f>
        <v/>
      </c>
      <c r="U317" s="48">
        <f>U316+U257*U197*Seasonality!$E$53</f>
        <v/>
      </c>
      <c r="V317" s="48">
        <f>V316+V257*V197*Seasonality!$E$53</f>
        <v/>
      </c>
      <c r="W317" s="48">
        <f>W316+W257*W197*Seasonality!$E$53</f>
        <v/>
      </c>
      <c r="X317" s="48">
        <f>X316+X257*X197*Seasonality!$E$53</f>
        <v/>
      </c>
      <c r="Y317" s="48">
        <f>Y316+Y257*Y197*Seasonality!$E$53</f>
        <v/>
      </c>
      <c r="Z317" s="48">
        <f>Z316+Z257*Z197*Seasonality!$E$53</f>
        <v/>
      </c>
      <c r="AA317" s="48">
        <f>AA316+AA257*AA197*Seasonality!$E$53</f>
        <v/>
      </c>
      <c r="AB317" s="48">
        <f>AB316+AB257*AB197*Seasonality!$E$53</f>
        <v/>
      </c>
      <c r="AC317" s="48">
        <f>AC316+AC257*AC197*Seasonality!$E$53</f>
        <v/>
      </c>
      <c r="AD317" s="48">
        <f>AD316+AD257*AD197*Seasonality!$E$53</f>
        <v/>
      </c>
      <c r="AE317" s="48">
        <f>AE316+AE257*AE197*Seasonality!$E$53</f>
        <v/>
      </c>
      <c r="AF317" s="48">
        <f>AF316+AF257*AF197*Seasonality!$E$53</f>
        <v/>
      </c>
      <c r="AG317" s="48">
        <f>AG316+AG257*AG197*Seasonality!$E$53</f>
        <v/>
      </c>
      <c r="AH317" s="48">
        <f>AH316+AH257*AH197*Seasonality!$E$53</f>
        <v/>
      </c>
      <c r="AI317" s="48">
        <f>AI316+AI257*AI197*Seasonality!$E$53</f>
        <v/>
      </c>
      <c r="AJ317" s="48">
        <f>AJ316+AJ257*AJ197*Seasonality!$E$53</f>
        <v/>
      </c>
      <c r="AK317" s="48">
        <f>AK316+AK257*AK197*Seasonality!$E$53</f>
        <v/>
      </c>
      <c r="AL317" s="48">
        <f>AL316+AL257*AL197*Seasonality!$E$53</f>
        <v/>
      </c>
      <c r="AM317" s="48">
        <f>AM316+AM257*AM197*Seasonality!$E$53</f>
        <v/>
      </c>
      <c r="AN317" s="48">
        <f>AN316+AN257*AN197*Seasonality!$E$53</f>
        <v/>
      </c>
      <c r="AO317" s="48">
        <f>AO316+AO257*AO197*Seasonality!$E$53</f>
        <v/>
      </c>
      <c r="AP317" s="48">
        <f>AP316+AP257*AP197*Seasonality!$E$53</f>
        <v/>
      </c>
      <c r="AQ317" s="48">
        <f>AQ316+AQ257*AQ197*Seasonality!$E$53</f>
        <v/>
      </c>
      <c r="AR317" s="48">
        <f>AR316+AR257*AR197*Seasonality!$E$53</f>
        <v/>
      </c>
      <c r="AS317" s="48">
        <f>AS316+AS257*AS197*Seasonality!$E$53</f>
        <v/>
      </c>
      <c r="AT317" s="48">
        <f>AT316+AT257*AT197*Seasonality!$E$53</f>
        <v/>
      </c>
      <c r="AU317" s="48">
        <f>AU316+AU257*AU197*Seasonality!$E$53</f>
        <v/>
      </c>
      <c r="AV317" s="48">
        <f>AV316+AV257*AV197*Seasonality!$E$53</f>
        <v/>
      </c>
    </row>
    <row r="318">
      <c r="B318" s="7" t="inlineStr">
        <is>
          <t>Cumulative discounted contribution · month 18</t>
        </is>
      </c>
      <c r="C318" s="5" t="inlineStr">
        <is>
          <t>₹</t>
        </is>
      </c>
      <c r="D318" s="48">
        <f>D317+D258*D198*Seasonality!$E$54</f>
        <v/>
      </c>
      <c r="E318" s="48">
        <f>E317+E258*E198*Seasonality!$E$54</f>
        <v/>
      </c>
      <c r="F318" s="48">
        <f>F317+F258*F198*Seasonality!$E$54</f>
        <v/>
      </c>
      <c r="G318" s="48">
        <f>G317+G258*G198*Seasonality!$E$54</f>
        <v/>
      </c>
      <c r="H318" s="48">
        <f>H317+H258*H198*Seasonality!$E$54</f>
        <v/>
      </c>
      <c r="I318" s="48">
        <f>I317+I258*I198*Seasonality!$E$54</f>
        <v/>
      </c>
      <c r="J318" s="48">
        <f>J317+J258*J198*Seasonality!$E$54</f>
        <v/>
      </c>
      <c r="K318" s="48">
        <f>K317+K258*K198*Seasonality!$E$54</f>
        <v/>
      </c>
      <c r="L318" s="48">
        <f>L317+L258*L198*Seasonality!$E$54</f>
        <v/>
      </c>
      <c r="M318" s="48">
        <f>M317+M258*M198*Seasonality!$E$54</f>
        <v/>
      </c>
      <c r="N318" s="48">
        <f>N317+N258*N198*Seasonality!$E$54</f>
        <v/>
      </c>
      <c r="O318" s="48">
        <f>O317+O258*O198*Seasonality!$E$54</f>
        <v/>
      </c>
      <c r="P318" s="48">
        <f>P317+P258*P198*Seasonality!$E$54</f>
        <v/>
      </c>
      <c r="Q318" s="48">
        <f>Q317+Q258*Q198*Seasonality!$E$54</f>
        <v/>
      </c>
      <c r="R318" s="48">
        <f>R317+R258*R198*Seasonality!$E$54</f>
        <v/>
      </c>
      <c r="S318" s="48">
        <f>S317+S258*S198*Seasonality!$E$54</f>
        <v/>
      </c>
      <c r="T318" s="48">
        <f>T317+T258*T198*Seasonality!$E$54</f>
        <v/>
      </c>
      <c r="U318" s="48">
        <f>U317+U258*U198*Seasonality!$E$54</f>
        <v/>
      </c>
      <c r="V318" s="48">
        <f>V317+V258*V198*Seasonality!$E$54</f>
        <v/>
      </c>
      <c r="W318" s="48">
        <f>W317+W258*W198*Seasonality!$E$54</f>
        <v/>
      </c>
      <c r="X318" s="48">
        <f>X317+X258*X198*Seasonality!$E$54</f>
        <v/>
      </c>
      <c r="Y318" s="48">
        <f>Y317+Y258*Y198*Seasonality!$E$54</f>
        <v/>
      </c>
      <c r="Z318" s="48">
        <f>Z317+Z258*Z198*Seasonality!$E$54</f>
        <v/>
      </c>
      <c r="AA318" s="48">
        <f>AA317+AA258*AA198*Seasonality!$E$54</f>
        <v/>
      </c>
      <c r="AB318" s="48">
        <f>AB317+AB258*AB198*Seasonality!$E$54</f>
        <v/>
      </c>
      <c r="AC318" s="48">
        <f>AC317+AC258*AC198*Seasonality!$E$54</f>
        <v/>
      </c>
      <c r="AD318" s="48">
        <f>AD317+AD258*AD198*Seasonality!$E$54</f>
        <v/>
      </c>
      <c r="AE318" s="48">
        <f>AE317+AE258*AE198*Seasonality!$E$54</f>
        <v/>
      </c>
      <c r="AF318" s="48">
        <f>AF317+AF258*AF198*Seasonality!$E$54</f>
        <v/>
      </c>
      <c r="AG318" s="48">
        <f>AG317+AG258*AG198*Seasonality!$E$54</f>
        <v/>
      </c>
      <c r="AH318" s="48">
        <f>AH317+AH258*AH198*Seasonality!$E$54</f>
        <v/>
      </c>
      <c r="AI318" s="48">
        <f>AI317+AI258*AI198*Seasonality!$E$54</f>
        <v/>
      </c>
      <c r="AJ318" s="48">
        <f>AJ317+AJ258*AJ198*Seasonality!$E$54</f>
        <v/>
      </c>
      <c r="AK318" s="48">
        <f>AK317+AK258*AK198*Seasonality!$E$54</f>
        <v/>
      </c>
      <c r="AL318" s="48">
        <f>AL317+AL258*AL198*Seasonality!$E$54</f>
        <v/>
      </c>
      <c r="AM318" s="48">
        <f>AM317+AM258*AM198*Seasonality!$E$54</f>
        <v/>
      </c>
      <c r="AN318" s="48">
        <f>AN317+AN258*AN198*Seasonality!$E$54</f>
        <v/>
      </c>
      <c r="AO318" s="48">
        <f>AO317+AO258*AO198*Seasonality!$E$54</f>
        <v/>
      </c>
      <c r="AP318" s="48">
        <f>AP317+AP258*AP198*Seasonality!$E$54</f>
        <v/>
      </c>
      <c r="AQ318" s="48">
        <f>AQ317+AQ258*AQ198*Seasonality!$E$54</f>
        <v/>
      </c>
      <c r="AR318" s="48">
        <f>AR317+AR258*AR198*Seasonality!$E$54</f>
        <v/>
      </c>
      <c r="AS318" s="48">
        <f>AS317+AS258*AS198*Seasonality!$E$54</f>
        <v/>
      </c>
      <c r="AT318" s="48">
        <f>AT317+AT258*AT198*Seasonality!$E$54</f>
        <v/>
      </c>
      <c r="AU318" s="48">
        <f>AU317+AU258*AU198*Seasonality!$E$54</f>
        <v/>
      </c>
      <c r="AV318" s="48">
        <f>AV317+AV258*AV198*Seasonality!$E$54</f>
        <v/>
      </c>
    </row>
    <row r="319">
      <c r="B319" s="7" t="inlineStr">
        <is>
          <t>Cumulative discounted contribution · month 19</t>
        </is>
      </c>
      <c r="C319" s="5" t="inlineStr">
        <is>
          <t>₹</t>
        </is>
      </c>
      <c r="D319" s="48">
        <f>D318+D259*D199*Seasonality!$E$55</f>
        <v/>
      </c>
      <c r="E319" s="48">
        <f>E318+E259*E199*Seasonality!$E$55</f>
        <v/>
      </c>
      <c r="F319" s="48">
        <f>F318+F259*F199*Seasonality!$E$55</f>
        <v/>
      </c>
      <c r="G319" s="48">
        <f>G318+G259*G199*Seasonality!$E$55</f>
        <v/>
      </c>
      <c r="H319" s="48">
        <f>H318+H259*H199*Seasonality!$E$55</f>
        <v/>
      </c>
      <c r="I319" s="48">
        <f>I318+I259*I199*Seasonality!$E$55</f>
        <v/>
      </c>
      <c r="J319" s="48">
        <f>J318+J259*J199*Seasonality!$E$55</f>
        <v/>
      </c>
      <c r="K319" s="48">
        <f>K318+K259*K199*Seasonality!$E$55</f>
        <v/>
      </c>
      <c r="L319" s="48">
        <f>L318+L259*L199*Seasonality!$E$55</f>
        <v/>
      </c>
      <c r="M319" s="48">
        <f>M318+M259*M199*Seasonality!$E$55</f>
        <v/>
      </c>
      <c r="N319" s="48">
        <f>N318+N259*N199*Seasonality!$E$55</f>
        <v/>
      </c>
      <c r="O319" s="48">
        <f>O318+O259*O199*Seasonality!$E$55</f>
        <v/>
      </c>
      <c r="P319" s="48">
        <f>P318+P259*P199*Seasonality!$E$55</f>
        <v/>
      </c>
      <c r="Q319" s="48">
        <f>Q318+Q259*Q199*Seasonality!$E$55</f>
        <v/>
      </c>
      <c r="R319" s="48">
        <f>R318+R259*R199*Seasonality!$E$55</f>
        <v/>
      </c>
      <c r="S319" s="48">
        <f>S318+S259*S199*Seasonality!$E$55</f>
        <v/>
      </c>
      <c r="T319" s="48">
        <f>T318+T259*T199*Seasonality!$E$55</f>
        <v/>
      </c>
      <c r="U319" s="48">
        <f>U318+U259*U199*Seasonality!$E$55</f>
        <v/>
      </c>
      <c r="V319" s="48">
        <f>V318+V259*V199*Seasonality!$E$55</f>
        <v/>
      </c>
      <c r="W319" s="48">
        <f>W318+W259*W199*Seasonality!$E$55</f>
        <v/>
      </c>
      <c r="X319" s="48">
        <f>X318+X259*X199*Seasonality!$E$55</f>
        <v/>
      </c>
      <c r="Y319" s="48">
        <f>Y318+Y259*Y199*Seasonality!$E$55</f>
        <v/>
      </c>
      <c r="Z319" s="48">
        <f>Z318+Z259*Z199*Seasonality!$E$55</f>
        <v/>
      </c>
      <c r="AA319" s="48">
        <f>AA318+AA259*AA199*Seasonality!$E$55</f>
        <v/>
      </c>
      <c r="AB319" s="48">
        <f>AB318+AB259*AB199*Seasonality!$E$55</f>
        <v/>
      </c>
      <c r="AC319" s="48">
        <f>AC318+AC259*AC199*Seasonality!$E$55</f>
        <v/>
      </c>
      <c r="AD319" s="48">
        <f>AD318+AD259*AD199*Seasonality!$E$55</f>
        <v/>
      </c>
      <c r="AE319" s="48">
        <f>AE318+AE259*AE199*Seasonality!$E$55</f>
        <v/>
      </c>
      <c r="AF319" s="48">
        <f>AF318+AF259*AF199*Seasonality!$E$55</f>
        <v/>
      </c>
      <c r="AG319" s="48">
        <f>AG318+AG259*AG199*Seasonality!$E$55</f>
        <v/>
      </c>
      <c r="AH319" s="48">
        <f>AH318+AH259*AH199*Seasonality!$E$55</f>
        <v/>
      </c>
      <c r="AI319" s="48">
        <f>AI318+AI259*AI199*Seasonality!$E$55</f>
        <v/>
      </c>
      <c r="AJ319" s="48">
        <f>AJ318+AJ259*AJ199*Seasonality!$E$55</f>
        <v/>
      </c>
      <c r="AK319" s="48">
        <f>AK318+AK259*AK199*Seasonality!$E$55</f>
        <v/>
      </c>
      <c r="AL319" s="48">
        <f>AL318+AL259*AL199*Seasonality!$E$55</f>
        <v/>
      </c>
      <c r="AM319" s="48">
        <f>AM318+AM259*AM199*Seasonality!$E$55</f>
        <v/>
      </c>
      <c r="AN319" s="48">
        <f>AN318+AN259*AN199*Seasonality!$E$55</f>
        <v/>
      </c>
      <c r="AO319" s="48">
        <f>AO318+AO259*AO199*Seasonality!$E$55</f>
        <v/>
      </c>
      <c r="AP319" s="48">
        <f>AP318+AP259*AP199*Seasonality!$E$55</f>
        <v/>
      </c>
      <c r="AQ319" s="48">
        <f>AQ318+AQ259*AQ199*Seasonality!$E$55</f>
        <v/>
      </c>
      <c r="AR319" s="48">
        <f>AR318+AR259*AR199*Seasonality!$E$55</f>
        <v/>
      </c>
      <c r="AS319" s="48">
        <f>AS318+AS259*AS199*Seasonality!$E$55</f>
        <v/>
      </c>
      <c r="AT319" s="48">
        <f>AT318+AT259*AT199*Seasonality!$E$55</f>
        <v/>
      </c>
      <c r="AU319" s="48">
        <f>AU318+AU259*AU199*Seasonality!$E$55</f>
        <v/>
      </c>
      <c r="AV319" s="48">
        <f>AV318+AV259*AV199*Seasonality!$E$55</f>
        <v/>
      </c>
    </row>
    <row r="320">
      <c r="B320" s="7" t="inlineStr">
        <is>
          <t>Cumulative discounted contribution · month 20</t>
        </is>
      </c>
      <c r="C320" s="5" t="inlineStr">
        <is>
          <t>₹</t>
        </is>
      </c>
      <c r="D320" s="48">
        <f>D319+D260*D200*Seasonality!$E$56</f>
        <v/>
      </c>
      <c r="E320" s="48">
        <f>E319+E260*E200*Seasonality!$E$56</f>
        <v/>
      </c>
      <c r="F320" s="48">
        <f>F319+F260*F200*Seasonality!$E$56</f>
        <v/>
      </c>
      <c r="G320" s="48">
        <f>G319+G260*G200*Seasonality!$E$56</f>
        <v/>
      </c>
      <c r="H320" s="48">
        <f>H319+H260*H200*Seasonality!$E$56</f>
        <v/>
      </c>
      <c r="I320" s="48">
        <f>I319+I260*I200*Seasonality!$E$56</f>
        <v/>
      </c>
      <c r="J320" s="48">
        <f>J319+J260*J200*Seasonality!$E$56</f>
        <v/>
      </c>
      <c r="K320" s="48">
        <f>K319+K260*K200*Seasonality!$E$56</f>
        <v/>
      </c>
      <c r="L320" s="48">
        <f>L319+L260*L200*Seasonality!$E$56</f>
        <v/>
      </c>
      <c r="M320" s="48">
        <f>M319+M260*M200*Seasonality!$E$56</f>
        <v/>
      </c>
      <c r="N320" s="48">
        <f>N319+N260*N200*Seasonality!$E$56</f>
        <v/>
      </c>
      <c r="O320" s="48">
        <f>O319+O260*O200*Seasonality!$E$56</f>
        <v/>
      </c>
      <c r="P320" s="48">
        <f>P319+P260*P200*Seasonality!$E$56</f>
        <v/>
      </c>
      <c r="Q320" s="48">
        <f>Q319+Q260*Q200*Seasonality!$E$56</f>
        <v/>
      </c>
      <c r="R320" s="48">
        <f>R319+R260*R200*Seasonality!$E$56</f>
        <v/>
      </c>
      <c r="S320" s="48">
        <f>S319+S260*S200*Seasonality!$E$56</f>
        <v/>
      </c>
      <c r="T320" s="48">
        <f>T319+T260*T200*Seasonality!$E$56</f>
        <v/>
      </c>
      <c r="U320" s="48">
        <f>U319+U260*U200*Seasonality!$E$56</f>
        <v/>
      </c>
      <c r="V320" s="48">
        <f>V319+V260*V200*Seasonality!$E$56</f>
        <v/>
      </c>
      <c r="W320" s="48">
        <f>W319+W260*W200*Seasonality!$E$56</f>
        <v/>
      </c>
      <c r="X320" s="48">
        <f>X319+X260*X200*Seasonality!$E$56</f>
        <v/>
      </c>
      <c r="Y320" s="48">
        <f>Y319+Y260*Y200*Seasonality!$E$56</f>
        <v/>
      </c>
      <c r="Z320" s="48">
        <f>Z319+Z260*Z200*Seasonality!$E$56</f>
        <v/>
      </c>
      <c r="AA320" s="48">
        <f>AA319+AA260*AA200*Seasonality!$E$56</f>
        <v/>
      </c>
      <c r="AB320" s="48">
        <f>AB319+AB260*AB200*Seasonality!$E$56</f>
        <v/>
      </c>
      <c r="AC320" s="48">
        <f>AC319+AC260*AC200*Seasonality!$E$56</f>
        <v/>
      </c>
      <c r="AD320" s="48">
        <f>AD319+AD260*AD200*Seasonality!$E$56</f>
        <v/>
      </c>
      <c r="AE320" s="48">
        <f>AE319+AE260*AE200*Seasonality!$E$56</f>
        <v/>
      </c>
      <c r="AF320" s="48">
        <f>AF319+AF260*AF200*Seasonality!$E$56</f>
        <v/>
      </c>
      <c r="AG320" s="48">
        <f>AG319+AG260*AG200*Seasonality!$E$56</f>
        <v/>
      </c>
      <c r="AH320" s="48">
        <f>AH319+AH260*AH200*Seasonality!$E$56</f>
        <v/>
      </c>
      <c r="AI320" s="48">
        <f>AI319+AI260*AI200*Seasonality!$E$56</f>
        <v/>
      </c>
      <c r="AJ320" s="48">
        <f>AJ319+AJ260*AJ200*Seasonality!$E$56</f>
        <v/>
      </c>
      <c r="AK320" s="48">
        <f>AK319+AK260*AK200*Seasonality!$E$56</f>
        <v/>
      </c>
      <c r="AL320" s="48">
        <f>AL319+AL260*AL200*Seasonality!$E$56</f>
        <v/>
      </c>
      <c r="AM320" s="48">
        <f>AM319+AM260*AM200*Seasonality!$E$56</f>
        <v/>
      </c>
      <c r="AN320" s="48">
        <f>AN319+AN260*AN200*Seasonality!$E$56</f>
        <v/>
      </c>
      <c r="AO320" s="48">
        <f>AO319+AO260*AO200*Seasonality!$E$56</f>
        <v/>
      </c>
      <c r="AP320" s="48">
        <f>AP319+AP260*AP200*Seasonality!$E$56</f>
        <v/>
      </c>
      <c r="AQ320" s="48">
        <f>AQ319+AQ260*AQ200*Seasonality!$E$56</f>
        <v/>
      </c>
      <c r="AR320" s="48">
        <f>AR319+AR260*AR200*Seasonality!$E$56</f>
        <v/>
      </c>
      <c r="AS320" s="48">
        <f>AS319+AS260*AS200*Seasonality!$E$56</f>
        <v/>
      </c>
      <c r="AT320" s="48">
        <f>AT319+AT260*AT200*Seasonality!$E$56</f>
        <v/>
      </c>
      <c r="AU320" s="48">
        <f>AU319+AU260*AU200*Seasonality!$E$56</f>
        <v/>
      </c>
      <c r="AV320" s="48">
        <f>AV319+AV260*AV200*Seasonality!$E$56</f>
        <v/>
      </c>
    </row>
    <row r="321">
      <c r="B321" s="7" t="inlineStr">
        <is>
          <t>Cumulative discounted contribution · month 21</t>
        </is>
      </c>
      <c r="C321" s="5" t="inlineStr">
        <is>
          <t>₹</t>
        </is>
      </c>
      <c r="D321" s="48">
        <f>D320+D261*D201*Seasonality!$E$57</f>
        <v/>
      </c>
      <c r="E321" s="48">
        <f>E320+E261*E201*Seasonality!$E$57</f>
        <v/>
      </c>
      <c r="F321" s="48">
        <f>F320+F261*F201*Seasonality!$E$57</f>
        <v/>
      </c>
      <c r="G321" s="48">
        <f>G320+G261*G201*Seasonality!$E$57</f>
        <v/>
      </c>
      <c r="H321" s="48">
        <f>H320+H261*H201*Seasonality!$E$57</f>
        <v/>
      </c>
      <c r="I321" s="48">
        <f>I320+I261*I201*Seasonality!$E$57</f>
        <v/>
      </c>
      <c r="J321" s="48">
        <f>J320+J261*J201*Seasonality!$E$57</f>
        <v/>
      </c>
      <c r="K321" s="48">
        <f>K320+K261*K201*Seasonality!$E$57</f>
        <v/>
      </c>
      <c r="L321" s="48">
        <f>L320+L261*L201*Seasonality!$E$57</f>
        <v/>
      </c>
      <c r="M321" s="48">
        <f>M320+M261*M201*Seasonality!$E$57</f>
        <v/>
      </c>
      <c r="N321" s="48">
        <f>N320+N261*N201*Seasonality!$E$57</f>
        <v/>
      </c>
      <c r="O321" s="48">
        <f>O320+O261*O201*Seasonality!$E$57</f>
        <v/>
      </c>
      <c r="P321" s="48">
        <f>P320+P261*P201*Seasonality!$E$57</f>
        <v/>
      </c>
      <c r="Q321" s="48">
        <f>Q320+Q261*Q201*Seasonality!$E$57</f>
        <v/>
      </c>
      <c r="R321" s="48">
        <f>R320+R261*R201*Seasonality!$E$57</f>
        <v/>
      </c>
      <c r="S321" s="48">
        <f>S320+S261*S201*Seasonality!$E$57</f>
        <v/>
      </c>
      <c r="T321" s="48">
        <f>T320+T261*T201*Seasonality!$E$57</f>
        <v/>
      </c>
      <c r="U321" s="48">
        <f>U320+U261*U201*Seasonality!$E$57</f>
        <v/>
      </c>
      <c r="V321" s="48">
        <f>V320+V261*V201*Seasonality!$E$57</f>
        <v/>
      </c>
      <c r="W321" s="48">
        <f>W320+W261*W201*Seasonality!$E$57</f>
        <v/>
      </c>
      <c r="X321" s="48">
        <f>X320+X261*X201*Seasonality!$E$57</f>
        <v/>
      </c>
      <c r="Y321" s="48">
        <f>Y320+Y261*Y201*Seasonality!$E$57</f>
        <v/>
      </c>
      <c r="Z321" s="48">
        <f>Z320+Z261*Z201*Seasonality!$E$57</f>
        <v/>
      </c>
      <c r="AA321" s="48">
        <f>AA320+AA261*AA201*Seasonality!$E$57</f>
        <v/>
      </c>
      <c r="AB321" s="48">
        <f>AB320+AB261*AB201*Seasonality!$E$57</f>
        <v/>
      </c>
      <c r="AC321" s="48">
        <f>AC320+AC261*AC201*Seasonality!$E$57</f>
        <v/>
      </c>
      <c r="AD321" s="48">
        <f>AD320+AD261*AD201*Seasonality!$E$57</f>
        <v/>
      </c>
      <c r="AE321" s="48">
        <f>AE320+AE261*AE201*Seasonality!$E$57</f>
        <v/>
      </c>
      <c r="AF321" s="48">
        <f>AF320+AF261*AF201*Seasonality!$E$57</f>
        <v/>
      </c>
      <c r="AG321" s="48">
        <f>AG320+AG261*AG201*Seasonality!$E$57</f>
        <v/>
      </c>
      <c r="AH321" s="48">
        <f>AH320+AH261*AH201*Seasonality!$E$57</f>
        <v/>
      </c>
      <c r="AI321" s="48">
        <f>AI320+AI261*AI201*Seasonality!$E$57</f>
        <v/>
      </c>
      <c r="AJ321" s="48">
        <f>AJ320+AJ261*AJ201*Seasonality!$E$57</f>
        <v/>
      </c>
      <c r="AK321" s="48">
        <f>AK320+AK261*AK201*Seasonality!$E$57</f>
        <v/>
      </c>
      <c r="AL321" s="48">
        <f>AL320+AL261*AL201*Seasonality!$E$57</f>
        <v/>
      </c>
      <c r="AM321" s="48">
        <f>AM320+AM261*AM201*Seasonality!$E$57</f>
        <v/>
      </c>
      <c r="AN321" s="48">
        <f>AN320+AN261*AN201*Seasonality!$E$57</f>
        <v/>
      </c>
      <c r="AO321" s="48">
        <f>AO320+AO261*AO201*Seasonality!$E$57</f>
        <v/>
      </c>
      <c r="AP321" s="48">
        <f>AP320+AP261*AP201*Seasonality!$E$57</f>
        <v/>
      </c>
      <c r="AQ321" s="48">
        <f>AQ320+AQ261*AQ201*Seasonality!$E$57</f>
        <v/>
      </c>
      <c r="AR321" s="48">
        <f>AR320+AR261*AR201*Seasonality!$E$57</f>
        <v/>
      </c>
      <c r="AS321" s="48">
        <f>AS320+AS261*AS201*Seasonality!$E$57</f>
        <v/>
      </c>
      <c r="AT321" s="48">
        <f>AT320+AT261*AT201*Seasonality!$E$57</f>
        <v/>
      </c>
      <c r="AU321" s="48">
        <f>AU320+AU261*AU201*Seasonality!$E$57</f>
        <v/>
      </c>
      <c r="AV321" s="48">
        <f>AV320+AV261*AV201*Seasonality!$E$57</f>
        <v/>
      </c>
    </row>
    <row r="322">
      <c r="B322" s="7" t="inlineStr">
        <is>
          <t>Cumulative discounted contribution · month 22</t>
        </is>
      </c>
      <c r="C322" s="5" t="inlineStr">
        <is>
          <t>₹</t>
        </is>
      </c>
      <c r="D322" s="48">
        <f>D321+D262*D202*Seasonality!$E$58</f>
        <v/>
      </c>
      <c r="E322" s="48">
        <f>E321+E262*E202*Seasonality!$E$58</f>
        <v/>
      </c>
      <c r="F322" s="48">
        <f>F321+F262*F202*Seasonality!$E$58</f>
        <v/>
      </c>
      <c r="G322" s="48">
        <f>G321+G262*G202*Seasonality!$E$58</f>
        <v/>
      </c>
      <c r="H322" s="48">
        <f>H321+H262*H202*Seasonality!$E$58</f>
        <v/>
      </c>
      <c r="I322" s="48">
        <f>I321+I262*I202*Seasonality!$E$58</f>
        <v/>
      </c>
      <c r="J322" s="48">
        <f>J321+J262*J202*Seasonality!$E$58</f>
        <v/>
      </c>
      <c r="K322" s="48">
        <f>K321+K262*K202*Seasonality!$E$58</f>
        <v/>
      </c>
      <c r="L322" s="48">
        <f>L321+L262*L202*Seasonality!$E$58</f>
        <v/>
      </c>
      <c r="M322" s="48">
        <f>M321+M262*M202*Seasonality!$E$58</f>
        <v/>
      </c>
      <c r="N322" s="48">
        <f>N321+N262*N202*Seasonality!$E$58</f>
        <v/>
      </c>
      <c r="O322" s="48">
        <f>O321+O262*O202*Seasonality!$E$58</f>
        <v/>
      </c>
      <c r="P322" s="48">
        <f>P321+P262*P202*Seasonality!$E$58</f>
        <v/>
      </c>
      <c r="Q322" s="48">
        <f>Q321+Q262*Q202*Seasonality!$E$58</f>
        <v/>
      </c>
      <c r="R322" s="48">
        <f>R321+R262*R202*Seasonality!$E$58</f>
        <v/>
      </c>
      <c r="S322" s="48">
        <f>S321+S262*S202*Seasonality!$E$58</f>
        <v/>
      </c>
      <c r="T322" s="48">
        <f>T321+T262*T202*Seasonality!$E$58</f>
        <v/>
      </c>
      <c r="U322" s="48">
        <f>U321+U262*U202*Seasonality!$E$58</f>
        <v/>
      </c>
      <c r="V322" s="48">
        <f>V321+V262*V202*Seasonality!$E$58</f>
        <v/>
      </c>
      <c r="W322" s="48">
        <f>W321+W262*W202*Seasonality!$E$58</f>
        <v/>
      </c>
      <c r="X322" s="48">
        <f>X321+X262*X202*Seasonality!$E$58</f>
        <v/>
      </c>
      <c r="Y322" s="48">
        <f>Y321+Y262*Y202*Seasonality!$E$58</f>
        <v/>
      </c>
      <c r="Z322" s="48">
        <f>Z321+Z262*Z202*Seasonality!$E$58</f>
        <v/>
      </c>
      <c r="AA322" s="48">
        <f>AA321+AA262*AA202*Seasonality!$E$58</f>
        <v/>
      </c>
      <c r="AB322" s="48">
        <f>AB321+AB262*AB202*Seasonality!$E$58</f>
        <v/>
      </c>
      <c r="AC322" s="48">
        <f>AC321+AC262*AC202*Seasonality!$E$58</f>
        <v/>
      </c>
      <c r="AD322" s="48">
        <f>AD321+AD262*AD202*Seasonality!$E$58</f>
        <v/>
      </c>
      <c r="AE322" s="48">
        <f>AE321+AE262*AE202*Seasonality!$E$58</f>
        <v/>
      </c>
      <c r="AF322" s="48">
        <f>AF321+AF262*AF202*Seasonality!$E$58</f>
        <v/>
      </c>
      <c r="AG322" s="48">
        <f>AG321+AG262*AG202*Seasonality!$E$58</f>
        <v/>
      </c>
      <c r="AH322" s="48">
        <f>AH321+AH262*AH202*Seasonality!$E$58</f>
        <v/>
      </c>
      <c r="AI322" s="48">
        <f>AI321+AI262*AI202*Seasonality!$E$58</f>
        <v/>
      </c>
      <c r="AJ322" s="48">
        <f>AJ321+AJ262*AJ202*Seasonality!$E$58</f>
        <v/>
      </c>
      <c r="AK322" s="48">
        <f>AK321+AK262*AK202*Seasonality!$E$58</f>
        <v/>
      </c>
      <c r="AL322" s="48">
        <f>AL321+AL262*AL202*Seasonality!$E$58</f>
        <v/>
      </c>
      <c r="AM322" s="48">
        <f>AM321+AM262*AM202*Seasonality!$E$58</f>
        <v/>
      </c>
      <c r="AN322" s="48">
        <f>AN321+AN262*AN202*Seasonality!$E$58</f>
        <v/>
      </c>
      <c r="AO322" s="48">
        <f>AO321+AO262*AO202*Seasonality!$E$58</f>
        <v/>
      </c>
      <c r="AP322" s="48">
        <f>AP321+AP262*AP202*Seasonality!$E$58</f>
        <v/>
      </c>
      <c r="AQ322" s="48">
        <f>AQ321+AQ262*AQ202*Seasonality!$E$58</f>
        <v/>
      </c>
      <c r="AR322" s="48">
        <f>AR321+AR262*AR202*Seasonality!$E$58</f>
        <v/>
      </c>
      <c r="AS322" s="48">
        <f>AS321+AS262*AS202*Seasonality!$E$58</f>
        <v/>
      </c>
      <c r="AT322" s="48">
        <f>AT321+AT262*AT202*Seasonality!$E$58</f>
        <v/>
      </c>
      <c r="AU322" s="48">
        <f>AU321+AU262*AU202*Seasonality!$E$58</f>
        <v/>
      </c>
      <c r="AV322" s="48">
        <f>AV321+AV262*AV202*Seasonality!$E$58</f>
        <v/>
      </c>
    </row>
    <row r="323">
      <c r="B323" s="7" t="inlineStr">
        <is>
          <t>Cumulative discounted contribution · month 23</t>
        </is>
      </c>
      <c r="C323" s="5" t="inlineStr">
        <is>
          <t>₹</t>
        </is>
      </c>
      <c r="D323" s="48">
        <f>D322+D263*D203*Seasonality!$E$59</f>
        <v/>
      </c>
      <c r="E323" s="48">
        <f>E322+E263*E203*Seasonality!$E$59</f>
        <v/>
      </c>
      <c r="F323" s="48">
        <f>F322+F263*F203*Seasonality!$E$59</f>
        <v/>
      </c>
      <c r="G323" s="48">
        <f>G322+G263*G203*Seasonality!$E$59</f>
        <v/>
      </c>
      <c r="H323" s="48">
        <f>H322+H263*H203*Seasonality!$E$59</f>
        <v/>
      </c>
      <c r="I323" s="48">
        <f>I322+I263*I203*Seasonality!$E$59</f>
        <v/>
      </c>
      <c r="J323" s="48">
        <f>J322+J263*J203*Seasonality!$E$59</f>
        <v/>
      </c>
      <c r="K323" s="48">
        <f>K322+K263*K203*Seasonality!$E$59</f>
        <v/>
      </c>
      <c r="L323" s="48">
        <f>L322+L263*L203*Seasonality!$E$59</f>
        <v/>
      </c>
      <c r="M323" s="48">
        <f>M322+M263*M203*Seasonality!$E$59</f>
        <v/>
      </c>
      <c r="N323" s="48">
        <f>N322+N263*N203*Seasonality!$E$59</f>
        <v/>
      </c>
      <c r="O323" s="48">
        <f>O322+O263*O203*Seasonality!$E$59</f>
        <v/>
      </c>
      <c r="P323" s="48">
        <f>P322+P263*P203*Seasonality!$E$59</f>
        <v/>
      </c>
      <c r="Q323" s="48">
        <f>Q322+Q263*Q203*Seasonality!$E$59</f>
        <v/>
      </c>
      <c r="R323" s="48">
        <f>R322+R263*R203*Seasonality!$E$59</f>
        <v/>
      </c>
      <c r="S323" s="48">
        <f>S322+S263*S203*Seasonality!$E$59</f>
        <v/>
      </c>
      <c r="T323" s="48">
        <f>T322+T263*T203*Seasonality!$E$59</f>
        <v/>
      </c>
      <c r="U323" s="48">
        <f>U322+U263*U203*Seasonality!$E$59</f>
        <v/>
      </c>
      <c r="V323" s="48">
        <f>V322+V263*V203*Seasonality!$E$59</f>
        <v/>
      </c>
      <c r="W323" s="48">
        <f>W322+W263*W203*Seasonality!$E$59</f>
        <v/>
      </c>
      <c r="X323" s="48">
        <f>X322+X263*X203*Seasonality!$E$59</f>
        <v/>
      </c>
      <c r="Y323" s="48">
        <f>Y322+Y263*Y203*Seasonality!$E$59</f>
        <v/>
      </c>
      <c r="Z323" s="48">
        <f>Z322+Z263*Z203*Seasonality!$E$59</f>
        <v/>
      </c>
      <c r="AA323" s="48">
        <f>AA322+AA263*AA203*Seasonality!$E$59</f>
        <v/>
      </c>
      <c r="AB323" s="48">
        <f>AB322+AB263*AB203*Seasonality!$E$59</f>
        <v/>
      </c>
      <c r="AC323" s="48">
        <f>AC322+AC263*AC203*Seasonality!$E$59</f>
        <v/>
      </c>
      <c r="AD323" s="48">
        <f>AD322+AD263*AD203*Seasonality!$E$59</f>
        <v/>
      </c>
      <c r="AE323" s="48">
        <f>AE322+AE263*AE203*Seasonality!$E$59</f>
        <v/>
      </c>
      <c r="AF323" s="48">
        <f>AF322+AF263*AF203*Seasonality!$E$59</f>
        <v/>
      </c>
      <c r="AG323" s="48">
        <f>AG322+AG263*AG203*Seasonality!$E$59</f>
        <v/>
      </c>
      <c r="AH323" s="48">
        <f>AH322+AH263*AH203*Seasonality!$E$59</f>
        <v/>
      </c>
      <c r="AI323" s="48">
        <f>AI322+AI263*AI203*Seasonality!$E$59</f>
        <v/>
      </c>
      <c r="AJ323" s="48">
        <f>AJ322+AJ263*AJ203*Seasonality!$E$59</f>
        <v/>
      </c>
      <c r="AK323" s="48">
        <f>AK322+AK263*AK203*Seasonality!$E$59</f>
        <v/>
      </c>
      <c r="AL323" s="48">
        <f>AL322+AL263*AL203*Seasonality!$E$59</f>
        <v/>
      </c>
      <c r="AM323" s="48">
        <f>AM322+AM263*AM203*Seasonality!$E$59</f>
        <v/>
      </c>
      <c r="AN323" s="48">
        <f>AN322+AN263*AN203*Seasonality!$E$59</f>
        <v/>
      </c>
      <c r="AO323" s="48">
        <f>AO322+AO263*AO203*Seasonality!$E$59</f>
        <v/>
      </c>
      <c r="AP323" s="48">
        <f>AP322+AP263*AP203*Seasonality!$E$59</f>
        <v/>
      </c>
      <c r="AQ323" s="48">
        <f>AQ322+AQ263*AQ203*Seasonality!$E$59</f>
        <v/>
      </c>
      <c r="AR323" s="48">
        <f>AR322+AR263*AR203*Seasonality!$E$59</f>
        <v/>
      </c>
      <c r="AS323" s="48">
        <f>AS322+AS263*AS203*Seasonality!$E$59</f>
        <v/>
      </c>
      <c r="AT323" s="48">
        <f>AT322+AT263*AT203*Seasonality!$E$59</f>
        <v/>
      </c>
      <c r="AU323" s="48">
        <f>AU322+AU263*AU203*Seasonality!$E$59</f>
        <v/>
      </c>
      <c r="AV323" s="48">
        <f>AV322+AV263*AV203*Seasonality!$E$59</f>
        <v/>
      </c>
    </row>
    <row r="324">
      <c r="B324" s="7" t="inlineStr">
        <is>
          <t>Cumulative discounted contribution · month 24</t>
        </is>
      </c>
      <c r="C324" s="5" t="inlineStr">
        <is>
          <t>₹</t>
        </is>
      </c>
      <c r="D324" s="48">
        <f>D323+D264*D204*Seasonality!$E$60</f>
        <v/>
      </c>
      <c r="E324" s="48">
        <f>E323+E264*E204*Seasonality!$E$60</f>
        <v/>
      </c>
      <c r="F324" s="48">
        <f>F323+F264*F204*Seasonality!$E$60</f>
        <v/>
      </c>
      <c r="G324" s="48">
        <f>G323+G264*G204*Seasonality!$E$60</f>
        <v/>
      </c>
      <c r="H324" s="48">
        <f>H323+H264*H204*Seasonality!$E$60</f>
        <v/>
      </c>
      <c r="I324" s="48">
        <f>I323+I264*I204*Seasonality!$E$60</f>
        <v/>
      </c>
      <c r="J324" s="48">
        <f>J323+J264*J204*Seasonality!$E$60</f>
        <v/>
      </c>
      <c r="K324" s="48">
        <f>K323+K264*K204*Seasonality!$E$60</f>
        <v/>
      </c>
      <c r="L324" s="48">
        <f>L323+L264*L204*Seasonality!$E$60</f>
        <v/>
      </c>
      <c r="M324" s="48">
        <f>M323+M264*M204*Seasonality!$E$60</f>
        <v/>
      </c>
      <c r="N324" s="48">
        <f>N323+N264*N204*Seasonality!$E$60</f>
        <v/>
      </c>
      <c r="O324" s="48">
        <f>O323+O264*O204*Seasonality!$E$60</f>
        <v/>
      </c>
      <c r="P324" s="48">
        <f>P323+P264*P204*Seasonality!$E$60</f>
        <v/>
      </c>
      <c r="Q324" s="48">
        <f>Q323+Q264*Q204*Seasonality!$E$60</f>
        <v/>
      </c>
      <c r="R324" s="48">
        <f>R323+R264*R204*Seasonality!$E$60</f>
        <v/>
      </c>
      <c r="S324" s="48">
        <f>S323+S264*S204*Seasonality!$E$60</f>
        <v/>
      </c>
      <c r="T324" s="48">
        <f>T323+T264*T204*Seasonality!$E$60</f>
        <v/>
      </c>
      <c r="U324" s="48">
        <f>U323+U264*U204*Seasonality!$E$60</f>
        <v/>
      </c>
      <c r="V324" s="48">
        <f>V323+V264*V204*Seasonality!$E$60</f>
        <v/>
      </c>
      <c r="W324" s="48">
        <f>W323+W264*W204*Seasonality!$E$60</f>
        <v/>
      </c>
      <c r="X324" s="48">
        <f>X323+X264*X204*Seasonality!$E$60</f>
        <v/>
      </c>
      <c r="Y324" s="48">
        <f>Y323+Y264*Y204*Seasonality!$E$60</f>
        <v/>
      </c>
      <c r="Z324" s="48">
        <f>Z323+Z264*Z204*Seasonality!$E$60</f>
        <v/>
      </c>
      <c r="AA324" s="48">
        <f>AA323+AA264*AA204*Seasonality!$E$60</f>
        <v/>
      </c>
      <c r="AB324" s="48">
        <f>AB323+AB264*AB204*Seasonality!$E$60</f>
        <v/>
      </c>
      <c r="AC324" s="48">
        <f>AC323+AC264*AC204*Seasonality!$E$60</f>
        <v/>
      </c>
      <c r="AD324" s="48">
        <f>AD323+AD264*AD204*Seasonality!$E$60</f>
        <v/>
      </c>
      <c r="AE324" s="48">
        <f>AE323+AE264*AE204*Seasonality!$E$60</f>
        <v/>
      </c>
      <c r="AF324" s="48">
        <f>AF323+AF264*AF204*Seasonality!$E$60</f>
        <v/>
      </c>
      <c r="AG324" s="48">
        <f>AG323+AG264*AG204*Seasonality!$E$60</f>
        <v/>
      </c>
      <c r="AH324" s="48">
        <f>AH323+AH264*AH204*Seasonality!$E$60</f>
        <v/>
      </c>
      <c r="AI324" s="48">
        <f>AI323+AI264*AI204*Seasonality!$E$60</f>
        <v/>
      </c>
      <c r="AJ324" s="48">
        <f>AJ323+AJ264*AJ204*Seasonality!$E$60</f>
        <v/>
      </c>
      <c r="AK324" s="48">
        <f>AK323+AK264*AK204*Seasonality!$E$60</f>
        <v/>
      </c>
      <c r="AL324" s="48">
        <f>AL323+AL264*AL204*Seasonality!$E$60</f>
        <v/>
      </c>
      <c r="AM324" s="48">
        <f>AM323+AM264*AM204*Seasonality!$E$60</f>
        <v/>
      </c>
      <c r="AN324" s="48">
        <f>AN323+AN264*AN204*Seasonality!$E$60</f>
        <v/>
      </c>
      <c r="AO324" s="48">
        <f>AO323+AO264*AO204*Seasonality!$E$60</f>
        <v/>
      </c>
      <c r="AP324" s="48">
        <f>AP323+AP264*AP204*Seasonality!$E$60</f>
        <v/>
      </c>
      <c r="AQ324" s="48">
        <f>AQ323+AQ264*AQ204*Seasonality!$E$60</f>
        <v/>
      </c>
      <c r="AR324" s="48">
        <f>AR323+AR264*AR204*Seasonality!$E$60</f>
        <v/>
      </c>
      <c r="AS324" s="48">
        <f>AS323+AS264*AS204*Seasonality!$E$60</f>
        <v/>
      </c>
      <c r="AT324" s="48">
        <f>AT323+AT264*AT204*Seasonality!$E$60</f>
        <v/>
      </c>
      <c r="AU324" s="48">
        <f>AU323+AU264*AU204*Seasonality!$E$60</f>
        <v/>
      </c>
      <c r="AV324" s="48">
        <f>AV323+AV264*AV204*Seasonality!$E$60</f>
        <v/>
      </c>
    </row>
    <row r="325">
      <c r="B325" s="7" t="inlineStr">
        <is>
          <t>Cumulative discounted contribution · month 25</t>
        </is>
      </c>
      <c r="C325" s="5" t="inlineStr">
        <is>
          <t>₹</t>
        </is>
      </c>
      <c r="D325" s="48">
        <f>D324+D265*D205*Seasonality!$E$61</f>
        <v/>
      </c>
      <c r="E325" s="48">
        <f>E324+E265*E205*Seasonality!$E$61</f>
        <v/>
      </c>
      <c r="F325" s="48">
        <f>F324+F265*F205*Seasonality!$E$61</f>
        <v/>
      </c>
      <c r="G325" s="48">
        <f>G324+G265*G205*Seasonality!$E$61</f>
        <v/>
      </c>
      <c r="H325" s="48">
        <f>H324+H265*H205*Seasonality!$E$61</f>
        <v/>
      </c>
      <c r="I325" s="48">
        <f>I324+I265*I205*Seasonality!$E$61</f>
        <v/>
      </c>
      <c r="J325" s="48">
        <f>J324+J265*J205*Seasonality!$E$61</f>
        <v/>
      </c>
      <c r="K325" s="48">
        <f>K324+K265*K205*Seasonality!$E$61</f>
        <v/>
      </c>
      <c r="L325" s="48">
        <f>L324+L265*L205*Seasonality!$E$61</f>
        <v/>
      </c>
      <c r="M325" s="48">
        <f>M324+M265*M205*Seasonality!$E$61</f>
        <v/>
      </c>
      <c r="N325" s="48">
        <f>N324+N265*N205*Seasonality!$E$61</f>
        <v/>
      </c>
      <c r="O325" s="48">
        <f>O324+O265*O205*Seasonality!$E$61</f>
        <v/>
      </c>
      <c r="P325" s="48">
        <f>P324+P265*P205*Seasonality!$E$61</f>
        <v/>
      </c>
      <c r="Q325" s="48">
        <f>Q324+Q265*Q205*Seasonality!$E$61</f>
        <v/>
      </c>
      <c r="R325" s="48">
        <f>R324+R265*R205*Seasonality!$E$61</f>
        <v/>
      </c>
      <c r="S325" s="48">
        <f>S324+S265*S205*Seasonality!$E$61</f>
        <v/>
      </c>
      <c r="T325" s="48">
        <f>T324+T265*T205*Seasonality!$E$61</f>
        <v/>
      </c>
      <c r="U325" s="48">
        <f>U324+U265*U205*Seasonality!$E$61</f>
        <v/>
      </c>
      <c r="V325" s="48">
        <f>V324+V265*V205*Seasonality!$E$61</f>
        <v/>
      </c>
      <c r="W325" s="48">
        <f>W324+W265*W205*Seasonality!$E$61</f>
        <v/>
      </c>
      <c r="X325" s="48">
        <f>X324+X265*X205*Seasonality!$E$61</f>
        <v/>
      </c>
      <c r="Y325" s="48">
        <f>Y324+Y265*Y205*Seasonality!$E$61</f>
        <v/>
      </c>
      <c r="Z325" s="48">
        <f>Z324+Z265*Z205*Seasonality!$E$61</f>
        <v/>
      </c>
      <c r="AA325" s="48">
        <f>AA324+AA265*AA205*Seasonality!$E$61</f>
        <v/>
      </c>
      <c r="AB325" s="48">
        <f>AB324+AB265*AB205*Seasonality!$E$61</f>
        <v/>
      </c>
      <c r="AC325" s="48">
        <f>AC324+AC265*AC205*Seasonality!$E$61</f>
        <v/>
      </c>
      <c r="AD325" s="48">
        <f>AD324+AD265*AD205*Seasonality!$E$61</f>
        <v/>
      </c>
      <c r="AE325" s="48">
        <f>AE324+AE265*AE205*Seasonality!$E$61</f>
        <v/>
      </c>
      <c r="AF325" s="48">
        <f>AF324+AF265*AF205*Seasonality!$E$61</f>
        <v/>
      </c>
      <c r="AG325" s="48">
        <f>AG324+AG265*AG205*Seasonality!$E$61</f>
        <v/>
      </c>
      <c r="AH325" s="48">
        <f>AH324+AH265*AH205*Seasonality!$E$61</f>
        <v/>
      </c>
      <c r="AI325" s="48">
        <f>AI324+AI265*AI205*Seasonality!$E$61</f>
        <v/>
      </c>
      <c r="AJ325" s="48">
        <f>AJ324+AJ265*AJ205*Seasonality!$E$61</f>
        <v/>
      </c>
      <c r="AK325" s="48">
        <f>AK324+AK265*AK205*Seasonality!$E$61</f>
        <v/>
      </c>
      <c r="AL325" s="48">
        <f>AL324+AL265*AL205*Seasonality!$E$61</f>
        <v/>
      </c>
      <c r="AM325" s="48">
        <f>AM324+AM265*AM205*Seasonality!$E$61</f>
        <v/>
      </c>
      <c r="AN325" s="48">
        <f>AN324+AN265*AN205*Seasonality!$E$61</f>
        <v/>
      </c>
      <c r="AO325" s="48">
        <f>AO324+AO265*AO205*Seasonality!$E$61</f>
        <v/>
      </c>
      <c r="AP325" s="48">
        <f>AP324+AP265*AP205*Seasonality!$E$61</f>
        <v/>
      </c>
      <c r="AQ325" s="48">
        <f>AQ324+AQ265*AQ205*Seasonality!$E$61</f>
        <v/>
      </c>
      <c r="AR325" s="48">
        <f>AR324+AR265*AR205*Seasonality!$E$61</f>
        <v/>
      </c>
      <c r="AS325" s="48">
        <f>AS324+AS265*AS205*Seasonality!$E$61</f>
        <v/>
      </c>
      <c r="AT325" s="48">
        <f>AT324+AT265*AT205*Seasonality!$E$61</f>
        <v/>
      </c>
      <c r="AU325" s="48">
        <f>AU324+AU265*AU205*Seasonality!$E$61</f>
        <v/>
      </c>
      <c r="AV325" s="48">
        <f>AV324+AV265*AV205*Seasonality!$E$61</f>
        <v/>
      </c>
    </row>
    <row r="326">
      <c r="B326" s="7" t="inlineStr">
        <is>
          <t>Cumulative discounted contribution · month 26</t>
        </is>
      </c>
      <c r="C326" s="5" t="inlineStr">
        <is>
          <t>₹</t>
        </is>
      </c>
      <c r="D326" s="48">
        <f>D325+D266*D206*Seasonality!$E$62</f>
        <v/>
      </c>
      <c r="E326" s="48">
        <f>E325+E266*E206*Seasonality!$E$62</f>
        <v/>
      </c>
      <c r="F326" s="48">
        <f>F325+F266*F206*Seasonality!$E$62</f>
        <v/>
      </c>
      <c r="G326" s="48">
        <f>G325+G266*G206*Seasonality!$E$62</f>
        <v/>
      </c>
      <c r="H326" s="48">
        <f>H325+H266*H206*Seasonality!$E$62</f>
        <v/>
      </c>
      <c r="I326" s="48">
        <f>I325+I266*I206*Seasonality!$E$62</f>
        <v/>
      </c>
      <c r="J326" s="48">
        <f>J325+J266*J206*Seasonality!$E$62</f>
        <v/>
      </c>
      <c r="K326" s="48">
        <f>K325+K266*K206*Seasonality!$E$62</f>
        <v/>
      </c>
      <c r="L326" s="48">
        <f>L325+L266*L206*Seasonality!$E$62</f>
        <v/>
      </c>
      <c r="M326" s="48">
        <f>M325+M266*M206*Seasonality!$E$62</f>
        <v/>
      </c>
      <c r="N326" s="48">
        <f>N325+N266*N206*Seasonality!$E$62</f>
        <v/>
      </c>
      <c r="O326" s="48">
        <f>O325+O266*O206*Seasonality!$E$62</f>
        <v/>
      </c>
      <c r="P326" s="48">
        <f>P325+P266*P206*Seasonality!$E$62</f>
        <v/>
      </c>
      <c r="Q326" s="48">
        <f>Q325+Q266*Q206*Seasonality!$E$62</f>
        <v/>
      </c>
      <c r="R326" s="48">
        <f>R325+R266*R206*Seasonality!$E$62</f>
        <v/>
      </c>
      <c r="S326" s="48">
        <f>S325+S266*S206*Seasonality!$E$62</f>
        <v/>
      </c>
      <c r="T326" s="48">
        <f>T325+T266*T206*Seasonality!$E$62</f>
        <v/>
      </c>
      <c r="U326" s="48">
        <f>U325+U266*U206*Seasonality!$E$62</f>
        <v/>
      </c>
      <c r="V326" s="48">
        <f>V325+V266*V206*Seasonality!$E$62</f>
        <v/>
      </c>
      <c r="W326" s="48">
        <f>W325+W266*W206*Seasonality!$E$62</f>
        <v/>
      </c>
      <c r="X326" s="48">
        <f>X325+X266*X206*Seasonality!$E$62</f>
        <v/>
      </c>
      <c r="Y326" s="48">
        <f>Y325+Y266*Y206*Seasonality!$E$62</f>
        <v/>
      </c>
      <c r="Z326" s="48">
        <f>Z325+Z266*Z206*Seasonality!$E$62</f>
        <v/>
      </c>
      <c r="AA326" s="48">
        <f>AA325+AA266*AA206*Seasonality!$E$62</f>
        <v/>
      </c>
      <c r="AB326" s="48">
        <f>AB325+AB266*AB206*Seasonality!$E$62</f>
        <v/>
      </c>
      <c r="AC326" s="48">
        <f>AC325+AC266*AC206*Seasonality!$E$62</f>
        <v/>
      </c>
      <c r="AD326" s="48">
        <f>AD325+AD266*AD206*Seasonality!$E$62</f>
        <v/>
      </c>
      <c r="AE326" s="48">
        <f>AE325+AE266*AE206*Seasonality!$E$62</f>
        <v/>
      </c>
      <c r="AF326" s="48">
        <f>AF325+AF266*AF206*Seasonality!$E$62</f>
        <v/>
      </c>
      <c r="AG326" s="48">
        <f>AG325+AG266*AG206*Seasonality!$E$62</f>
        <v/>
      </c>
      <c r="AH326" s="48">
        <f>AH325+AH266*AH206*Seasonality!$E$62</f>
        <v/>
      </c>
      <c r="AI326" s="48">
        <f>AI325+AI266*AI206*Seasonality!$E$62</f>
        <v/>
      </c>
      <c r="AJ326" s="48">
        <f>AJ325+AJ266*AJ206*Seasonality!$E$62</f>
        <v/>
      </c>
      <c r="AK326" s="48">
        <f>AK325+AK266*AK206*Seasonality!$E$62</f>
        <v/>
      </c>
      <c r="AL326" s="48">
        <f>AL325+AL266*AL206*Seasonality!$E$62</f>
        <v/>
      </c>
      <c r="AM326" s="48">
        <f>AM325+AM266*AM206*Seasonality!$E$62</f>
        <v/>
      </c>
      <c r="AN326" s="48">
        <f>AN325+AN266*AN206*Seasonality!$E$62</f>
        <v/>
      </c>
      <c r="AO326" s="48">
        <f>AO325+AO266*AO206*Seasonality!$E$62</f>
        <v/>
      </c>
      <c r="AP326" s="48">
        <f>AP325+AP266*AP206*Seasonality!$E$62</f>
        <v/>
      </c>
      <c r="AQ326" s="48">
        <f>AQ325+AQ266*AQ206*Seasonality!$E$62</f>
        <v/>
      </c>
      <c r="AR326" s="48">
        <f>AR325+AR266*AR206*Seasonality!$E$62</f>
        <v/>
      </c>
      <c r="AS326" s="48">
        <f>AS325+AS266*AS206*Seasonality!$E$62</f>
        <v/>
      </c>
      <c r="AT326" s="48">
        <f>AT325+AT266*AT206*Seasonality!$E$62</f>
        <v/>
      </c>
      <c r="AU326" s="48">
        <f>AU325+AU266*AU206*Seasonality!$E$62</f>
        <v/>
      </c>
      <c r="AV326" s="48">
        <f>AV325+AV266*AV206*Seasonality!$E$62</f>
        <v/>
      </c>
    </row>
    <row r="327">
      <c r="B327" s="7" t="inlineStr">
        <is>
          <t>Cumulative discounted contribution · month 27</t>
        </is>
      </c>
      <c r="C327" s="5" t="inlineStr">
        <is>
          <t>₹</t>
        </is>
      </c>
      <c r="D327" s="48">
        <f>D326+D267*D207*Seasonality!$E$63</f>
        <v/>
      </c>
      <c r="E327" s="48">
        <f>E326+E267*E207*Seasonality!$E$63</f>
        <v/>
      </c>
      <c r="F327" s="48">
        <f>F326+F267*F207*Seasonality!$E$63</f>
        <v/>
      </c>
      <c r="G327" s="48">
        <f>G326+G267*G207*Seasonality!$E$63</f>
        <v/>
      </c>
      <c r="H327" s="48">
        <f>H326+H267*H207*Seasonality!$E$63</f>
        <v/>
      </c>
      <c r="I327" s="48">
        <f>I326+I267*I207*Seasonality!$E$63</f>
        <v/>
      </c>
      <c r="J327" s="48">
        <f>J326+J267*J207*Seasonality!$E$63</f>
        <v/>
      </c>
      <c r="K327" s="48">
        <f>K326+K267*K207*Seasonality!$E$63</f>
        <v/>
      </c>
      <c r="L327" s="48">
        <f>L326+L267*L207*Seasonality!$E$63</f>
        <v/>
      </c>
      <c r="M327" s="48">
        <f>M326+M267*M207*Seasonality!$E$63</f>
        <v/>
      </c>
      <c r="N327" s="48">
        <f>N326+N267*N207*Seasonality!$E$63</f>
        <v/>
      </c>
      <c r="O327" s="48">
        <f>O326+O267*O207*Seasonality!$E$63</f>
        <v/>
      </c>
      <c r="P327" s="48">
        <f>P326+P267*P207*Seasonality!$E$63</f>
        <v/>
      </c>
      <c r="Q327" s="48">
        <f>Q326+Q267*Q207*Seasonality!$E$63</f>
        <v/>
      </c>
      <c r="R327" s="48">
        <f>R326+R267*R207*Seasonality!$E$63</f>
        <v/>
      </c>
      <c r="S327" s="48">
        <f>S326+S267*S207*Seasonality!$E$63</f>
        <v/>
      </c>
      <c r="T327" s="48">
        <f>T326+T267*T207*Seasonality!$E$63</f>
        <v/>
      </c>
      <c r="U327" s="48">
        <f>U326+U267*U207*Seasonality!$E$63</f>
        <v/>
      </c>
      <c r="V327" s="48">
        <f>V326+V267*V207*Seasonality!$E$63</f>
        <v/>
      </c>
      <c r="W327" s="48">
        <f>W326+W267*W207*Seasonality!$E$63</f>
        <v/>
      </c>
      <c r="X327" s="48">
        <f>X326+X267*X207*Seasonality!$E$63</f>
        <v/>
      </c>
      <c r="Y327" s="48">
        <f>Y326+Y267*Y207*Seasonality!$E$63</f>
        <v/>
      </c>
      <c r="Z327" s="48">
        <f>Z326+Z267*Z207*Seasonality!$E$63</f>
        <v/>
      </c>
      <c r="AA327" s="48">
        <f>AA326+AA267*AA207*Seasonality!$E$63</f>
        <v/>
      </c>
      <c r="AB327" s="48">
        <f>AB326+AB267*AB207*Seasonality!$E$63</f>
        <v/>
      </c>
      <c r="AC327" s="48">
        <f>AC326+AC267*AC207*Seasonality!$E$63</f>
        <v/>
      </c>
      <c r="AD327" s="48">
        <f>AD326+AD267*AD207*Seasonality!$E$63</f>
        <v/>
      </c>
      <c r="AE327" s="48">
        <f>AE326+AE267*AE207*Seasonality!$E$63</f>
        <v/>
      </c>
      <c r="AF327" s="48">
        <f>AF326+AF267*AF207*Seasonality!$E$63</f>
        <v/>
      </c>
      <c r="AG327" s="48">
        <f>AG326+AG267*AG207*Seasonality!$E$63</f>
        <v/>
      </c>
      <c r="AH327" s="48">
        <f>AH326+AH267*AH207*Seasonality!$E$63</f>
        <v/>
      </c>
      <c r="AI327" s="48">
        <f>AI326+AI267*AI207*Seasonality!$E$63</f>
        <v/>
      </c>
      <c r="AJ327" s="48">
        <f>AJ326+AJ267*AJ207*Seasonality!$E$63</f>
        <v/>
      </c>
      <c r="AK327" s="48">
        <f>AK326+AK267*AK207*Seasonality!$E$63</f>
        <v/>
      </c>
      <c r="AL327" s="48">
        <f>AL326+AL267*AL207*Seasonality!$E$63</f>
        <v/>
      </c>
      <c r="AM327" s="48">
        <f>AM326+AM267*AM207*Seasonality!$E$63</f>
        <v/>
      </c>
      <c r="AN327" s="48">
        <f>AN326+AN267*AN207*Seasonality!$E$63</f>
        <v/>
      </c>
      <c r="AO327" s="48">
        <f>AO326+AO267*AO207*Seasonality!$E$63</f>
        <v/>
      </c>
      <c r="AP327" s="48">
        <f>AP326+AP267*AP207*Seasonality!$E$63</f>
        <v/>
      </c>
      <c r="AQ327" s="48">
        <f>AQ326+AQ267*AQ207*Seasonality!$E$63</f>
        <v/>
      </c>
      <c r="AR327" s="48">
        <f>AR326+AR267*AR207*Seasonality!$E$63</f>
        <v/>
      </c>
      <c r="AS327" s="48">
        <f>AS326+AS267*AS207*Seasonality!$E$63</f>
        <v/>
      </c>
      <c r="AT327" s="48">
        <f>AT326+AT267*AT207*Seasonality!$E$63</f>
        <v/>
      </c>
      <c r="AU327" s="48">
        <f>AU326+AU267*AU207*Seasonality!$E$63</f>
        <v/>
      </c>
      <c r="AV327" s="48">
        <f>AV326+AV267*AV207*Seasonality!$E$63</f>
        <v/>
      </c>
    </row>
    <row r="328">
      <c r="B328" s="7" t="inlineStr">
        <is>
          <t>Cumulative discounted contribution · month 28</t>
        </is>
      </c>
      <c r="C328" s="5" t="inlineStr">
        <is>
          <t>₹</t>
        </is>
      </c>
      <c r="D328" s="48">
        <f>D327+D268*D208*Seasonality!$E$64</f>
        <v/>
      </c>
      <c r="E328" s="48">
        <f>E327+E268*E208*Seasonality!$E$64</f>
        <v/>
      </c>
      <c r="F328" s="48">
        <f>F327+F268*F208*Seasonality!$E$64</f>
        <v/>
      </c>
      <c r="G328" s="48">
        <f>G327+G268*G208*Seasonality!$E$64</f>
        <v/>
      </c>
      <c r="H328" s="48">
        <f>H327+H268*H208*Seasonality!$E$64</f>
        <v/>
      </c>
      <c r="I328" s="48">
        <f>I327+I268*I208*Seasonality!$E$64</f>
        <v/>
      </c>
      <c r="J328" s="48">
        <f>J327+J268*J208*Seasonality!$E$64</f>
        <v/>
      </c>
      <c r="K328" s="48">
        <f>K327+K268*K208*Seasonality!$E$64</f>
        <v/>
      </c>
      <c r="L328" s="48">
        <f>L327+L268*L208*Seasonality!$E$64</f>
        <v/>
      </c>
      <c r="M328" s="48">
        <f>M327+M268*M208*Seasonality!$E$64</f>
        <v/>
      </c>
      <c r="N328" s="48">
        <f>N327+N268*N208*Seasonality!$E$64</f>
        <v/>
      </c>
      <c r="O328" s="48">
        <f>O327+O268*O208*Seasonality!$E$64</f>
        <v/>
      </c>
      <c r="P328" s="48">
        <f>P327+P268*P208*Seasonality!$E$64</f>
        <v/>
      </c>
      <c r="Q328" s="48">
        <f>Q327+Q268*Q208*Seasonality!$E$64</f>
        <v/>
      </c>
      <c r="R328" s="48">
        <f>R327+R268*R208*Seasonality!$E$64</f>
        <v/>
      </c>
      <c r="S328" s="48">
        <f>S327+S268*S208*Seasonality!$E$64</f>
        <v/>
      </c>
      <c r="T328" s="48">
        <f>T327+T268*T208*Seasonality!$E$64</f>
        <v/>
      </c>
      <c r="U328" s="48">
        <f>U327+U268*U208*Seasonality!$E$64</f>
        <v/>
      </c>
      <c r="V328" s="48">
        <f>V327+V268*V208*Seasonality!$E$64</f>
        <v/>
      </c>
      <c r="W328" s="48">
        <f>W327+W268*W208*Seasonality!$E$64</f>
        <v/>
      </c>
      <c r="X328" s="48">
        <f>X327+X268*X208*Seasonality!$E$64</f>
        <v/>
      </c>
      <c r="Y328" s="48">
        <f>Y327+Y268*Y208*Seasonality!$E$64</f>
        <v/>
      </c>
      <c r="Z328" s="48">
        <f>Z327+Z268*Z208*Seasonality!$E$64</f>
        <v/>
      </c>
      <c r="AA328" s="48">
        <f>AA327+AA268*AA208*Seasonality!$E$64</f>
        <v/>
      </c>
      <c r="AB328" s="48">
        <f>AB327+AB268*AB208*Seasonality!$E$64</f>
        <v/>
      </c>
      <c r="AC328" s="48">
        <f>AC327+AC268*AC208*Seasonality!$E$64</f>
        <v/>
      </c>
      <c r="AD328" s="48">
        <f>AD327+AD268*AD208*Seasonality!$E$64</f>
        <v/>
      </c>
      <c r="AE328" s="48">
        <f>AE327+AE268*AE208*Seasonality!$E$64</f>
        <v/>
      </c>
      <c r="AF328" s="48">
        <f>AF327+AF268*AF208*Seasonality!$E$64</f>
        <v/>
      </c>
      <c r="AG328" s="48">
        <f>AG327+AG268*AG208*Seasonality!$E$64</f>
        <v/>
      </c>
      <c r="AH328" s="48">
        <f>AH327+AH268*AH208*Seasonality!$E$64</f>
        <v/>
      </c>
      <c r="AI328" s="48">
        <f>AI327+AI268*AI208*Seasonality!$E$64</f>
        <v/>
      </c>
      <c r="AJ328" s="48">
        <f>AJ327+AJ268*AJ208*Seasonality!$E$64</f>
        <v/>
      </c>
      <c r="AK328" s="48">
        <f>AK327+AK268*AK208*Seasonality!$E$64</f>
        <v/>
      </c>
      <c r="AL328" s="48">
        <f>AL327+AL268*AL208*Seasonality!$E$64</f>
        <v/>
      </c>
      <c r="AM328" s="48">
        <f>AM327+AM268*AM208*Seasonality!$E$64</f>
        <v/>
      </c>
      <c r="AN328" s="48">
        <f>AN327+AN268*AN208*Seasonality!$E$64</f>
        <v/>
      </c>
      <c r="AO328" s="48">
        <f>AO327+AO268*AO208*Seasonality!$E$64</f>
        <v/>
      </c>
      <c r="AP328" s="48">
        <f>AP327+AP268*AP208*Seasonality!$E$64</f>
        <v/>
      </c>
      <c r="AQ328" s="48">
        <f>AQ327+AQ268*AQ208*Seasonality!$E$64</f>
        <v/>
      </c>
      <c r="AR328" s="48">
        <f>AR327+AR268*AR208*Seasonality!$E$64</f>
        <v/>
      </c>
      <c r="AS328" s="48">
        <f>AS327+AS268*AS208*Seasonality!$E$64</f>
        <v/>
      </c>
      <c r="AT328" s="48">
        <f>AT327+AT268*AT208*Seasonality!$E$64</f>
        <v/>
      </c>
      <c r="AU328" s="48">
        <f>AU327+AU268*AU208*Seasonality!$E$64</f>
        <v/>
      </c>
      <c r="AV328" s="48">
        <f>AV327+AV268*AV208*Seasonality!$E$64</f>
        <v/>
      </c>
    </row>
    <row r="329">
      <c r="B329" s="7" t="inlineStr">
        <is>
          <t>Cumulative discounted contribution · month 29</t>
        </is>
      </c>
      <c r="C329" s="5" t="inlineStr">
        <is>
          <t>₹</t>
        </is>
      </c>
      <c r="D329" s="48">
        <f>D328+D269*D209*Seasonality!$E$65</f>
        <v/>
      </c>
      <c r="E329" s="48">
        <f>E328+E269*E209*Seasonality!$E$65</f>
        <v/>
      </c>
      <c r="F329" s="48">
        <f>F328+F269*F209*Seasonality!$E$65</f>
        <v/>
      </c>
      <c r="G329" s="48">
        <f>G328+G269*G209*Seasonality!$E$65</f>
        <v/>
      </c>
      <c r="H329" s="48">
        <f>H328+H269*H209*Seasonality!$E$65</f>
        <v/>
      </c>
      <c r="I329" s="48">
        <f>I328+I269*I209*Seasonality!$E$65</f>
        <v/>
      </c>
      <c r="J329" s="48">
        <f>J328+J269*J209*Seasonality!$E$65</f>
        <v/>
      </c>
      <c r="K329" s="48">
        <f>K328+K269*K209*Seasonality!$E$65</f>
        <v/>
      </c>
      <c r="L329" s="48">
        <f>L328+L269*L209*Seasonality!$E$65</f>
        <v/>
      </c>
      <c r="M329" s="48">
        <f>M328+M269*M209*Seasonality!$E$65</f>
        <v/>
      </c>
      <c r="N329" s="48">
        <f>N328+N269*N209*Seasonality!$E$65</f>
        <v/>
      </c>
      <c r="O329" s="48">
        <f>O328+O269*O209*Seasonality!$E$65</f>
        <v/>
      </c>
      <c r="P329" s="48">
        <f>P328+P269*P209*Seasonality!$E$65</f>
        <v/>
      </c>
      <c r="Q329" s="48">
        <f>Q328+Q269*Q209*Seasonality!$E$65</f>
        <v/>
      </c>
      <c r="R329" s="48">
        <f>R328+R269*R209*Seasonality!$E$65</f>
        <v/>
      </c>
      <c r="S329" s="48">
        <f>S328+S269*S209*Seasonality!$E$65</f>
        <v/>
      </c>
      <c r="T329" s="48">
        <f>T328+T269*T209*Seasonality!$E$65</f>
        <v/>
      </c>
      <c r="U329" s="48">
        <f>U328+U269*U209*Seasonality!$E$65</f>
        <v/>
      </c>
      <c r="V329" s="48">
        <f>V328+V269*V209*Seasonality!$E$65</f>
        <v/>
      </c>
      <c r="W329" s="48">
        <f>W328+W269*W209*Seasonality!$E$65</f>
        <v/>
      </c>
      <c r="X329" s="48">
        <f>X328+X269*X209*Seasonality!$E$65</f>
        <v/>
      </c>
      <c r="Y329" s="48">
        <f>Y328+Y269*Y209*Seasonality!$E$65</f>
        <v/>
      </c>
      <c r="Z329" s="48">
        <f>Z328+Z269*Z209*Seasonality!$E$65</f>
        <v/>
      </c>
      <c r="AA329" s="48">
        <f>AA328+AA269*AA209*Seasonality!$E$65</f>
        <v/>
      </c>
      <c r="AB329" s="48">
        <f>AB328+AB269*AB209*Seasonality!$E$65</f>
        <v/>
      </c>
      <c r="AC329" s="48">
        <f>AC328+AC269*AC209*Seasonality!$E$65</f>
        <v/>
      </c>
      <c r="AD329" s="48">
        <f>AD328+AD269*AD209*Seasonality!$E$65</f>
        <v/>
      </c>
      <c r="AE329" s="48">
        <f>AE328+AE269*AE209*Seasonality!$E$65</f>
        <v/>
      </c>
      <c r="AF329" s="48">
        <f>AF328+AF269*AF209*Seasonality!$E$65</f>
        <v/>
      </c>
      <c r="AG329" s="48">
        <f>AG328+AG269*AG209*Seasonality!$E$65</f>
        <v/>
      </c>
      <c r="AH329" s="48">
        <f>AH328+AH269*AH209*Seasonality!$E$65</f>
        <v/>
      </c>
      <c r="AI329" s="48">
        <f>AI328+AI269*AI209*Seasonality!$E$65</f>
        <v/>
      </c>
      <c r="AJ329" s="48">
        <f>AJ328+AJ269*AJ209*Seasonality!$E$65</f>
        <v/>
      </c>
      <c r="AK329" s="48">
        <f>AK328+AK269*AK209*Seasonality!$E$65</f>
        <v/>
      </c>
      <c r="AL329" s="48">
        <f>AL328+AL269*AL209*Seasonality!$E$65</f>
        <v/>
      </c>
      <c r="AM329" s="48">
        <f>AM328+AM269*AM209*Seasonality!$E$65</f>
        <v/>
      </c>
      <c r="AN329" s="48">
        <f>AN328+AN269*AN209*Seasonality!$E$65</f>
        <v/>
      </c>
      <c r="AO329" s="48">
        <f>AO328+AO269*AO209*Seasonality!$E$65</f>
        <v/>
      </c>
      <c r="AP329" s="48">
        <f>AP328+AP269*AP209*Seasonality!$E$65</f>
        <v/>
      </c>
      <c r="AQ329" s="48">
        <f>AQ328+AQ269*AQ209*Seasonality!$E$65</f>
        <v/>
      </c>
      <c r="AR329" s="48">
        <f>AR328+AR269*AR209*Seasonality!$E$65</f>
        <v/>
      </c>
      <c r="AS329" s="48">
        <f>AS328+AS269*AS209*Seasonality!$E$65</f>
        <v/>
      </c>
      <c r="AT329" s="48">
        <f>AT328+AT269*AT209*Seasonality!$E$65</f>
        <v/>
      </c>
      <c r="AU329" s="48">
        <f>AU328+AU269*AU209*Seasonality!$E$65</f>
        <v/>
      </c>
      <c r="AV329" s="48">
        <f>AV328+AV269*AV209*Seasonality!$E$65</f>
        <v/>
      </c>
    </row>
    <row r="330">
      <c r="B330" s="7" t="inlineStr">
        <is>
          <t>Cumulative discounted contribution · month 30</t>
        </is>
      </c>
      <c r="C330" s="5" t="inlineStr">
        <is>
          <t>₹</t>
        </is>
      </c>
      <c r="D330" s="48">
        <f>D329+D270*D210*Seasonality!$E$66</f>
        <v/>
      </c>
      <c r="E330" s="48">
        <f>E329+E270*E210*Seasonality!$E$66</f>
        <v/>
      </c>
      <c r="F330" s="48">
        <f>F329+F270*F210*Seasonality!$E$66</f>
        <v/>
      </c>
      <c r="G330" s="48">
        <f>G329+G270*G210*Seasonality!$E$66</f>
        <v/>
      </c>
      <c r="H330" s="48">
        <f>H329+H270*H210*Seasonality!$E$66</f>
        <v/>
      </c>
      <c r="I330" s="48">
        <f>I329+I270*I210*Seasonality!$E$66</f>
        <v/>
      </c>
      <c r="J330" s="48">
        <f>J329+J270*J210*Seasonality!$E$66</f>
        <v/>
      </c>
      <c r="K330" s="48">
        <f>K329+K270*K210*Seasonality!$E$66</f>
        <v/>
      </c>
      <c r="L330" s="48">
        <f>L329+L270*L210*Seasonality!$E$66</f>
        <v/>
      </c>
      <c r="M330" s="48">
        <f>M329+M270*M210*Seasonality!$E$66</f>
        <v/>
      </c>
      <c r="N330" s="48">
        <f>N329+N270*N210*Seasonality!$E$66</f>
        <v/>
      </c>
      <c r="O330" s="48">
        <f>O329+O270*O210*Seasonality!$E$66</f>
        <v/>
      </c>
      <c r="P330" s="48">
        <f>P329+P270*P210*Seasonality!$E$66</f>
        <v/>
      </c>
      <c r="Q330" s="48">
        <f>Q329+Q270*Q210*Seasonality!$E$66</f>
        <v/>
      </c>
      <c r="R330" s="48">
        <f>R329+R270*R210*Seasonality!$E$66</f>
        <v/>
      </c>
      <c r="S330" s="48">
        <f>S329+S270*S210*Seasonality!$E$66</f>
        <v/>
      </c>
      <c r="T330" s="48">
        <f>T329+T270*T210*Seasonality!$E$66</f>
        <v/>
      </c>
      <c r="U330" s="48">
        <f>U329+U270*U210*Seasonality!$E$66</f>
        <v/>
      </c>
      <c r="V330" s="48">
        <f>V329+V270*V210*Seasonality!$E$66</f>
        <v/>
      </c>
      <c r="W330" s="48">
        <f>W329+W270*W210*Seasonality!$E$66</f>
        <v/>
      </c>
      <c r="X330" s="48">
        <f>X329+X270*X210*Seasonality!$E$66</f>
        <v/>
      </c>
      <c r="Y330" s="48">
        <f>Y329+Y270*Y210*Seasonality!$E$66</f>
        <v/>
      </c>
      <c r="Z330" s="48">
        <f>Z329+Z270*Z210*Seasonality!$E$66</f>
        <v/>
      </c>
      <c r="AA330" s="48">
        <f>AA329+AA270*AA210*Seasonality!$E$66</f>
        <v/>
      </c>
      <c r="AB330" s="48">
        <f>AB329+AB270*AB210*Seasonality!$E$66</f>
        <v/>
      </c>
      <c r="AC330" s="48">
        <f>AC329+AC270*AC210*Seasonality!$E$66</f>
        <v/>
      </c>
      <c r="AD330" s="48">
        <f>AD329+AD270*AD210*Seasonality!$E$66</f>
        <v/>
      </c>
      <c r="AE330" s="48">
        <f>AE329+AE270*AE210*Seasonality!$E$66</f>
        <v/>
      </c>
      <c r="AF330" s="48">
        <f>AF329+AF270*AF210*Seasonality!$E$66</f>
        <v/>
      </c>
      <c r="AG330" s="48">
        <f>AG329+AG270*AG210*Seasonality!$E$66</f>
        <v/>
      </c>
      <c r="AH330" s="48">
        <f>AH329+AH270*AH210*Seasonality!$E$66</f>
        <v/>
      </c>
      <c r="AI330" s="48">
        <f>AI329+AI270*AI210*Seasonality!$E$66</f>
        <v/>
      </c>
      <c r="AJ330" s="48">
        <f>AJ329+AJ270*AJ210*Seasonality!$E$66</f>
        <v/>
      </c>
      <c r="AK330" s="48">
        <f>AK329+AK270*AK210*Seasonality!$E$66</f>
        <v/>
      </c>
      <c r="AL330" s="48">
        <f>AL329+AL270*AL210*Seasonality!$E$66</f>
        <v/>
      </c>
      <c r="AM330" s="48">
        <f>AM329+AM270*AM210*Seasonality!$E$66</f>
        <v/>
      </c>
      <c r="AN330" s="48">
        <f>AN329+AN270*AN210*Seasonality!$E$66</f>
        <v/>
      </c>
      <c r="AO330" s="48">
        <f>AO329+AO270*AO210*Seasonality!$E$66</f>
        <v/>
      </c>
      <c r="AP330" s="48">
        <f>AP329+AP270*AP210*Seasonality!$E$66</f>
        <v/>
      </c>
      <c r="AQ330" s="48">
        <f>AQ329+AQ270*AQ210*Seasonality!$E$66</f>
        <v/>
      </c>
      <c r="AR330" s="48">
        <f>AR329+AR270*AR210*Seasonality!$E$66</f>
        <v/>
      </c>
      <c r="AS330" s="48">
        <f>AS329+AS270*AS210*Seasonality!$E$66</f>
        <v/>
      </c>
      <c r="AT330" s="48">
        <f>AT329+AT270*AT210*Seasonality!$E$66</f>
        <v/>
      </c>
      <c r="AU330" s="48">
        <f>AU329+AU270*AU210*Seasonality!$E$66</f>
        <v/>
      </c>
      <c r="AV330" s="48">
        <f>AV329+AV270*AV210*Seasonality!$E$66</f>
        <v/>
      </c>
    </row>
    <row r="331">
      <c r="B331" s="7" t="inlineStr">
        <is>
          <t>Cumulative discounted contribution · month 31</t>
        </is>
      </c>
      <c r="C331" s="5" t="inlineStr">
        <is>
          <t>₹</t>
        </is>
      </c>
      <c r="D331" s="48">
        <f>D330+D271*D211*Seasonality!$E$67</f>
        <v/>
      </c>
      <c r="E331" s="48">
        <f>E330+E271*E211*Seasonality!$E$67</f>
        <v/>
      </c>
      <c r="F331" s="48">
        <f>F330+F271*F211*Seasonality!$E$67</f>
        <v/>
      </c>
      <c r="G331" s="48">
        <f>G330+G271*G211*Seasonality!$E$67</f>
        <v/>
      </c>
      <c r="H331" s="48">
        <f>H330+H271*H211*Seasonality!$E$67</f>
        <v/>
      </c>
      <c r="I331" s="48">
        <f>I330+I271*I211*Seasonality!$E$67</f>
        <v/>
      </c>
      <c r="J331" s="48">
        <f>J330+J271*J211*Seasonality!$E$67</f>
        <v/>
      </c>
      <c r="K331" s="48">
        <f>K330+K271*K211*Seasonality!$E$67</f>
        <v/>
      </c>
      <c r="L331" s="48">
        <f>L330+L271*L211*Seasonality!$E$67</f>
        <v/>
      </c>
      <c r="M331" s="48">
        <f>M330+M271*M211*Seasonality!$E$67</f>
        <v/>
      </c>
      <c r="N331" s="48">
        <f>N330+N271*N211*Seasonality!$E$67</f>
        <v/>
      </c>
      <c r="O331" s="48">
        <f>O330+O271*O211*Seasonality!$E$67</f>
        <v/>
      </c>
      <c r="P331" s="48">
        <f>P330+P271*P211*Seasonality!$E$67</f>
        <v/>
      </c>
      <c r="Q331" s="48">
        <f>Q330+Q271*Q211*Seasonality!$E$67</f>
        <v/>
      </c>
      <c r="R331" s="48">
        <f>R330+R271*R211*Seasonality!$E$67</f>
        <v/>
      </c>
      <c r="S331" s="48">
        <f>S330+S271*S211*Seasonality!$E$67</f>
        <v/>
      </c>
      <c r="T331" s="48">
        <f>T330+T271*T211*Seasonality!$E$67</f>
        <v/>
      </c>
      <c r="U331" s="48">
        <f>U330+U271*U211*Seasonality!$E$67</f>
        <v/>
      </c>
      <c r="V331" s="48">
        <f>V330+V271*V211*Seasonality!$E$67</f>
        <v/>
      </c>
      <c r="W331" s="48">
        <f>W330+W271*W211*Seasonality!$E$67</f>
        <v/>
      </c>
      <c r="X331" s="48">
        <f>X330+X271*X211*Seasonality!$E$67</f>
        <v/>
      </c>
      <c r="Y331" s="48">
        <f>Y330+Y271*Y211*Seasonality!$E$67</f>
        <v/>
      </c>
      <c r="Z331" s="48">
        <f>Z330+Z271*Z211*Seasonality!$E$67</f>
        <v/>
      </c>
      <c r="AA331" s="48">
        <f>AA330+AA271*AA211*Seasonality!$E$67</f>
        <v/>
      </c>
      <c r="AB331" s="48">
        <f>AB330+AB271*AB211*Seasonality!$E$67</f>
        <v/>
      </c>
      <c r="AC331" s="48">
        <f>AC330+AC271*AC211*Seasonality!$E$67</f>
        <v/>
      </c>
      <c r="AD331" s="48">
        <f>AD330+AD271*AD211*Seasonality!$E$67</f>
        <v/>
      </c>
      <c r="AE331" s="48">
        <f>AE330+AE271*AE211*Seasonality!$E$67</f>
        <v/>
      </c>
      <c r="AF331" s="48">
        <f>AF330+AF271*AF211*Seasonality!$E$67</f>
        <v/>
      </c>
      <c r="AG331" s="48">
        <f>AG330+AG271*AG211*Seasonality!$E$67</f>
        <v/>
      </c>
      <c r="AH331" s="48">
        <f>AH330+AH271*AH211*Seasonality!$E$67</f>
        <v/>
      </c>
      <c r="AI331" s="48">
        <f>AI330+AI271*AI211*Seasonality!$E$67</f>
        <v/>
      </c>
      <c r="AJ331" s="48">
        <f>AJ330+AJ271*AJ211*Seasonality!$E$67</f>
        <v/>
      </c>
      <c r="AK331" s="48">
        <f>AK330+AK271*AK211*Seasonality!$E$67</f>
        <v/>
      </c>
      <c r="AL331" s="48">
        <f>AL330+AL271*AL211*Seasonality!$E$67</f>
        <v/>
      </c>
      <c r="AM331" s="48">
        <f>AM330+AM271*AM211*Seasonality!$E$67</f>
        <v/>
      </c>
      <c r="AN331" s="48">
        <f>AN330+AN271*AN211*Seasonality!$E$67</f>
        <v/>
      </c>
      <c r="AO331" s="48">
        <f>AO330+AO271*AO211*Seasonality!$E$67</f>
        <v/>
      </c>
      <c r="AP331" s="48">
        <f>AP330+AP271*AP211*Seasonality!$E$67</f>
        <v/>
      </c>
      <c r="AQ331" s="48">
        <f>AQ330+AQ271*AQ211*Seasonality!$E$67</f>
        <v/>
      </c>
      <c r="AR331" s="48">
        <f>AR330+AR271*AR211*Seasonality!$E$67</f>
        <v/>
      </c>
      <c r="AS331" s="48">
        <f>AS330+AS271*AS211*Seasonality!$E$67</f>
        <v/>
      </c>
      <c r="AT331" s="48">
        <f>AT330+AT271*AT211*Seasonality!$E$67</f>
        <v/>
      </c>
      <c r="AU331" s="48">
        <f>AU330+AU271*AU211*Seasonality!$E$67</f>
        <v/>
      </c>
      <c r="AV331" s="48">
        <f>AV330+AV271*AV211*Seasonality!$E$67</f>
        <v/>
      </c>
    </row>
    <row r="332">
      <c r="B332" s="7" t="inlineStr">
        <is>
          <t>Cumulative discounted contribution · month 32</t>
        </is>
      </c>
      <c r="C332" s="5" t="inlineStr">
        <is>
          <t>₹</t>
        </is>
      </c>
      <c r="D332" s="48">
        <f>D331+D272*D212*Seasonality!$E$68</f>
        <v/>
      </c>
      <c r="E332" s="48">
        <f>E331+E272*E212*Seasonality!$E$68</f>
        <v/>
      </c>
      <c r="F332" s="48">
        <f>F331+F272*F212*Seasonality!$E$68</f>
        <v/>
      </c>
      <c r="G332" s="48">
        <f>G331+G272*G212*Seasonality!$E$68</f>
        <v/>
      </c>
      <c r="H332" s="48">
        <f>H331+H272*H212*Seasonality!$E$68</f>
        <v/>
      </c>
      <c r="I332" s="48">
        <f>I331+I272*I212*Seasonality!$E$68</f>
        <v/>
      </c>
      <c r="J332" s="48">
        <f>J331+J272*J212*Seasonality!$E$68</f>
        <v/>
      </c>
      <c r="K332" s="48">
        <f>K331+K272*K212*Seasonality!$E$68</f>
        <v/>
      </c>
      <c r="L332" s="48">
        <f>L331+L272*L212*Seasonality!$E$68</f>
        <v/>
      </c>
      <c r="M332" s="48">
        <f>M331+M272*M212*Seasonality!$E$68</f>
        <v/>
      </c>
      <c r="N332" s="48">
        <f>N331+N272*N212*Seasonality!$E$68</f>
        <v/>
      </c>
      <c r="O332" s="48">
        <f>O331+O272*O212*Seasonality!$E$68</f>
        <v/>
      </c>
      <c r="P332" s="48">
        <f>P331+P272*P212*Seasonality!$E$68</f>
        <v/>
      </c>
      <c r="Q332" s="48">
        <f>Q331+Q272*Q212*Seasonality!$E$68</f>
        <v/>
      </c>
      <c r="R332" s="48">
        <f>R331+R272*R212*Seasonality!$E$68</f>
        <v/>
      </c>
      <c r="S332" s="48">
        <f>S331+S272*S212*Seasonality!$E$68</f>
        <v/>
      </c>
      <c r="T332" s="48">
        <f>T331+T272*T212*Seasonality!$E$68</f>
        <v/>
      </c>
      <c r="U332" s="48">
        <f>U331+U272*U212*Seasonality!$E$68</f>
        <v/>
      </c>
      <c r="V332" s="48">
        <f>V331+V272*V212*Seasonality!$E$68</f>
        <v/>
      </c>
      <c r="W332" s="48">
        <f>W331+W272*W212*Seasonality!$E$68</f>
        <v/>
      </c>
      <c r="X332" s="48">
        <f>X331+X272*X212*Seasonality!$E$68</f>
        <v/>
      </c>
      <c r="Y332" s="48">
        <f>Y331+Y272*Y212*Seasonality!$E$68</f>
        <v/>
      </c>
      <c r="Z332" s="48">
        <f>Z331+Z272*Z212*Seasonality!$E$68</f>
        <v/>
      </c>
      <c r="AA332" s="48">
        <f>AA331+AA272*AA212*Seasonality!$E$68</f>
        <v/>
      </c>
      <c r="AB332" s="48">
        <f>AB331+AB272*AB212*Seasonality!$E$68</f>
        <v/>
      </c>
      <c r="AC332" s="48">
        <f>AC331+AC272*AC212*Seasonality!$E$68</f>
        <v/>
      </c>
      <c r="AD332" s="48">
        <f>AD331+AD272*AD212*Seasonality!$E$68</f>
        <v/>
      </c>
      <c r="AE332" s="48">
        <f>AE331+AE272*AE212*Seasonality!$E$68</f>
        <v/>
      </c>
      <c r="AF332" s="48">
        <f>AF331+AF272*AF212*Seasonality!$E$68</f>
        <v/>
      </c>
      <c r="AG332" s="48">
        <f>AG331+AG272*AG212*Seasonality!$E$68</f>
        <v/>
      </c>
      <c r="AH332" s="48">
        <f>AH331+AH272*AH212*Seasonality!$E$68</f>
        <v/>
      </c>
      <c r="AI332" s="48">
        <f>AI331+AI272*AI212*Seasonality!$E$68</f>
        <v/>
      </c>
      <c r="AJ332" s="48">
        <f>AJ331+AJ272*AJ212*Seasonality!$E$68</f>
        <v/>
      </c>
      <c r="AK332" s="48">
        <f>AK331+AK272*AK212*Seasonality!$E$68</f>
        <v/>
      </c>
      <c r="AL332" s="48">
        <f>AL331+AL272*AL212*Seasonality!$E$68</f>
        <v/>
      </c>
      <c r="AM332" s="48">
        <f>AM331+AM272*AM212*Seasonality!$E$68</f>
        <v/>
      </c>
      <c r="AN332" s="48">
        <f>AN331+AN272*AN212*Seasonality!$E$68</f>
        <v/>
      </c>
      <c r="AO332" s="48">
        <f>AO331+AO272*AO212*Seasonality!$E$68</f>
        <v/>
      </c>
      <c r="AP332" s="48">
        <f>AP331+AP272*AP212*Seasonality!$E$68</f>
        <v/>
      </c>
      <c r="AQ332" s="48">
        <f>AQ331+AQ272*AQ212*Seasonality!$E$68</f>
        <v/>
      </c>
      <c r="AR332" s="48">
        <f>AR331+AR272*AR212*Seasonality!$E$68</f>
        <v/>
      </c>
      <c r="AS332" s="48">
        <f>AS331+AS272*AS212*Seasonality!$E$68</f>
        <v/>
      </c>
      <c r="AT332" s="48">
        <f>AT331+AT272*AT212*Seasonality!$E$68</f>
        <v/>
      </c>
      <c r="AU332" s="48">
        <f>AU331+AU272*AU212*Seasonality!$E$68</f>
        <v/>
      </c>
      <c r="AV332" s="48">
        <f>AV331+AV272*AV212*Seasonality!$E$68</f>
        <v/>
      </c>
    </row>
    <row r="333">
      <c r="B333" s="7" t="inlineStr">
        <is>
          <t>Cumulative discounted contribution · month 33</t>
        </is>
      </c>
      <c r="C333" s="5" t="inlineStr">
        <is>
          <t>₹</t>
        </is>
      </c>
      <c r="D333" s="48">
        <f>D332+D273*D213*Seasonality!$E$69</f>
        <v/>
      </c>
      <c r="E333" s="48">
        <f>E332+E273*E213*Seasonality!$E$69</f>
        <v/>
      </c>
      <c r="F333" s="48">
        <f>F332+F273*F213*Seasonality!$E$69</f>
        <v/>
      </c>
      <c r="G333" s="48">
        <f>G332+G273*G213*Seasonality!$E$69</f>
        <v/>
      </c>
      <c r="H333" s="48">
        <f>H332+H273*H213*Seasonality!$E$69</f>
        <v/>
      </c>
      <c r="I333" s="48">
        <f>I332+I273*I213*Seasonality!$E$69</f>
        <v/>
      </c>
      <c r="J333" s="48">
        <f>J332+J273*J213*Seasonality!$E$69</f>
        <v/>
      </c>
      <c r="K333" s="48">
        <f>K332+K273*K213*Seasonality!$E$69</f>
        <v/>
      </c>
      <c r="L333" s="48">
        <f>L332+L273*L213*Seasonality!$E$69</f>
        <v/>
      </c>
      <c r="M333" s="48">
        <f>M332+M273*M213*Seasonality!$E$69</f>
        <v/>
      </c>
      <c r="N333" s="48">
        <f>N332+N273*N213*Seasonality!$E$69</f>
        <v/>
      </c>
      <c r="O333" s="48">
        <f>O332+O273*O213*Seasonality!$E$69</f>
        <v/>
      </c>
      <c r="P333" s="48">
        <f>P332+P273*P213*Seasonality!$E$69</f>
        <v/>
      </c>
      <c r="Q333" s="48">
        <f>Q332+Q273*Q213*Seasonality!$E$69</f>
        <v/>
      </c>
      <c r="R333" s="48">
        <f>R332+R273*R213*Seasonality!$E$69</f>
        <v/>
      </c>
      <c r="S333" s="48">
        <f>S332+S273*S213*Seasonality!$E$69</f>
        <v/>
      </c>
      <c r="T333" s="48">
        <f>T332+T273*T213*Seasonality!$E$69</f>
        <v/>
      </c>
      <c r="U333" s="48">
        <f>U332+U273*U213*Seasonality!$E$69</f>
        <v/>
      </c>
      <c r="V333" s="48">
        <f>V332+V273*V213*Seasonality!$E$69</f>
        <v/>
      </c>
      <c r="W333" s="48">
        <f>W332+W273*W213*Seasonality!$E$69</f>
        <v/>
      </c>
      <c r="X333" s="48">
        <f>X332+X273*X213*Seasonality!$E$69</f>
        <v/>
      </c>
      <c r="Y333" s="48">
        <f>Y332+Y273*Y213*Seasonality!$E$69</f>
        <v/>
      </c>
      <c r="Z333" s="48">
        <f>Z332+Z273*Z213*Seasonality!$E$69</f>
        <v/>
      </c>
      <c r="AA333" s="48">
        <f>AA332+AA273*AA213*Seasonality!$E$69</f>
        <v/>
      </c>
      <c r="AB333" s="48">
        <f>AB332+AB273*AB213*Seasonality!$E$69</f>
        <v/>
      </c>
      <c r="AC333" s="48">
        <f>AC332+AC273*AC213*Seasonality!$E$69</f>
        <v/>
      </c>
      <c r="AD333" s="48">
        <f>AD332+AD273*AD213*Seasonality!$E$69</f>
        <v/>
      </c>
      <c r="AE333" s="48">
        <f>AE332+AE273*AE213*Seasonality!$E$69</f>
        <v/>
      </c>
      <c r="AF333" s="48">
        <f>AF332+AF273*AF213*Seasonality!$E$69</f>
        <v/>
      </c>
      <c r="AG333" s="48">
        <f>AG332+AG273*AG213*Seasonality!$E$69</f>
        <v/>
      </c>
      <c r="AH333" s="48">
        <f>AH332+AH273*AH213*Seasonality!$E$69</f>
        <v/>
      </c>
      <c r="AI333" s="48">
        <f>AI332+AI273*AI213*Seasonality!$E$69</f>
        <v/>
      </c>
      <c r="AJ333" s="48">
        <f>AJ332+AJ273*AJ213*Seasonality!$E$69</f>
        <v/>
      </c>
      <c r="AK333" s="48">
        <f>AK332+AK273*AK213*Seasonality!$E$69</f>
        <v/>
      </c>
      <c r="AL333" s="48">
        <f>AL332+AL273*AL213*Seasonality!$E$69</f>
        <v/>
      </c>
      <c r="AM333" s="48">
        <f>AM332+AM273*AM213*Seasonality!$E$69</f>
        <v/>
      </c>
      <c r="AN333" s="48">
        <f>AN332+AN273*AN213*Seasonality!$E$69</f>
        <v/>
      </c>
      <c r="AO333" s="48">
        <f>AO332+AO273*AO213*Seasonality!$E$69</f>
        <v/>
      </c>
      <c r="AP333" s="48">
        <f>AP332+AP273*AP213*Seasonality!$E$69</f>
        <v/>
      </c>
      <c r="AQ333" s="48">
        <f>AQ332+AQ273*AQ213*Seasonality!$E$69</f>
        <v/>
      </c>
      <c r="AR333" s="48">
        <f>AR332+AR273*AR213*Seasonality!$E$69</f>
        <v/>
      </c>
      <c r="AS333" s="48">
        <f>AS332+AS273*AS213*Seasonality!$E$69</f>
        <v/>
      </c>
      <c r="AT333" s="48">
        <f>AT332+AT273*AT213*Seasonality!$E$69</f>
        <v/>
      </c>
      <c r="AU333" s="48">
        <f>AU332+AU273*AU213*Seasonality!$E$69</f>
        <v/>
      </c>
      <c r="AV333" s="48">
        <f>AV332+AV273*AV213*Seasonality!$E$69</f>
        <v/>
      </c>
    </row>
    <row r="334">
      <c r="B334" s="7" t="inlineStr">
        <is>
          <t>Cumulative discounted contribution · month 34</t>
        </is>
      </c>
      <c r="C334" s="5" t="inlineStr">
        <is>
          <t>₹</t>
        </is>
      </c>
      <c r="D334" s="48">
        <f>D333+D274*D214*Seasonality!$E$70</f>
        <v/>
      </c>
      <c r="E334" s="48">
        <f>E333+E274*E214*Seasonality!$E$70</f>
        <v/>
      </c>
      <c r="F334" s="48">
        <f>F333+F274*F214*Seasonality!$E$70</f>
        <v/>
      </c>
      <c r="G334" s="48">
        <f>G333+G274*G214*Seasonality!$E$70</f>
        <v/>
      </c>
      <c r="H334" s="48">
        <f>H333+H274*H214*Seasonality!$E$70</f>
        <v/>
      </c>
      <c r="I334" s="48">
        <f>I333+I274*I214*Seasonality!$E$70</f>
        <v/>
      </c>
      <c r="J334" s="48">
        <f>J333+J274*J214*Seasonality!$E$70</f>
        <v/>
      </c>
      <c r="K334" s="48">
        <f>K333+K274*K214*Seasonality!$E$70</f>
        <v/>
      </c>
      <c r="L334" s="48">
        <f>L333+L274*L214*Seasonality!$E$70</f>
        <v/>
      </c>
      <c r="M334" s="48">
        <f>M333+M274*M214*Seasonality!$E$70</f>
        <v/>
      </c>
      <c r="N334" s="48">
        <f>N333+N274*N214*Seasonality!$E$70</f>
        <v/>
      </c>
      <c r="O334" s="48">
        <f>O333+O274*O214*Seasonality!$E$70</f>
        <v/>
      </c>
      <c r="P334" s="48">
        <f>P333+P274*P214*Seasonality!$E$70</f>
        <v/>
      </c>
      <c r="Q334" s="48">
        <f>Q333+Q274*Q214*Seasonality!$E$70</f>
        <v/>
      </c>
      <c r="R334" s="48">
        <f>R333+R274*R214*Seasonality!$E$70</f>
        <v/>
      </c>
      <c r="S334" s="48">
        <f>S333+S274*S214*Seasonality!$E$70</f>
        <v/>
      </c>
      <c r="T334" s="48">
        <f>T333+T274*T214*Seasonality!$E$70</f>
        <v/>
      </c>
      <c r="U334" s="48">
        <f>U333+U274*U214*Seasonality!$E$70</f>
        <v/>
      </c>
      <c r="V334" s="48">
        <f>V333+V274*V214*Seasonality!$E$70</f>
        <v/>
      </c>
      <c r="W334" s="48">
        <f>W333+W274*W214*Seasonality!$E$70</f>
        <v/>
      </c>
      <c r="X334" s="48">
        <f>X333+X274*X214*Seasonality!$E$70</f>
        <v/>
      </c>
      <c r="Y334" s="48">
        <f>Y333+Y274*Y214*Seasonality!$E$70</f>
        <v/>
      </c>
      <c r="Z334" s="48">
        <f>Z333+Z274*Z214*Seasonality!$E$70</f>
        <v/>
      </c>
      <c r="AA334" s="48">
        <f>AA333+AA274*AA214*Seasonality!$E$70</f>
        <v/>
      </c>
      <c r="AB334" s="48">
        <f>AB333+AB274*AB214*Seasonality!$E$70</f>
        <v/>
      </c>
      <c r="AC334" s="48">
        <f>AC333+AC274*AC214*Seasonality!$E$70</f>
        <v/>
      </c>
      <c r="AD334" s="48">
        <f>AD333+AD274*AD214*Seasonality!$E$70</f>
        <v/>
      </c>
      <c r="AE334" s="48">
        <f>AE333+AE274*AE214*Seasonality!$E$70</f>
        <v/>
      </c>
      <c r="AF334" s="48">
        <f>AF333+AF274*AF214*Seasonality!$E$70</f>
        <v/>
      </c>
      <c r="AG334" s="48">
        <f>AG333+AG274*AG214*Seasonality!$E$70</f>
        <v/>
      </c>
      <c r="AH334" s="48">
        <f>AH333+AH274*AH214*Seasonality!$E$70</f>
        <v/>
      </c>
      <c r="AI334" s="48">
        <f>AI333+AI274*AI214*Seasonality!$E$70</f>
        <v/>
      </c>
      <c r="AJ334" s="48">
        <f>AJ333+AJ274*AJ214*Seasonality!$E$70</f>
        <v/>
      </c>
      <c r="AK334" s="48">
        <f>AK333+AK274*AK214*Seasonality!$E$70</f>
        <v/>
      </c>
      <c r="AL334" s="48">
        <f>AL333+AL274*AL214*Seasonality!$E$70</f>
        <v/>
      </c>
      <c r="AM334" s="48">
        <f>AM333+AM274*AM214*Seasonality!$E$70</f>
        <v/>
      </c>
      <c r="AN334" s="48">
        <f>AN333+AN274*AN214*Seasonality!$E$70</f>
        <v/>
      </c>
      <c r="AO334" s="48">
        <f>AO333+AO274*AO214*Seasonality!$E$70</f>
        <v/>
      </c>
      <c r="AP334" s="48">
        <f>AP333+AP274*AP214*Seasonality!$E$70</f>
        <v/>
      </c>
      <c r="AQ334" s="48">
        <f>AQ333+AQ274*AQ214*Seasonality!$E$70</f>
        <v/>
      </c>
      <c r="AR334" s="48">
        <f>AR333+AR274*AR214*Seasonality!$E$70</f>
        <v/>
      </c>
      <c r="AS334" s="48">
        <f>AS333+AS274*AS214*Seasonality!$E$70</f>
        <v/>
      </c>
      <c r="AT334" s="48">
        <f>AT333+AT274*AT214*Seasonality!$E$70</f>
        <v/>
      </c>
      <c r="AU334" s="48">
        <f>AU333+AU274*AU214*Seasonality!$E$70</f>
        <v/>
      </c>
      <c r="AV334" s="48">
        <f>AV333+AV274*AV214*Seasonality!$E$70</f>
        <v/>
      </c>
    </row>
    <row r="335">
      <c r="B335" s="7" t="inlineStr">
        <is>
          <t>Cumulative discounted contribution · month 35</t>
        </is>
      </c>
      <c r="C335" s="5" t="inlineStr">
        <is>
          <t>₹</t>
        </is>
      </c>
      <c r="D335" s="48">
        <f>D334+D275*D215*Seasonality!$E$71</f>
        <v/>
      </c>
      <c r="E335" s="48">
        <f>E334+E275*E215*Seasonality!$E$71</f>
        <v/>
      </c>
      <c r="F335" s="48">
        <f>F334+F275*F215*Seasonality!$E$71</f>
        <v/>
      </c>
      <c r="G335" s="48">
        <f>G334+G275*G215*Seasonality!$E$71</f>
        <v/>
      </c>
      <c r="H335" s="48">
        <f>H334+H275*H215*Seasonality!$E$71</f>
        <v/>
      </c>
      <c r="I335" s="48">
        <f>I334+I275*I215*Seasonality!$E$71</f>
        <v/>
      </c>
      <c r="J335" s="48">
        <f>J334+J275*J215*Seasonality!$E$71</f>
        <v/>
      </c>
      <c r="K335" s="48">
        <f>K334+K275*K215*Seasonality!$E$71</f>
        <v/>
      </c>
      <c r="L335" s="48">
        <f>L334+L275*L215*Seasonality!$E$71</f>
        <v/>
      </c>
      <c r="M335" s="48">
        <f>M334+M275*M215*Seasonality!$E$71</f>
        <v/>
      </c>
      <c r="N335" s="48">
        <f>N334+N275*N215*Seasonality!$E$71</f>
        <v/>
      </c>
      <c r="O335" s="48">
        <f>O334+O275*O215*Seasonality!$E$71</f>
        <v/>
      </c>
      <c r="P335" s="48">
        <f>P334+P275*P215*Seasonality!$E$71</f>
        <v/>
      </c>
      <c r="Q335" s="48">
        <f>Q334+Q275*Q215*Seasonality!$E$71</f>
        <v/>
      </c>
      <c r="R335" s="48">
        <f>R334+R275*R215*Seasonality!$E$71</f>
        <v/>
      </c>
      <c r="S335" s="48">
        <f>S334+S275*S215*Seasonality!$E$71</f>
        <v/>
      </c>
      <c r="T335" s="48">
        <f>T334+T275*T215*Seasonality!$E$71</f>
        <v/>
      </c>
      <c r="U335" s="48">
        <f>U334+U275*U215*Seasonality!$E$71</f>
        <v/>
      </c>
      <c r="V335" s="48">
        <f>V334+V275*V215*Seasonality!$E$71</f>
        <v/>
      </c>
      <c r="W335" s="48">
        <f>W334+W275*W215*Seasonality!$E$71</f>
        <v/>
      </c>
      <c r="X335" s="48">
        <f>X334+X275*X215*Seasonality!$E$71</f>
        <v/>
      </c>
      <c r="Y335" s="48">
        <f>Y334+Y275*Y215*Seasonality!$E$71</f>
        <v/>
      </c>
      <c r="Z335" s="48">
        <f>Z334+Z275*Z215*Seasonality!$E$71</f>
        <v/>
      </c>
      <c r="AA335" s="48">
        <f>AA334+AA275*AA215*Seasonality!$E$71</f>
        <v/>
      </c>
      <c r="AB335" s="48">
        <f>AB334+AB275*AB215*Seasonality!$E$71</f>
        <v/>
      </c>
      <c r="AC335" s="48">
        <f>AC334+AC275*AC215*Seasonality!$E$71</f>
        <v/>
      </c>
      <c r="AD335" s="48">
        <f>AD334+AD275*AD215*Seasonality!$E$71</f>
        <v/>
      </c>
      <c r="AE335" s="48">
        <f>AE334+AE275*AE215*Seasonality!$E$71</f>
        <v/>
      </c>
      <c r="AF335" s="48">
        <f>AF334+AF275*AF215*Seasonality!$E$71</f>
        <v/>
      </c>
      <c r="AG335" s="48">
        <f>AG334+AG275*AG215*Seasonality!$E$71</f>
        <v/>
      </c>
      <c r="AH335" s="48">
        <f>AH334+AH275*AH215*Seasonality!$E$71</f>
        <v/>
      </c>
      <c r="AI335" s="48">
        <f>AI334+AI275*AI215*Seasonality!$E$71</f>
        <v/>
      </c>
      <c r="AJ335" s="48">
        <f>AJ334+AJ275*AJ215*Seasonality!$E$71</f>
        <v/>
      </c>
      <c r="AK335" s="48">
        <f>AK334+AK275*AK215*Seasonality!$E$71</f>
        <v/>
      </c>
      <c r="AL335" s="48">
        <f>AL334+AL275*AL215*Seasonality!$E$71</f>
        <v/>
      </c>
      <c r="AM335" s="48">
        <f>AM334+AM275*AM215*Seasonality!$E$71</f>
        <v/>
      </c>
      <c r="AN335" s="48">
        <f>AN334+AN275*AN215*Seasonality!$E$71</f>
        <v/>
      </c>
      <c r="AO335" s="48">
        <f>AO334+AO275*AO215*Seasonality!$E$71</f>
        <v/>
      </c>
      <c r="AP335" s="48">
        <f>AP334+AP275*AP215*Seasonality!$E$71</f>
        <v/>
      </c>
      <c r="AQ335" s="48">
        <f>AQ334+AQ275*AQ215*Seasonality!$E$71</f>
        <v/>
      </c>
      <c r="AR335" s="48">
        <f>AR334+AR275*AR215*Seasonality!$E$71</f>
        <v/>
      </c>
      <c r="AS335" s="48">
        <f>AS334+AS275*AS215*Seasonality!$E$71</f>
        <v/>
      </c>
      <c r="AT335" s="48">
        <f>AT334+AT275*AT215*Seasonality!$E$71</f>
        <v/>
      </c>
      <c r="AU335" s="48">
        <f>AU334+AU275*AU215*Seasonality!$E$71</f>
        <v/>
      </c>
      <c r="AV335" s="48">
        <f>AV334+AV275*AV215*Seasonality!$E$71</f>
        <v/>
      </c>
    </row>
    <row r="336">
      <c r="B336" s="7" t="inlineStr">
        <is>
          <t>Cumulative discounted contribution · month 36</t>
        </is>
      </c>
      <c r="C336" s="5" t="inlineStr">
        <is>
          <t>₹</t>
        </is>
      </c>
      <c r="D336" s="48">
        <f>D335+D276*D216*Seasonality!$E$72</f>
        <v/>
      </c>
      <c r="E336" s="48">
        <f>E335+E276*E216*Seasonality!$E$72</f>
        <v/>
      </c>
      <c r="F336" s="48">
        <f>F335+F276*F216*Seasonality!$E$72</f>
        <v/>
      </c>
      <c r="G336" s="48">
        <f>G335+G276*G216*Seasonality!$E$72</f>
        <v/>
      </c>
      <c r="H336" s="48">
        <f>H335+H276*H216*Seasonality!$E$72</f>
        <v/>
      </c>
      <c r="I336" s="48">
        <f>I335+I276*I216*Seasonality!$E$72</f>
        <v/>
      </c>
      <c r="J336" s="48">
        <f>J335+J276*J216*Seasonality!$E$72</f>
        <v/>
      </c>
      <c r="K336" s="48">
        <f>K335+K276*K216*Seasonality!$E$72</f>
        <v/>
      </c>
      <c r="L336" s="48">
        <f>L335+L276*L216*Seasonality!$E$72</f>
        <v/>
      </c>
      <c r="M336" s="48">
        <f>M335+M276*M216*Seasonality!$E$72</f>
        <v/>
      </c>
      <c r="N336" s="48">
        <f>N335+N276*N216*Seasonality!$E$72</f>
        <v/>
      </c>
      <c r="O336" s="48">
        <f>O335+O276*O216*Seasonality!$E$72</f>
        <v/>
      </c>
      <c r="P336" s="48">
        <f>P335+P276*P216*Seasonality!$E$72</f>
        <v/>
      </c>
      <c r="Q336" s="48">
        <f>Q335+Q276*Q216*Seasonality!$E$72</f>
        <v/>
      </c>
      <c r="R336" s="48">
        <f>R335+R276*R216*Seasonality!$E$72</f>
        <v/>
      </c>
      <c r="S336" s="48">
        <f>S335+S276*S216*Seasonality!$E$72</f>
        <v/>
      </c>
      <c r="T336" s="48">
        <f>T335+T276*T216*Seasonality!$E$72</f>
        <v/>
      </c>
      <c r="U336" s="48">
        <f>U335+U276*U216*Seasonality!$E$72</f>
        <v/>
      </c>
      <c r="V336" s="48">
        <f>V335+V276*V216*Seasonality!$E$72</f>
        <v/>
      </c>
      <c r="W336" s="48">
        <f>W335+W276*W216*Seasonality!$E$72</f>
        <v/>
      </c>
      <c r="X336" s="48">
        <f>X335+X276*X216*Seasonality!$E$72</f>
        <v/>
      </c>
      <c r="Y336" s="48">
        <f>Y335+Y276*Y216*Seasonality!$E$72</f>
        <v/>
      </c>
      <c r="Z336" s="48">
        <f>Z335+Z276*Z216*Seasonality!$E$72</f>
        <v/>
      </c>
      <c r="AA336" s="48">
        <f>AA335+AA276*AA216*Seasonality!$E$72</f>
        <v/>
      </c>
      <c r="AB336" s="48">
        <f>AB335+AB276*AB216*Seasonality!$E$72</f>
        <v/>
      </c>
      <c r="AC336" s="48">
        <f>AC335+AC276*AC216*Seasonality!$E$72</f>
        <v/>
      </c>
      <c r="AD336" s="48">
        <f>AD335+AD276*AD216*Seasonality!$E$72</f>
        <v/>
      </c>
      <c r="AE336" s="48">
        <f>AE335+AE276*AE216*Seasonality!$E$72</f>
        <v/>
      </c>
      <c r="AF336" s="48">
        <f>AF335+AF276*AF216*Seasonality!$E$72</f>
        <v/>
      </c>
      <c r="AG336" s="48">
        <f>AG335+AG276*AG216*Seasonality!$E$72</f>
        <v/>
      </c>
      <c r="AH336" s="48">
        <f>AH335+AH276*AH216*Seasonality!$E$72</f>
        <v/>
      </c>
      <c r="AI336" s="48">
        <f>AI335+AI276*AI216*Seasonality!$E$72</f>
        <v/>
      </c>
      <c r="AJ336" s="48">
        <f>AJ335+AJ276*AJ216*Seasonality!$E$72</f>
        <v/>
      </c>
      <c r="AK336" s="48">
        <f>AK335+AK276*AK216*Seasonality!$E$72</f>
        <v/>
      </c>
      <c r="AL336" s="48">
        <f>AL335+AL276*AL216*Seasonality!$E$72</f>
        <v/>
      </c>
      <c r="AM336" s="48">
        <f>AM335+AM276*AM216*Seasonality!$E$72</f>
        <v/>
      </c>
      <c r="AN336" s="48">
        <f>AN335+AN276*AN216*Seasonality!$E$72</f>
        <v/>
      </c>
      <c r="AO336" s="48">
        <f>AO335+AO276*AO216*Seasonality!$E$72</f>
        <v/>
      </c>
      <c r="AP336" s="48">
        <f>AP335+AP276*AP216*Seasonality!$E$72</f>
        <v/>
      </c>
      <c r="AQ336" s="48">
        <f>AQ335+AQ276*AQ216*Seasonality!$E$72</f>
        <v/>
      </c>
      <c r="AR336" s="48">
        <f>AR335+AR276*AR216*Seasonality!$E$72</f>
        <v/>
      </c>
      <c r="AS336" s="48">
        <f>AS335+AS276*AS216*Seasonality!$E$72</f>
        <v/>
      </c>
      <c r="AT336" s="48">
        <f>AT335+AT276*AT216*Seasonality!$E$72</f>
        <v/>
      </c>
      <c r="AU336" s="48">
        <f>AU335+AU276*AU216*Seasonality!$E$72</f>
        <v/>
      </c>
      <c r="AV336" s="48">
        <f>AV335+AV276*AV216*Seasonality!$E$72</f>
        <v/>
      </c>
    </row>
    <row r="337">
      <c r="B337" s="7" t="inlineStr">
        <is>
          <t>Cumulative discounted contribution · month 37</t>
        </is>
      </c>
      <c r="C337" s="5" t="inlineStr">
        <is>
          <t>₹</t>
        </is>
      </c>
      <c r="D337" s="48">
        <f>D336+D277*D217*Seasonality!$E$73</f>
        <v/>
      </c>
      <c r="E337" s="48">
        <f>E336+E277*E217*Seasonality!$E$73</f>
        <v/>
      </c>
      <c r="F337" s="48">
        <f>F336+F277*F217*Seasonality!$E$73</f>
        <v/>
      </c>
      <c r="G337" s="48">
        <f>G336+G277*G217*Seasonality!$E$73</f>
        <v/>
      </c>
      <c r="H337" s="48">
        <f>H336+H277*H217*Seasonality!$E$73</f>
        <v/>
      </c>
      <c r="I337" s="48">
        <f>I336+I277*I217*Seasonality!$E$73</f>
        <v/>
      </c>
      <c r="J337" s="48">
        <f>J336+J277*J217*Seasonality!$E$73</f>
        <v/>
      </c>
      <c r="K337" s="48">
        <f>K336+K277*K217*Seasonality!$E$73</f>
        <v/>
      </c>
      <c r="L337" s="48">
        <f>L336+L277*L217*Seasonality!$E$73</f>
        <v/>
      </c>
      <c r="M337" s="48">
        <f>M336+M277*M217*Seasonality!$E$73</f>
        <v/>
      </c>
      <c r="N337" s="48">
        <f>N336+N277*N217*Seasonality!$E$73</f>
        <v/>
      </c>
      <c r="O337" s="48">
        <f>O336+O277*O217*Seasonality!$E$73</f>
        <v/>
      </c>
      <c r="P337" s="48">
        <f>P336+P277*P217*Seasonality!$E$73</f>
        <v/>
      </c>
      <c r="Q337" s="48">
        <f>Q336+Q277*Q217*Seasonality!$E$73</f>
        <v/>
      </c>
      <c r="R337" s="48">
        <f>R336+R277*R217*Seasonality!$E$73</f>
        <v/>
      </c>
      <c r="S337" s="48">
        <f>S336+S277*S217*Seasonality!$E$73</f>
        <v/>
      </c>
      <c r="T337" s="48">
        <f>T336+T277*T217*Seasonality!$E$73</f>
        <v/>
      </c>
      <c r="U337" s="48">
        <f>U336+U277*U217*Seasonality!$E$73</f>
        <v/>
      </c>
      <c r="V337" s="48">
        <f>V336+V277*V217*Seasonality!$E$73</f>
        <v/>
      </c>
      <c r="W337" s="48">
        <f>W336+W277*W217*Seasonality!$E$73</f>
        <v/>
      </c>
      <c r="X337" s="48">
        <f>X336+X277*X217*Seasonality!$E$73</f>
        <v/>
      </c>
      <c r="Y337" s="48">
        <f>Y336+Y277*Y217*Seasonality!$E$73</f>
        <v/>
      </c>
      <c r="Z337" s="48">
        <f>Z336+Z277*Z217*Seasonality!$E$73</f>
        <v/>
      </c>
      <c r="AA337" s="48">
        <f>AA336+AA277*AA217*Seasonality!$E$73</f>
        <v/>
      </c>
      <c r="AB337" s="48">
        <f>AB336+AB277*AB217*Seasonality!$E$73</f>
        <v/>
      </c>
      <c r="AC337" s="48">
        <f>AC336+AC277*AC217*Seasonality!$E$73</f>
        <v/>
      </c>
      <c r="AD337" s="48">
        <f>AD336+AD277*AD217*Seasonality!$E$73</f>
        <v/>
      </c>
      <c r="AE337" s="48">
        <f>AE336+AE277*AE217*Seasonality!$E$73</f>
        <v/>
      </c>
      <c r="AF337" s="48">
        <f>AF336+AF277*AF217*Seasonality!$E$73</f>
        <v/>
      </c>
      <c r="AG337" s="48">
        <f>AG336+AG277*AG217*Seasonality!$E$73</f>
        <v/>
      </c>
      <c r="AH337" s="48">
        <f>AH336+AH277*AH217*Seasonality!$E$73</f>
        <v/>
      </c>
      <c r="AI337" s="48">
        <f>AI336+AI277*AI217*Seasonality!$E$73</f>
        <v/>
      </c>
      <c r="AJ337" s="48">
        <f>AJ336+AJ277*AJ217*Seasonality!$E$73</f>
        <v/>
      </c>
      <c r="AK337" s="48">
        <f>AK336+AK277*AK217*Seasonality!$E$73</f>
        <v/>
      </c>
      <c r="AL337" s="48">
        <f>AL336+AL277*AL217*Seasonality!$E$73</f>
        <v/>
      </c>
      <c r="AM337" s="48">
        <f>AM336+AM277*AM217*Seasonality!$E$73</f>
        <v/>
      </c>
      <c r="AN337" s="48">
        <f>AN336+AN277*AN217*Seasonality!$E$73</f>
        <v/>
      </c>
      <c r="AO337" s="48">
        <f>AO336+AO277*AO217*Seasonality!$E$73</f>
        <v/>
      </c>
      <c r="AP337" s="48">
        <f>AP336+AP277*AP217*Seasonality!$E$73</f>
        <v/>
      </c>
      <c r="AQ337" s="48">
        <f>AQ336+AQ277*AQ217*Seasonality!$E$73</f>
        <v/>
      </c>
      <c r="AR337" s="48">
        <f>AR336+AR277*AR217*Seasonality!$E$73</f>
        <v/>
      </c>
      <c r="AS337" s="48">
        <f>AS336+AS277*AS217*Seasonality!$E$73</f>
        <v/>
      </c>
      <c r="AT337" s="48">
        <f>AT336+AT277*AT217*Seasonality!$E$73</f>
        <v/>
      </c>
      <c r="AU337" s="48">
        <f>AU336+AU277*AU217*Seasonality!$E$73</f>
        <v/>
      </c>
      <c r="AV337" s="48">
        <f>AV336+AV277*AV217*Seasonality!$E$73</f>
        <v/>
      </c>
    </row>
    <row r="338">
      <c r="B338" s="7" t="inlineStr">
        <is>
          <t>Cumulative discounted contribution · month 38</t>
        </is>
      </c>
      <c r="C338" s="5" t="inlineStr">
        <is>
          <t>₹</t>
        </is>
      </c>
      <c r="D338" s="48">
        <f>D337+D278*D218*Seasonality!$E$74</f>
        <v/>
      </c>
      <c r="E338" s="48">
        <f>E337+E278*E218*Seasonality!$E$74</f>
        <v/>
      </c>
      <c r="F338" s="48">
        <f>F337+F278*F218*Seasonality!$E$74</f>
        <v/>
      </c>
      <c r="G338" s="48">
        <f>G337+G278*G218*Seasonality!$E$74</f>
        <v/>
      </c>
      <c r="H338" s="48">
        <f>H337+H278*H218*Seasonality!$E$74</f>
        <v/>
      </c>
      <c r="I338" s="48">
        <f>I337+I278*I218*Seasonality!$E$74</f>
        <v/>
      </c>
      <c r="J338" s="48">
        <f>J337+J278*J218*Seasonality!$E$74</f>
        <v/>
      </c>
      <c r="K338" s="48">
        <f>K337+K278*K218*Seasonality!$E$74</f>
        <v/>
      </c>
      <c r="L338" s="48">
        <f>L337+L278*L218*Seasonality!$E$74</f>
        <v/>
      </c>
      <c r="M338" s="48">
        <f>M337+M278*M218*Seasonality!$E$74</f>
        <v/>
      </c>
      <c r="N338" s="48">
        <f>N337+N278*N218*Seasonality!$E$74</f>
        <v/>
      </c>
      <c r="O338" s="48">
        <f>O337+O278*O218*Seasonality!$E$74</f>
        <v/>
      </c>
      <c r="P338" s="48">
        <f>P337+P278*P218*Seasonality!$E$74</f>
        <v/>
      </c>
      <c r="Q338" s="48">
        <f>Q337+Q278*Q218*Seasonality!$E$74</f>
        <v/>
      </c>
      <c r="R338" s="48">
        <f>R337+R278*R218*Seasonality!$E$74</f>
        <v/>
      </c>
      <c r="S338" s="48">
        <f>S337+S278*S218*Seasonality!$E$74</f>
        <v/>
      </c>
      <c r="T338" s="48">
        <f>T337+T278*T218*Seasonality!$E$74</f>
        <v/>
      </c>
      <c r="U338" s="48">
        <f>U337+U278*U218*Seasonality!$E$74</f>
        <v/>
      </c>
      <c r="V338" s="48">
        <f>V337+V278*V218*Seasonality!$E$74</f>
        <v/>
      </c>
      <c r="W338" s="48">
        <f>W337+W278*W218*Seasonality!$E$74</f>
        <v/>
      </c>
      <c r="X338" s="48">
        <f>X337+X278*X218*Seasonality!$E$74</f>
        <v/>
      </c>
      <c r="Y338" s="48">
        <f>Y337+Y278*Y218*Seasonality!$E$74</f>
        <v/>
      </c>
      <c r="Z338" s="48">
        <f>Z337+Z278*Z218*Seasonality!$E$74</f>
        <v/>
      </c>
      <c r="AA338" s="48">
        <f>AA337+AA278*AA218*Seasonality!$E$74</f>
        <v/>
      </c>
      <c r="AB338" s="48">
        <f>AB337+AB278*AB218*Seasonality!$E$74</f>
        <v/>
      </c>
      <c r="AC338" s="48">
        <f>AC337+AC278*AC218*Seasonality!$E$74</f>
        <v/>
      </c>
      <c r="AD338" s="48">
        <f>AD337+AD278*AD218*Seasonality!$E$74</f>
        <v/>
      </c>
      <c r="AE338" s="48">
        <f>AE337+AE278*AE218*Seasonality!$E$74</f>
        <v/>
      </c>
      <c r="AF338" s="48">
        <f>AF337+AF278*AF218*Seasonality!$E$74</f>
        <v/>
      </c>
      <c r="AG338" s="48">
        <f>AG337+AG278*AG218*Seasonality!$E$74</f>
        <v/>
      </c>
      <c r="AH338" s="48">
        <f>AH337+AH278*AH218*Seasonality!$E$74</f>
        <v/>
      </c>
      <c r="AI338" s="48">
        <f>AI337+AI278*AI218*Seasonality!$E$74</f>
        <v/>
      </c>
      <c r="AJ338" s="48">
        <f>AJ337+AJ278*AJ218*Seasonality!$E$74</f>
        <v/>
      </c>
      <c r="AK338" s="48">
        <f>AK337+AK278*AK218*Seasonality!$E$74</f>
        <v/>
      </c>
      <c r="AL338" s="48">
        <f>AL337+AL278*AL218*Seasonality!$E$74</f>
        <v/>
      </c>
      <c r="AM338" s="48">
        <f>AM337+AM278*AM218*Seasonality!$E$74</f>
        <v/>
      </c>
      <c r="AN338" s="48">
        <f>AN337+AN278*AN218*Seasonality!$E$74</f>
        <v/>
      </c>
      <c r="AO338" s="48">
        <f>AO337+AO278*AO218*Seasonality!$E$74</f>
        <v/>
      </c>
      <c r="AP338" s="48">
        <f>AP337+AP278*AP218*Seasonality!$E$74</f>
        <v/>
      </c>
      <c r="AQ338" s="48">
        <f>AQ337+AQ278*AQ218*Seasonality!$E$74</f>
        <v/>
      </c>
      <c r="AR338" s="48">
        <f>AR337+AR278*AR218*Seasonality!$E$74</f>
        <v/>
      </c>
      <c r="AS338" s="48">
        <f>AS337+AS278*AS218*Seasonality!$E$74</f>
        <v/>
      </c>
      <c r="AT338" s="48">
        <f>AT337+AT278*AT218*Seasonality!$E$74</f>
        <v/>
      </c>
      <c r="AU338" s="48">
        <f>AU337+AU278*AU218*Seasonality!$E$74</f>
        <v/>
      </c>
      <c r="AV338" s="48">
        <f>AV337+AV278*AV218*Seasonality!$E$74</f>
        <v/>
      </c>
    </row>
    <row r="339">
      <c r="B339" s="7" t="inlineStr">
        <is>
          <t>Cumulative discounted contribution · month 39</t>
        </is>
      </c>
      <c r="C339" s="5" t="inlineStr">
        <is>
          <t>₹</t>
        </is>
      </c>
      <c r="D339" s="48">
        <f>D338+D279*D219*Seasonality!$E$75</f>
        <v/>
      </c>
      <c r="E339" s="48">
        <f>E338+E279*E219*Seasonality!$E$75</f>
        <v/>
      </c>
      <c r="F339" s="48">
        <f>F338+F279*F219*Seasonality!$E$75</f>
        <v/>
      </c>
      <c r="G339" s="48">
        <f>G338+G279*G219*Seasonality!$E$75</f>
        <v/>
      </c>
      <c r="H339" s="48">
        <f>H338+H279*H219*Seasonality!$E$75</f>
        <v/>
      </c>
      <c r="I339" s="48">
        <f>I338+I279*I219*Seasonality!$E$75</f>
        <v/>
      </c>
      <c r="J339" s="48">
        <f>J338+J279*J219*Seasonality!$E$75</f>
        <v/>
      </c>
      <c r="K339" s="48">
        <f>K338+K279*K219*Seasonality!$E$75</f>
        <v/>
      </c>
      <c r="L339" s="48">
        <f>L338+L279*L219*Seasonality!$E$75</f>
        <v/>
      </c>
      <c r="M339" s="48">
        <f>M338+M279*M219*Seasonality!$E$75</f>
        <v/>
      </c>
      <c r="N339" s="48">
        <f>N338+N279*N219*Seasonality!$E$75</f>
        <v/>
      </c>
      <c r="O339" s="48">
        <f>O338+O279*O219*Seasonality!$E$75</f>
        <v/>
      </c>
      <c r="P339" s="48">
        <f>P338+P279*P219*Seasonality!$E$75</f>
        <v/>
      </c>
      <c r="Q339" s="48">
        <f>Q338+Q279*Q219*Seasonality!$E$75</f>
        <v/>
      </c>
      <c r="R339" s="48">
        <f>R338+R279*R219*Seasonality!$E$75</f>
        <v/>
      </c>
      <c r="S339" s="48">
        <f>S338+S279*S219*Seasonality!$E$75</f>
        <v/>
      </c>
      <c r="T339" s="48">
        <f>T338+T279*T219*Seasonality!$E$75</f>
        <v/>
      </c>
      <c r="U339" s="48">
        <f>U338+U279*U219*Seasonality!$E$75</f>
        <v/>
      </c>
      <c r="V339" s="48">
        <f>V338+V279*V219*Seasonality!$E$75</f>
        <v/>
      </c>
      <c r="W339" s="48">
        <f>W338+W279*W219*Seasonality!$E$75</f>
        <v/>
      </c>
      <c r="X339" s="48">
        <f>X338+X279*X219*Seasonality!$E$75</f>
        <v/>
      </c>
      <c r="Y339" s="48">
        <f>Y338+Y279*Y219*Seasonality!$E$75</f>
        <v/>
      </c>
      <c r="Z339" s="48">
        <f>Z338+Z279*Z219*Seasonality!$E$75</f>
        <v/>
      </c>
      <c r="AA339" s="48">
        <f>AA338+AA279*AA219*Seasonality!$E$75</f>
        <v/>
      </c>
      <c r="AB339" s="48">
        <f>AB338+AB279*AB219*Seasonality!$E$75</f>
        <v/>
      </c>
      <c r="AC339" s="48">
        <f>AC338+AC279*AC219*Seasonality!$E$75</f>
        <v/>
      </c>
      <c r="AD339" s="48">
        <f>AD338+AD279*AD219*Seasonality!$E$75</f>
        <v/>
      </c>
      <c r="AE339" s="48">
        <f>AE338+AE279*AE219*Seasonality!$E$75</f>
        <v/>
      </c>
      <c r="AF339" s="48">
        <f>AF338+AF279*AF219*Seasonality!$E$75</f>
        <v/>
      </c>
      <c r="AG339" s="48">
        <f>AG338+AG279*AG219*Seasonality!$E$75</f>
        <v/>
      </c>
      <c r="AH339" s="48">
        <f>AH338+AH279*AH219*Seasonality!$E$75</f>
        <v/>
      </c>
      <c r="AI339" s="48">
        <f>AI338+AI279*AI219*Seasonality!$E$75</f>
        <v/>
      </c>
      <c r="AJ339" s="48">
        <f>AJ338+AJ279*AJ219*Seasonality!$E$75</f>
        <v/>
      </c>
      <c r="AK339" s="48">
        <f>AK338+AK279*AK219*Seasonality!$E$75</f>
        <v/>
      </c>
      <c r="AL339" s="48">
        <f>AL338+AL279*AL219*Seasonality!$E$75</f>
        <v/>
      </c>
      <c r="AM339" s="48">
        <f>AM338+AM279*AM219*Seasonality!$E$75</f>
        <v/>
      </c>
      <c r="AN339" s="48">
        <f>AN338+AN279*AN219*Seasonality!$E$75</f>
        <v/>
      </c>
      <c r="AO339" s="48">
        <f>AO338+AO279*AO219*Seasonality!$E$75</f>
        <v/>
      </c>
      <c r="AP339" s="48">
        <f>AP338+AP279*AP219*Seasonality!$E$75</f>
        <v/>
      </c>
      <c r="AQ339" s="48">
        <f>AQ338+AQ279*AQ219*Seasonality!$E$75</f>
        <v/>
      </c>
      <c r="AR339" s="48">
        <f>AR338+AR279*AR219*Seasonality!$E$75</f>
        <v/>
      </c>
      <c r="AS339" s="48">
        <f>AS338+AS279*AS219*Seasonality!$E$75</f>
        <v/>
      </c>
      <c r="AT339" s="48">
        <f>AT338+AT279*AT219*Seasonality!$E$75</f>
        <v/>
      </c>
      <c r="AU339" s="48">
        <f>AU338+AU279*AU219*Seasonality!$E$75</f>
        <v/>
      </c>
      <c r="AV339" s="48">
        <f>AV338+AV279*AV219*Seasonality!$E$75</f>
        <v/>
      </c>
    </row>
    <row r="340">
      <c r="B340" s="7" t="inlineStr">
        <is>
          <t>Cumulative discounted contribution · month 40</t>
        </is>
      </c>
      <c r="C340" s="5" t="inlineStr">
        <is>
          <t>₹</t>
        </is>
      </c>
      <c r="D340" s="48">
        <f>D339+D280*D220*Seasonality!$E$76</f>
        <v/>
      </c>
      <c r="E340" s="48">
        <f>E339+E280*E220*Seasonality!$E$76</f>
        <v/>
      </c>
      <c r="F340" s="48">
        <f>F339+F280*F220*Seasonality!$E$76</f>
        <v/>
      </c>
      <c r="G340" s="48">
        <f>G339+G280*G220*Seasonality!$E$76</f>
        <v/>
      </c>
      <c r="H340" s="48">
        <f>H339+H280*H220*Seasonality!$E$76</f>
        <v/>
      </c>
      <c r="I340" s="48">
        <f>I339+I280*I220*Seasonality!$E$76</f>
        <v/>
      </c>
      <c r="J340" s="48">
        <f>J339+J280*J220*Seasonality!$E$76</f>
        <v/>
      </c>
      <c r="K340" s="48">
        <f>K339+K280*K220*Seasonality!$E$76</f>
        <v/>
      </c>
      <c r="L340" s="48">
        <f>L339+L280*L220*Seasonality!$E$76</f>
        <v/>
      </c>
      <c r="M340" s="48">
        <f>M339+M280*M220*Seasonality!$E$76</f>
        <v/>
      </c>
      <c r="N340" s="48">
        <f>N339+N280*N220*Seasonality!$E$76</f>
        <v/>
      </c>
      <c r="O340" s="48">
        <f>O339+O280*O220*Seasonality!$E$76</f>
        <v/>
      </c>
      <c r="P340" s="48">
        <f>P339+P280*P220*Seasonality!$E$76</f>
        <v/>
      </c>
      <c r="Q340" s="48">
        <f>Q339+Q280*Q220*Seasonality!$E$76</f>
        <v/>
      </c>
      <c r="R340" s="48">
        <f>R339+R280*R220*Seasonality!$E$76</f>
        <v/>
      </c>
      <c r="S340" s="48">
        <f>S339+S280*S220*Seasonality!$E$76</f>
        <v/>
      </c>
      <c r="T340" s="48">
        <f>T339+T280*T220*Seasonality!$E$76</f>
        <v/>
      </c>
      <c r="U340" s="48">
        <f>U339+U280*U220*Seasonality!$E$76</f>
        <v/>
      </c>
      <c r="V340" s="48">
        <f>V339+V280*V220*Seasonality!$E$76</f>
        <v/>
      </c>
      <c r="W340" s="48">
        <f>W339+W280*W220*Seasonality!$E$76</f>
        <v/>
      </c>
      <c r="X340" s="48">
        <f>X339+X280*X220*Seasonality!$E$76</f>
        <v/>
      </c>
      <c r="Y340" s="48">
        <f>Y339+Y280*Y220*Seasonality!$E$76</f>
        <v/>
      </c>
      <c r="Z340" s="48">
        <f>Z339+Z280*Z220*Seasonality!$E$76</f>
        <v/>
      </c>
      <c r="AA340" s="48">
        <f>AA339+AA280*AA220*Seasonality!$E$76</f>
        <v/>
      </c>
      <c r="AB340" s="48">
        <f>AB339+AB280*AB220*Seasonality!$E$76</f>
        <v/>
      </c>
      <c r="AC340" s="48">
        <f>AC339+AC280*AC220*Seasonality!$E$76</f>
        <v/>
      </c>
      <c r="AD340" s="48">
        <f>AD339+AD280*AD220*Seasonality!$E$76</f>
        <v/>
      </c>
      <c r="AE340" s="48">
        <f>AE339+AE280*AE220*Seasonality!$E$76</f>
        <v/>
      </c>
      <c r="AF340" s="48">
        <f>AF339+AF280*AF220*Seasonality!$E$76</f>
        <v/>
      </c>
      <c r="AG340" s="48">
        <f>AG339+AG280*AG220*Seasonality!$E$76</f>
        <v/>
      </c>
      <c r="AH340" s="48">
        <f>AH339+AH280*AH220*Seasonality!$E$76</f>
        <v/>
      </c>
      <c r="AI340" s="48">
        <f>AI339+AI280*AI220*Seasonality!$E$76</f>
        <v/>
      </c>
      <c r="AJ340" s="48">
        <f>AJ339+AJ280*AJ220*Seasonality!$E$76</f>
        <v/>
      </c>
      <c r="AK340" s="48">
        <f>AK339+AK280*AK220*Seasonality!$E$76</f>
        <v/>
      </c>
      <c r="AL340" s="48">
        <f>AL339+AL280*AL220*Seasonality!$E$76</f>
        <v/>
      </c>
      <c r="AM340" s="48">
        <f>AM339+AM280*AM220*Seasonality!$E$76</f>
        <v/>
      </c>
      <c r="AN340" s="48">
        <f>AN339+AN280*AN220*Seasonality!$E$76</f>
        <v/>
      </c>
      <c r="AO340" s="48">
        <f>AO339+AO280*AO220*Seasonality!$E$76</f>
        <v/>
      </c>
      <c r="AP340" s="48">
        <f>AP339+AP280*AP220*Seasonality!$E$76</f>
        <v/>
      </c>
      <c r="AQ340" s="48">
        <f>AQ339+AQ280*AQ220*Seasonality!$E$76</f>
        <v/>
      </c>
      <c r="AR340" s="48">
        <f>AR339+AR280*AR220*Seasonality!$E$76</f>
        <v/>
      </c>
      <c r="AS340" s="48">
        <f>AS339+AS280*AS220*Seasonality!$E$76</f>
        <v/>
      </c>
      <c r="AT340" s="48">
        <f>AT339+AT280*AT220*Seasonality!$E$76</f>
        <v/>
      </c>
      <c r="AU340" s="48">
        <f>AU339+AU280*AU220*Seasonality!$E$76</f>
        <v/>
      </c>
      <c r="AV340" s="48">
        <f>AV339+AV280*AV220*Seasonality!$E$76</f>
        <v/>
      </c>
    </row>
    <row r="341">
      <c r="B341" s="7" t="inlineStr">
        <is>
          <t>Cumulative discounted contribution · month 41</t>
        </is>
      </c>
      <c r="C341" s="5" t="inlineStr">
        <is>
          <t>₹</t>
        </is>
      </c>
      <c r="D341" s="48">
        <f>D340+D281*D221*Seasonality!$E$77</f>
        <v/>
      </c>
      <c r="E341" s="48">
        <f>E340+E281*E221*Seasonality!$E$77</f>
        <v/>
      </c>
      <c r="F341" s="48">
        <f>F340+F281*F221*Seasonality!$E$77</f>
        <v/>
      </c>
      <c r="G341" s="48">
        <f>G340+G281*G221*Seasonality!$E$77</f>
        <v/>
      </c>
      <c r="H341" s="48">
        <f>H340+H281*H221*Seasonality!$E$77</f>
        <v/>
      </c>
      <c r="I341" s="48">
        <f>I340+I281*I221*Seasonality!$E$77</f>
        <v/>
      </c>
      <c r="J341" s="48">
        <f>J340+J281*J221*Seasonality!$E$77</f>
        <v/>
      </c>
      <c r="K341" s="48">
        <f>K340+K281*K221*Seasonality!$E$77</f>
        <v/>
      </c>
      <c r="L341" s="48">
        <f>L340+L281*L221*Seasonality!$E$77</f>
        <v/>
      </c>
      <c r="M341" s="48">
        <f>M340+M281*M221*Seasonality!$E$77</f>
        <v/>
      </c>
      <c r="N341" s="48">
        <f>N340+N281*N221*Seasonality!$E$77</f>
        <v/>
      </c>
      <c r="O341" s="48">
        <f>O340+O281*O221*Seasonality!$E$77</f>
        <v/>
      </c>
      <c r="P341" s="48">
        <f>P340+P281*P221*Seasonality!$E$77</f>
        <v/>
      </c>
      <c r="Q341" s="48">
        <f>Q340+Q281*Q221*Seasonality!$E$77</f>
        <v/>
      </c>
      <c r="R341" s="48">
        <f>R340+R281*R221*Seasonality!$E$77</f>
        <v/>
      </c>
      <c r="S341" s="48">
        <f>S340+S281*S221*Seasonality!$E$77</f>
        <v/>
      </c>
      <c r="T341" s="48">
        <f>T340+T281*T221*Seasonality!$E$77</f>
        <v/>
      </c>
      <c r="U341" s="48">
        <f>U340+U281*U221*Seasonality!$E$77</f>
        <v/>
      </c>
      <c r="V341" s="48">
        <f>V340+V281*V221*Seasonality!$E$77</f>
        <v/>
      </c>
      <c r="W341" s="48">
        <f>W340+W281*W221*Seasonality!$E$77</f>
        <v/>
      </c>
      <c r="X341" s="48">
        <f>X340+X281*X221*Seasonality!$E$77</f>
        <v/>
      </c>
      <c r="Y341" s="48">
        <f>Y340+Y281*Y221*Seasonality!$E$77</f>
        <v/>
      </c>
      <c r="Z341" s="48">
        <f>Z340+Z281*Z221*Seasonality!$E$77</f>
        <v/>
      </c>
      <c r="AA341" s="48">
        <f>AA340+AA281*AA221*Seasonality!$E$77</f>
        <v/>
      </c>
      <c r="AB341" s="48">
        <f>AB340+AB281*AB221*Seasonality!$E$77</f>
        <v/>
      </c>
      <c r="AC341" s="48">
        <f>AC340+AC281*AC221*Seasonality!$E$77</f>
        <v/>
      </c>
      <c r="AD341" s="48">
        <f>AD340+AD281*AD221*Seasonality!$E$77</f>
        <v/>
      </c>
      <c r="AE341" s="48">
        <f>AE340+AE281*AE221*Seasonality!$E$77</f>
        <v/>
      </c>
      <c r="AF341" s="48">
        <f>AF340+AF281*AF221*Seasonality!$E$77</f>
        <v/>
      </c>
      <c r="AG341" s="48">
        <f>AG340+AG281*AG221*Seasonality!$E$77</f>
        <v/>
      </c>
      <c r="AH341" s="48">
        <f>AH340+AH281*AH221*Seasonality!$E$77</f>
        <v/>
      </c>
      <c r="AI341" s="48">
        <f>AI340+AI281*AI221*Seasonality!$E$77</f>
        <v/>
      </c>
      <c r="AJ341" s="48">
        <f>AJ340+AJ281*AJ221*Seasonality!$E$77</f>
        <v/>
      </c>
      <c r="AK341" s="48">
        <f>AK340+AK281*AK221*Seasonality!$E$77</f>
        <v/>
      </c>
      <c r="AL341" s="48">
        <f>AL340+AL281*AL221*Seasonality!$E$77</f>
        <v/>
      </c>
      <c r="AM341" s="48">
        <f>AM340+AM281*AM221*Seasonality!$E$77</f>
        <v/>
      </c>
      <c r="AN341" s="48">
        <f>AN340+AN281*AN221*Seasonality!$E$77</f>
        <v/>
      </c>
      <c r="AO341" s="48">
        <f>AO340+AO281*AO221*Seasonality!$E$77</f>
        <v/>
      </c>
      <c r="AP341" s="48">
        <f>AP340+AP281*AP221*Seasonality!$E$77</f>
        <v/>
      </c>
      <c r="AQ341" s="48">
        <f>AQ340+AQ281*AQ221*Seasonality!$E$77</f>
        <v/>
      </c>
      <c r="AR341" s="48">
        <f>AR340+AR281*AR221*Seasonality!$E$77</f>
        <v/>
      </c>
      <c r="AS341" s="48">
        <f>AS340+AS281*AS221*Seasonality!$E$77</f>
        <v/>
      </c>
      <c r="AT341" s="48">
        <f>AT340+AT281*AT221*Seasonality!$E$77</f>
        <v/>
      </c>
      <c r="AU341" s="48">
        <f>AU340+AU281*AU221*Seasonality!$E$77</f>
        <v/>
      </c>
      <c r="AV341" s="48">
        <f>AV340+AV281*AV221*Seasonality!$E$77</f>
        <v/>
      </c>
    </row>
    <row r="342">
      <c r="B342" s="7" t="inlineStr">
        <is>
          <t>Cumulative discounted contribution · month 42</t>
        </is>
      </c>
      <c r="C342" s="5" t="inlineStr">
        <is>
          <t>₹</t>
        </is>
      </c>
      <c r="D342" s="48">
        <f>D341+D282*D222*Seasonality!$E$78</f>
        <v/>
      </c>
      <c r="E342" s="48">
        <f>E341+E282*E222*Seasonality!$E$78</f>
        <v/>
      </c>
      <c r="F342" s="48">
        <f>F341+F282*F222*Seasonality!$E$78</f>
        <v/>
      </c>
      <c r="G342" s="48">
        <f>G341+G282*G222*Seasonality!$E$78</f>
        <v/>
      </c>
      <c r="H342" s="48">
        <f>H341+H282*H222*Seasonality!$E$78</f>
        <v/>
      </c>
      <c r="I342" s="48">
        <f>I341+I282*I222*Seasonality!$E$78</f>
        <v/>
      </c>
      <c r="J342" s="48">
        <f>J341+J282*J222*Seasonality!$E$78</f>
        <v/>
      </c>
      <c r="K342" s="48">
        <f>K341+K282*K222*Seasonality!$E$78</f>
        <v/>
      </c>
      <c r="L342" s="48">
        <f>L341+L282*L222*Seasonality!$E$78</f>
        <v/>
      </c>
      <c r="M342" s="48">
        <f>M341+M282*M222*Seasonality!$E$78</f>
        <v/>
      </c>
      <c r="N342" s="48">
        <f>N341+N282*N222*Seasonality!$E$78</f>
        <v/>
      </c>
      <c r="O342" s="48">
        <f>O341+O282*O222*Seasonality!$E$78</f>
        <v/>
      </c>
      <c r="P342" s="48">
        <f>P341+P282*P222*Seasonality!$E$78</f>
        <v/>
      </c>
      <c r="Q342" s="48">
        <f>Q341+Q282*Q222*Seasonality!$E$78</f>
        <v/>
      </c>
      <c r="R342" s="48">
        <f>R341+R282*R222*Seasonality!$E$78</f>
        <v/>
      </c>
      <c r="S342" s="48">
        <f>S341+S282*S222*Seasonality!$E$78</f>
        <v/>
      </c>
      <c r="T342" s="48">
        <f>T341+T282*T222*Seasonality!$E$78</f>
        <v/>
      </c>
      <c r="U342" s="48">
        <f>U341+U282*U222*Seasonality!$E$78</f>
        <v/>
      </c>
      <c r="V342" s="48">
        <f>V341+V282*V222*Seasonality!$E$78</f>
        <v/>
      </c>
      <c r="W342" s="48">
        <f>W341+W282*W222*Seasonality!$E$78</f>
        <v/>
      </c>
      <c r="X342" s="48">
        <f>X341+X282*X222*Seasonality!$E$78</f>
        <v/>
      </c>
      <c r="Y342" s="48">
        <f>Y341+Y282*Y222*Seasonality!$E$78</f>
        <v/>
      </c>
      <c r="Z342" s="48">
        <f>Z341+Z282*Z222*Seasonality!$E$78</f>
        <v/>
      </c>
      <c r="AA342" s="48">
        <f>AA341+AA282*AA222*Seasonality!$E$78</f>
        <v/>
      </c>
      <c r="AB342" s="48">
        <f>AB341+AB282*AB222*Seasonality!$E$78</f>
        <v/>
      </c>
      <c r="AC342" s="48">
        <f>AC341+AC282*AC222*Seasonality!$E$78</f>
        <v/>
      </c>
      <c r="AD342" s="48">
        <f>AD341+AD282*AD222*Seasonality!$E$78</f>
        <v/>
      </c>
      <c r="AE342" s="48">
        <f>AE341+AE282*AE222*Seasonality!$E$78</f>
        <v/>
      </c>
      <c r="AF342" s="48">
        <f>AF341+AF282*AF222*Seasonality!$E$78</f>
        <v/>
      </c>
      <c r="AG342" s="48">
        <f>AG341+AG282*AG222*Seasonality!$E$78</f>
        <v/>
      </c>
      <c r="AH342" s="48">
        <f>AH341+AH282*AH222*Seasonality!$E$78</f>
        <v/>
      </c>
      <c r="AI342" s="48">
        <f>AI341+AI282*AI222*Seasonality!$E$78</f>
        <v/>
      </c>
      <c r="AJ342" s="48">
        <f>AJ341+AJ282*AJ222*Seasonality!$E$78</f>
        <v/>
      </c>
      <c r="AK342" s="48">
        <f>AK341+AK282*AK222*Seasonality!$E$78</f>
        <v/>
      </c>
      <c r="AL342" s="48">
        <f>AL341+AL282*AL222*Seasonality!$E$78</f>
        <v/>
      </c>
      <c r="AM342" s="48">
        <f>AM341+AM282*AM222*Seasonality!$E$78</f>
        <v/>
      </c>
      <c r="AN342" s="48">
        <f>AN341+AN282*AN222*Seasonality!$E$78</f>
        <v/>
      </c>
      <c r="AO342" s="48">
        <f>AO341+AO282*AO222*Seasonality!$E$78</f>
        <v/>
      </c>
      <c r="AP342" s="48">
        <f>AP341+AP282*AP222*Seasonality!$E$78</f>
        <v/>
      </c>
      <c r="AQ342" s="48">
        <f>AQ341+AQ282*AQ222*Seasonality!$E$78</f>
        <v/>
      </c>
      <c r="AR342" s="48">
        <f>AR341+AR282*AR222*Seasonality!$E$78</f>
        <v/>
      </c>
      <c r="AS342" s="48">
        <f>AS341+AS282*AS222*Seasonality!$E$78</f>
        <v/>
      </c>
      <c r="AT342" s="48">
        <f>AT341+AT282*AT222*Seasonality!$E$78</f>
        <v/>
      </c>
      <c r="AU342" s="48">
        <f>AU341+AU282*AU222*Seasonality!$E$78</f>
        <v/>
      </c>
      <c r="AV342" s="48">
        <f>AV341+AV282*AV222*Seasonality!$E$78</f>
        <v/>
      </c>
    </row>
    <row r="343">
      <c r="B343" s="7" t="inlineStr">
        <is>
          <t>Cumulative discounted contribution · month 43</t>
        </is>
      </c>
      <c r="C343" s="5" t="inlineStr">
        <is>
          <t>₹</t>
        </is>
      </c>
      <c r="D343" s="48">
        <f>D342+D283*D223*Seasonality!$E$79</f>
        <v/>
      </c>
      <c r="E343" s="48">
        <f>E342+E283*E223*Seasonality!$E$79</f>
        <v/>
      </c>
      <c r="F343" s="48">
        <f>F342+F283*F223*Seasonality!$E$79</f>
        <v/>
      </c>
      <c r="G343" s="48">
        <f>G342+G283*G223*Seasonality!$E$79</f>
        <v/>
      </c>
      <c r="H343" s="48">
        <f>H342+H283*H223*Seasonality!$E$79</f>
        <v/>
      </c>
      <c r="I343" s="48">
        <f>I342+I283*I223*Seasonality!$E$79</f>
        <v/>
      </c>
      <c r="J343" s="48">
        <f>J342+J283*J223*Seasonality!$E$79</f>
        <v/>
      </c>
      <c r="K343" s="48">
        <f>K342+K283*K223*Seasonality!$E$79</f>
        <v/>
      </c>
      <c r="L343" s="48">
        <f>L342+L283*L223*Seasonality!$E$79</f>
        <v/>
      </c>
      <c r="M343" s="48">
        <f>M342+M283*M223*Seasonality!$E$79</f>
        <v/>
      </c>
      <c r="N343" s="48">
        <f>N342+N283*N223*Seasonality!$E$79</f>
        <v/>
      </c>
      <c r="O343" s="48">
        <f>O342+O283*O223*Seasonality!$E$79</f>
        <v/>
      </c>
      <c r="P343" s="48">
        <f>P342+P283*P223*Seasonality!$E$79</f>
        <v/>
      </c>
      <c r="Q343" s="48">
        <f>Q342+Q283*Q223*Seasonality!$E$79</f>
        <v/>
      </c>
      <c r="R343" s="48">
        <f>R342+R283*R223*Seasonality!$E$79</f>
        <v/>
      </c>
      <c r="S343" s="48">
        <f>S342+S283*S223*Seasonality!$E$79</f>
        <v/>
      </c>
      <c r="T343" s="48">
        <f>T342+T283*T223*Seasonality!$E$79</f>
        <v/>
      </c>
      <c r="U343" s="48">
        <f>U342+U283*U223*Seasonality!$E$79</f>
        <v/>
      </c>
      <c r="V343" s="48">
        <f>V342+V283*V223*Seasonality!$E$79</f>
        <v/>
      </c>
      <c r="W343" s="48">
        <f>W342+W283*W223*Seasonality!$E$79</f>
        <v/>
      </c>
      <c r="X343" s="48">
        <f>X342+X283*X223*Seasonality!$E$79</f>
        <v/>
      </c>
      <c r="Y343" s="48">
        <f>Y342+Y283*Y223*Seasonality!$E$79</f>
        <v/>
      </c>
      <c r="Z343" s="48">
        <f>Z342+Z283*Z223*Seasonality!$E$79</f>
        <v/>
      </c>
      <c r="AA343" s="48">
        <f>AA342+AA283*AA223*Seasonality!$E$79</f>
        <v/>
      </c>
      <c r="AB343" s="48">
        <f>AB342+AB283*AB223*Seasonality!$E$79</f>
        <v/>
      </c>
      <c r="AC343" s="48">
        <f>AC342+AC283*AC223*Seasonality!$E$79</f>
        <v/>
      </c>
      <c r="AD343" s="48">
        <f>AD342+AD283*AD223*Seasonality!$E$79</f>
        <v/>
      </c>
      <c r="AE343" s="48">
        <f>AE342+AE283*AE223*Seasonality!$E$79</f>
        <v/>
      </c>
      <c r="AF343" s="48">
        <f>AF342+AF283*AF223*Seasonality!$E$79</f>
        <v/>
      </c>
      <c r="AG343" s="48">
        <f>AG342+AG283*AG223*Seasonality!$E$79</f>
        <v/>
      </c>
      <c r="AH343" s="48">
        <f>AH342+AH283*AH223*Seasonality!$E$79</f>
        <v/>
      </c>
      <c r="AI343" s="48">
        <f>AI342+AI283*AI223*Seasonality!$E$79</f>
        <v/>
      </c>
      <c r="AJ343" s="48">
        <f>AJ342+AJ283*AJ223*Seasonality!$E$79</f>
        <v/>
      </c>
      <c r="AK343" s="48">
        <f>AK342+AK283*AK223*Seasonality!$E$79</f>
        <v/>
      </c>
      <c r="AL343" s="48">
        <f>AL342+AL283*AL223*Seasonality!$E$79</f>
        <v/>
      </c>
      <c r="AM343" s="48">
        <f>AM342+AM283*AM223*Seasonality!$E$79</f>
        <v/>
      </c>
      <c r="AN343" s="48">
        <f>AN342+AN283*AN223*Seasonality!$E$79</f>
        <v/>
      </c>
      <c r="AO343" s="48">
        <f>AO342+AO283*AO223*Seasonality!$E$79</f>
        <v/>
      </c>
      <c r="AP343" s="48">
        <f>AP342+AP283*AP223*Seasonality!$E$79</f>
        <v/>
      </c>
      <c r="AQ343" s="48">
        <f>AQ342+AQ283*AQ223*Seasonality!$E$79</f>
        <v/>
      </c>
      <c r="AR343" s="48">
        <f>AR342+AR283*AR223*Seasonality!$E$79</f>
        <v/>
      </c>
      <c r="AS343" s="48">
        <f>AS342+AS283*AS223*Seasonality!$E$79</f>
        <v/>
      </c>
      <c r="AT343" s="48">
        <f>AT342+AT283*AT223*Seasonality!$E$79</f>
        <v/>
      </c>
      <c r="AU343" s="48">
        <f>AU342+AU283*AU223*Seasonality!$E$79</f>
        <v/>
      </c>
      <c r="AV343" s="48">
        <f>AV342+AV283*AV223*Seasonality!$E$79</f>
        <v/>
      </c>
    </row>
    <row r="344">
      <c r="B344" s="7" t="inlineStr">
        <is>
          <t>Cumulative discounted contribution · month 44</t>
        </is>
      </c>
      <c r="C344" s="5" t="inlineStr">
        <is>
          <t>₹</t>
        </is>
      </c>
      <c r="D344" s="48">
        <f>D343+D284*D224*Seasonality!$E$80</f>
        <v/>
      </c>
      <c r="E344" s="48">
        <f>E343+E284*E224*Seasonality!$E$80</f>
        <v/>
      </c>
      <c r="F344" s="48">
        <f>F343+F284*F224*Seasonality!$E$80</f>
        <v/>
      </c>
      <c r="G344" s="48">
        <f>G343+G284*G224*Seasonality!$E$80</f>
        <v/>
      </c>
      <c r="H344" s="48">
        <f>H343+H284*H224*Seasonality!$E$80</f>
        <v/>
      </c>
      <c r="I344" s="48">
        <f>I343+I284*I224*Seasonality!$E$80</f>
        <v/>
      </c>
      <c r="J344" s="48">
        <f>J343+J284*J224*Seasonality!$E$80</f>
        <v/>
      </c>
      <c r="K344" s="48">
        <f>K343+K284*K224*Seasonality!$E$80</f>
        <v/>
      </c>
      <c r="L344" s="48">
        <f>L343+L284*L224*Seasonality!$E$80</f>
        <v/>
      </c>
      <c r="M344" s="48">
        <f>M343+M284*M224*Seasonality!$E$80</f>
        <v/>
      </c>
      <c r="N344" s="48">
        <f>N343+N284*N224*Seasonality!$E$80</f>
        <v/>
      </c>
      <c r="O344" s="48">
        <f>O343+O284*O224*Seasonality!$E$80</f>
        <v/>
      </c>
      <c r="P344" s="48">
        <f>P343+P284*P224*Seasonality!$E$80</f>
        <v/>
      </c>
      <c r="Q344" s="48">
        <f>Q343+Q284*Q224*Seasonality!$E$80</f>
        <v/>
      </c>
      <c r="R344" s="48">
        <f>R343+R284*R224*Seasonality!$E$80</f>
        <v/>
      </c>
      <c r="S344" s="48">
        <f>S343+S284*S224*Seasonality!$E$80</f>
        <v/>
      </c>
      <c r="T344" s="48">
        <f>T343+T284*T224*Seasonality!$E$80</f>
        <v/>
      </c>
      <c r="U344" s="48">
        <f>U343+U284*U224*Seasonality!$E$80</f>
        <v/>
      </c>
      <c r="V344" s="48">
        <f>V343+V284*V224*Seasonality!$E$80</f>
        <v/>
      </c>
      <c r="W344" s="48">
        <f>W343+W284*W224*Seasonality!$E$80</f>
        <v/>
      </c>
      <c r="X344" s="48">
        <f>X343+X284*X224*Seasonality!$E$80</f>
        <v/>
      </c>
      <c r="Y344" s="48">
        <f>Y343+Y284*Y224*Seasonality!$E$80</f>
        <v/>
      </c>
      <c r="Z344" s="48">
        <f>Z343+Z284*Z224*Seasonality!$E$80</f>
        <v/>
      </c>
      <c r="AA344" s="48">
        <f>AA343+AA284*AA224*Seasonality!$E$80</f>
        <v/>
      </c>
      <c r="AB344" s="48">
        <f>AB343+AB284*AB224*Seasonality!$E$80</f>
        <v/>
      </c>
      <c r="AC344" s="48">
        <f>AC343+AC284*AC224*Seasonality!$E$80</f>
        <v/>
      </c>
      <c r="AD344" s="48">
        <f>AD343+AD284*AD224*Seasonality!$E$80</f>
        <v/>
      </c>
      <c r="AE344" s="48">
        <f>AE343+AE284*AE224*Seasonality!$E$80</f>
        <v/>
      </c>
      <c r="AF344" s="48">
        <f>AF343+AF284*AF224*Seasonality!$E$80</f>
        <v/>
      </c>
      <c r="AG344" s="48">
        <f>AG343+AG284*AG224*Seasonality!$E$80</f>
        <v/>
      </c>
      <c r="AH344" s="48">
        <f>AH343+AH284*AH224*Seasonality!$E$80</f>
        <v/>
      </c>
      <c r="AI344" s="48">
        <f>AI343+AI284*AI224*Seasonality!$E$80</f>
        <v/>
      </c>
      <c r="AJ344" s="48">
        <f>AJ343+AJ284*AJ224*Seasonality!$E$80</f>
        <v/>
      </c>
      <c r="AK344" s="48">
        <f>AK343+AK284*AK224*Seasonality!$E$80</f>
        <v/>
      </c>
      <c r="AL344" s="48">
        <f>AL343+AL284*AL224*Seasonality!$E$80</f>
        <v/>
      </c>
      <c r="AM344" s="48">
        <f>AM343+AM284*AM224*Seasonality!$E$80</f>
        <v/>
      </c>
      <c r="AN344" s="48">
        <f>AN343+AN284*AN224*Seasonality!$E$80</f>
        <v/>
      </c>
      <c r="AO344" s="48">
        <f>AO343+AO284*AO224*Seasonality!$E$80</f>
        <v/>
      </c>
      <c r="AP344" s="48">
        <f>AP343+AP284*AP224*Seasonality!$E$80</f>
        <v/>
      </c>
      <c r="AQ344" s="48">
        <f>AQ343+AQ284*AQ224*Seasonality!$E$80</f>
        <v/>
      </c>
      <c r="AR344" s="48">
        <f>AR343+AR284*AR224*Seasonality!$E$80</f>
        <v/>
      </c>
      <c r="AS344" s="48">
        <f>AS343+AS284*AS224*Seasonality!$E$80</f>
        <v/>
      </c>
      <c r="AT344" s="48">
        <f>AT343+AT284*AT224*Seasonality!$E$80</f>
        <v/>
      </c>
      <c r="AU344" s="48">
        <f>AU343+AU284*AU224*Seasonality!$E$80</f>
        <v/>
      </c>
      <c r="AV344" s="48">
        <f>AV343+AV284*AV224*Seasonality!$E$80</f>
        <v/>
      </c>
    </row>
    <row r="345">
      <c r="B345" s="7" t="inlineStr">
        <is>
          <t>Cumulative discounted contribution · month 45</t>
        </is>
      </c>
      <c r="C345" s="5" t="inlineStr">
        <is>
          <t>₹</t>
        </is>
      </c>
      <c r="D345" s="48">
        <f>D344+D285*D225*Seasonality!$E$81</f>
        <v/>
      </c>
      <c r="E345" s="48">
        <f>E344+E285*E225*Seasonality!$E$81</f>
        <v/>
      </c>
      <c r="F345" s="48">
        <f>F344+F285*F225*Seasonality!$E$81</f>
        <v/>
      </c>
      <c r="G345" s="48">
        <f>G344+G285*G225*Seasonality!$E$81</f>
        <v/>
      </c>
      <c r="H345" s="48">
        <f>H344+H285*H225*Seasonality!$E$81</f>
        <v/>
      </c>
      <c r="I345" s="48">
        <f>I344+I285*I225*Seasonality!$E$81</f>
        <v/>
      </c>
      <c r="J345" s="48">
        <f>J344+J285*J225*Seasonality!$E$81</f>
        <v/>
      </c>
      <c r="K345" s="48">
        <f>K344+K285*K225*Seasonality!$E$81</f>
        <v/>
      </c>
      <c r="L345" s="48">
        <f>L344+L285*L225*Seasonality!$E$81</f>
        <v/>
      </c>
      <c r="M345" s="48">
        <f>M344+M285*M225*Seasonality!$E$81</f>
        <v/>
      </c>
      <c r="N345" s="48">
        <f>N344+N285*N225*Seasonality!$E$81</f>
        <v/>
      </c>
      <c r="O345" s="48">
        <f>O344+O285*O225*Seasonality!$E$81</f>
        <v/>
      </c>
      <c r="P345" s="48">
        <f>P344+P285*P225*Seasonality!$E$81</f>
        <v/>
      </c>
      <c r="Q345" s="48">
        <f>Q344+Q285*Q225*Seasonality!$E$81</f>
        <v/>
      </c>
      <c r="R345" s="48">
        <f>R344+R285*R225*Seasonality!$E$81</f>
        <v/>
      </c>
      <c r="S345" s="48">
        <f>S344+S285*S225*Seasonality!$E$81</f>
        <v/>
      </c>
      <c r="T345" s="48">
        <f>T344+T285*T225*Seasonality!$E$81</f>
        <v/>
      </c>
      <c r="U345" s="48">
        <f>U344+U285*U225*Seasonality!$E$81</f>
        <v/>
      </c>
      <c r="V345" s="48">
        <f>V344+V285*V225*Seasonality!$E$81</f>
        <v/>
      </c>
      <c r="W345" s="48">
        <f>W344+W285*W225*Seasonality!$E$81</f>
        <v/>
      </c>
      <c r="X345" s="48">
        <f>X344+X285*X225*Seasonality!$E$81</f>
        <v/>
      </c>
      <c r="Y345" s="48">
        <f>Y344+Y285*Y225*Seasonality!$E$81</f>
        <v/>
      </c>
      <c r="Z345" s="48">
        <f>Z344+Z285*Z225*Seasonality!$E$81</f>
        <v/>
      </c>
      <c r="AA345" s="48">
        <f>AA344+AA285*AA225*Seasonality!$E$81</f>
        <v/>
      </c>
      <c r="AB345" s="48">
        <f>AB344+AB285*AB225*Seasonality!$E$81</f>
        <v/>
      </c>
      <c r="AC345" s="48">
        <f>AC344+AC285*AC225*Seasonality!$E$81</f>
        <v/>
      </c>
      <c r="AD345" s="48">
        <f>AD344+AD285*AD225*Seasonality!$E$81</f>
        <v/>
      </c>
      <c r="AE345" s="48">
        <f>AE344+AE285*AE225*Seasonality!$E$81</f>
        <v/>
      </c>
      <c r="AF345" s="48">
        <f>AF344+AF285*AF225*Seasonality!$E$81</f>
        <v/>
      </c>
      <c r="AG345" s="48">
        <f>AG344+AG285*AG225*Seasonality!$E$81</f>
        <v/>
      </c>
      <c r="AH345" s="48">
        <f>AH344+AH285*AH225*Seasonality!$E$81</f>
        <v/>
      </c>
      <c r="AI345" s="48">
        <f>AI344+AI285*AI225*Seasonality!$E$81</f>
        <v/>
      </c>
      <c r="AJ345" s="48">
        <f>AJ344+AJ285*AJ225*Seasonality!$E$81</f>
        <v/>
      </c>
      <c r="AK345" s="48">
        <f>AK344+AK285*AK225*Seasonality!$E$81</f>
        <v/>
      </c>
      <c r="AL345" s="48">
        <f>AL344+AL285*AL225*Seasonality!$E$81</f>
        <v/>
      </c>
      <c r="AM345" s="48">
        <f>AM344+AM285*AM225*Seasonality!$E$81</f>
        <v/>
      </c>
      <c r="AN345" s="48">
        <f>AN344+AN285*AN225*Seasonality!$E$81</f>
        <v/>
      </c>
      <c r="AO345" s="48">
        <f>AO344+AO285*AO225*Seasonality!$E$81</f>
        <v/>
      </c>
      <c r="AP345" s="48">
        <f>AP344+AP285*AP225*Seasonality!$E$81</f>
        <v/>
      </c>
      <c r="AQ345" s="48">
        <f>AQ344+AQ285*AQ225*Seasonality!$E$81</f>
        <v/>
      </c>
      <c r="AR345" s="48">
        <f>AR344+AR285*AR225*Seasonality!$E$81</f>
        <v/>
      </c>
      <c r="AS345" s="48">
        <f>AS344+AS285*AS225*Seasonality!$E$81</f>
        <v/>
      </c>
      <c r="AT345" s="48">
        <f>AT344+AT285*AT225*Seasonality!$E$81</f>
        <v/>
      </c>
      <c r="AU345" s="48">
        <f>AU344+AU285*AU225*Seasonality!$E$81</f>
        <v/>
      </c>
      <c r="AV345" s="48">
        <f>AV344+AV285*AV225*Seasonality!$E$81</f>
        <v/>
      </c>
    </row>
    <row r="346">
      <c r="B346" s="7" t="inlineStr">
        <is>
          <t>Cumulative discounted contribution · month 46</t>
        </is>
      </c>
      <c r="C346" s="5" t="inlineStr">
        <is>
          <t>₹</t>
        </is>
      </c>
      <c r="D346" s="48">
        <f>D345+D286*D226*Seasonality!$E$82</f>
        <v/>
      </c>
      <c r="E346" s="48">
        <f>E345+E286*E226*Seasonality!$E$82</f>
        <v/>
      </c>
      <c r="F346" s="48">
        <f>F345+F286*F226*Seasonality!$E$82</f>
        <v/>
      </c>
      <c r="G346" s="48">
        <f>G345+G286*G226*Seasonality!$E$82</f>
        <v/>
      </c>
      <c r="H346" s="48">
        <f>H345+H286*H226*Seasonality!$E$82</f>
        <v/>
      </c>
      <c r="I346" s="48">
        <f>I345+I286*I226*Seasonality!$E$82</f>
        <v/>
      </c>
      <c r="J346" s="48">
        <f>J345+J286*J226*Seasonality!$E$82</f>
        <v/>
      </c>
      <c r="K346" s="48">
        <f>K345+K286*K226*Seasonality!$E$82</f>
        <v/>
      </c>
      <c r="L346" s="48">
        <f>L345+L286*L226*Seasonality!$E$82</f>
        <v/>
      </c>
      <c r="M346" s="48">
        <f>M345+M286*M226*Seasonality!$E$82</f>
        <v/>
      </c>
      <c r="N346" s="48">
        <f>N345+N286*N226*Seasonality!$E$82</f>
        <v/>
      </c>
      <c r="O346" s="48">
        <f>O345+O286*O226*Seasonality!$E$82</f>
        <v/>
      </c>
      <c r="P346" s="48">
        <f>P345+P286*P226*Seasonality!$E$82</f>
        <v/>
      </c>
      <c r="Q346" s="48">
        <f>Q345+Q286*Q226*Seasonality!$E$82</f>
        <v/>
      </c>
      <c r="R346" s="48">
        <f>R345+R286*R226*Seasonality!$E$82</f>
        <v/>
      </c>
      <c r="S346" s="48">
        <f>S345+S286*S226*Seasonality!$E$82</f>
        <v/>
      </c>
      <c r="T346" s="48">
        <f>T345+T286*T226*Seasonality!$E$82</f>
        <v/>
      </c>
      <c r="U346" s="48">
        <f>U345+U286*U226*Seasonality!$E$82</f>
        <v/>
      </c>
      <c r="V346" s="48">
        <f>V345+V286*V226*Seasonality!$E$82</f>
        <v/>
      </c>
      <c r="W346" s="48">
        <f>W345+W286*W226*Seasonality!$E$82</f>
        <v/>
      </c>
      <c r="X346" s="48">
        <f>X345+X286*X226*Seasonality!$E$82</f>
        <v/>
      </c>
      <c r="Y346" s="48">
        <f>Y345+Y286*Y226*Seasonality!$E$82</f>
        <v/>
      </c>
      <c r="Z346" s="48">
        <f>Z345+Z286*Z226*Seasonality!$E$82</f>
        <v/>
      </c>
      <c r="AA346" s="48">
        <f>AA345+AA286*AA226*Seasonality!$E$82</f>
        <v/>
      </c>
      <c r="AB346" s="48">
        <f>AB345+AB286*AB226*Seasonality!$E$82</f>
        <v/>
      </c>
      <c r="AC346" s="48">
        <f>AC345+AC286*AC226*Seasonality!$E$82</f>
        <v/>
      </c>
      <c r="AD346" s="48">
        <f>AD345+AD286*AD226*Seasonality!$E$82</f>
        <v/>
      </c>
      <c r="AE346" s="48">
        <f>AE345+AE286*AE226*Seasonality!$E$82</f>
        <v/>
      </c>
      <c r="AF346" s="48">
        <f>AF345+AF286*AF226*Seasonality!$E$82</f>
        <v/>
      </c>
      <c r="AG346" s="48">
        <f>AG345+AG286*AG226*Seasonality!$E$82</f>
        <v/>
      </c>
      <c r="AH346" s="48">
        <f>AH345+AH286*AH226*Seasonality!$E$82</f>
        <v/>
      </c>
      <c r="AI346" s="48">
        <f>AI345+AI286*AI226*Seasonality!$E$82</f>
        <v/>
      </c>
      <c r="AJ346" s="48">
        <f>AJ345+AJ286*AJ226*Seasonality!$E$82</f>
        <v/>
      </c>
      <c r="AK346" s="48">
        <f>AK345+AK286*AK226*Seasonality!$E$82</f>
        <v/>
      </c>
      <c r="AL346" s="48">
        <f>AL345+AL286*AL226*Seasonality!$E$82</f>
        <v/>
      </c>
      <c r="AM346" s="48">
        <f>AM345+AM286*AM226*Seasonality!$E$82</f>
        <v/>
      </c>
      <c r="AN346" s="48">
        <f>AN345+AN286*AN226*Seasonality!$E$82</f>
        <v/>
      </c>
      <c r="AO346" s="48">
        <f>AO345+AO286*AO226*Seasonality!$E$82</f>
        <v/>
      </c>
      <c r="AP346" s="48">
        <f>AP345+AP286*AP226*Seasonality!$E$82</f>
        <v/>
      </c>
      <c r="AQ346" s="48">
        <f>AQ345+AQ286*AQ226*Seasonality!$E$82</f>
        <v/>
      </c>
      <c r="AR346" s="48">
        <f>AR345+AR286*AR226*Seasonality!$E$82</f>
        <v/>
      </c>
      <c r="AS346" s="48">
        <f>AS345+AS286*AS226*Seasonality!$E$82</f>
        <v/>
      </c>
      <c r="AT346" s="48">
        <f>AT345+AT286*AT226*Seasonality!$E$82</f>
        <v/>
      </c>
      <c r="AU346" s="48">
        <f>AU345+AU286*AU226*Seasonality!$E$82</f>
        <v/>
      </c>
      <c r="AV346" s="48">
        <f>AV345+AV286*AV226*Seasonality!$E$82</f>
        <v/>
      </c>
    </row>
    <row r="347">
      <c r="B347" s="7" t="inlineStr">
        <is>
          <t>Cumulative discounted contribution · month 47</t>
        </is>
      </c>
      <c r="C347" s="5" t="inlineStr">
        <is>
          <t>₹</t>
        </is>
      </c>
      <c r="D347" s="48">
        <f>D346+D287*D227*Seasonality!$E$83</f>
        <v/>
      </c>
      <c r="E347" s="48">
        <f>E346+E287*E227*Seasonality!$E$83</f>
        <v/>
      </c>
      <c r="F347" s="48">
        <f>F346+F287*F227*Seasonality!$E$83</f>
        <v/>
      </c>
      <c r="G347" s="48">
        <f>G346+G287*G227*Seasonality!$E$83</f>
        <v/>
      </c>
      <c r="H347" s="48">
        <f>H346+H287*H227*Seasonality!$E$83</f>
        <v/>
      </c>
      <c r="I347" s="48">
        <f>I346+I287*I227*Seasonality!$E$83</f>
        <v/>
      </c>
      <c r="J347" s="48">
        <f>J346+J287*J227*Seasonality!$E$83</f>
        <v/>
      </c>
      <c r="K347" s="48">
        <f>K346+K287*K227*Seasonality!$E$83</f>
        <v/>
      </c>
      <c r="L347" s="48">
        <f>L346+L287*L227*Seasonality!$E$83</f>
        <v/>
      </c>
      <c r="M347" s="48">
        <f>M346+M287*M227*Seasonality!$E$83</f>
        <v/>
      </c>
      <c r="N347" s="48">
        <f>N346+N287*N227*Seasonality!$E$83</f>
        <v/>
      </c>
      <c r="O347" s="48">
        <f>O346+O287*O227*Seasonality!$E$83</f>
        <v/>
      </c>
      <c r="P347" s="48">
        <f>P346+P287*P227*Seasonality!$E$83</f>
        <v/>
      </c>
      <c r="Q347" s="48">
        <f>Q346+Q287*Q227*Seasonality!$E$83</f>
        <v/>
      </c>
      <c r="R347" s="48">
        <f>R346+R287*R227*Seasonality!$E$83</f>
        <v/>
      </c>
      <c r="S347" s="48">
        <f>S346+S287*S227*Seasonality!$E$83</f>
        <v/>
      </c>
      <c r="T347" s="48">
        <f>T346+T287*T227*Seasonality!$E$83</f>
        <v/>
      </c>
      <c r="U347" s="48">
        <f>U346+U287*U227*Seasonality!$E$83</f>
        <v/>
      </c>
      <c r="V347" s="48">
        <f>V346+V287*V227*Seasonality!$E$83</f>
        <v/>
      </c>
      <c r="W347" s="48">
        <f>W346+W287*W227*Seasonality!$E$83</f>
        <v/>
      </c>
      <c r="X347" s="48">
        <f>X346+X287*X227*Seasonality!$E$83</f>
        <v/>
      </c>
      <c r="Y347" s="48">
        <f>Y346+Y287*Y227*Seasonality!$E$83</f>
        <v/>
      </c>
      <c r="Z347" s="48">
        <f>Z346+Z287*Z227*Seasonality!$E$83</f>
        <v/>
      </c>
      <c r="AA347" s="48">
        <f>AA346+AA287*AA227*Seasonality!$E$83</f>
        <v/>
      </c>
      <c r="AB347" s="48">
        <f>AB346+AB287*AB227*Seasonality!$E$83</f>
        <v/>
      </c>
      <c r="AC347" s="48">
        <f>AC346+AC287*AC227*Seasonality!$E$83</f>
        <v/>
      </c>
      <c r="AD347" s="48">
        <f>AD346+AD287*AD227*Seasonality!$E$83</f>
        <v/>
      </c>
      <c r="AE347" s="48">
        <f>AE346+AE287*AE227*Seasonality!$E$83</f>
        <v/>
      </c>
      <c r="AF347" s="48">
        <f>AF346+AF287*AF227*Seasonality!$E$83</f>
        <v/>
      </c>
      <c r="AG347" s="48">
        <f>AG346+AG287*AG227*Seasonality!$E$83</f>
        <v/>
      </c>
      <c r="AH347" s="48">
        <f>AH346+AH287*AH227*Seasonality!$E$83</f>
        <v/>
      </c>
      <c r="AI347" s="48">
        <f>AI346+AI287*AI227*Seasonality!$E$83</f>
        <v/>
      </c>
      <c r="AJ347" s="48">
        <f>AJ346+AJ287*AJ227*Seasonality!$E$83</f>
        <v/>
      </c>
      <c r="AK347" s="48">
        <f>AK346+AK287*AK227*Seasonality!$E$83</f>
        <v/>
      </c>
      <c r="AL347" s="48">
        <f>AL346+AL287*AL227*Seasonality!$E$83</f>
        <v/>
      </c>
      <c r="AM347" s="48">
        <f>AM346+AM287*AM227*Seasonality!$E$83</f>
        <v/>
      </c>
      <c r="AN347" s="48">
        <f>AN346+AN287*AN227*Seasonality!$E$83</f>
        <v/>
      </c>
      <c r="AO347" s="48">
        <f>AO346+AO287*AO227*Seasonality!$E$83</f>
        <v/>
      </c>
      <c r="AP347" s="48">
        <f>AP346+AP287*AP227*Seasonality!$E$83</f>
        <v/>
      </c>
      <c r="AQ347" s="48">
        <f>AQ346+AQ287*AQ227*Seasonality!$E$83</f>
        <v/>
      </c>
      <c r="AR347" s="48">
        <f>AR346+AR287*AR227*Seasonality!$E$83</f>
        <v/>
      </c>
      <c r="AS347" s="48">
        <f>AS346+AS287*AS227*Seasonality!$E$83</f>
        <v/>
      </c>
      <c r="AT347" s="48">
        <f>AT346+AT287*AT227*Seasonality!$E$83</f>
        <v/>
      </c>
      <c r="AU347" s="48">
        <f>AU346+AU287*AU227*Seasonality!$E$83</f>
        <v/>
      </c>
      <c r="AV347" s="48">
        <f>AV346+AV287*AV227*Seasonality!$E$83</f>
        <v/>
      </c>
    </row>
    <row r="348">
      <c r="B348" s="7" t="inlineStr">
        <is>
          <t>Cumulative discounted contribution · month 48</t>
        </is>
      </c>
      <c r="C348" s="5" t="inlineStr">
        <is>
          <t>₹</t>
        </is>
      </c>
      <c r="D348" s="48">
        <f>D347+D288*D228*Seasonality!$E$84</f>
        <v/>
      </c>
      <c r="E348" s="48">
        <f>E347+E288*E228*Seasonality!$E$84</f>
        <v/>
      </c>
      <c r="F348" s="48">
        <f>F347+F288*F228*Seasonality!$E$84</f>
        <v/>
      </c>
      <c r="G348" s="48">
        <f>G347+G288*G228*Seasonality!$E$84</f>
        <v/>
      </c>
      <c r="H348" s="48">
        <f>H347+H288*H228*Seasonality!$E$84</f>
        <v/>
      </c>
      <c r="I348" s="48">
        <f>I347+I288*I228*Seasonality!$E$84</f>
        <v/>
      </c>
      <c r="J348" s="48">
        <f>J347+J288*J228*Seasonality!$E$84</f>
        <v/>
      </c>
      <c r="K348" s="48">
        <f>K347+K288*K228*Seasonality!$E$84</f>
        <v/>
      </c>
      <c r="L348" s="48">
        <f>L347+L288*L228*Seasonality!$E$84</f>
        <v/>
      </c>
      <c r="M348" s="48">
        <f>M347+M288*M228*Seasonality!$E$84</f>
        <v/>
      </c>
      <c r="N348" s="48">
        <f>N347+N288*N228*Seasonality!$E$84</f>
        <v/>
      </c>
      <c r="O348" s="48">
        <f>O347+O288*O228*Seasonality!$E$84</f>
        <v/>
      </c>
      <c r="P348" s="48">
        <f>P347+P288*P228*Seasonality!$E$84</f>
        <v/>
      </c>
      <c r="Q348" s="48">
        <f>Q347+Q288*Q228*Seasonality!$E$84</f>
        <v/>
      </c>
      <c r="R348" s="48">
        <f>R347+R288*R228*Seasonality!$E$84</f>
        <v/>
      </c>
      <c r="S348" s="48">
        <f>S347+S288*S228*Seasonality!$E$84</f>
        <v/>
      </c>
      <c r="T348" s="48">
        <f>T347+T288*T228*Seasonality!$E$84</f>
        <v/>
      </c>
      <c r="U348" s="48">
        <f>U347+U288*U228*Seasonality!$E$84</f>
        <v/>
      </c>
      <c r="V348" s="48">
        <f>V347+V288*V228*Seasonality!$E$84</f>
        <v/>
      </c>
      <c r="W348" s="48">
        <f>W347+W288*W228*Seasonality!$E$84</f>
        <v/>
      </c>
      <c r="X348" s="48">
        <f>X347+X288*X228*Seasonality!$E$84</f>
        <v/>
      </c>
      <c r="Y348" s="48">
        <f>Y347+Y288*Y228*Seasonality!$E$84</f>
        <v/>
      </c>
      <c r="Z348" s="48">
        <f>Z347+Z288*Z228*Seasonality!$E$84</f>
        <v/>
      </c>
      <c r="AA348" s="48">
        <f>AA347+AA288*AA228*Seasonality!$E$84</f>
        <v/>
      </c>
      <c r="AB348" s="48">
        <f>AB347+AB288*AB228*Seasonality!$E$84</f>
        <v/>
      </c>
      <c r="AC348" s="48">
        <f>AC347+AC288*AC228*Seasonality!$E$84</f>
        <v/>
      </c>
      <c r="AD348" s="48">
        <f>AD347+AD288*AD228*Seasonality!$E$84</f>
        <v/>
      </c>
      <c r="AE348" s="48">
        <f>AE347+AE288*AE228*Seasonality!$E$84</f>
        <v/>
      </c>
      <c r="AF348" s="48">
        <f>AF347+AF288*AF228*Seasonality!$E$84</f>
        <v/>
      </c>
      <c r="AG348" s="48">
        <f>AG347+AG288*AG228*Seasonality!$E$84</f>
        <v/>
      </c>
      <c r="AH348" s="48">
        <f>AH347+AH288*AH228*Seasonality!$E$84</f>
        <v/>
      </c>
      <c r="AI348" s="48">
        <f>AI347+AI288*AI228*Seasonality!$E$84</f>
        <v/>
      </c>
      <c r="AJ348" s="48">
        <f>AJ347+AJ288*AJ228*Seasonality!$E$84</f>
        <v/>
      </c>
      <c r="AK348" s="48">
        <f>AK347+AK288*AK228*Seasonality!$E$84</f>
        <v/>
      </c>
      <c r="AL348" s="48">
        <f>AL347+AL288*AL228*Seasonality!$E$84</f>
        <v/>
      </c>
      <c r="AM348" s="48">
        <f>AM347+AM288*AM228*Seasonality!$E$84</f>
        <v/>
      </c>
      <c r="AN348" s="48">
        <f>AN347+AN288*AN228*Seasonality!$E$84</f>
        <v/>
      </c>
      <c r="AO348" s="48">
        <f>AO347+AO288*AO228*Seasonality!$E$84</f>
        <v/>
      </c>
      <c r="AP348" s="48">
        <f>AP347+AP288*AP228*Seasonality!$E$84</f>
        <v/>
      </c>
      <c r="AQ348" s="48">
        <f>AQ347+AQ288*AQ228*Seasonality!$E$84</f>
        <v/>
      </c>
      <c r="AR348" s="48">
        <f>AR347+AR288*AR228*Seasonality!$E$84</f>
        <v/>
      </c>
      <c r="AS348" s="48">
        <f>AS347+AS288*AS228*Seasonality!$E$84</f>
        <v/>
      </c>
      <c r="AT348" s="48">
        <f>AT347+AT288*AT228*Seasonality!$E$84</f>
        <v/>
      </c>
      <c r="AU348" s="48">
        <f>AU347+AU288*AU228*Seasonality!$E$84</f>
        <v/>
      </c>
      <c r="AV348" s="48">
        <f>AV347+AV288*AV228*Seasonality!$E$84</f>
        <v/>
      </c>
    </row>
    <row r="349">
      <c r="B349" s="7" t="inlineStr">
        <is>
          <t>Cumulative discounted contribution · month 49</t>
        </is>
      </c>
      <c r="C349" s="5" t="inlineStr">
        <is>
          <t>₹</t>
        </is>
      </c>
      <c r="D349" s="48">
        <f>D348+D289*D229*Seasonality!$E$85</f>
        <v/>
      </c>
      <c r="E349" s="48">
        <f>E348+E289*E229*Seasonality!$E$85</f>
        <v/>
      </c>
      <c r="F349" s="48">
        <f>F348+F289*F229*Seasonality!$E$85</f>
        <v/>
      </c>
      <c r="G349" s="48">
        <f>G348+G289*G229*Seasonality!$E$85</f>
        <v/>
      </c>
      <c r="H349" s="48">
        <f>H348+H289*H229*Seasonality!$E$85</f>
        <v/>
      </c>
      <c r="I349" s="48">
        <f>I348+I289*I229*Seasonality!$E$85</f>
        <v/>
      </c>
      <c r="J349" s="48">
        <f>J348+J289*J229*Seasonality!$E$85</f>
        <v/>
      </c>
      <c r="K349" s="48">
        <f>K348+K289*K229*Seasonality!$E$85</f>
        <v/>
      </c>
      <c r="L349" s="48">
        <f>L348+L289*L229*Seasonality!$E$85</f>
        <v/>
      </c>
      <c r="M349" s="48">
        <f>M348+M289*M229*Seasonality!$E$85</f>
        <v/>
      </c>
      <c r="N349" s="48">
        <f>N348+N289*N229*Seasonality!$E$85</f>
        <v/>
      </c>
      <c r="O349" s="48">
        <f>O348+O289*O229*Seasonality!$E$85</f>
        <v/>
      </c>
      <c r="P349" s="48">
        <f>P348+P289*P229*Seasonality!$E$85</f>
        <v/>
      </c>
      <c r="Q349" s="48">
        <f>Q348+Q289*Q229*Seasonality!$E$85</f>
        <v/>
      </c>
      <c r="R349" s="48">
        <f>R348+R289*R229*Seasonality!$E$85</f>
        <v/>
      </c>
      <c r="S349" s="48">
        <f>S348+S289*S229*Seasonality!$E$85</f>
        <v/>
      </c>
      <c r="T349" s="48">
        <f>T348+T289*T229*Seasonality!$E$85</f>
        <v/>
      </c>
      <c r="U349" s="48">
        <f>U348+U289*U229*Seasonality!$E$85</f>
        <v/>
      </c>
      <c r="V349" s="48">
        <f>V348+V289*V229*Seasonality!$E$85</f>
        <v/>
      </c>
      <c r="W349" s="48">
        <f>W348+W289*W229*Seasonality!$E$85</f>
        <v/>
      </c>
      <c r="X349" s="48">
        <f>X348+X289*X229*Seasonality!$E$85</f>
        <v/>
      </c>
      <c r="Y349" s="48">
        <f>Y348+Y289*Y229*Seasonality!$E$85</f>
        <v/>
      </c>
      <c r="Z349" s="48">
        <f>Z348+Z289*Z229*Seasonality!$E$85</f>
        <v/>
      </c>
      <c r="AA349" s="48">
        <f>AA348+AA289*AA229*Seasonality!$E$85</f>
        <v/>
      </c>
      <c r="AB349" s="48">
        <f>AB348+AB289*AB229*Seasonality!$E$85</f>
        <v/>
      </c>
      <c r="AC349" s="48">
        <f>AC348+AC289*AC229*Seasonality!$E$85</f>
        <v/>
      </c>
      <c r="AD349" s="48">
        <f>AD348+AD289*AD229*Seasonality!$E$85</f>
        <v/>
      </c>
      <c r="AE349" s="48">
        <f>AE348+AE289*AE229*Seasonality!$E$85</f>
        <v/>
      </c>
      <c r="AF349" s="48">
        <f>AF348+AF289*AF229*Seasonality!$E$85</f>
        <v/>
      </c>
      <c r="AG349" s="48">
        <f>AG348+AG289*AG229*Seasonality!$E$85</f>
        <v/>
      </c>
      <c r="AH349" s="48">
        <f>AH348+AH289*AH229*Seasonality!$E$85</f>
        <v/>
      </c>
      <c r="AI349" s="48">
        <f>AI348+AI289*AI229*Seasonality!$E$85</f>
        <v/>
      </c>
      <c r="AJ349" s="48">
        <f>AJ348+AJ289*AJ229*Seasonality!$E$85</f>
        <v/>
      </c>
      <c r="AK349" s="48">
        <f>AK348+AK289*AK229*Seasonality!$E$85</f>
        <v/>
      </c>
      <c r="AL349" s="48">
        <f>AL348+AL289*AL229*Seasonality!$E$85</f>
        <v/>
      </c>
      <c r="AM349" s="48">
        <f>AM348+AM289*AM229*Seasonality!$E$85</f>
        <v/>
      </c>
      <c r="AN349" s="48">
        <f>AN348+AN289*AN229*Seasonality!$E$85</f>
        <v/>
      </c>
      <c r="AO349" s="48">
        <f>AO348+AO289*AO229*Seasonality!$E$85</f>
        <v/>
      </c>
      <c r="AP349" s="48">
        <f>AP348+AP289*AP229*Seasonality!$E$85</f>
        <v/>
      </c>
      <c r="AQ349" s="48">
        <f>AQ348+AQ289*AQ229*Seasonality!$E$85</f>
        <v/>
      </c>
      <c r="AR349" s="48">
        <f>AR348+AR289*AR229*Seasonality!$E$85</f>
        <v/>
      </c>
      <c r="AS349" s="48">
        <f>AS348+AS289*AS229*Seasonality!$E$85</f>
        <v/>
      </c>
      <c r="AT349" s="48">
        <f>AT348+AT289*AT229*Seasonality!$E$85</f>
        <v/>
      </c>
      <c r="AU349" s="48">
        <f>AU348+AU289*AU229*Seasonality!$E$85</f>
        <v/>
      </c>
      <c r="AV349" s="48">
        <f>AV348+AV289*AV229*Seasonality!$E$85</f>
        <v/>
      </c>
    </row>
    <row r="350">
      <c r="B350" s="7" t="inlineStr">
        <is>
          <t>Cumulative discounted contribution · month 50</t>
        </is>
      </c>
      <c r="C350" s="5" t="inlineStr">
        <is>
          <t>₹</t>
        </is>
      </c>
      <c r="D350" s="48">
        <f>D349+D290*D230*Seasonality!$E$86</f>
        <v/>
      </c>
      <c r="E350" s="48">
        <f>E349+E290*E230*Seasonality!$E$86</f>
        <v/>
      </c>
      <c r="F350" s="48">
        <f>F349+F290*F230*Seasonality!$E$86</f>
        <v/>
      </c>
      <c r="G350" s="48">
        <f>G349+G290*G230*Seasonality!$E$86</f>
        <v/>
      </c>
      <c r="H350" s="48">
        <f>H349+H290*H230*Seasonality!$E$86</f>
        <v/>
      </c>
      <c r="I350" s="48">
        <f>I349+I290*I230*Seasonality!$E$86</f>
        <v/>
      </c>
      <c r="J350" s="48">
        <f>J349+J290*J230*Seasonality!$E$86</f>
        <v/>
      </c>
      <c r="K350" s="48">
        <f>K349+K290*K230*Seasonality!$E$86</f>
        <v/>
      </c>
      <c r="L350" s="48">
        <f>L349+L290*L230*Seasonality!$E$86</f>
        <v/>
      </c>
      <c r="M350" s="48">
        <f>M349+M290*M230*Seasonality!$E$86</f>
        <v/>
      </c>
      <c r="N350" s="48">
        <f>N349+N290*N230*Seasonality!$E$86</f>
        <v/>
      </c>
      <c r="O350" s="48">
        <f>O349+O290*O230*Seasonality!$E$86</f>
        <v/>
      </c>
      <c r="P350" s="48">
        <f>P349+P290*P230*Seasonality!$E$86</f>
        <v/>
      </c>
      <c r="Q350" s="48">
        <f>Q349+Q290*Q230*Seasonality!$E$86</f>
        <v/>
      </c>
      <c r="R350" s="48">
        <f>R349+R290*R230*Seasonality!$E$86</f>
        <v/>
      </c>
      <c r="S350" s="48">
        <f>S349+S290*S230*Seasonality!$E$86</f>
        <v/>
      </c>
      <c r="T350" s="48">
        <f>T349+T290*T230*Seasonality!$E$86</f>
        <v/>
      </c>
      <c r="U350" s="48">
        <f>U349+U290*U230*Seasonality!$E$86</f>
        <v/>
      </c>
      <c r="V350" s="48">
        <f>V349+V290*V230*Seasonality!$E$86</f>
        <v/>
      </c>
      <c r="W350" s="48">
        <f>W349+W290*W230*Seasonality!$E$86</f>
        <v/>
      </c>
      <c r="X350" s="48">
        <f>X349+X290*X230*Seasonality!$E$86</f>
        <v/>
      </c>
      <c r="Y350" s="48">
        <f>Y349+Y290*Y230*Seasonality!$E$86</f>
        <v/>
      </c>
      <c r="Z350" s="48">
        <f>Z349+Z290*Z230*Seasonality!$E$86</f>
        <v/>
      </c>
      <c r="AA350" s="48">
        <f>AA349+AA290*AA230*Seasonality!$E$86</f>
        <v/>
      </c>
      <c r="AB350" s="48">
        <f>AB349+AB290*AB230*Seasonality!$E$86</f>
        <v/>
      </c>
      <c r="AC350" s="48">
        <f>AC349+AC290*AC230*Seasonality!$E$86</f>
        <v/>
      </c>
      <c r="AD350" s="48">
        <f>AD349+AD290*AD230*Seasonality!$E$86</f>
        <v/>
      </c>
      <c r="AE350" s="48">
        <f>AE349+AE290*AE230*Seasonality!$E$86</f>
        <v/>
      </c>
      <c r="AF350" s="48">
        <f>AF349+AF290*AF230*Seasonality!$E$86</f>
        <v/>
      </c>
      <c r="AG350" s="48">
        <f>AG349+AG290*AG230*Seasonality!$E$86</f>
        <v/>
      </c>
      <c r="AH350" s="48">
        <f>AH349+AH290*AH230*Seasonality!$E$86</f>
        <v/>
      </c>
      <c r="AI350" s="48">
        <f>AI349+AI290*AI230*Seasonality!$E$86</f>
        <v/>
      </c>
      <c r="AJ350" s="48">
        <f>AJ349+AJ290*AJ230*Seasonality!$E$86</f>
        <v/>
      </c>
      <c r="AK350" s="48">
        <f>AK349+AK290*AK230*Seasonality!$E$86</f>
        <v/>
      </c>
      <c r="AL350" s="48">
        <f>AL349+AL290*AL230*Seasonality!$E$86</f>
        <v/>
      </c>
      <c r="AM350" s="48">
        <f>AM349+AM290*AM230*Seasonality!$E$86</f>
        <v/>
      </c>
      <c r="AN350" s="48">
        <f>AN349+AN290*AN230*Seasonality!$E$86</f>
        <v/>
      </c>
      <c r="AO350" s="48">
        <f>AO349+AO290*AO230*Seasonality!$E$86</f>
        <v/>
      </c>
      <c r="AP350" s="48">
        <f>AP349+AP290*AP230*Seasonality!$E$86</f>
        <v/>
      </c>
      <c r="AQ350" s="48">
        <f>AQ349+AQ290*AQ230*Seasonality!$E$86</f>
        <v/>
      </c>
      <c r="AR350" s="48">
        <f>AR349+AR290*AR230*Seasonality!$E$86</f>
        <v/>
      </c>
      <c r="AS350" s="48">
        <f>AS349+AS290*AS230*Seasonality!$E$86</f>
        <v/>
      </c>
      <c r="AT350" s="48">
        <f>AT349+AT290*AT230*Seasonality!$E$86</f>
        <v/>
      </c>
      <c r="AU350" s="48">
        <f>AU349+AU290*AU230*Seasonality!$E$86</f>
        <v/>
      </c>
      <c r="AV350" s="48">
        <f>AV349+AV290*AV230*Seasonality!$E$86</f>
        <v/>
      </c>
    </row>
    <row r="351">
      <c r="B351" s="7" t="inlineStr">
        <is>
          <t>Cumulative discounted contribution · month 51</t>
        </is>
      </c>
      <c r="C351" s="5" t="inlineStr">
        <is>
          <t>₹</t>
        </is>
      </c>
      <c r="D351" s="48">
        <f>D350+D291*D231*Seasonality!$E$87</f>
        <v/>
      </c>
      <c r="E351" s="48">
        <f>E350+E291*E231*Seasonality!$E$87</f>
        <v/>
      </c>
      <c r="F351" s="48">
        <f>F350+F291*F231*Seasonality!$E$87</f>
        <v/>
      </c>
      <c r="G351" s="48">
        <f>G350+G291*G231*Seasonality!$E$87</f>
        <v/>
      </c>
      <c r="H351" s="48">
        <f>H350+H291*H231*Seasonality!$E$87</f>
        <v/>
      </c>
      <c r="I351" s="48">
        <f>I350+I291*I231*Seasonality!$E$87</f>
        <v/>
      </c>
      <c r="J351" s="48">
        <f>J350+J291*J231*Seasonality!$E$87</f>
        <v/>
      </c>
      <c r="K351" s="48">
        <f>K350+K291*K231*Seasonality!$E$87</f>
        <v/>
      </c>
      <c r="L351" s="48">
        <f>L350+L291*L231*Seasonality!$E$87</f>
        <v/>
      </c>
      <c r="M351" s="48">
        <f>M350+M291*M231*Seasonality!$E$87</f>
        <v/>
      </c>
      <c r="N351" s="48">
        <f>N350+N291*N231*Seasonality!$E$87</f>
        <v/>
      </c>
      <c r="O351" s="48">
        <f>O350+O291*O231*Seasonality!$E$87</f>
        <v/>
      </c>
      <c r="P351" s="48">
        <f>P350+P291*P231*Seasonality!$E$87</f>
        <v/>
      </c>
      <c r="Q351" s="48">
        <f>Q350+Q291*Q231*Seasonality!$E$87</f>
        <v/>
      </c>
      <c r="R351" s="48">
        <f>R350+R291*R231*Seasonality!$E$87</f>
        <v/>
      </c>
      <c r="S351" s="48">
        <f>S350+S291*S231*Seasonality!$E$87</f>
        <v/>
      </c>
      <c r="T351" s="48">
        <f>T350+T291*T231*Seasonality!$E$87</f>
        <v/>
      </c>
      <c r="U351" s="48">
        <f>U350+U291*U231*Seasonality!$E$87</f>
        <v/>
      </c>
      <c r="V351" s="48">
        <f>V350+V291*V231*Seasonality!$E$87</f>
        <v/>
      </c>
      <c r="W351" s="48">
        <f>W350+W291*W231*Seasonality!$E$87</f>
        <v/>
      </c>
      <c r="X351" s="48">
        <f>X350+X291*X231*Seasonality!$E$87</f>
        <v/>
      </c>
      <c r="Y351" s="48">
        <f>Y350+Y291*Y231*Seasonality!$E$87</f>
        <v/>
      </c>
      <c r="Z351" s="48">
        <f>Z350+Z291*Z231*Seasonality!$E$87</f>
        <v/>
      </c>
      <c r="AA351" s="48">
        <f>AA350+AA291*AA231*Seasonality!$E$87</f>
        <v/>
      </c>
      <c r="AB351" s="48">
        <f>AB350+AB291*AB231*Seasonality!$E$87</f>
        <v/>
      </c>
      <c r="AC351" s="48">
        <f>AC350+AC291*AC231*Seasonality!$E$87</f>
        <v/>
      </c>
      <c r="AD351" s="48">
        <f>AD350+AD291*AD231*Seasonality!$E$87</f>
        <v/>
      </c>
      <c r="AE351" s="48">
        <f>AE350+AE291*AE231*Seasonality!$E$87</f>
        <v/>
      </c>
      <c r="AF351" s="48">
        <f>AF350+AF291*AF231*Seasonality!$E$87</f>
        <v/>
      </c>
      <c r="AG351" s="48">
        <f>AG350+AG291*AG231*Seasonality!$E$87</f>
        <v/>
      </c>
      <c r="AH351" s="48">
        <f>AH350+AH291*AH231*Seasonality!$E$87</f>
        <v/>
      </c>
      <c r="AI351" s="48">
        <f>AI350+AI291*AI231*Seasonality!$E$87</f>
        <v/>
      </c>
      <c r="AJ351" s="48">
        <f>AJ350+AJ291*AJ231*Seasonality!$E$87</f>
        <v/>
      </c>
      <c r="AK351" s="48">
        <f>AK350+AK291*AK231*Seasonality!$E$87</f>
        <v/>
      </c>
      <c r="AL351" s="48">
        <f>AL350+AL291*AL231*Seasonality!$E$87</f>
        <v/>
      </c>
      <c r="AM351" s="48">
        <f>AM350+AM291*AM231*Seasonality!$E$87</f>
        <v/>
      </c>
      <c r="AN351" s="48">
        <f>AN350+AN291*AN231*Seasonality!$E$87</f>
        <v/>
      </c>
      <c r="AO351" s="48">
        <f>AO350+AO291*AO231*Seasonality!$E$87</f>
        <v/>
      </c>
      <c r="AP351" s="48">
        <f>AP350+AP291*AP231*Seasonality!$E$87</f>
        <v/>
      </c>
      <c r="AQ351" s="48">
        <f>AQ350+AQ291*AQ231*Seasonality!$E$87</f>
        <v/>
      </c>
      <c r="AR351" s="48">
        <f>AR350+AR291*AR231*Seasonality!$E$87</f>
        <v/>
      </c>
      <c r="AS351" s="48">
        <f>AS350+AS291*AS231*Seasonality!$E$87</f>
        <v/>
      </c>
      <c r="AT351" s="48">
        <f>AT350+AT291*AT231*Seasonality!$E$87</f>
        <v/>
      </c>
      <c r="AU351" s="48">
        <f>AU350+AU291*AU231*Seasonality!$E$87</f>
        <v/>
      </c>
      <c r="AV351" s="48">
        <f>AV350+AV291*AV231*Seasonality!$E$87</f>
        <v/>
      </c>
    </row>
    <row r="352">
      <c r="B352" s="7" t="inlineStr">
        <is>
          <t>Cumulative discounted contribution · month 52</t>
        </is>
      </c>
      <c r="C352" s="5" t="inlineStr">
        <is>
          <t>₹</t>
        </is>
      </c>
      <c r="D352" s="48">
        <f>D351+D292*D232*Seasonality!$E$88</f>
        <v/>
      </c>
      <c r="E352" s="48">
        <f>E351+E292*E232*Seasonality!$E$88</f>
        <v/>
      </c>
      <c r="F352" s="48">
        <f>F351+F292*F232*Seasonality!$E$88</f>
        <v/>
      </c>
      <c r="G352" s="48">
        <f>G351+G292*G232*Seasonality!$E$88</f>
        <v/>
      </c>
      <c r="H352" s="48">
        <f>H351+H292*H232*Seasonality!$E$88</f>
        <v/>
      </c>
      <c r="I352" s="48">
        <f>I351+I292*I232*Seasonality!$E$88</f>
        <v/>
      </c>
      <c r="J352" s="48">
        <f>J351+J292*J232*Seasonality!$E$88</f>
        <v/>
      </c>
      <c r="K352" s="48">
        <f>K351+K292*K232*Seasonality!$E$88</f>
        <v/>
      </c>
      <c r="L352" s="48">
        <f>L351+L292*L232*Seasonality!$E$88</f>
        <v/>
      </c>
      <c r="M352" s="48">
        <f>M351+M292*M232*Seasonality!$E$88</f>
        <v/>
      </c>
      <c r="N352" s="48">
        <f>N351+N292*N232*Seasonality!$E$88</f>
        <v/>
      </c>
      <c r="O352" s="48">
        <f>O351+O292*O232*Seasonality!$E$88</f>
        <v/>
      </c>
      <c r="P352" s="48">
        <f>P351+P292*P232*Seasonality!$E$88</f>
        <v/>
      </c>
      <c r="Q352" s="48">
        <f>Q351+Q292*Q232*Seasonality!$E$88</f>
        <v/>
      </c>
      <c r="R352" s="48">
        <f>R351+R292*R232*Seasonality!$E$88</f>
        <v/>
      </c>
      <c r="S352" s="48">
        <f>S351+S292*S232*Seasonality!$E$88</f>
        <v/>
      </c>
      <c r="T352" s="48">
        <f>T351+T292*T232*Seasonality!$E$88</f>
        <v/>
      </c>
      <c r="U352" s="48">
        <f>U351+U292*U232*Seasonality!$E$88</f>
        <v/>
      </c>
      <c r="V352" s="48">
        <f>V351+V292*V232*Seasonality!$E$88</f>
        <v/>
      </c>
      <c r="W352" s="48">
        <f>W351+W292*W232*Seasonality!$E$88</f>
        <v/>
      </c>
      <c r="X352" s="48">
        <f>X351+X292*X232*Seasonality!$E$88</f>
        <v/>
      </c>
      <c r="Y352" s="48">
        <f>Y351+Y292*Y232*Seasonality!$E$88</f>
        <v/>
      </c>
      <c r="Z352" s="48">
        <f>Z351+Z292*Z232*Seasonality!$E$88</f>
        <v/>
      </c>
      <c r="AA352" s="48">
        <f>AA351+AA292*AA232*Seasonality!$E$88</f>
        <v/>
      </c>
      <c r="AB352" s="48">
        <f>AB351+AB292*AB232*Seasonality!$E$88</f>
        <v/>
      </c>
      <c r="AC352" s="48">
        <f>AC351+AC292*AC232*Seasonality!$E$88</f>
        <v/>
      </c>
      <c r="AD352" s="48">
        <f>AD351+AD292*AD232*Seasonality!$E$88</f>
        <v/>
      </c>
      <c r="AE352" s="48">
        <f>AE351+AE292*AE232*Seasonality!$E$88</f>
        <v/>
      </c>
      <c r="AF352" s="48">
        <f>AF351+AF292*AF232*Seasonality!$E$88</f>
        <v/>
      </c>
      <c r="AG352" s="48">
        <f>AG351+AG292*AG232*Seasonality!$E$88</f>
        <v/>
      </c>
      <c r="AH352" s="48">
        <f>AH351+AH292*AH232*Seasonality!$E$88</f>
        <v/>
      </c>
      <c r="AI352" s="48">
        <f>AI351+AI292*AI232*Seasonality!$E$88</f>
        <v/>
      </c>
      <c r="AJ352" s="48">
        <f>AJ351+AJ292*AJ232*Seasonality!$E$88</f>
        <v/>
      </c>
      <c r="AK352" s="48">
        <f>AK351+AK292*AK232*Seasonality!$E$88</f>
        <v/>
      </c>
      <c r="AL352" s="48">
        <f>AL351+AL292*AL232*Seasonality!$E$88</f>
        <v/>
      </c>
      <c r="AM352" s="48">
        <f>AM351+AM292*AM232*Seasonality!$E$88</f>
        <v/>
      </c>
      <c r="AN352" s="48">
        <f>AN351+AN292*AN232*Seasonality!$E$88</f>
        <v/>
      </c>
      <c r="AO352" s="48">
        <f>AO351+AO292*AO232*Seasonality!$E$88</f>
        <v/>
      </c>
      <c r="AP352" s="48">
        <f>AP351+AP292*AP232*Seasonality!$E$88</f>
        <v/>
      </c>
      <c r="AQ352" s="48">
        <f>AQ351+AQ292*AQ232*Seasonality!$E$88</f>
        <v/>
      </c>
      <c r="AR352" s="48">
        <f>AR351+AR292*AR232*Seasonality!$E$88</f>
        <v/>
      </c>
      <c r="AS352" s="48">
        <f>AS351+AS292*AS232*Seasonality!$E$88</f>
        <v/>
      </c>
      <c r="AT352" s="48">
        <f>AT351+AT292*AT232*Seasonality!$E$88</f>
        <v/>
      </c>
      <c r="AU352" s="48">
        <f>AU351+AU292*AU232*Seasonality!$E$88</f>
        <v/>
      </c>
      <c r="AV352" s="48">
        <f>AV351+AV292*AV232*Seasonality!$E$88</f>
        <v/>
      </c>
    </row>
    <row r="353">
      <c r="B353" s="7" t="inlineStr">
        <is>
          <t>Cumulative discounted contribution · month 53</t>
        </is>
      </c>
      <c r="C353" s="5" t="inlineStr">
        <is>
          <t>₹</t>
        </is>
      </c>
      <c r="D353" s="48">
        <f>D352+D293*D233*Seasonality!$E$89</f>
        <v/>
      </c>
      <c r="E353" s="48">
        <f>E352+E293*E233*Seasonality!$E$89</f>
        <v/>
      </c>
      <c r="F353" s="48">
        <f>F352+F293*F233*Seasonality!$E$89</f>
        <v/>
      </c>
      <c r="G353" s="48">
        <f>G352+G293*G233*Seasonality!$E$89</f>
        <v/>
      </c>
      <c r="H353" s="48">
        <f>H352+H293*H233*Seasonality!$E$89</f>
        <v/>
      </c>
      <c r="I353" s="48">
        <f>I352+I293*I233*Seasonality!$E$89</f>
        <v/>
      </c>
      <c r="J353" s="48">
        <f>J352+J293*J233*Seasonality!$E$89</f>
        <v/>
      </c>
      <c r="K353" s="48">
        <f>K352+K293*K233*Seasonality!$E$89</f>
        <v/>
      </c>
      <c r="L353" s="48">
        <f>L352+L293*L233*Seasonality!$E$89</f>
        <v/>
      </c>
      <c r="M353" s="48">
        <f>M352+M293*M233*Seasonality!$E$89</f>
        <v/>
      </c>
      <c r="N353" s="48">
        <f>N352+N293*N233*Seasonality!$E$89</f>
        <v/>
      </c>
      <c r="O353" s="48">
        <f>O352+O293*O233*Seasonality!$E$89</f>
        <v/>
      </c>
      <c r="P353" s="48">
        <f>P352+P293*P233*Seasonality!$E$89</f>
        <v/>
      </c>
      <c r="Q353" s="48">
        <f>Q352+Q293*Q233*Seasonality!$E$89</f>
        <v/>
      </c>
      <c r="R353" s="48">
        <f>R352+R293*R233*Seasonality!$E$89</f>
        <v/>
      </c>
      <c r="S353" s="48">
        <f>S352+S293*S233*Seasonality!$E$89</f>
        <v/>
      </c>
      <c r="T353" s="48">
        <f>T352+T293*T233*Seasonality!$E$89</f>
        <v/>
      </c>
      <c r="U353" s="48">
        <f>U352+U293*U233*Seasonality!$E$89</f>
        <v/>
      </c>
      <c r="V353" s="48">
        <f>V352+V293*V233*Seasonality!$E$89</f>
        <v/>
      </c>
      <c r="W353" s="48">
        <f>W352+W293*W233*Seasonality!$E$89</f>
        <v/>
      </c>
      <c r="X353" s="48">
        <f>X352+X293*X233*Seasonality!$E$89</f>
        <v/>
      </c>
      <c r="Y353" s="48">
        <f>Y352+Y293*Y233*Seasonality!$E$89</f>
        <v/>
      </c>
      <c r="Z353" s="48">
        <f>Z352+Z293*Z233*Seasonality!$E$89</f>
        <v/>
      </c>
      <c r="AA353" s="48">
        <f>AA352+AA293*AA233*Seasonality!$E$89</f>
        <v/>
      </c>
      <c r="AB353" s="48">
        <f>AB352+AB293*AB233*Seasonality!$E$89</f>
        <v/>
      </c>
      <c r="AC353" s="48">
        <f>AC352+AC293*AC233*Seasonality!$E$89</f>
        <v/>
      </c>
      <c r="AD353" s="48">
        <f>AD352+AD293*AD233*Seasonality!$E$89</f>
        <v/>
      </c>
      <c r="AE353" s="48">
        <f>AE352+AE293*AE233*Seasonality!$E$89</f>
        <v/>
      </c>
      <c r="AF353" s="48">
        <f>AF352+AF293*AF233*Seasonality!$E$89</f>
        <v/>
      </c>
      <c r="AG353" s="48">
        <f>AG352+AG293*AG233*Seasonality!$E$89</f>
        <v/>
      </c>
      <c r="AH353" s="48">
        <f>AH352+AH293*AH233*Seasonality!$E$89</f>
        <v/>
      </c>
      <c r="AI353" s="48">
        <f>AI352+AI293*AI233*Seasonality!$E$89</f>
        <v/>
      </c>
      <c r="AJ353" s="48">
        <f>AJ352+AJ293*AJ233*Seasonality!$E$89</f>
        <v/>
      </c>
      <c r="AK353" s="48">
        <f>AK352+AK293*AK233*Seasonality!$E$89</f>
        <v/>
      </c>
      <c r="AL353" s="48">
        <f>AL352+AL293*AL233*Seasonality!$E$89</f>
        <v/>
      </c>
      <c r="AM353" s="48">
        <f>AM352+AM293*AM233*Seasonality!$E$89</f>
        <v/>
      </c>
      <c r="AN353" s="48">
        <f>AN352+AN293*AN233*Seasonality!$E$89</f>
        <v/>
      </c>
      <c r="AO353" s="48">
        <f>AO352+AO293*AO233*Seasonality!$E$89</f>
        <v/>
      </c>
      <c r="AP353" s="48">
        <f>AP352+AP293*AP233*Seasonality!$E$89</f>
        <v/>
      </c>
      <c r="AQ353" s="48">
        <f>AQ352+AQ293*AQ233*Seasonality!$E$89</f>
        <v/>
      </c>
      <c r="AR353" s="48">
        <f>AR352+AR293*AR233*Seasonality!$E$89</f>
        <v/>
      </c>
      <c r="AS353" s="48">
        <f>AS352+AS293*AS233*Seasonality!$E$89</f>
        <v/>
      </c>
      <c r="AT353" s="48">
        <f>AT352+AT293*AT233*Seasonality!$E$89</f>
        <v/>
      </c>
      <c r="AU353" s="48">
        <f>AU352+AU293*AU233*Seasonality!$E$89</f>
        <v/>
      </c>
      <c r="AV353" s="48">
        <f>AV352+AV293*AV233*Seasonality!$E$89</f>
        <v/>
      </c>
    </row>
    <row r="354">
      <c r="B354" s="7" t="inlineStr">
        <is>
          <t>Cumulative discounted contribution · month 54</t>
        </is>
      </c>
      <c r="C354" s="5" t="inlineStr">
        <is>
          <t>₹</t>
        </is>
      </c>
      <c r="D354" s="48">
        <f>D353+D294*D234*Seasonality!$E$90</f>
        <v/>
      </c>
      <c r="E354" s="48">
        <f>E353+E294*E234*Seasonality!$E$90</f>
        <v/>
      </c>
      <c r="F354" s="48">
        <f>F353+F294*F234*Seasonality!$E$90</f>
        <v/>
      </c>
      <c r="G354" s="48">
        <f>G353+G294*G234*Seasonality!$E$90</f>
        <v/>
      </c>
      <c r="H354" s="48">
        <f>H353+H294*H234*Seasonality!$E$90</f>
        <v/>
      </c>
      <c r="I354" s="48">
        <f>I353+I294*I234*Seasonality!$E$90</f>
        <v/>
      </c>
      <c r="J354" s="48">
        <f>J353+J294*J234*Seasonality!$E$90</f>
        <v/>
      </c>
      <c r="K354" s="48">
        <f>K353+K294*K234*Seasonality!$E$90</f>
        <v/>
      </c>
      <c r="L354" s="48">
        <f>L353+L294*L234*Seasonality!$E$90</f>
        <v/>
      </c>
      <c r="M354" s="48">
        <f>M353+M294*M234*Seasonality!$E$90</f>
        <v/>
      </c>
      <c r="N354" s="48">
        <f>N353+N294*N234*Seasonality!$E$90</f>
        <v/>
      </c>
      <c r="O354" s="48">
        <f>O353+O294*O234*Seasonality!$E$90</f>
        <v/>
      </c>
      <c r="P354" s="48">
        <f>P353+P294*P234*Seasonality!$E$90</f>
        <v/>
      </c>
      <c r="Q354" s="48">
        <f>Q353+Q294*Q234*Seasonality!$E$90</f>
        <v/>
      </c>
      <c r="R354" s="48">
        <f>R353+R294*R234*Seasonality!$E$90</f>
        <v/>
      </c>
      <c r="S354" s="48">
        <f>S353+S294*S234*Seasonality!$E$90</f>
        <v/>
      </c>
      <c r="T354" s="48">
        <f>T353+T294*T234*Seasonality!$E$90</f>
        <v/>
      </c>
      <c r="U354" s="48">
        <f>U353+U294*U234*Seasonality!$E$90</f>
        <v/>
      </c>
      <c r="V354" s="48">
        <f>V353+V294*V234*Seasonality!$E$90</f>
        <v/>
      </c>
      <c r="W354" s="48">
        <f>W353+W294*W234*Seasonality!$E$90</f>
        <v/>
      </c>
      <c r="X354" s="48">
        <f>X353+X294*X234*Seasonality!$E$90</f>
        <v/>
      </c>
      <c r="Y354" s="48">
        <f>Y353+Y294*Y234*Seasonality!$E$90</f>
        <v/>
      </c>
      <c r="Z354" s="48">
        <f>Z353+Z294*Z234*Seasonality!$E$90</f>
        <v/>
      </c>
      <c r="AA354" s="48">
        <f>AA353+AA294*AA234*Seasonality!$E$90</f>
        <v/>
      </c>
      <c r="AB354" s="48">
        <f>AB353+AB294*AB234*Seasonality!$E$90</f>
        <v/>
      </c>
      <c r="AC354" s="48">
        <f>AC353+AC294*AC234*Seasonality!$E$90</f>
        <v/>
      </c>
      <c r="AD354" s="48">
        <f>AD353+AD294*AD234*Seasonality!$E$90</f>
        <v/>
      </c>
      <c r="AE354" s="48">
        <f>AE353+AE294*AE234*Seasonality!$E$90</f>
        <v/>
      </c>
      <c r="AF354" s="48">
        <f>AF353+AF294*AF234*Seasonality!$E$90</f>
        <v/>
      </c>
      <c r="AG354" s="48">
        <f>AG353+AG294*AG234*Seasonality!$E$90</f>
        <v/>
      </c>
      <c r="AH354" s="48">
        <f>AH353+AH294*AH234*Seasonality!$E$90</f>
        <v/>
      </c>
      <c r="AI354" s="48">
        <f>AI353+AI294*AI234*Seasonality!$E$90</f>
        <v/>
      </c>
      <c r="AJ354" s="48">
        <f>AJ353+AJ294*AJ234*Seasonality!$E$90</f>
        <v/>
      </c>
      <c r="AK354" s="48">
        <f>AK353+AK294*AK234*Seasonality!$E$90</f>
        <v/>
      </c>
      <c r="AL354" s="48">
        <f>AL353+AL294*AL234*Seasonality!$E$90</f>
        <v/>
      </c>
      <c r="AM354" s="48">
        <f>AM353+AM294*AM234*Seasonality!$E$90</f>
        <v/>
      </c>
      <c r="AN354" s="48">
        <f>AN353+AN294*AN234*Seasonality!$E$90</f>
        <v/>
      </c>
      <c r="AO354" s="48">
        <f>AO353+AO294*AO234*Seasonality!$E$90</f>
        <v/>
      </c>
      <c r="AP354" s="48">
        <f>AP353+AP294*AP234*Seasonality!$E$90</f>
        <v/>
      </c>
      <c r="AQ354" s="48">
        <f>AQ353+AQ294*AQ234*Seasonality!$E$90</f>
        <v/>
      </c>
      <c r="AR354" s="48">
        <f>AR353+AR294*AR234*Seasonality!$E$90</f>
        <v/>
      </c>
      <c r="AS354" s="48">
        <f>AS353+AS294*AS234*Seasonality!$E$90</f>
        <v/>
      </c>
      <c r="AT354" s="48">
        <f>AT353+AT294*AT234*Seasonality!$E$90</f>
        <v/>
      </c>
      <c r="AU354" s="48">
        <f>AU353+AU294*AU234*Seasonality!$E$90</f>
        <v/>
      </c>
      <c r="AV354" s="48">
        <f>AV353+AV294*AV234*Seasonality!$E$90</f>
        <v/>
      </c>
    </row>
    <row r="355">
      <c r="B355" s="7" t="inlineStr">
        <is>
          <t>Cumulative discounted contribution · month 55</t>
        </is>
      </c>
      <c r="C355" s="5" t="inlineStr">
        <is>
          <t>₹</t>
        </is>
      </c>
      <c r="D355" s="48">
        <f>D354+D295*D235*Seasonality!$E$91</f>
        <v/>
      </c>
      <c r="E355" s="48">
        <f>E354+E295*E235*Seasonality!$E$91</f>
        <v/>
      </c>
      <c r="F355" s="48">
        <f>F354+F295*F235*Seasonality!$E$91</f>
        <v/>
      </c>
      <c r="G355" s="48">
        <f>G354+G295*G235*Seasonality!$E$91</f>
        <v/>
      </c>
      <c r="H355" s="48">
        <f>H354+H295*H235*Seasonality!$E$91</f>
        <v/>
      </c>
      <c r="I355" s="48">
        <f>I354+I295*I235*Seasonality!$E$91</f>
        <v/>
      </c>
      <c r="J355" s="48">
        <f>J354+J295*J235*Seasonality!$E$91</f>
        <v/>
      </c>
      <c r="K355" s="48">
        <f>K354+K295*K235*Seasonality!$E$91</f>
        <v/>
      </c>
      <c r="L355" s="48">
        <f>L354+L295*L235*Seasonality!$E$91</f>
        <v/>
      </c>
      <c r="M355" s="48">
        <f>M354+M295*M235*Seasonality!$E$91</f>
        <v/>
      </c>
      <c r="N355" s="48">
        <f>N354+N295*N235*Seasonality!$E$91</f>
        <v/>
      </c>
      <c r="O355" s="48">
        <f>O354+O295*O235*Seasonality!$E$91</f>
        <v/>
      </c>
      <c r="P355" s="48">
        <f>P354+P295*P235*Seasonality!$E$91</f>
        <v/>
      </c>
      <c r="Q355" s="48">
        <f>Q354+Q295*Q235*Seasonality!$E$91</f>
        <v/>
      </c>
      <c r="R355" s="48">
        <f>R354+R295*R235*Seasonality!$E$91</f>
        <v/>
      </c>
      <c r="S355" s="48">
        <f>S354+S295*S235*Seasonality!$E$91</f>
        <v/>
      </c>
      <c r="T355" s="48">
        <f>T354+T295*T235*Seasonality!$E$91</f>
        <v/>
      </c>
      <c r="U355" s="48">
        <f>U354+U295*U235*Seasonality!$E$91</f>
        <v/>
      </c>
      <c r="V355" s="48">
        <f>V354+V295*V235*Seasonality!$E$91</f>
        <v/>
      </c>
      <c r="W355" s="48">
        <f>W354+W295*W235*Seasonality!$E$91</f>
        <v/>
      </c>
      <c r="X355" s="48">
        <f>X354+X295*X235*Seasonality!$E$91</f>
        <v/>
      </c>
      <c r="Y355" s="48">
        <f>Y354+Y295*Y235*Seasonality!$E$91</f>
        <v/>
      </c>
      <c r="Z355" s="48">
        <f>Z354+Z295*Z235*Seasonality!$E$91</f>
        <v/>
      </c>
      <c r="AA355" s="48">
        <f>AA354+AA295*AA235*Seasonality!$E$91</f>
        <v/>
      </c>
      <c r="AB355" s="48">
        <f>AB354+AB295*AB235*Seasonality!$E$91</f>
        <v/>
      </c>
      <c r="AC355" s="48">
        <f>AC354+AC295*AC235*Seasonality!$E$91</f>
        <v/>
      </c>
      <c r="AD355" s="48">
        <f>AD354+AD295*AD235*Seasonality!$E$91</f>
        <v/>
      </c>
      <c r="AE355" s="48">
        <f>AE354+AE295*AE235*Seasonality!$E$91</f>
        <v/>
      </c>
      <c r="AF355" s="48">
        <f>AF354+AF295*AF235*Seasonality!$E$91</f>
        <v/>
      </c>
      <c r="AG355" s="48">
        <f>AG354+AG295*AG235*Seasonality!$E$91</f>
        <v/>
      </c>
      <c r="AH355" s="48">
        <f>AH354+AH295*AH235*Seasonality!$E$91</f>
        <v/>
      </c>
      <c r="AI355" s="48">
        <f>AI354+AI295*AI235*Seasonality!$E$91</f>
        <v/>
      </c>
      <c r="AJ355" s="48">
        <f>AJ354+AJ295*AJ235*Seasonality!$E$91</f>
        <v/>
      </c>
      <c r="AK355" s="48">
        <f>AK354+AK295*AK235*Seasonality!$E$91</f>
        <v/>
      </c>
      <c r="AL355" s="48">
        <f>AL354+AL295*AL235*Seasonality!$E$91</f>
        <v/>
      </c>
      <c r="AM355" s="48">
        <f>AM354+AM295*AM235*Seasonality!$E$91</f>
        <v/>
      </c>
      <c r="AN355" s="48">
        <f>AN354+AN295*AN235*Seasonality!$E$91</f>
        <v/>
      </c>
      <c r="AO355" s="48">
        <f>AO354+AO295*AO235*Seasonality!$E$91</f>
        <v/>
      </c>
      <c r="AP355" s="48">
        <f>AP354+AP295*AP235*Seasonality!$E$91</f>
        <v/>
      </c>
      <c r="AQ355" s="48">
        <f>AQ354+AQ295*AQ235*Seasonality!$E$91</f>
        <v/>
      </c>
      <c r="AR355" s="48">
        <f>AR354+AR295*AR235*Seasonality!$E$91</f>
        <v/>
      </c>
      <c r="AS355" s="48">
        <f>AS354+AS295*AS235*Seasonality!$E$91</f>
        <v/>
      </c>
      <c r="AT355" s="48">
        <f>AT354+AT295*AT235*Seasonality!$E$91</f>
        <v/>
      </c>
      <c r="AU355" s="48">
        <f>AU354+AU295*AU235*Seasonality!$E$91</f>
        <v/>
      </c>
      <c r="AV355" s="48">
        <f>AV354+AV295*AV235*Seasonality!$E$91</f>
        <v/>
      </c>
    </row>
    <row r="356">
      <c r="B356" s="7" t="inlineStr">
        <is>
          <t>Cumulative discounted contribution · month 56</t>
        </is>
      </c>
      <c r="C356" s="5" t="inlineStr">
        <is>
          <t>₹</t>
        </is>
      </c>
      <c r="D356" s="48">
        <f>D355+D296*D236*Seasonality!$E$92</f>
        <v/>
      </c>
      <c r="E356" s="48">
        <f>E355+E296*E236*Seasonality!$E$92</f>
        <v/>
      </c>
      <c r="F356" s="48">
        <f>F355+F296*F236*Seasonality!$E$92</f>
        <v/>
      </c>
      <c r="G356" s="48">
        <f>G355+G296*G236*Seasonality!$E$92</f>
        <v/>
      </c>
      <c r="H356" s="48">
        <f>H355+H296*H236*Seasonality!$E$92</f>
        <v/>
      </c>
      <c r="I356" s="48">
        <f>I355+I296*I236*Seasonality!$E$92</f>
        <v/>
      </c>
      <c r="J356" s="48">
        <f>J355+J296*J236*Seasonality!$E$92</f>
        <v/>
      </c>
      <c r="K356" s="48">
        <f>K355+K296*K236*Seasonality!$E$92</f>
        <v/>
      </c>
      <c r="L356" s="48">
        <f>L355+L296*L236*Seasonality!$E$92</f>
        <v/>
      </c>
      <c r="M356" s="48">
        <f>M355+M296*M236*Seasonality!$E$92</f>
        <v/>
      </c>
      <c r="N356" s="48">
        <f>N355+N296*N236*Seasonality!$E$92</f>
        <v/>
      </c>
      <c r="O356" s="48">
        <f>O355+O296*O236*Seasonality!$E$92</f>
        <v/>
      </c>
      <c r="P356" s="48">
        <f>P355+P296*P236*Seasonality!$E$92</f>
        <v/>
      </c>
      <c r="Q356" s="48">
        <f>Q355+Q296*Q236*Seasonality!$E$92</f>
        <v/>
      </c>
      <c r="R356" s="48">
        <f>R355+R296*R236*Seasonality!$E$92</f>
        <v/>
      </c>
      <c r="S356" s="48">
        <f>S355+S296*S236*Seasonality!$E$92</f>
        <v/>
      </c>
      <c r="T356" s="48">
        <f>T355+T296*T236*Seasonality!$E$92</f>
        <v/>
      </c>
      <c r="U356" s="48">
        <f>U355+U296*U236*Seasonality!$E$92</f>
        <v/>
      </c>
      <c r="V356" s="48">
        <f>V355+V296*V236*Seasonality!$E$92</f>
        <v/>
      </c>
      <c r="W356" s="48">
        <f>W355+W296*W236*Seasonality!$E$92</f>
        <v/>
      </c>
      <c r="X356" s="48">
        <f>X355+X296*X236*Seasonality!$E$92</f>
        <v/>
      </c>
      <c r="Y356" s="48">
        <f>Y355+Y296*Y236*Seasonality!$E$92</f>
        <v/>
      </c>
      <c r="Z356" s="48">
        <f>Z355+Z296*Z236*Seasonality!$E$92</f>
        <v/>
      </c>
      <c r="AA356" s="48">
        <f>AA355+AA296*AA236*Seasonality!$E$92</f>
        <v/>
      </c>
      <c r="AB356" s="48">
        <f>AB355+AB296*AB236*Seasonality!$E$92</f>
        <v/>
      </c>
      <c r="AC356" s="48">
        <f>AC355+AC296*AC236*Seasonality!$E$92</f>
        <v/>
      </c>
      <c r="AD356" s="48">
        <f>AD355+AD296*AD236*Seasonality!$E$92</f>
        <v/>
      </c>
      <c r="AE356" s="48">
        <f>AE355+AE296*AE236*Seasonality!$E$92</f>
        <v/>
      </c>
      <c r="AF356" s="48">
        <f>AF355+AF296*AF236*Seasonality!$E$92</f>
        <v/>
      </c>
      <c r="AG356" s="48">
        <f>AG355+AG296*AG236*Seasonality!$E$92</f>
        <v/>
      </c>
      <c r="AH356" s="48">
        <f>AH355+AH296*AH236*Seasonality!$E$92</f>
        <v/>
      </c>
      <c r="AI356" s="48">
        <f>AI355+AI296*AI236*Seasonality!$E$92</f>
        <v/>
      </c>
      <c r="AJ356" s="48">
        <f>AJ355+AJ296*AJ236*Seasonality!$E$92</f>
        <v/>
      </c>
      <c r="AK356" s="48">
        <f>AK355+AK296*AK236*Seasonality!$E$92</f>
        <v/>
      </c>
      <c r="AL356" s="48">
        <f>AL355+AL296*AL236*Seasonality!$E$92</f>
        <v/>
      </c>
      <c r="AM356" s="48">
        <f>AM355+AM296*AM236*Seasonality!$E$92</f>
        <v/>
      </c>
      <c r="AN356" s="48">
        <f>AN355+AN296*AN236*Seasonality!$E$92</f>
        <v/>
      </c>
      <c r="AO356" s="48">
        <f>AO355+AO296*AO236*Seasonality!$E$92</f>
        <v/>
      </c>
      <c r="AP356" s="48">
        <f>AP355+AP296*AP236*Seasonality!$E$92</f>
        <v/>
      </c>
      <c r="AQ356" s="48">
        <f>AQ355+AQ296*AQ236*Seasonality!$E$92</f>
        <v/>
      </c>
      <c r="AR356" s="48">
        <f>AR355+AR296*AR236*Seasonality!$E$92</f>
        <v/>
      </c>
      <c r="AS356" s="48">
        <f>AS355+AS296*AS236*Seasonality!$E$92</f>
        <v/>
      </c>
      <c r="AT356" s="48">
        <f>AT355+AT296*AT236*Seasonality!$E$92</f>
        <v/>
      </c>
      <c r="AU356" s="48">
        <f>AU355+AU296*AU236*Seasonality!$E$92</f>
        <v/>
      </c>
      <c r="AV356" s="48">
        <f>AV355+AV296*AV236*Seasonality!$E$92</f>
        <v/>
      </c>
    </row>
    <row r="357">
      <c r="B357" s="7" t="inlineStr">
        <is>
          <t>Cumulative discounted contribution · month 57</t>
        </is>
      </c>
      <c r="C357" s="5" t="inlineStr">
        <is>
          <t>₹</t>
        </is>
      </c>
      <c r="D357" s="48">
        <f>D356+D297*D237*Seasonality!$E$93</f>
        <v/>
      </c>
      <c r="E357" s="48">
        <f>E356+E297*E237*Seasonality!$E$93</f>
        <v/>
      </c>
      <c r="F357" s="48">
        <f>F356+F297*F237*Seasonality!$E$93</f>
        <v/>
      </c>
      <c r="G357" s="48">
        <f>G356+G297*G237*Seasonality!$E$93</f>
        <v/>
      </c>
      <c r="H357" s="48">
        <f>H356+H297*H237*Seasonality!$E$93</f>
        <v/>
      </c>
      <c r="I357" s="48">
        <f>I356+I297*I237*Seasonality!$E$93</f>
        <v/>
      </c>
      <c r="J357" s="48">
        <f>J356+J297*J237*Seasonality!$E$93</f>
        <v/>
      </c>
      <c r="K357" s="48">
        <f>K356+K297*K237*Seasonality!$E$93</f>
        <v/>
      </c>
      <c r="L357" s="48">
        <f>L356+L297*L237*Seasonality!$E$93</f>
        <v/>
      </c>
      <c r="M357" s="48">
        <f>M356+M297*M237*Seasonality!$E$93</f>
        <v/>
      </c>
      <c r="N357" s="48">
        <f>N356+N297*N237*Seasonality!$E$93</f>
        <v/>
      </c>
      <c r="O357" s="48">
        <f>O356+O297*O237*Seasonality!$E$93</f>
        <v/>
      </c>
      <c r="P357" s="48">
        <f>P356+P297*P237*Seasonality!$E$93</f>
        <v/>
      </c>
      <c r="Q357" s="48">
        <f>Q356+Q297*Q237*Seasonality!$E$93</f>
        <v/>
      </c>
      <c r="R357" s="48">
        <f>R356+R297*R237*Seasonality!$E$93</f>
        <v/>
      </c>
      <c r="S357" s="48">
        <f>S356+S297*S237*Seasonality!$E$93</f>
        <v/>
      </c>
      <c r="T357" s="48">
        <f>T356+T297*T237*Seasonality!$E$93</f>
        <v/>
      </c>
      <c r="U357" s="48">
        <f>U356+U297*U237*Seasonality!$E$93</f>
        <v/>
      </c>
      <c r="V357" s="48">
        <f>V356+V297*V237*Seasonality!$E$93</f>
        <v/>
      </c>
      <c r="W357" s="48">
        <f>W356+W297*W237*Seasonality!$E$93</f>
        <v/>
      </c>
      <c r="X357" s="48">
        <f>X356+X297*X237*Seasonality!$E$93</f>
        <v/>
      </c>
      <c r="Y357" s="48">
        <f>Y356+Y297*Y237*Seasonality!$E$93</f>
        <v/>
      </c>
      <c r="Z357" s="48">
        <f>Z356+Z297*Z237*Seasonality!$E$93</f>
        <v/>
      </c>
      <c r="AA357" s="48">
        <f>AA356+AA297*AA237*Seasonality!$E$93</f>
        <v/>
      </c>
      <c r="AB357" s="48">
        <f>AB356+AB297*AB237*Seasonality!$E$93</f>
        <v/>
      </c>
      <c r="AC357" s="48">
        <f>AC356+AC297*AC237*Seasonality!$E$93</f>
        <v/>
      </c>
      <c r="AD357" s="48">
        <f>AD356+AD297*AD237*Seasonality!$E$93</f>
        <v/>
      </c>
      <c r="AE357" s="48">
        <f>AE356+AE297*AE237*Seasonality!$E$93</f>
        <v/>
      </c>
      <c r="AF357" s="48">
        <f>AF356+AF297*AF237*Seasonality!$E$93</f>
        <v/>
      </c>
      <c r="AG357" s="48">
        <f>AG356+AG297*AG237*Seasonality!$E$93</f>
        <v/>
      </c>
      <c r="AH357" s="48">
        <f>AH356+AH297*AH237*Seasonality!$E$93</f>
        <v/>
      </c>
      <c r="AI357" s="48">
        <f>AI356+AI297*AI237*Seasonality!$E$93</f>
        <v/>
      </c>
      <c r="AJ357" s="48">
        <f>AJ356+AJ297*AJ237*Seasonality!$E$93</f>
        <v/>
      </c>
      <c r="AK357" s="48">
        <f>AK356+AK297*AK237*Seasonality!$E$93</f>
        <v/>
      </c>
      <c r="AL357" s="48">
        <f>AL356+AL297*AL237*Seasonality!$E$93</f>
        <v/>
      </c>
      <c r="AM357" s="48">
        <f>AM356+AM297*AM237*Seasonality!$E$93</f>
        <v/>
      </c>
      <c r="AN357" s="48">
        <f>AN356+AN297*AN237*Seasonality!$E$93</f>
        <v/>
      </c>
      <c r="AO357" s="48">
        <f>AO356+AO297*AO237*Seasonality!$E$93</f>
        <v/>
      </c>
      <c r="AP357" s="48">
        <f>AP356+AP297*AP237*Seasonality!$E$93</f>
        <v/>
      </c>
      <c r="AQ357" s="48">
        <f>AQ356+AQ297*AQ237*Seasonality!$E$93</f>
        <v/>
      </c>
      <c r="AR357" s="48">
        <f>AR356+AR297*AR237*Seasonality!$E$93</f>
        <v/>
      </c>
      <c r="AS357" s="48">
        <f>AS356+AS297*AS237*Seasonality!$E$93</f>
        <v/>
      </c>
      <c r="AT357" s="48">
        <f>AT356+AT297*AT237*Seasonality!$E$93</f>
        <v/>
      </c>
      <c r="AU357" s="48">
        <f>AU356+AU297*AU237*Seasonality!$E$93</f>
        <v/>
      </c>
      <c r="AV357" s="48">
        <f>AV356+AV297*AV237*Seasonality!$E$93</f>
        <v/>
      </c>
    </row>
    <row r="358">
      <c r="B358" s="7" t="inlineStr">
        <is>
          <t>Cumulative discounted contribution · month 58</t>
        </is>
      </c>
      <c r="C358" s="5" t="inlineStr">
        <is>
          <t>₹</t>
        </is>
      </c>
      <c r="D358" s="48">
        <f>D357+D298*D238*Seasonality!$E$94</f>
        <v/>
      </c>
      <c r="E358" s="48">
        <f>E357+E298*E238*Seasonality!$E$94</f>
        <v/>
      </c>
      <c r="F358" s="48">
        <f>F357+F298*F238*Seasonality!$E$94</f>
        <v/>
      </c>
      <c r="G358" s="48">
        <f>G357+G298*G238*Seasonality!$E$94</f>
        <v/>
      </c>
      <c r="H358" s="48">
        <f>H357+H298*H238*Seasonality!$E$94</f>
        <v/>
      </c>
      <c r="I358" s="48">
        <f>I357+I298*I238*Seasonality!$E$94</f>
        <v/>
      </c>
      <c r="J358" s="48">
        <f>J357+J298*J238*Seasonality!$E$94</f>
        <v/>
      </c>
      <c r="K358" s="48">
        <f>K357+K298*K238*Seasonality!$E$94</f>
        <v/>
      </c>
      <c r="L358" s="48">
        <f>L357+L298*L238*Seasonality!$E$94</f>
        <v/>
      </c>
      <c r="M358" s="48">
        <f>M357+M298*M238*Seasonality!$E$94</f>
        <v/>
      </c>
      <c r="N358" s="48">
        <f>N357+N298*N238*Seasonality!$E$94</f>
        <v/>
      </c>
      <c r="O358" s="48">
        <f>O357+O298*O238*Seasonality!$E$94</f>
        <v/>
      </c>
      <c r="P358" s="48">
        <f>P357+P298*P238*Seasonality!$E$94</f>
        <v/>
      </c>
      <c r="Q358" s="48">
        <f>Q357+Q298*Q238*Seasonality!$E$94</f>
        <v/>
      </c>
      <c r="R358" s="48">
        <f>R357+R298*R238*Seasonality!$E$94</f>
        <v/>
      </c>
      <c r="S358" s="48">
        <f>S357+S298*S238*Seasonality!$E$94</f>
        <v/>
      </c>
      <c r="T358" s="48">
        <f>T357+T298*T238*Seasonality!$E$94</f>
        <v/>
      </c>
      <c r="U358" s="48">
        <f>U357+U298*U238*Seasonality!$E$94</f>
        <v/>
      </c>
      <c r="V358" s="48">
        <f>V357+V298*V238*Seasonality!$E$94</f>
        <v/>
      </c>
      <c r="W358" s="48">
        <f>W357+W298*W238*Seasonality!$E$94</f>
        <v/>
      </c>
      <c r="X358" s="48">
        <f>X357+X298*X238*Seasonality!$E$94</f>
        <v/>
      </c>
      <c r="Y358" s="48">
        <f>Y357+Y298*Y238*Seasonality!$E$94</f>
        <v/>
      </c>
      <c r="Z358" s="48">
        <f>Z357+Z298*Z238*Seasonality!$E$94</f>
        <v/>
      </c>
      <c r="AA358" s="48">
        <f>AA357+AA298*AA238*Seasonality!$E$94</f>
        <v/>
      </c>
      <c r="AB358" s="48">
        <f>AB357+AB298*AB238*Seasonality!$E$94</f>
        <v/>
      </c>
      <c r="AC358" s="48">
        <f>AC357+AC298*AC238*Seasonality!$E$94</f>
        <v/>
      </c>
      <c r="AD358" s="48">
        <f>AD357+AD298*AD238*Seasonality!$E$94</f>
        <v/>
      </c>
      <c r="AE358" s="48">
        <f>AE357+AE298*AE238*Seasonality!$E$94</f>
        <v/>
      </c>
      <c r="AF358" s="48">
        <f>AF357+AF298*AF238*Seasonality!$E$94</f>
        <v/>
      </c>
      <c r="AG358" s="48">
        <f>AG357+AG298*AG238*Seasonality!$E$94</f>
        <v/>
      </c>
      <c r="AH358" s="48">
        <f>AH357+AH298*AH238*Seasonality!$E$94</f>
        <v/>
      </c>
      <c r="AI358" s="48">
        <f>AI357+AI298*AI238*Seasonality!$E$94</f>
        <v/>
      </c>
      <c r="AJ358" s="48">
        <f>AJ357+AJ298*AJ238*Seasonality!$E$94</f>
        <v/>
      </c>
      <c r="AK358" s="48">
        <f>AK357+AK298*AK238*Seasonality!$E$94</f>
        <v/>
      </c>
      <c r="AL358" s="48">
        <f>AL357+AL298*AL238*Seasonality!$E$94</f>
        <v/>
      </c>
      <c r="AM358" s="48">
        <f>AM357+AM298*AM238*Seasonality!$E$94</f>
        <v/>
      </c>
      <c r="AN358" s="48">
        <f>AN357+AN298*AN238*Seasonality!$E$94</f>
        <v/>
      </c>
      <c r="AO358" s="48">
        <f>AO357+AO298*AO238*Seasonality!$E$94</f>
        <v/>
      </c>
      <c r="AP358" s="48">
        <f>AP357+AP298*AP238*Seasonality!$E$94</f>
        <v/>
      </c>
      <c r="AQ358" s="48">
        <f>AQ357+AQ298*AQ238*Seasonality!$E$94</f>
        <v/>
      </c>
      <c r="AR358" s="48">
        <f>AR357+AR298*AR238*Seasonality!$E$94</f>
        <v/>
      </c>
      <c r="AS358" s="48">
        <f>AS357+AS298*AS238*Seasonality!$E$94</f>
        <v/>
      </c>
      <c r="AT358" s="48">
        <f>AT357+AT298*AT238*Seasonality!$E$94</f>
        <v/>
      </c>
      <c r="AU358" s="48">
        <f>AU357+AU298*AU238*Seasonality!$E$94</f>
        <v/>
      </c>
      <c r="AV358" s="48">
        <f>AV357+AV298*AV238*Seasonality!$E$94</f>
        <v/>
      </c>
    </row>
    <row r="359">
      <c r="B359" s="7" t="inlineStr">
        <is>
          <t>Cumulative discounted contribution · month 59</t>
        </is>
      </c>
      <c r="C359" s="5" t="inlineStr">
        <is>
          <t>₹</t>
        </is>
      </c>
      <c r="D359" s="48">
        <f>D358+D299*D239*Seasonality!$E$95</f>
        <v/>
      </c>
      <c r="E359" s="48">
        <f>E358+E299*E239*Seasonality!$E$95</f>
        <v/>
      </c>
      <c r="F359" s="48">
        <f>F358+F299*F239*Seasonality!$E$95</f>
        <v/>
      </c>
      <c r="G359" s="48">
        <f>G358+G299*G239*Seasonality!$E$95</f>
        <v/>
      </c>
      <c r="H359" s="48">
        <f>H358+H299*H239*Seasonality!$E$95</f>
        <v/>
      </c>
      <c r="I359" s="48">
        <f>I358+I299*I239*Seasonality!$E$95</f>
        <v/>
      </c>
      <c r="J359" s="48">
        <f>J358+J299*J239*Seasonality!$E$95</f>
        <v/>
      </c>
      <c r="K359" s="48">
        <f>K358+K299*K239*Seasonality!$E$95</f>
        <v/>
      </c>
      <c r="L359" s="48">
        <f>L358+L299*L239*Seasonality!$E$95</f>
        <v/>
      </c>
      <c r="M359" s="48">
        <f>M358+M299*M239*Seasonality!$E$95</f>
        <v/>
      </c>
      <c r="N359" s="48">
        <f>N358+N299*N239*Seasonality!$E$95</f>
        <v/>
      </c>
      <c r="O359" s="48">
        <f>O358+O299*O239*Seasonality!$E$95</f>
        <v/>
      </c>
      <c r="P359" s="48">
        <f>P358+P299*P239*Seasonality!$E$95</f>
        <v/>
      </c>
      <c r="Q359" s="48">
        <f>Q358+Q299*Q239*Seasonality!$E$95</f>
        <v/>
      </c>
      <c r="R359" s="48">
        <f>R358+R299*R239*Seasonality!$E$95</f>
        <v/>
      </c>
      <c r="S359" s="48">
        <f>S358+S299*S239*Seasonality!$E$95</f>
        <v/>
      </c>
      <c r="T359" s="48">
        <f>T358+T299*T239*Seasonality!$E$95</f>
        <v/>
      </c>
      <c r="U359" s="48">
        <f>U358+U299*U239*Seasonality!$E$95</f>
        <v/>
      </c>
      <c r="V359" s="48">
        <f>V358+V299*V239*Seasonality!$E$95</f>
        <v/>
      </c>
      <c r="W359" s="48">
        <f>W358+W299*W239*Seasonality!$E$95</f>
        <v/>
      </c>
      <c r="X359" s="48">
        <f>X358+X299*X239*Seasonality!$E$95</f>
        <v/>
      </c>
      <c r="Y359" s="48">
        <f>Y358+Y299*Y239*Seasonality!$E$95</f>
        <v/>
      </c>
      <c r="Z359" s="48">
        <f>Z358+Z299*Z239*Seasonality!$E$95</f>
        <v/>
      </c>
      <c r="AA359" s="48">
        <f>AA358+AA299*AA239*Seasonality!$E$95</f>
        <v/>
      </c>
      <c r="AB359" s="48">
        <f>AB358+AB299*AB239*Seasonality!$E$95</f>
        <v/>
      </c>
      <c r="AC359" s="48">
        <f>AC358+AC299*AC239*Seasonality!$E$95</f>
        <v/>
      </c>
      <c r="AD359" s="48">
        <f>AD358+AD299*AD239*Seasonality!$E$95</f>
        <v/>
      </c>
      <c r="AE359" s="48">
        <f>AE358+AE299*AE239*Seasonality!$E$95</f>
        <v/>
      </c>
      <c r="AF359" s="48">
        <f>AF358+AF299*AF239*Seasonality!$E$95</f>
        <v/>
      </c>
      <c r="AG359" s="48">
        <f>AG358+AG299*AG239*Seasonality!$E$95</f>
        <v/>
      </c>
      <c r="AH359" s="48">
        <f>AH358+AH299*AH239*Seasonality!$E$95</f>
        <v/>
      </c>
      <c r="AI359" s="48">
        <f>AI358+AI299*AI239*Seasonality!$E$95</f>
        <v/>
      </c>
      <c r="AJ359" s="48">
        <f>AJ358+AJ299*AJ239*Seasonality!$E$95</f>
        <v/>
      </c>
      <c r="AK359" s="48">
        <f>AK358+AK299*AK239*Seasonality!$E$95</f>
        <v/>
      </c>
      <c r="AL359" s="48">
        <f>AL358+AL299*AL239*Seasonality!$E$95</f>
        <v/>
      </c>
      <c r="AM359" s="48">
        <f>AM358+AM299*AM239*Seasonality!$E$95</f>
        <v/>
      </c>
      <c r="AN359" s="48">
        <f>AN358+AN299*AN239*Seasonality!$E$95</f>
        <v/>
      </c>
      <c r="AO359" s="48">
        <f>AO358+AO299*AO239*Seasonality!$E$95</f>
        <v/>
      </c>
      <c r="AP359" s="48">
        <f>AP358+AP299*AP239*Seasonality!$E$95</f>
        <v/>
      </c>
      <c r="AQ359" s="48">
        <f>AQ358+AQ299*AQ239*Seasonality!$E$95</f>
        <v/>
      </c>
      <c r="AR359" s="48">
        <f>AR358+AR299*AR239*Seasonality!$E$95</f>
        <v/>
      </c>
      <c r="AS359" s="48">
        <f>AS358+AS299*AS239*Seasonality!$E$95</f>
        <v/>
      </c>
      <c r="AT359" s="48">
        <f>AT358+AT299*AT239*Seasonality!$E$95</f>
        <v/>
      </c>
      <c r="AU359" s="48">
        <f>AU358+AU299*AU239*Seasonality!$E$95</f>
        <v/>
      </c>
      <c r="AV359" s="48">
        <f>AV358+AV299*AV239*Seasonality!$E$95</f>
        <v/>
      </c>
    </row>
    <row r="360">
      <c r="B360" s="7" t="inlineStr">
        <is>
          <t>Cumulative discounted contribution · month 60</t>
        </is>
      </c>
      <c r="C360" s="5" t="inlineStr">
        <is>
          <t>₹</t>
        </is>
      </c>
      <c r="D360" s="48">
        <f>D359+D300*D240*Seasonality!$E$96</f>
        <v/>
      </c>
      <c r="E360" s="48">
        <f>E359+E300*E240*Seasonality!$E$96</f>
        <v/>
      </c>
      <c r="F360" s="48">
        <f>F359+F300*F240*Seasonality!$E$96</f>
        <v/>
      </c>
      <c r="G360" s="48">
        <f>G359+G300*G240*Seasonality!$E$96</f>
        <v/>
      </c>
      <c r="H360" s="48">
        <f>H359+H300*H240*Seasonality!$E$96</f>
        <v/>
      </c>
      <c r="I360" s="48">
        <f>I359+I300*I240*Seasonality!$E$96</f>
        <v/>
      </c>
      <c r="J360" s="48">
        <f>J359+J300*J240*Seasonality!$E$96</f>
        <v/>
      </c>
      <c r="K360" s="48">
        <f>K359+K300*K240*Seasonality!$E$96</f>
        <v/>
      </c>
      <c r="L360" s="48">
        <f>L359+L300*L240*Seasonality!$E$96</f>
        <v/>
      </c>
      <c r="M360" s="48">
        <f>M359+M300*M240*Seasonality!$E$96</f>
        <v/>
      </c>
      <c r="N360" s="48">
        <f>N359+N300*N240*Seasonality!$E$96</f>
        <v/>
      </c>
      <c r="O360" s="48">
        <f>O359+O300*O240*Seasonality!$E$96</f>
        <v/>
      </c>
      <c r="P360" s="48">
        <f>P359+P300*P240*Seasonality!$E$96</f>
        <v/>
      </c>
      <c r="Q360" s="48">
        <f>Q359+Q300*Q240*Seasonality!$E$96</f>
        <v/>
      </c>
      <c r="R360" s="48">
        <f>R359+R300*R240*Seasonality!$E$96</f>
        <v/>
      </c>
      <c r="S360" s="48">
        <f>S359+S300*S240*Seasonality!$E$96</f>
        <v/>
      </c>
      <c r="T360" s="48">
        <f>T359+T300*T240*Seasonality!$E$96</f>
        <v/>
      </c>
      <c r="U360" s="48">
        <f>U359+U300*U240*Seasonality!$E$96</f>
        <v/>
      </c>
      <c r="V360" s="48">
        <f>V359+V300*V240*Seasonality!$E$96</f>
        <v/>
      </c>
      <c r="W360" s="48">
        <f>W359+W300*W240*Seasonality!$E$96</f>
        <v/>
      </c>
      <c r="X360" s="48">
        <f>X359+X300*X240*Seasonality!$E$96</f>
        <v/>
      </c>
      <c r="Y360" s="48">
        <f>Y359+Y300*Y240*Seasonality!$E$96</f>
        <v/>
      </c>
      <c r="Z360" s="48">
        <f>Z359+Z300*Z240*Seasonality!$E$96</f>
        <v/>
      </c>
      <c r="AA360" s="48">
        <f>AA359+AA300*AA240*Seasonality!$E$96</f>
        <v/>
      </c>
      <c r="AB360" s="48">
        <f>AB359+AB300*AB240*Seasonality!$E$96</f>
        <v/>
      </c>
      <c r="AC360" s="48">
        <f>AC359+AC300*AC240*Seasonality!$E$96</f>
        <v/>
      </c>
      <c r="AD360" s="48">
        <f>AD359+AD300*AD240*Seasonality!$E$96</f>
        <v/>
      </c>
      <c r="AE360" s="48">
        <f>AE359+AE300*AE240*Seasonality!$E$96</f>
        <v/>
      </c>
      <c r="AF360" s="48">
        <f>AF359+AF300*AF240*Seasonality!$E$96</f>
        <v/>
      </c>
      <c r="AG360" s="48">
        <f>AG359+AG300*AG240*Seasonality!$E$96</f>
        <v/>
      </c>
      <c r="AH360" s="48">
        <f>AH359+AH300*AH240*Seasonality!$E$96</f>
        <v/>
      </c>
      <c r="AI360" s="48">
        <f>AI359+AI300*AI240*Seasonality!$E$96</f>
        <v/>
      </c>
      <c r="AJ360" s="48">
        <f>AJ359+AJ300*AJ240*Seasonality!$E$96</f>
        <v/>
      </c>
      <c r="AK360" s="48">
        <f>AK359+AK300*AK240*Seasonality!$E$96</f>
        <v/>
      </c>
      <c r="AL360" s="48">
        <f>AL359+AL300*AL240*Seasonality!$E$96</f>
        <v/>
      </c>
      <c r="AM360" s="48">
        <f>AM359+AM300*AM240*Seasonality!$E$96</f>
        <v/>
      </c>
      <c r="AN360" s="48">
        <f>AN359+AN300*AN240*Seasonality!$E$96</f>
        <v/>
      </c>
      <c r="AO360" s="48">
        <f>AO359+AO300*AO240*Seasonality!$E$96</f>
        <v/>
      </c>
      <c r="AP360" s="48">
        <f>AP359+AP300*AP240*Seasonality!$E$96</f>
        <v/>
      </c>
      <c r="AQ360" s="48">
        <f>AQ359+AQ300*AQ240*Seasonality!$E$96</f>
        <v/>
      </c>
      <c r="AR360" s="48">
        <f>AR359+AR300*AR240*Seasonality!$E$96</f>
        <v/>
      </c>
      <c r="AS360" s="48">
        <f>AS359+AS300*AS240*Seasonality!$E$96</f>
        <v/>
      </c>
      <c r="AT360" s="48">
        <f>AT359+AT300*AT240*Seasonality!$E$96</f>
        <v/>
      </c>
      <c r="AU360" s="48">
        <f>AU359+AU300*AU240*Seasonality!$E$96</f>
        <v/>
      </c>
      <c r="AV360" s="48">
        <f>AV359+AV300*AV240*Seasonality!$E$96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2026-10-20T08:47:51Z</dcterms:created>
  <dcterms:modified xmlns:dcterms="http://purl.org/dc/terms/" xmlns:xsi="http://www.w3.org/2001/XMLSchema-instance" xsi:type="dcterms:W3CDTF">2026-10-20T08:47:52Z</dcterms:modified>
</cp:coreProperties>
</file>