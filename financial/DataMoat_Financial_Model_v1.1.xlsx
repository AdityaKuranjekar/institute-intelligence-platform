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easonality" sheetId="3" state="visible" r:id="rId3"/>
    <sheet xmlns:r="http://schemas.openxmlformats.org/officeDocument/2006/relationships" name="Pricing" sheetId="4" state="visible" r:id="rId4"/>
    <sheet xmlns:r="http://schemas.openxmlformats.org/officeDocument/2006/relationships" name="COGS_Build" sheetId="5" state="visible" r:id="rId5"/>
    <sheet xmlns:r="http://schemas.openxmlformats.org/officeDocument/2006/relationships" name="Institute_ROI" sheetId="6" state="visible" r:id="rId6"/>
    <sheet xmlns:r="http://schemas.openxmlformats.org/officeDocument/2006/relationships" name="Unit_Econ" sheetId="7" state="visible" r:id="rId7"/>
    <sheet xmlns:r="http://schemas.openxmlformats.org/officeDocument/2006/relationships" name="Projection" sheetId="8" state="visible" r:id="rId8"/>
    <sheet xmlns:r="http://schemas.openxmlformats.org/officeDocument/2006/relationships" name="Scenarios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Checks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Engine" sheetId="13" state="hidden" r:id="rId13"/>
    <sheet xmlns:r="http://schemas.openxmlformats.org/officeDocument/2006/relationships" name="Proj_Bear" sheetId="14" state="hidden" r:id="rId14"/>
    <sheet xmlns:r="http://schemas.openxmlformats.org/officeDocument/2006/relationships" name="Proj_Base" sheetId="15" state="hidden" r:id="rId15"/>
    <sheet xmlns:r="http://schemas.openxmlformats.org/officeDocument/2006/relationships" name="Proj_Bull" sheetId="16" state="hidden" r:id="rId16"/>
  </sheets>
  <definedNames>
    <definedName name="Scenario">Cover!$C$6</definedName>
    <definedName name="Students_S">Assumptions!$G$6</definedName>
    <definedName name="Students_M">Assumptions!$G$7</definedName>
    <definedName name="Students_L">Assumptions!$G$8</definedName>
    <definedName name="Fee_S">Assumptions!$G$9</definedName>
    <definedName name="Fee_M">Assumptions!$G$10</definedName>
    <definedName name="Fee_L">Assumptions!$G$11</definedName>
    <definedName name="OnboardMult_S">Assumptions!$G$12</definedName>
    <definedName name="OnboardMult_M">Assumptions!$G$13</definedName>
    <definedName name="OnboardMult_L">Assumptions!$G$14</definedName>
    <definedName name="DropoutRate">Assumptions!$G$16</definedName>
    <definedName name="UpfrontShare">Assumptions!$G$17</definedName>
    <definedName name="NInstalments">Assumptions!$G$18</definedName>
    <definedName name="RefundEnforced">Assumptions!$G$19</definedName>
    <definedName name="CourseMonths">Assumptions!$G$20</definedName>
    <definedName name="BlindMonths">Assumptions!$G$21</definedName>
    <definedName name="Preventable">Assumptions!$G$22</definedName>
    <definedName name="MinorShare">Assumptions!$G$23</definedName>
    <definedName name="Recall_Minor">Assumptions!$G$24</definedName>
    <definedName name="Recall_Adult">Assumptions!$G$25</definedName>
    <definedName name="Precision">Assumptions!$G$26</definedName>
    <definedName name="ActionRate">Assumptions!$G$27</definedName>
    <definedName name="InterventionSuccess">Assumptions!$G$28</definedName>
    <definedName name="AdmissionUplift">Assumptions!$G$29</definedName>
    <definedName name="MarginExtraAdmission">Assumptions!$G$30</definedName>
    <definedName name="StaffHoursSaved">Assumptions!$G$31</definedName>
    <definedName name="StaffHourCost">Assumptions!$G$32</definedName>
    <definedName name="InterventionMinutes">Assumptions!$G$33</definedName>
    <definedName name="MentorHourCost">Assumptions!$G$34</definedName>
    <definedName name="GST">Assumptions!$G$35</definedName>
    <definedName name="ITCShare">Assumptions!$G$36</definedName>
    <definedName name="ListPrice">Assumptions!$G$38</definedName>
    <definedName name="CompetitorAnchor">Assumptions!$G$39</definedName>
    <definedName name="CompetitorAnchorHigh">Assumptions!$G$40</definedName>
    <definedName name="MinFee">Assumptions!$G$41</definedName>
    <definedName name="NegotiationDisc">Assumptions!$G$42</definedName>
    <definedName name="PrepayUptake">Assumptions!$G$43</definedName>
    <definedName name="PrepayDisc">Assumptions!$G$44</definedName>
    <definedName name="BadDebt">Assumptions!$G$45</definedName>
    <definedName name="GatewayFee">Assumptions!$G$46</definedName>
    <definedName name="ReportsPerStudentMonth">Assumptions!$G$48</definedName>
    <definedName name="TokensInPerReport">Assumptions!$G$49</definedName>
    <definedName name="TokensOutPerReport">Assumptions!$G$50</definedName>
    <definedName name="LLMPriceIn">Assumptions!$G$51</definedName>
    <definedName name="LLMPriceOut">Assumptions!$G$52</definedName>
    <definedName name="WAMsgsPerStudentMonth">Assumptions!$G$53</definedName>
    <definedName name="WAPricePerMsg">Assumptions!$G$54</definedName>
    <definedName name="ComputePerStudentMonth">Assumptions!$G$55</definedName>
    <definedName name="ConsentCostPerStudentYear">Assumptions!$G$56</definedName>
    <definedName name="ServerCostMonth">Assumptions!$G$57</definedName>
    <definedName name="BSPFeeMonth">Assumptions!$G$58</definedName>
    <definedName name="InstPerStack">Assumptions!$G$59</definedName>
    <definedName name="CompliancePerInstMonth">Assumptions!$G$60</definedName>
    <definedName name="CSM_CTC">Assumptions!$G$62</definedName>
    <definedName name="InstPerCSM">Assumptions!$G$63</definedName>
    <definedName name="RepCTC">Assumptions!$G$64</definedName>
    <definedName name="RepTravel">Assumptions!$G$65</definedName>
    <definedName name="SalesOverheadPct">Assumptions!$G$66</definedName>
    <definedName name="PilotsPerRepMonth">Assumptions!$G$67</definedName>
    <definedName name="PilotConv">Assumptions!$G$68</definedName>
    <definedName name="PilotMonths">Assumptions!$G$69</definedName>
    <definedName name="PilotSetupCost">Assumptions!$G$70</definedName>
    <definedName name="OnboardBase">Assumptions!$G$71</definedName>
    <definedName name="MarketingPerPaid">Assumptions!$G$72</definedName>
    <definedName name="ChannelCommission">Assumptions!$G$73</definedName>
    <definedName name="ChurnInSeason">Assumptions!$G$74</definedName>
    <definedName name="RenewalSpike">Assumptions!$G$75</definedName>
    <definedName name="MinRenewTenure">Assumptions!$G$76</definedName>
    <definedName name="DiscountRate">Assumptions!$G$77</definedName>
    <definedName name="StartMonth">Assumptions!$G$78</definedName>
    <definedName name="Founders">Assumptions!$G$80</definedName>
    <definedName name="FounderStipend">Assumptions!$G$81</definedName>
    <definedName name="EngineersY1">Assumptions!$G$82</definedName>
    <definedName name="EngineerCTC">Assumptions!$G$83</definedName>
    <definedName name="ToolsOpex">Assumptions!$G$84</definedName>
    <definedName name="G_Students">Assumptions!$G$86</definedName>
    <definedName name="G_Fee">Assumptions!$G$87</definedName>
    <definedName name="G_Dropout">Assumptions!$G$88</definedName>
    <definedName name="G_RemainingFee">Assumptions!$G$89</definedName>
    <definedName name="G_Prevent">Assumptions!$G$90</definedName>
    <definedName name="G_Price">Assumptions!$G$91</definedName>
    <definedName name="G_Months">Assumptions!$G$92</definedName>
    <definedName name="G_Infra">Assumptions!$G$93</definedName>
    <definedName name="G_Support">Assumptions!$G$94</definedName>
    <definedName name="G_CAC">Assumptions!$G$95</definedName>
    <definedName name="G_Onboard">Assumptions!$G$96</definedName>
    <definedName name="G_Churn">Assumptions!$G$97</definedName>
    <definedName name="SegMix_S">Assumptions!$G$99</definedName>
    <definedName name="SegMix_M">Assumptions!$G$100</definedName>
    <definedName name="SegMix_L">Assumptions!$G$101</definedName>
    <definedName name="RepsY1">Assumptions!$G$102</definedName>
    <definedName name="RepsY2">Assumptions!$G$103</definedName>
    <definedName name="RepsY3">Assumptions!$G$104</definedName>
    <definedName name="EngineersY2">Assumptions!$G$105</definedName>
    <definedName name="EngineersY3">Assumptions!$G$106</definedName>
    <definedName name="RDFloorPct">Assumptions!$G$107</definedName>
    <definedName name="GAFloorPct">Assumptions!$G$108</definedName>
    <definedName name="SalaryInflation">Assumptions!$G$109</definedName>
    <definedName name="DaysToCollect">Assumptions!$G$110</definedName>
    <definedName name="HireEquipment">Assumptions!$G$111</definedName>
    <definedName name="CashBufferMonths">Assumptions!$G$112</definedName>
    <definedName name="AddressableInstitutes">Assumptions!$G$113</definedName>
    <definedName name="MaxPenetration">Assumptions!$G$114</definedName>
    <definedName name="Sales_Idx">Seasonality!$E$5:$E$16</definedName>
    <definedName name="Season_Idx">Seasonality!$C$5:$C$16</definedName>
    <definedName name="Season_Flag">Seasonality!$D$5:$D$16</definedName>
    <definedName name="NRenew">Seasonality!$C$18</definedName>
    <definedName name="DropTiming">Seasonality!$C$22:$C$31</definedName>
    <definedName name="DropMonth">Seasonality!$A$22:$A$31</definedName>
    <definedName name="DropRemain">Seasonality!$D$22:$D$31</definedName>
    <definedName name="EffDisc">Pricing!$D$13</definedName>
    <definedName name="RealisedPrice">Pricing!$D$14</definedName>
    <definedName name="COGS_PerStudent">COGS_Build!$D$25</definedName>
    <definedName name="COGS_FixedInst">COGS_Build!$D$28</definedName>
    <definedName name="COGS_AllIn">COGS_Build!$D$29</definedName>
    <definedName name="ErrorCount">Checks!$D$40</definedName>
    <definedName name="WarningCount">Checks!$D$41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#,##0;(#,##0);&quot;-&quot;"/>
    <numFmt numFmtId="165" formatCode="&quot;₹&quot;#,##0;(&quot;₹&quot;#,##0);&quot;-&quot;"/>
    <numFmt numFmtId="166" formatCode="#,##0.00;(#,##0.00);&quot;-&quot;"/>
    <numFmt numFmtId="167" formatCode="0.0%;(0.0%);&quot;-&quot;"/>
    <numFmt numFmtId="168" formatCode="&quot;₹&quot;#,##0.00;(&quot;₹&quot;#,##0.00);&quot;-&quot;"/>
    <numFmt numFmtId="169" formatCode="#,##0.0;(#,##0.0);&quot;-&quot;"/>
    <numFmt numFmtId="170" formatCode="0.000"/>
    <numFmt numFmtId="171" formatCode="0.00&quot;x&quot;;(0.00&quot;x&quot;);&quot;-&quot;"/>
    <numFmt numFmtId="172" formatCode="&quot;Year &quot;0"/>
  </numFmts>
  <fonts count="10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555555"/>
      <sz val="9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1" fontId="7" fillId="4" borderId="1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167" fontId="9" fillId="5" borderId="1" pivotButton="0" quotePrefix="0" xfId="0"/>
    <xf numFmtId="167" fontId="9" fillId="0" borderId="1" pivotButton="0" quotePrefix="0" xfId="0"/>
    <xf numFmtId="169" fontId="9" fillId="5" borderId="1" pivotButton="0" quotePrefix="0" xfId="0"/>
    <xf numFmtId="169" fontId="9" fillId="0" borderId="1" pivotButton="0" quotePrefix="0" xfId="0"/>
    <xf numFmtId="171" fontId="9" fillId="5" borderId="1" pivotButton="0" quotePrefix="0" xfId="0"/>
    <xf numFmtId="171" fontId="9" fillId="0" borderId="1" pivotButton="0" quotePrefix="0" xfId="0"/>
    <xf numFmtId="165" fontId="9" fillId="5" borderId="1" pivotButton="0" quotePrefix="0" xfId="0"/>
    <xf numFmtId="165" fontId="9" fillId="0" borderId="1" pivotButton="0" quotePrefix="0" xfId="0"/>
    <xf numFmtId="164" fontId="9" fillId="5" borderId="1" pivotButton="0" quotePrefix="0" xfId="0"/>
    <xf numFmtId="164" fontId="9" fillId="0" borderId="1" pivotButton="0" quotePrefix="0" xfId="0"/>
    <xf numFmtId="0" fontId="7" fillId="0" borderId="0" pivotButton="0" quotePrefix="0" xfId="0"/>
    <xf numFmtId="0" fontId="9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4" fillId="3" borderId="0" pivotButton="0" quotePrefix="0" xfId="0"/>
    <xf numFmtId="0" fontId="0" fillId="3" borderId="0" pivotButton="0" quotePrefix="0" xfId="0"/>
    <xf numFmtId="164" fontId="7" fillId="0" borderId="0" pivotButton="0" quotePrefix="0" xfId="0"/>
    <xf numFmtId="164" fontId="8" fillId="4" borderId="0" pivotButton="0" quotePrefix="0" xfId="0"/>
    <xf numFmtId="165" fontId="7" fillId="0" borderId="0" pivotButton="0" quotePrefix="0" xfId="0"/>
    <xf numFmtId="165" fontId="8" fillId="4" borderId="0" pivotButton="0" quotePrefix="0" xfId="0"/>
    <xf numFmtId="166" fontId="7" fillId="0" borderId="0" pivotButton="0" quotePrefix="0" xfId="0"/>
    <xf numFmtId="166" fontId="8" fillId="4" borderId="0" pivotButton="0" quotePrefix="0" xfId="0"/>
    <xf numFmtId="167" fontId="7" fillId="0" borderId="0" pivotButton="0" quotePrefix="0" xfId="0"/>
    <xf numFmtId="167" fontId="8" fillId="4" borderId="0" pivotButton="0" quotePrefix="0" xfId="0"/>
    <xf numFmtId="168" fontId="7" fillId="0" borderId="0" pivotButton="0" quotePrefix="0" xfId="0"/>
    <xf numFmtId="168" fontId="8" fillId="4" borderId="0" pivotButton="0" quotePrefix="0" xfId="0"/>
    <xf numFmtId="169" fontId="7" fillId="0" borderId="0" pivotButton="0" quotePrefix="0" xfId="0"/>
    <xf numFmtId="169" fontId="8" fillId="4" borderId="0" pivotButton="0" quotePrefix="0" xfId="0"/>
    <xf numFmtId="0" fontId="4" fillId="0" borderId="0" pivotButton="0" quotePrefix="0" xfId="0"/>
    <xf numFmtId="1" fontId="7" fillId="0" borderId="0" pivotButton="0" quotePrefix="0" xfId="0"/>
    <xf numFmtId="1" fontId="6" fillId="5" borderId="0" pivotButton="0" quotePrefix="0" xfId="0"/>
    <xf numFmtId="167" fontId="6" fillId="0" borderId="0" pivotButton="0" quotePrefix="0" xfId="0"/>
    <xf numFmtId="167" fontId="6" fillId="5" borderId="0" pivotButton="0" quotePrefix="0" xfId="0"/>
    <xf numFmtId="166" fontId="6" fillId="0" borderId="0" pivotButton="0" quotePrefix="0" xfId="0"/>
    <xf numFmtId="1" fontId="6" fillId="0" borderId="0" pivotButton="0" quotePrefix="0" xfId="0"/>
    <xf numFmtId="170" fontId="6" fillId="0" borderId="0" pivotButton="0" quotePrefix="0" xfId="0"/>
    <xf numFmtId="165" fontId="9" fillId="0" borderId="0" pivotButton="0" quotePrefix="0" xfId="0"/>
    <xf numFmtId="167" fontId="9" fillId="0" borderId="0" pivotButton="0" quotePrefix="0" xfId="0"/>
    <xf numFmtId="168" fontId="6" fillId="5" borderId="0" pivotButton="0" quotePrefix="0" xfId="0"/>
    <xf numFmtId="168" fontId="6" fillId="0" borderId="0" pivotButton="0" quotePrefix="0" xfId="0"/>
    <xf numFmtId="168" fontId="9" fillId="0" borderId="0" pivotButton="0" quotePrefix="0" xfId="0"/>
    <xf numFmtId="171" fontId="6" fillId="0" borderId="0" pivotButton="0" quotePrefix="0" xfId="0"/>
    <xf numFmtId="165" fontId="6" fillId="0" borderId="0" pivotButton="0" quotePrefix="0" xfId="0"/>
    <xf numFmtId="164" fontId="9" fillId="0" borderId="0" pivotButton="0" quotePrefix="0" xfId="0"/>
    <xf numFmtId="165" fontId="6" fillId="5" borderId="0" pivotButton="0" quotePrefix="0" xfId="0"/>
    <xf numFmtId="169" fontId="6" fillId="0" borderId="0" pivotButton="0" quotePrefix="0" xfId="0"/>
    <xf numFmtId="169" fontId="6" fillId="5" borderId="0" pivotButton="0" quotePrefix="0" xfId="0"/>
    <xf numFmtId="171" fontId="6" fillId="5" borderId="0" pivotButton="0" quotePrefix="0" xfId="0"/>
    <xf numFmtId="0" fontId="3" fillId="2" borderId="0" pivotButton="0" quotePrefix="0" xfId="0"/>
    <xf numFmtId="164" fontId="6" fillId="0" borderId="0" pivotButton="0" quotePrefix="0" xfId="0"/>
    <xf numFmtId="169" fontId="9" fillId="0" borderId="0" pivotButton="0" quotePrefix="0" xfId="0"/>
    <xf numFmtId="166" fontId="9" fillId="0" borderId="0" pivotButton="0" quotePrefix="0" xfId="0"/>
    <xf numFmtId="164" fontId="6" fillId="5" borderId="0" pivotButton="0" quotePrefix="0" xfId="0"/>
    <xf numFmtId="1" fontId="9" fillId="0" borderId="0" pivotButton="0" quotePrefix="0" xfId="0"/>
    <xf numFmtId="1" fontId="8" fillId="0" borderId="0" pivotButton="0" quotePrefix="0" xfId="0"/>
    <xf numFmtId="172" fontId="3" fillId="2" borderId="0" pivotButton="0" quotePrefix="0" xfId="0"/>
    <xf numFmtId="165" fontId="6" fillId="4" borderId="0" pivotButton="0" quotePrefix="0" xfId="0"/>
    <xf numFmtId="164" fontId="8" fillId="0" borderId="0" pivotButton="0" quotePrefix="0" xfId="0"/>
    <xf numFmtId="0" fontId="8" fillId="0" borderId="0" applyAlignment="1" pivotButton="0" quotePrefix="0" xfId="0">
      <alignment horizontal="center"/>
    </xf>
    <xf numFmtId="171" fontId="9" fillId="0" borderId="0" pivotButton="0" quotePrefix="0" xfId="0"/>
    <xf numFmtId="171" fontId="9" fillId="5" borderId="0" pivotButton="0" quotePrefix="0" xfId="0"/>
    <xf numFmtId="169" fontId="9" fillId="5" borderId="0" pivotButton="0" quotePrefix="0" xfId="0"/>
    <xf numFmtId="165" fontId="9" fillId="5" borderId="0" pivotButton="0" quotePrefix="0" xfId="0"/>
    <xf numFmtId="165" fontId="7" fillId="3" borderId="0" pivotButton="0" quotePrefix="0" xfId="0"/>
    <xf numFmtId="167" fontId="7" fillId="3" borderId="0" pivotButton="0" quotePrefix="0" xfId="0"/>
    <xf numFmtId="1" fontId="8" fillId="4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Institute ROI: Bear vs Bull value of each input (Mid, rest Base)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'Sensitivity'!D4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'Sensitivity'!$A$6:$A$22</f>
            </numRef>
          </cat>
          <val>
            <numRef>
              <f>'Sensitivity'!$D$5:$D$22</f>
            </numRef>
          </val>
        </ser>
        <ser>
          <idx val="1"/>
          <order val="1"/>
          <tx>
            <strRef>
              <f>'Sensitivity'!E4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'Sensitivity'!$A$6:$A$22</f>
            </numRef>
          </cat>
          <val>
            <numRef>
              <f>'Sensitivity'!$E$5:$E$22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ROI (x)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model</author>
  </authors>
  <commentList>
    <comment ref="C6" authorId="0" shapeId="0">
      <text>
        <t>Scenario selector: 1 Bear, 2 Base, 3 Bull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3" customWidth="1" min="1" max="1"/>
    <col width="62" customWidth="1" min="2" max="2"/>
    <col width="22" customWidth="1" min="3" max="3"/>
    <col width="22" customWidth="1" min="4" max="4"/>
  </cols>
  <sheetData>
    <row r="1">
      <c r="A1" s="1" t="inlineStr">
        <is>
          <t>The Data Moat — Financial Model</t>
        </is>
      </c>
    </row>
    <row r="2">
      <c r="A2" s="2" t="inlineStr">
        <is>
          <t>Institute Intelligence Platform · Nextute × Finance Club IIT Patna, Case B · v1.1 CFO audit · 2026-10-22</t>
        </is>
      </c>
    </row>
    <row r="6">
      <c r="B6" s="3" t="inlineStr">
        <is>
          <t>SCENARIO  (1 = Bear, 2 = Base, 3 = Bull)  →</t>
        </is>
      </c>
      <c r="C6" s="4" t="n">
        <v>2</v>
      </c>
      <c r="D6" s="3">
        <f>CHOOSE(Scenario,"Bear","Base","Bull")</f>
        <v/>
      </c>
    </row>
    <row r="7">
      <c r="B7" s="3" t="inlineStr">
        <is>
          <t>Model checks</t>
        </is>
      </c>
      <c r="C7" s="3">
        <f>IF(ErrorCount=0,"ALL CHECKS PASS","ERRORS: "&amp;ErrorCount)</f>
        <v/>
      </c>
      <c r="D7" s="5">
        <f>"Warnings to discuss: "&amp;WarningCount</f>
        <v/>
      </c>
    </row>
    <row r="9">
      <c r="A9" s="6" t="inlineStr"/>
      <c r="B9" s="6" t="inlineStr">
        <is>
          <t>Headline (Mid institute, 400 students, live scenario)</t>
        </is>
      </c>
      <c r="C9" s="6" t="inlineStr">
        <is>
          <t>Our model</t>
        </is>
      </c>
      <c r="D9" s="6" t="inlineStr">
        <is>
          <t>Guide (naive)</t>
        </is>
      </c>
    </row>
    <row r="10">
      <c r="B10" s="7" t="inlineStr">
        <is>
          <t>Effective dropout reduction</t>
        </is>
      </c>
      <c r="C10" s="8">
        <f>Institute_ROI!E37</f>
        <v/>
      </c>
      <c r="D10" s="9">
        <f>G_Prevent</f>
        <v/>
      </c>
    </row>
    <row r="11">
      <c r="B11" s="7" t="inlineStr">
        <is>
          <t>Dropouts prevented per year</t>
        </is>
      </c>
      <c r="C11" s="10">
        <f>Institute_ROI!E38</f>
        <v/>
      </c>
      <c r="D11" s="11">
        <f>Institute_ROI!$E$67</f>
        <v/>
      </c>
    </row>
    <row r="12">
      <c r="B12" s="7" t="inlineStr">
        <is>
          <t>Institute ROI (all benefits)</t>
        </is>
      </c>
      <c r="C12" s="12">
        <f>Institute_ROI!E54</f>
        <v/>
      </c>
      <c r="D12" s="13">
        <f>Institute_ROI!$E$70</f>
        <v/>
      </c>
    </row>
    <row r="13">
      <c r="B13" s="7" t="inlineStr">
        <is>
          <t>Institute ROI (hard benefits: fees + staff time)</t>
        </is>
      </c>
      <c r="C13" s="12">
        <f>Institute_ROI!E56</f>
        <v/>
      </c>
      <c r="D13" s="13">
        <f>Institute_ROI!$E$70</f>
        <v/>
      </c>
    </row>
    <row r="14">
      <c r="B14" s="7" t="inlineStr">
        <is>
          <t>Institute ROI (fees only)</t>
        </is>
      </c>
      <c r="C14" s="12">
        <f>Institute_ROI!E55</f>
        <v/>
      </c>
      <c r="D14" s="13">
        <f>Institute_ROI!$E$70</f>
        <v/>
      </c>
    </row>
    <row r="15">
      <c r="B15" s="7" t="inlineStr">
        <is>
          <t>Break-even: students to save per year</t>
        </is>
      </c>
      <c r="C15" s="10">
        <f>Institute_ROI!E57</f>
        <v/>
      </c>
      <c r="D15" s="11">
        <f>Institute_ROI!$E$71</f>
        <v/>
      </c>
    </row>
    <row r="16">
      <c r="B16" s="7" t="inlineStr">
        <is>
          <t>Extra admissions needed to break even (after fees + staff time)</t>
        </is>
      </c>
      <c r="C16" s="10">
        <f>Institute_ROI!E60</f>
        <v/>
      </c>
      <c r="D16" s="11" t="inlineStr">
        <is>
          <t>n/a</t>
        </is>
      </c>
    </row>
    <row r="17">
      <c r="B17" s="7" t="inlineStr">
        <is>
          <t>Platform cost as % of a student's fee</t>
        </is>
      </c>
      <c r="C17" s="8">
        <f>Institute_ROI!E62</f>
        <v/>
      </c>
      <c r="D17" s="9">
        <f>G_Price*G_Months/G_Fee</f>
        <v/>
      </c>
    </row>
    <row r="18">
      <c r="B18" s="7" t="inlineStr">
        <is>
          <t>Avg monthly revenue per institute</t>
        </is>
      </c>
      <c r="C18" s="14">
        <f>Unit_Econ!E33</f>
        <v/>
      </c>
      <c r="D18" s="15">
        <f>Unit_Econ!$I$5</f>
        <v/>
      </c>
    </row>
    <row r="19">
      <c r="B19" s="7" t="inlineStr">
        <is>
          <t>Contribution margin</t>
        </is>
      </c>
      <c r="C19" s="8">
        <f>Unit_Econ!E38</f>
        <v/>
      </c>
      <c r="D19" s="9">
        <f>Unit_Econ!$I$6/Unit_Econ!$I$5</f>
        <v/>
      </c>
    </row>
    <row r="20">
      <c r="B20" s="7" t="inlineStr">
        <is>
          <t>CAC: sales + marketing per paying institute</t>
        </is>
      </c>
      <c r="C20" s="14">
        <f>Unit_Econ!E43</f>
        <v/>
      </c>
      <c r="D20" s="15">
        <f>G_CAC</f>
        <v/>
      </c>
    </row>
    <row r="21">
      <c r="B21" s="7" t="inlineStr">
        <is>
          <t>Fully loaded acquisition cost</t>
        </is>
      </c>
      <c r="C21" s="14">
        <f>Unit_Econ!E44</f>
        <v/>
      </c>
      <c r="D21" s="15">
        <f>Unit_Econ!$I$7</f>
        <v/>
      </c>
    </row>
    <row r="22">
      <c r="B22" s="7" t="inlineStr">
        <is>
          <t>LTV (discounted)</t>
        </is>
      </c>
      <c r="C22" s="14">
        <f>Unit_Econ!E51</f>
        <v/>
      </c>
      <c r="D22" s="15">
        <f>Unit_Econ!$I$9</f>
        <v/>
      </c>
    </row>
    <row r="23">
      <c r="B23" s="7" t="inlineStr">
        <is>
          <t>LTV ÷ acquisition cost (discounted)</t>
        </is>
      </c>
      <c r="C23" s="12">
        <f>Unit_Econ!E52</f>
        <v/>
      </c>
      <c r="D23" s="13">
        <f>Unit_Econ!$I$10</f>
        <v/>
      </c>
    </row>
    <row r="24">
      <c r="B24" s="7" t="inlineStr">
        <is>
          <t>LTV ÷ acquisition cost (undiscounted, peer convention)</t>
        </is>
      </c>
      <c r="C24" s="12">
        <f>Unit_Econ!E56</f>
        <v/>
      </c>
      <c r="D24" s="13">
        <f>Unit_Econ!$I$10</f>
        <v/>
      </c>
    </row>
    <row r="25">
      <c r="B25" s="7" t="inlineStr">
        <is>
          <t>Payback, survival-weighted (months)</t>
        </is>
      </c>
      <c r="C25" s="10">
        <f>Unit_Econ!E53</f>
        <v/>
      </c>
      <c r="D25" s="11">
        <f>Unit_Econ!$I$8</f>
        <v/>
      </c>
    </row>
    <row r="26">
      <c r="B26" s="7" t="inlineStr">
        <is>
          <t>Payback, simple (months)</t>
        </is>
      </c>
      <c r="C26" s="10">
        <f>Unit_Econ!E54</f>
        <v/>
      </c>
      <c r="D26" s="11">
        <f>Unit_Econ!$I$8</f>
        <v/>
      </c>
    </row>
    <row r="27">
      <c r="B27" s="7" t="inlineStr">
        <is>
          <t>Institutes needed to cover fixed team cost (steady state)</t>
        </is>
      </c>
      <c r="C27" s="10">
        <f>Unit_Econ!I16</f>
        <v/>
      </c>
      <c r="D27" s="11" t="inlineStr">
        <is>
          <t>n/a</t>
        </is>
      </c>
    </row>
    <row r="28">
      <c r="B28" s="7" t="inlineStr">
        <is>
          <t>3-year: revenue in year 3</t>
        </is>
      </c>
      <c r="C28" s="14">
        <f>Projection!$F$87</f>
        <v/>
      </c>
      <c r="D28" s="15" t="inlineStr">
        <is>
          <t>n/a</t>
        </is>
      </c>
    </row>
    <row r="29">
      <c r="B29" s="7" t="inlineStr">
        <is>
          <t>3-year: EBITDA in year 3</t>
        </is>
      </c>
      <c r="C29" s="14">
        <f>Projection!$F$93</f>
        <v/>
      </c>
      <c r="D29" s="15" t="inlineStr">
        <is>
          <t>n/a</t>
        </is>
      </c>
    </row>
    <row r="30">
      <c r="B30" s="7" t="inlineStr">
        <is>
          <t>3-year: paying institutes at the end of year 3</t>
        </is>
      </c>
      <c r="C30" s="10">
        <f>Projection!$F$96</f>
        <v/>
      </c>
      <c r="D30" s="11" t="inlineStr">
        <is>
          <t>n/a</t>
        </is>
      </c>
    </row>
    <row r="31">
      <c r="B31" s="7" t="inlineStr">
        <is>
          <t>3-year: funding the model says we need</t>
        </is>
      </c>
      <c r="C31" s="14">
        <f>Projection!$D$103</f>
        <v/>
      </c>
      <c r="D31" s="15" t="inlineStr">
        <is>
          <t>n/a</t>
        </is>
      </c>
    </row>
    <row r="32">
      <c r="B32" s="7" t="inlineStr">
        <is>
          <t>3-year: break-even month (3 positive months in a row)</t>
        </is>
      </c>
      <c r="C32" s="16">
        <f>Projection!$D$105</f>
        <v/>
      </c>
      <c r="D32" s="17" t="inlineStr">
        <is>
          <t>n/a</t>
        </is>
      </c>
    </row>
    <row r="34">
      <c r="B34" s="3" t="inlineStr">
        <is>
          <t>Colour code</t>
        </is>
      </c>
      <c r="C34" s="5" t="inlineStr"/>
    </row>
    <row r="35">
      <c r="B35" s="18" t="inlineStr">
        <is>
          <t>Blue text</t>
        </is>
      </c>
      <c r="C35" s="5" t="inlineStr">
        <is>
          <t>Input — edit only these (Assumptions D:F and N, Seasonality, grid points, Scenario)</t>
        </is>
      </c>
    </row>
    <row r="36">
      <c r="B36" s="7" t="inlineStr">
        <is>
          <t>Black text</t>
        </is>
      </c>
      <c r="C36" s="5" t="inlineStr">
        <is>
          <t>Formula</t>
        </is>
      </c>
    </row>
    <row r="37">
      <c r="B37" s="19" t="inlineStr">
        <is>
          <t>Green text</t>
        </is>
      </c>
      <c r="C37" s="5" t="inlineStr">
        <is>
          <t>Link from another sheet</t>
        </is>
      </c>
    </row>
    <row r="38">
      <c r="B38" s="20" t="inlineStr">
        <is>
          <t>Yellow fill</t>
        </is>
      </c>
      <c r="C38" s="5" t="inlineStr">
        <is>
          <t>Key lever / live value</t>
        </is>
      </c>
    </row>
    <row r="39">
      <c r="B39" s="21" t="inlineStr">
        <is>
          <t>Green fill</t>
        </is>
      </c>
      <c r="C39" s="5" t="inlineStr">
        <is>
          <t>Key output</t>
        </is>
      </c>
    </row>
    <row r="40">
      <c r="B40" s="7" t="inlineStr"/>
      <c r="C40" s="5" t="inlineStr"/>
    </row>
    <row r="41">
      <c r="B41" s="3" t="inlineStr">
        <is>
          <t>How to use</t>
        </is>
      </c>
      <c r="C41" s="5" t="inlineStr"/>
    </row>
    <row r="42">
      <c r="B42" s="7" t="inlineStr">
        <is>
          <t>1</t>
        </is>
      </c>
      <c r="C42" s="5" t="inlineStr">
        <is>
          <t>Pick a scenario in C6. Bear / Base / Bull flex only the scenario drivers (Assumptions column N).</t>
        </is>
      </c>
    </row>
    <row r="43">
      <c r="B43" s="7" t="inlineStr">
        <is>
          <t>2</t>
        </is>
      </c>
      <c r="C43" s="5" t="inlineStr">
        <is>
          <t>Change an input on Assumptions (Bear/Base/Bull) — never type over a formula.</t>
        </is>
      </c>
    </row>
    <row r="44">
      <c r="B44" s="7" t="inlineStr">
        <is>
          <t>3</t>
        </is>
      </c>
      <c r="C44" s="5" t="inlineStr">
        <is>
          <t>Cover C7 must say ALL CHECKS PASS before you quote any number.</t>
        </is>
      </c>
    </row>
    <row r="45">
      <c r="B45" s="7" t="inlineStr">
        <is>
          <t>4</t>
        </is>
      </c>
      <c r="C45" s="5" t="inlineStr">
        <is>
          <t>To rebuild from the CSVs: python build_model.py (Financial_Model folder).</t>
        </is>
      </c>
    </row>
    <row r="46">
      <c r="B46" s="7" t="inlineStr"/>
      <c r="C46" s="5" t="inlineStr"/>
    </row>
    <row r="47">
      <c r="B47" s="3" t="inlineStr">
        <is>
          <t>Evidence labels</t>
        </is>
      </c>
      <c r="C47" s="5" t="inlineStr">
        <is>
          <t>Researched/Public = sourced (see Sources) · Guide = case brief · Assumption = unverified · Structural = modelling convention</t>
        </is>
      </c>
    </row>
    <row r="48">
      <c r="B48" s="3" t="inlineStr">
        <is>
          <t>Scope</t>
        </is>
      </c>
      <c r="C48" s="5" t="inlineStr">
        <is>
          <t>Pricing, COGS, Institute ROI, Unit economics, 3-year Projection (sales capacity, cohorts, P&amp;L, cash, funding ask), Scenarios, Sensitivity, Checks, Sources. Not modelled: upsell/expansion revenue (so no NRR) and the other PS revenue models (outcome-linked, parent, marketplace, benchmarks).</t>
        </is>
      </c>
    </row>
  </sheetData>
  <conditionalFormatting sqref="C7">
    <cfRule type="cellIs" priority="1" operator="equal" dxfId="0">
      <formula>"ALL CHECKS PASS"</formula>
    </cfRule>
  </conditionalFormatting>
  <dataValidations count="1">
    <dataValidation sqref="C6" showDropDown="0" showInputMessage="0" showErrorMessage="0" allowBlank="0" type="list">
      <formula1>"1,2,3"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2" customWidth="1" min="2" max="2"/>
    <col width="16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0" customWidth="1" min="9" max="9"/>
    <col width="60" customWidth="1" min="10" max="10"/>
    <col width="40" customWidth="1" min="11" max="11"/>
    <col width="9" customWidth="1" min="12" max="12"/>
    <col width="9" customWidth="1" min="13" max="13"/>
    <col width="11" customWidth="1" min="14" max="14"/>
  </cols>
  <sheetData>
    <row r="1">
      <c r="A1" s="1" t="inlineStr">
        <is>
          <t>Assumptions — every input in the model lives here</t>
        </is>
      </c>
    </row>
    <row r="2">
      <c r="A2" s="2" t="inlineStr">
        <is>
          <t>Blue = input you may edit (Bear / Base / Bull). LIVE = the value the model uses: rows marked Y in 'Scenario driver' follow the Cover switch, CHOOSE(Scenario, Bear, Base, Bull); rows marked N always use Base. Bear = worse for OUR business. Type: Researched/Public = sourced · Guide = case brief · Assumption = unverified · Structural = convention.</t>
        </is>
      </c>
    </row>
    <row r="4">
      <c r="A4" s="6" t="inlineStr">
        <is>
          <t>Name (named range → Live)</t>
        </is>
      </c>
      <c r="B4" s="6" t="inlineStr">
        <is>
          <t>Input</t>
        </is>
      </c>
      <c r="C4" s="6" t="inlineStr">
        <is>
          <t>Unit</t>
        </is>
      </c>
      <c r="D4" s="6" t="inlineStr">
        <is>
          <t>Bear</t>
        </is>
      </c>
      <c r="E4" s="6" t="inlineStr">
        <is>
          <t>Base</t>
        </is>
      </c>
      <c r="F4" s="6" t="inlineStr">
        <is>
          <t>Bull</t>
        </is>
      </c>
      <c r="G4" s="6" t="inlineStr">
        <is>
          <t>LIVE</t>
        </is>
      </c>
      <c r="H4" s="6" t="inlineStr">
        <is>
          <t>Type</t>
        </is>
      </c>
      <c r="I4" s="6" t="inlineStr">
        <is>
          <t>Confidence</t>
        </is>
      </c>
      <c r="J4" s="6" t="inlineStr">
        <is>
          <t>Source</t>
        </is>
      </c>
      <c r="K4" s="6" t="inlineStr">
        <is>
          <t>Note</t>
        </is>
      </c>
      <c r="L4" s="6" t="inlineStr">
        <is>
          <t>Pct out of [0,1]</t>
        </is>
      </c>
      <c r="M4" s="6" t="inlineStr">
        <is>
          <t>Live outside Bear–Bull</t>
        </is>
      </c>
      <c r="N4" s="6" t="inlineStr">
        <is>
          <t>Scenario driver (Y/N)</t>
        </is>
      </c>
    </row>
    <row r="5">
      <c r="A5" s="22" t="inlineStr">
        <is>
          <t>Segments</t>
        </is>
      </c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</row>
    <row r="6">
      <c r="A6" s="5" t="inlineStr">
        <is>
          <t>Students_S</t>
        </is>
      </c>
      <c r="B6" s="7" t="inlineStr">
        <is>
          <t>Students per institute - Small</t>
        </is>
      </c>
      <c r="C6" s="5" t="inlineStr">
        <is>
          <t>students</t>
        </is>
      </c>
      <c r="D6" s="24" t="n">
        <v>180</v>
      </c>
      <c r="E6" s="24" t="n">
        <v>180</v>
      </c>
      <c r="F6" s="24" t="n">
        <v>180</v>
      </c>
      <c r="G6" s="25">
        <f>IF(N6="Y",CHOOSE(Scenario,D6,E6,F6),E6)</f>
        <v/>
      </c>
      <c r="H6" s="5" t="inlineStr">
        <is>
          <t>Assumption</t>
        </is>
      </c>
      <c r="I6" s="5" t="inlineStr">
        <is>
          <t>M</t>
        </is>
      </c>
      <c r="J6" s="5" t="inlineStr">
        <is>
          <t>Case brief range 150-2000; our cut &lt;250</t>
        </is>
      </c>
      <c r="K6" s="5" t="inlineStr">
        <is>
          <t>Segment midpoint</t>
        </is>
      </c>
      <c r="L6" s="5" t="n">
        <v>0</v>
      </c>
      <c r="M6" s="5">
        <f>IF(AND(G6&gt;=MIN(D6,F6),G6&lt;=MAX(D6,F6)),0,1)</f>
        <v/>
      </c>
      <c r="N6" s="18" t="inlineStr">
        <is>
          <t>N</t>
        </is>
      </c>
    </row>
    <row r="7">
      <c r="A7" s="5" t="inlineStr">
        <is>
          <t>Students_M</t>
        </is>
      </c>
      <c r="B7" s="7" t="inlineStr">
        <is>
          <t>Students per institute - Mid</t>
        </is>
      </c>
      <c r="C7" s="5" t="inlineStr">
        <is>
          <t>students</t>
        </is>
      </c>
      <c r="D7" s="24" t="n">
        <v>400</v>
      </c>
      <c r="E7" s="24" t="n">
        <v>400</v>
      </c>
      <c r="F7" s="24" t="n">
        <v>400</v>
      </c>
      <c r="G7" s="25">
        <f>IF(N7="Y",CHOOSE(Scenario,D7,E7,F7),E7)</f>
        <v/>
      </c>
      <c r="H7" s="5" t="inlineStr">
        <is>
          <t>Guide</t>
        </is>
      </c>
      <c r="I7" s="5" t="inlineStr">
        <is>
          <t>M</t>
        </is>
      </c>
      <c r="J7" s="5" t="inlineStr">
        <is>
          <t>Case brief baseline 400</t>
        </is>
      </c>
      <c r="K7" s="5" t="inlineStr"/>
      <c r="L7" s="5" t="n">
        <v>0</v>
      </c>
      <c r="M7" s="5">
        <f>IF(AND(G7&gt;=MIN(D7,F7),G7&lt;=MAX(D7,F7)),0,1)</f>
        <v/>
      </c>
      <c r="N7" s="18" t="inlineStr">
        <is>
          <t>N</t>
        </is>
      </c>
    </row>
    <row r="8">
      <c r="A8" s="5" t="inlineStr">
        <is>
          <t>Students_L</t>
        </is>
      </c>
      <c r="B8" s="7" t="inlineStr">
        <is>
          <t>Students per institute - Large</t>
        </is>
      </c>
      <c r="C8" s="5" t="inlineStr">
        <is>
          <t>students</t>
        </is>
      </c>
      <c r="D8" s="24" t="n">
        <v>1200</v>
      </c>
      <c r="E8" s="24" t="n">
        <v>1200</v>
      </c>
      <c r="F8" s="24" t="n">
        <v>1200</v>
      </c>
      <c r="G8" s="25">
        <f>IF(N8="Y",CHOOSE(Scenario,D8,E8,F8),E8)</f>
        <v/>
      </c>
      <c r="H8" s="5" t="inlineStr">
        <is>
          <t>Assumption</t>
        </is>
      </c>
      <c r="I8" s="5" t="inlineStr">
        <is>
          <t>M</t>
        </is>
      </c>
      <c r="J8" s="5" t="inlineStr">
        <is>
          <t>Case brief range 150-2000; our cut &gt;800</t>
        </is>
      </c>
      <c r="K8" s="5" t="inlineStr"/>
      <c r="L8" s="5" t="n">
        <v>0</v>
      </c>
      <c r="M8" s="5">
        <f>IF(AND(G8&gt;=MIN(D8,F8),G8&lt;=MAX(D8,F8)),0,1)</f>
        <v/>
      </c>
      <c r="N8" s="18" t="inlineStr">
        <is>
          <t>N</t>
        </is>
      </c>
    </row>
    <row r="9">
      <c r="A9" s="5" t="inlineStr">
        <is>
          <t>Fee_S</t>
        </is>
      </c>
      <c r="B9" s="7" t="inlineStr">
        <is>
          <t>Annual fee per student - Small</t>
        </is>
      </c>
      <c r="C9" s="5" t="inlineStr">
        <is>
          <t>Rs/yr</t>
        </is>
      </c>
      <c r="D9" s="26" t="n">
        <v>50000</v>
      </c>
      <c r="E9" s="26" t="n">
        <v>60000</v>
      </c>
      <c r="F9" s="26" t="n">
        <v>75000</v>
      </c>
      <c r="G9" s="27">
        <f>IF(N9="Y",CHOOSE(Scenario,D9,E9,F9),E9)</f>
        <v/>
      </c>
      <c r="H9" s="5" t="inlineStr">
        <is>
          <t>Researched</t>
        </is>
      </c>
      <c r="I9" s="5" t="inlineStr">
        <is>
          <t>L</t>
        </is>
      </c>
      <c r="J9" s="5" t="inlineStr">
        <is>
          <t>R2 local-institute evidence: Vedantu Gaya Rs50-56k, Rupantri Muzaffarpur Rs55-60k, GOAL Patna Rs51-99k; PS baseline Rs60k</t>
        </is>
      </c>
      <c r="K9" s="5" t="inlineStr">
        <is>
          <t>Audit 2026-10-22: re-based to local evidence (was Rs65k Base)</t>
        </is>
      </c>
      <c r="L9" s="5" t="n">
        <v>0</v>
      </c>
      <c r="M9" s="5">
        <f>IF(AND(G9&gt;=MIN(D9,F9),G9&lt;=MAX(D9,F9)),0,1)</f>
        <v/>
      </c>
      <c r="N9" s="18" t="inlineStr">
        <is>
          <t>N</t>
        </is>
      </c>
    </row>
    <row r="10">
      <c r="A10" s="5" t="inlineStr">
        <is>
          <t>Fee_M</t>
        </is>
      </c>
      <c r="B10" s="7" t="inlineStr">
        <is>
          <t>Annual fee per student - Mid</t>
        </is>
      </c>
      <c r="C10" s="5" t="inlineStr">
        <is>
          <t>Rs/yr</t>
        </is>
      </c>
      <c r="D10" s="26" t="n">
        <v>60000</v>
      </c>
      <c r="E10" s="26" t="n">
        <v>75000</v>
      </c>
      <c r="F10" s="26" t="n">
        <v>95000</v>
      </c>
      <c r="G10" s="27">
        <f>IF(N10="Y",CHOOSE(Scenario,D10,E10,F10),E10)</f>
        <v/>
      </c>
      <c r="H10" s="5" t="inlineStr">
        <is>
          <t>Researched</t>
        </is>
      </c>
      <c r="I10" s="5" t="inlineStr">
        <is>
          <t>L</t>
        </is>
      </c>
      <c r="J10" s="5" t="inlineStr">
        <is>
          <t>R2: PS baseline Rs60k = Bear; local Tier-2 evidence Rs50k-1.2L (Patna independents); chain fees (Vedantu Patna Rs95k) = Bull</t>
        </is>
      </c>
      <c r="K10" s="5" t="inlineStr">
        <is>
          <t>Audit 2026-10-22: was Rs95k Base (chain pricing); our customers are local independents</t>
        </is>
      </c>
      <c r="L10" s="5" t="n">
        <v>0</v>
      </c>
      <c r="M10" s="5">
        <f>IF(AND(G10&gt;=MIN(D10,F10),G10&lt;=MAX(D10,F10)),0,1)</f>
        <v/>
      </c>
      <c r="N10" s="18" t="inlineStr">
        <is>
          <t>N</t>
        </is>
      </c>
    </row>
    <row r="11">
      <c r="A11" s="5" t="inlineStr">
        <is>
          <t>Fee_L</t>
        </is>
      </c>
      <c r="B11" s="7" t="inlineStr">
        <is>
          <t>Annual fee per student - Large</t>
        </is>
      </c>
      <c r="C11" s="5" t="inlineStr">
        <is>
          <t>Rs/yr</t>
        </is>
      </c>
      <c r="D11" s="26" t="n">
        <v>85000</v>
      </c>
      <c r="E11" s="26" t="n">
        <v>100000</v>
      </c>
      <c r="F11" s="26" t="n">
        <v>125000</v>
      </c>
      <c r="G11" s="27">
        <f>IF(N11="Y",CHOOSE(Scenario,D11,E11,F11),E11)</f>
        <v/>
      </c>
      <c r="H11" s="5" t="inlineStr">
        <is>
          <t>Researched</t>
        </is>
      </c>
      <c r="I11" s="5" t="inlineStr">
        <is>
          <t>M</t>
        </is>
      </c>
      <c r="J11" s="5" t="inlineStr">
        <is>
          <t>R2: Udaan Patna Rs1.15-1.25L/yr (own site, 2025-27); chains Rs1.1-1.4L (Motion, Allen Indore, Vedantu Lucknow)</t>
        </is>
      </c>
      <c r="K11" s="5" t="inlineStr">
        <is>
          <t>Audit 2026-10-22: was Rs125k Base</t>
        </is>
      </c>
      <c r="L11" s="5" t="n">
        <v>0</v>
      </c>
      <c r="M11" s="5">
        <f>IF(AND(G11&gt;=MIN(D11,F11),G11&lt;=MAX(D11,F11)),0,1)</f>
        <v/>
      </c>
      <c r="N11" s="18" t="inlineStr">
        <is>
          <t>N</t>
        </is>
      </c>
    </row>
    <row r="12">
      <c r="A12" s="5" t="inlineStr">
        <is>
          <t>OnboardMult_S</t>
        </is>
      </c>
      <c r="B12" s="7" t="inlineStr">
        <is>
          <t>Onboarding cost multiplier - Small</t>
        </is>
      </c>
      <c r="C12" s="5" t="inlineStr">
        <is>
          <t>x</t>
        </is>
      </c>
      <c r="D12" s="28" t="n">
        <v>0.8</v>
      </c>
      <c r="E12" s="28" t="n">
        <v>0.8</v>
      </c>
      <c r="F12" s="28" t="n">
        <v>0.8</v>
      </c>
      <c r="G12" s="29">
        <f>IF(N12="Y",CHOOSE(Scenario,D12,E12,F12),E12)</f>
        <v/>
      </c>
      <c r="H12" s="5" t="inlineStr">
        <is>
          <t>Assumption</t>
        </is>
      </c>
      <c r="I12" s="5" t="inlineStr">
        <is>
          <t>L</t>
        </is>
      </c>
      <c r="J12" s="5" t="inlineStr">
        <is>
          <t>Fewer batches to migrate</t>
        </is>
      </c>
      <c r="K12" s="5" t="inlineStr"/>
      <c r="L12" s="5" t="n">
        <v>0</v>
      </c>
      <c r="M12" s="5">
        <f>IF(AND(G12&gt;=MIN(D12,F12),G12&lt;=MAX(D12,F12)),0,1)</f>
        <v/>
      </c>
      <c r="N12" s="18" t="inlineStr">
        <is>
          <t>N</t>
        </is>
      </c>
    </row>
    <row r="13">
      <c r="A13" s="5" t="inlineStr">
        <is>
          <t>OnboardMult_M</t>
        </is>
      </c>
      <c r="B13" s="7" t="inlineStr">
        <is>
          <t>Onboarding cost multiplier - Mid</t>
        </is>
      </c>
      <c r="C13" s="5" t="inlineStr">
        <is>
          <t>x</t>
        </is>
      </c>
      <c r="D13" s="28" t="n">
        <v>1</v>
      </c>
      <c r="E13" s="28" t="n">
        <v>1</v>
      </c>
      <c r="F13" s="28" t="n">
        <v>1</v>
      </c>
      <c r="G13" s="29">
        <f>IF(N13="Y",CHOOSE(Scenario,D13,E13,F13),E13)</f>
        <v/>
      </c>
      <c r="H13" s="5" t="inlineStr">
        <is>
          <t>Structural</t>
        </is>
      </c>
      <c r="I13" s="5" t="inlineStr">
        <is>
          <t>H</t>
        </is>
      </c>
      <c r="J13" s="5" t="inlineStr">
        <is>
          <t>Reference segment</t>
        </is>
      </c>
      <c r="K13" s="5" t="inlineStr"/>
      <c r="L13" s="5" t="n">
        <v>0</v>
      </c>
      <c r="M13" s="5">
        <f>IF(AND(G13&gt;=MIN(D13,F13),G13&lt;=MAX(D13,F13)),0,1)</f>
        <v/>
      </c>
      <c r="N13" s="18" t="inlineStr">
        <is>
          <t>N</t>
        </is>
      </c>
    </row>
    <row r="14">
      <c r="A14" s="5" t="inlineStr">
        <is>
          <t>OnboardMult_L</t>
        </is>
      </c>
      <c r="B14" s="7" t="inlineStr">
        <is>
          <t>Onboarding cost multiplier - Large</t>
        </is>
      </c>
      <c r="C14" s="5" t="inlineStr">
        <is>
          <t>x</t>
        </is>
      </c>
      <c r="D14" s="28" t="n">
        <v>1.6</v>
      </c>
      <c r="E14" s="28" t="n">
        <v>1.6</v>
      </c>
      <c r="F14" s="28" t="n">
        <v>1.6</v>
      </c>
      <c r="G14" s="29">
        <f>IF(N14="Y",CHOOSE(Scenario,D14,E14,F14),E14)</f>
        <v/>
      </c>
      <c r="H14" s="5" t="inlineStr">
        <is>
          <t>Assumption</t>
        </is>
      </c>
      <c r="I14" s="5" t="inlineStr">
        <is>
          <t>L</t>
        </is>
      </c>
      <c r="J14" s="5" t="inlineStr">
        <is>
          <t>More batches and staff to train</t>
        </is>
      </c>
      <c r="K14" s="5" t="inlineStr"/>
      <c r="L14" s="5" t="n">
        <v>0</v>
      </c>
      <c r="M14" s="5">
        <f>IF(AND(G14&gt;=MIN(D14,F14),G14&lt;=MAX(D14,F14)),0,1)</f>
        <v/>
      </c>
      <c r="N14" s="18" t="inlineStr">
        <is>
          <t>N</t>
        </is>
      </c>
    </row>
    <row r="15">
      <c r="A15" s="22" t="inlineStr">
        <is>
          <t>Institute</t>
        </is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</row>
    <row r="16">
      <c r="A16" s="5" t="inlineStr">
        <is>
          <t>DropoutRate</t>
        </is>
      </c>
      <c r="B16" s="7" t="inlineStr">
        <is>
          <t>Mid-session dropout/default rate</t>
        </is>
      </c>
      <c r="C16" s="5" t="inlineStr">
        <is>
          <t>% of students/yr</t>
        </is>
      </c>
      <c r="D16" s="30" t="n">
        <v>0.08</v>
      </c>
      <c r="E16" s="30" t="n">
        <v>0.12</v>
      </c>
      <c r="F16" s="30" t="n">
        <v>0.18</v>
      </c>
      <c r="G16" s="31">
        <f>IF(N16="Y",CHOOSE(Scenario,D16,E16,F16),E16)</f>
        <v/>
      </c>
      <c r="H16" s="5" t="inlineStr">
        <is>
          <t>Researched</t>
        </is>
      </c>
      <c r="I16" s="5" t="inlineStr">
        <is>
          <t>L</t>
        </is>
      </c>
      <c r="J16" s="5" t="inlineStr">
        <is>
          <t>PS Section 7 baseline 8-15% (12% used); CFI 'at least 10 per cent of students in every batch' (ThePrint 2025) is a floor; tech generator uses 18% (knob 12-25%)</t>
        </is>
      </c>
      <c r="K16" s="5" t="inlineStr">
        <is>
          <t>Audit 2026-10-22: Base back to the PS's 12% (was 10%). Tech's 18% is a stress calibration that gives enough validation events</t>
        </is>
      </c>
      <c r="L16" s="5">
        <f>IF(OR(G16&lt;0,G16&gt;1),1,0)</f>
        <v/>
      </c>
      <c r="M16" s="5">
        <f>IF(AND(G16&gt;=MIN(D16,F16),G16&lt;=MAX(D16,F16)),0,1)</f>
        <v/>
      </c>
      <c r="N16" s="18" t="inlineStr">
        <is>
          <t>Y</t>
        </is>
      </c>
    </row>
    <row r="17">
      <c r="A17" s="5" t="inlineStr">
        <is>
          <t>UpfrontShare</t>
        </is>
      </c>
      <c r="B17" s="7" t="inlineStr">
        <is>
          <t>Share of students paying full fee upfront</t>
        </is>
      </c>
      <c r="C17" s="5" t="inlineStr">
        <is>
          <t>%</t>
        </is>
      </c>
      <c r="D17" s="30" t="n">
        <v>0.4</v>
      </c>
      <c r="E17" s="30" t="n">
        <v>0.25</v>
      </c>
      <c r="F17" s="30" t="n">
        <v>0.15</v>
      </c>
      <c r="G17" s="31">
        <f>IF(N17="Y",CHOOSE(Scenario,D17,E17,F17),E17)</f>
        <v/>
      </c>
      <c r="H17" s="5" t="inlineStr">
        <is>
          <t>Assumption</t>
        </is>
      </c>
      <c r="I17" s="5" t="inlineStr">
        <is>
          <t>L</t>
        </is>
      </c>
      <c r="J17" s="5" t="inlineStr">
        <is>
          <t>R2: not found. Instalments are the norm (Allen 2; PW 3; Aakash several; Rajasthan Act s.6(2)(d) &gt;=4 option)</t>
        </is>
      </c>
      <c r="K17" s="5" t="inlineStr">
        <is>
          <t>TECH_PLAN's 35% had no source</t>
        </is>
      </c>
      <c r="L17" s="5">
        <f>IF(OR(G17&lt;0,G17&gt;1),1,0)</f>
        <v/>
      </c>
      <c r="M17" s="5">
        <f>IF(AND(G17&gt;=MIN(D17,F17),G17&lt;=MAX(D17,F17)),0,1)</f>
        <v/>
      </c>
      <c r="N17" s="18" t="inlineStr">
        <is>
          <t>N</t>
        </is>
      </c>
    </row>
    <row r="18">
      <c r="A18" s="5" t="inlineStr">
        <is>
          <t>NInstalments</t>
        </is>
      </c>
      <c r="B18" s="7" t="inlineStr">
        <is>
          <t>Instalments per year for non-upfront payers</t>
        </is>
      </c>
      <c r="C18" s="5" t="inlineStr">
        <is>
          <t>count</t>
        </is>
      </c>
      <c r="D18" s="24" t="n">
        <v>2</v>
      </c>
      <c r="E18" s="24" t="n">
        <v>3</v>
      </c>
      <c r="F18" s="24" t="n">
        <v>4</v>
      </c>
      <c r="G18" s="25">
        <f>IF(N18="Y",CHOOSE(Scenario,D18,E18,F18),E18)</f>
        <v/>
      </c>
      <c r="H18" s="5" t="inlineStr">
        <is>
          <t>Researched</t>
        </is>
      </c>
      <c r="I18" s="5" t="inlineStr">
        <is>
          <t>M</t>
        </is>
      </c>
      <c r="J18" s="5" t="inlineStr">
        <is>
          <t>R2: Allen 2 (2nd within 45 days); PW 3; Rajasthan Act 16/2025 s.6(2)(d) min. 4 equal</t>
        </is>
      </c>
      <c r="K18" s="5" t="inlineStr">
        <is>
          <t>Fewer instalments = cash collected early = less at risk</t>
        </is>
      </c>
      <c r="L18" s="5" t="n">
        <v>0</v>
      </c>
      <c r="M18" s="5">
        <f>IF(AND(G18&gt;=MIN(D18,F18),G18&lt;=MAX(D18,F18)),0,1)</f>
        <v/>
      </c>
      <c r="N18" s="18" t="inlineStr">
        <is>
          <t>N</t>
        </is>
      </c>
    </row>
    <row r="19">
      <c r="A19" s="5" t="inlineStr">
        <is>
          <t>RefundEnforced</t>
        </is>
      </c>
      <c r="B19" s="7" t="inlineStr">
        <is>
          <t>Share of upfront leavers actually refunded pro-rata</t>
        </is>
      </c>
      <c r="C19" s="5" t="inlineStr">
        <is>
          <t>%</t>
        </is>
      </c>
      <c r="D19" s="30" t="n">
        <v>0.1</v>
      </c>
      <c r="E19" s="30" t="n">
        <v>0.3</v>
      </c>
      <c r="F19" s="30" t="n">
        <v>0.6</v>
      </c>
      <c r="G19" s="31">
        <f>IF(N19="Y",CHOOSE(Scenario,D19,E19,F19),E19)</f>
        <v/>
      </c>
      <c r="H19" s="5" t="inlineStr">
        <is>
          <t>Assumption</t>
        </is>
      </c>
      <c r="I19" s="5" t="inlineStr">
        <is>
          <t>L</t>
        </is>
      </c>
      <c r="J19" s="5" t="inlineStr">
        <is>
          <t>R2: MoE Guidelines 2024 cl.8(iv) and Rajasthan s.13(4) require pro-rata refund within 10 days; MoE is advisory and Allen/Aakash/PW practice is cut-off or no refund</t>
        </is>
      </c>
      <c r="K19" s="5" t="inlineStr">
        <is>
          <t>Refunded upfront leavers = fee at risk</t>
        </is>
      </c>
      <c r="L19" s="5">
        <f>IF(OR(G19&lt;0,G19&gt;1),1,0)</f>
        <v/>
      </c>
      <c r="M19" s="5">
        <f>IF(AND(G19&gt;=MIN(D19,F19),G19&lt;=MAX(D19,F19)),0,1)</f>
        <v/>
      </c>
      <c r="N19" s="18" t="inlineStr">
        <is>
          <t>N</t>
        </is>
      </c>
    </row>
    <row r="20">
      <c r="A20" s="5" t="inlineStr">
        <is>
          <t>CourseMonths</t>
        </is>
      </c>
      <c r="B20" s="7" t="inlineStr">
        <is>
          <t>Course length</t>
        </is>
      </c>
      <c r="C20" s="5" t="inlineStr">
        <is>
          <t>months</t>
        </is>
      </c>
      <c r="D20" s="24" t="n">
        <v>10</v>
      </c>
      <c r="E20" s="24" t="n">
        <v>10</v>
      </c>
      <c r="F20" s="24" t="n">
        <v>10</v>
      </c>
      <c r="G20" s="25">
        <f>IF(N20="Y",CHOOSE(Scenario,D20,E20,F20),E20)</f>
        <v/>
      </c>
      <c r="H20" s="5" t="inlineStr">
        <is>
          <t>Guide</t>
        </is>
      </c>
      <c r="I20" s="5" t="inlineStr">
        <is>
          <t>H</t>
        </is>
      </c>
      <c r="J20" s="5" t="inlineStr">
        <is>
          <t>Case brief ~10 months</t>
        </is>
      </c>
      <c r="K20" s="5" t="inlineStr"/>
      <c r="L20" s="5" t="n">
        <v>0</v>
      </c>
      <c r="M20" s="5">
        <f>IF(AND(G20&gt;=MIN(D20,F20),G20&lt;=MAX(D20,F20)),0,1)</f>
        <v/>
      </c>
      <c r="N20" s="18" t="inlineStr">
        <is>
          <t>N</t>
        </is>
      </c>
    </row>
    <row r="21">
      <c r="A21" s="5" t="inlineStr">
        <is>
          <t>BlindMonths</t>
        </is>
      </c>
      <c r="B21" s="7" t="inlineStr">
        <is>
          <t>Months before the model can flag (no test data yet)</t>
        </is>
      </c>
      <c r="C21" s="5" t="inlineStr">
        <is>
          <t>months</t>
        </is>
      </c>
      <c r="D21" s="24" t="n">
        <v>3</v>
      </c>
      <c r="E21" s="24" t="n">
        <v>2</v>
      </c>
      <c r="F21" s="24" t="n">
        <v>1</v>
      </c>
      <c r="G21" s="25">
        <f>IF(N21="Y",CHOOSE(Scenario,D21,E21,F21),E21)</f>
        <v/>
      </c>
      <c r="H21" s="5" t="inlineStr">
        <is>
          <t>Assumption</t>
        </is>
      </c>
      <c r="I21" s="5" t="inlineStr">
        <is>
          <t>M</t>
        </is>
      </c>
      <c r="J21" s="5" t="inlineStr">
        <is>
          <t>The model needs 1-2 cumulative tests before it can flag (tech generator: a full mock every 14 days)</t>
        </is>
      </c>
      <c r="K21" s="5" t="inlineStr">
        <is>
          <t>Audit: Base 2 (was 1). Dropouts in these months cannot be caught</t>
        </is>
      </c>
      <c r="L21" s="5" t="n">
        <v>0</v>
      </c>
      <c r="M21" s="5">
        <f>IF(AND(G21&gt;=MIN(D21,F21),G21&lt;=MAX(D21,F21)),0,1)</f>
        <v/>
      </c>
      <c r="N21" s="18" t="inlineStr">
        <is>
          <t>N</t>
        </is>
      </c>
    </row>
    <row r="22">
      <c r="A22" s="5" t="inlineStr">
        <is>
          <t>Preventable</t>
        </is>
      </c>
      <c r="B22" s="7" t="inlineStr">
        <is>
          <t>Share of dropouts that are preventable (check only)</t>
        </is>
      </c>
      <c r="C22" s="5" t="inlineStr">
        <is>
          <t>%</t>
        </is>
      </c>
      <c r="D22" s="30" t="n">
        <v>0.35</v>
      </c>
      <c r="E22" s="30" t="n">
        <v>0.55</v>
      </c>
      <c r="F22" s="30" t="n">
        <v>0.65</v>
      </c>
      <c r="G22" s="31">
        <f>IF(N22="Y",CHOOSE(Scenario,D22,E22,F22),E22)</f>
        <v/>
      </c>
      <c r="H22" s="5" t="inlineStr">
        <is>
          <t>Assumption</t>
        </is>
      </c>
      <c r="I22" s="5" t="inlineStr">
        <is>
          <t>L</t>
        </is>
      </c>
      <c r="J22" s="5" t="inlineStr">
        <is>
          <t>Tech generator reasons_mix: academic gap 35% + financial 20% are addressable; relocation 20%, switched institute 15%, health 10% are not</t>
        </is>
      </c>
      <c r="K22" s="5" t="inlineStr">
        <is>
          <t>Audit: aligned with the tech team; used only as a sanity check on the trial effect</t>
        </is>
      </c>
      <c r="L22" s="5">
        <f>IF(OR(G22&lt;0,G22&gt;1),1,0)</f>
        <v/>
      </c>
      <c r="M22" s="5">
        <f>IF(AND(G22&gt;=MIN(D22,F22),G22&lt;=MAX(D22,F22)),0,1)</f>
        <v/>
      </c>
      <c r="N22" s="18" t="inlineStr">
        <is>
          <t>N</t>
        </is>
      </c>
    </row>
    <row r="23">
      <c r="A23" s="5" t="inlineStr">
        <is>
          <t>MinorShare</t>
        </is>
      </c>
      <c r="B23" s="7" t="inlineStr">
        <is>
          <t>Share of students under 18</t>
        </is>
      </c>
      <c r="C23" s="5" t="inlineStr">
        <is>
          <t>%</t>
        </is>
      </c>
      <c r="D23" s="30" t="n">
        <v>0.85</v>
      </c>
      <c r="E23" s="30" t="n">
        <v>0.78</v>
      </c>
      <c r="F23" s="30" t="n">
        <v>0.65</v>
      </c>
      <c r="G23" s="31">
        <f>IF(N23="Y",CHOOSE(Scenario,D23,E23,F23),E23)</f>
        <v/>
      </c>
      <c r="H23" s="5" t="inlineStr">
        <is>
          <t>Public</t>
        </is>
      </c>
      <c r="I23" s="5" t="inlineStr">
        <is>
          <t>M</t>
        </is>
      </c>
      <c r="J23" s="5" t="inlineStr">
        <is>
          <t>Tech generator: 78% of students are minors at join (FEASIBILITY_CHECK s.6); JEE/NEET Class 11-12 are 16-17</t>
        </is>
      </c>
      <c r="K23" s="5" t="inlineStr">
        <is>
          <t>Audit: aligned with the tech team's synthetic data</t>
        </is>
      </c>
      <c r="L23" s="5">
        <f>IF(OR(G23&lt;0,G23&gt;1),1,0)</f>
        <v/>
      </c>
      <c r="M23" s="5">
        <f>IF(AND(G23&gt;=MIN(D23,F23),G23&lt;=MAX(D23,F23)),0,1)</f>
        <v/>
      </c>
      <c r="N23" s="18" t="inlineStr">
        <is>
          <t>N</t>
        </is>
      </c>
    </row>
    <row r="24">
      <c r="A24" s="5" t="inlineStr">
        <is>
          <t>Recall_Minor</t>
        </is>
      </c>
      <c r="B24" s="7" t="inlineStr">
        <is>
          <t>Model recall on minors (academic-support + rules)</t>
        </is>
      </c>
      <c r="C24" s="5" t="inlineStr">
        <is>
          <t>%</t>
        </is>
      </c>
      <c r="D24" s="30" t="n">
        <v>0.25</v>
      </c>
      <c r="E24" s="30" t="n">
        <v>0.32</v>
      </c>
      <c r="F24" s="30" t="n">
        <v>0.45</v>
      </c>
      <c r="G24" s="31">
        <f>IF(N24="Y",CHOOSE(Scenario,D24,E24,F24),E24)</f>
        <v/>
      </c>
      <c r="H24" s="5" t="inlineStr">
        <is>
          <t>Assumption</t>
        </is>
      </c>
      <c r="I24" s="5" t="inlineStr">
        <is>
          <t>M</t>
        </is>
      </c>
      <c r="J24" s="5" t="inlineStr">
        <is>
          <t>Tech FEASIBILITY_CHECK s.2 and s.6: recall 0.31 on the actual generator; 0.49-0.55 of gradual dropouts x 75% gradual = 0.37-0.41 of all dropouts; minors get the academic-support model + rules only. Replace with metrics.json</t>
        </is>
      </c>
      <c r="K24" s="5" t="inlineStr">
        <is>
          <t>Audit 2026-10-22: was 0.55 Base (above anything the tech team measured). 25% of dropouts are sudden and unpredictable</t>
        </is>
      </c>
      <c r="L24" s="5">
        <f>IF(OR(G24&lt;0,G24&gt;1),1,0)</f>
        <v/>
      </c>
      <c r="M24" s="5">
        <f>IF(AND(G24&gt;=MIN(D24,F24),G24&lt;=MAX(D24,F24)),0,1)</f>
        <v/>
      </c>
      <c r="N24" s="18" t="inlineStr">
        <is>
          <t>Y</t>
        </is>
      </c>
    </row>
    <row r="25">
      <c r="A25" s="5" t="inlineStr">
        <is>
          <t>Recall_Adult</t>
        </is>
      </c>
      <c r="B25" s="7" t="inlineStr">
        <is>
          <t>Model recall on 18+ (full ML)</t>
        </is>
      </c>
      <c r="C25" s="5" t="inlineStr">
        <is>
          <t>%</t>
        </is>
      </c>
      <c r="D25" s="30" t="n">
        <v>0.3</v>
      </c>
      <c r="E25" s="30" t="n">
        <v>0.42</v>
      </c>
      <c r="F25" s="30" t="n">
        <v>0.6</v>
      </c>
      <c r="G25" s="31">
        <f>IF(N25="Y",CHOOSE(Scenario,D25,E25,F25),E25)</f>
        <v/>
      </c>
      <c r="H25" s="5" t="inlineStr">
        <is>
          <t>Assumption</t>
        </is>
      </c>
      <c r="I25" s="5" t="inlineStr">
        <is>
          <t>M</t>
        </is>
      </c>
      <c r="J25" s="5" t="inlineStr">
        <is>
          <t>Tech FEASIBILITY_CHECK s.2: 0.37-0.41 of all dropouts at fixed workload; adults (18+) can use full ML incl. engagement. Replace with metrics.json</t>
        </is>
      </c>
      <c r="K25" s="5" t="inlineStr">
        <is>
          <t>Audit 2026-10-22: was 0.65 Base. OULAD AUC 0.706-0.794 (public) is ranking quality, not recall at a workload</t>
        </is>
      </c>
      <c r="L25" s="5">
        <f>IF(OR(G25&lt;0,G25&gt;1),1,0)</f>
        <v/>
      </c>
      <c r="M25" s="5">
        <f>IF(AND(G25&gt;=MIN(D25,F25),G25&lt;=MAX(D25,F25)),0,1)</f>
        <v/>
      </c>
      <c r="N25" s="18" t="inlineStr">
        <is>
          <t>Y</t>
        </is>
      </c>
    </row>
    <row r="26">
      <c r="A26" s="5" t="inlineStr">
        <is>
          <t>Precision</t>
        </is>
      </c>
      <c r="B26" s="7" t="inlineStr">
        <is>
          <t>Precision of at-risk flag</t>
        </is>
      </c>
      <c r="C26" s="5" t="inlineStr">
        <is>
          <t>%</t>
        </is>
      </c>
      <c r="D26" s="30" t="n">
        <v>0.1</v>
      </c>
      <c r="E26" s="30" t="n">
        <v>0.15</v>
      </c>
      <c r="F26" s="30" t="n">
        <v>0.25</v>
      </c>
      <c r="G26" s="31">
        <f>IF(N26="Y",CHOOSE(Scenario,D26,E26,F26),E26)</f>
        <v/>
      </c>
      <c r="H26" s="5" t="inlineStr">
        <is>
          <t>Researched</t>
        </is>
      </c>
      <c r="I26" s="5" t="inlineStr">
        <is>
          <t>M</t>
        </is>
      </c>
      <c r="J26" s="5" t="inlineStr">
        <is>
          <t>Tech FEASIBILITY_CHECK s.6: precision@top-4%/wk 0.136; with 38% of students flagged at least once and recall 0.31, student-level precision is about 0.15 (derived)</t>
        </is>
      </c>
      <c r="K26" s="5" t="inlineStr">
        <is>
          <t>Audit 2026-10-22: was 0.35. Low precision means most mentor calls go to students who would not have left</t>
        </is>
      </c>
      <c r="L26" s="5">
        <f>IF(OR(G26&lt;0,G26&gt;1),1,0)</f>
        <v/>
      </c>
      <c r="M26" s="5">
        <f>IF(AND(G26&gt;=MIN(D26,F26),G26&lt;=MAX(D26,F26)),0,1)</f>
        <v/>
      </c>
      <c r="N26" s="18" t="inlineStr">
        <is>
          <t>Y</t>
        </is>
      </c>
    </row>
    <row r="27">
      <c r="A27" s="5" t="inlineStr">
        <is>
          <t>ActionRate</t>
        </is>
      </c>
      <c r="B27" s="7" t="inlineStr">
        <is>
          <t>Share of flags the institute assigns to outreach</t>
        </is>
      </c>
      <c r="C27" s="5" t="inlineStr">
        <is>
          <t>%</t>
        </is>
      </c>
      <c r="D27" s="30" t="n">
        <v>0.7</v>
      </c>
      <c r="E27" s="30" t="n">
        <v>0.9</v>
      </c>
      <c r="F27" s="30" t="n">
        <v>1</v>
      </c>
      <c r="G27" s="31">
        <f>IF(N27="Y",CHOOSE(Scenario,D27,E27,F27),E27)</f>
        <v/>
      </c>
      <c r="H27" s="5" t="inlineStr">
        <is>
          <t>Assumption</t>
        </is>
      </c>
      <c r="I27" s="5" t="inlineStr">
        <is>
          <t>L</t>
        </is>
      </c>
      <c r="J27" s="5" t="inlineStr">
        <is>
          <t>Mentor capacity; the RCT effect below is already intention-to-treat</t>
        </is>
      </c>
      <c r="K27" s="5" t="inlineStr">
        <is>
          <t>Primary research needed</t>
        </is>
      </c>
      <c r="L27" s="5">
        <f>IF(OR(G27&lt;0,G27&gt;1),1,0)</f>
        <v/>
      </c>
      <c r="M27" s="5">
        <f>IF(AND(G27&gt;=MIN(D27,F27),G27&lt;=MAX(D27,F27)),0,1)</f>
        <v/>
      </c>
      <c r="N27" s="18" t="inlineStr">
        <is>
          <t>N</t>
        </is>
      </c>
    </row>
    <row r="28">
      <c r="A28" s="5" t="inlineStr">
        <is>
          <t>InterventionSuccess</t>
        </is>
      </c>
      <c r="B28" s="7" t="inlineStr">
        <is>
          <t>Dropout reduction among flagged students given outreach (RCT)</t>
        </is>
      </c>
      <c r="C28" s="5" t="inlineStr">
        <is>
          <t>relative %</t>
        </is>
      </c>
      <c r="D28" s="30" t="n">
        <v>0.05</v>
      </c>
      <c r="E28" s="30" t="n">
        <v>0.15</v>
      </c>
      <c r="F28" s="30" t="n">
        <v>0.3</v>
      </c>
      <c r="G28" s="31">
        <f>IF(N28="Y",CHOOSE(Scenario,D28,E28,F28),E28)</f>
        <v/>
      </c>
      <c r="H28" s="5" t="inlineStr">
        <is>
          <t>Researched</t>
        </is>
      </c>
      <c r="I28" s="5" t="inlineStr">
        <is>
          <t>M</t>
        </is>
      </c>
      <c r="J28" s="5" t="inlineStr">
        <is>
          <t>R4: mean 15.8% / median 12.5% over 8 RCTs - OU outreach RCT 2020 -19%/-35%; Room to Read India -30%; Bergman parent texts; MAAPS/Samata/Oreopoulos nulls (research/R4_R5)</t>
        </is>
      </c>
      <c r="K28" s="5" t="inlineStr">
        <is>
          <t>Borrowed from other settings - not our measured effect</t>
        </is>
      </c>
      <c r="L28" s="5">
        <f>IF(OR(G28&lt;0,G28&gt;1),1,0)</f>
        <v/>
      </c>
      <c r="M28" s="5">
        <f>IF(AND(G28&gt;=MIN(D28,F28),G28&lt;=MAX(D28,F28)),0,1)</f>
        <v/>
      </c>
      <c r="N28" s="18" t="inlineStr">
        <is>
          <t>Y</t>
        </is>
      </c>
    </row>
    <row r="29">
      <c r="A29" s="5" t="inlineStr">
        <is>
          <t>AdmissionUplift</t>
        </is>
      </c>
      <c r="B29" s="7" t="inlineStr">
        <is>
          <t>Admissions uplift next session from results/parent trust</t>
        </is>
      </c>
      <c r="C29" s="5" t="inlineStr">
        <is>
          <t>% of students</t>
        </is>
      </c>
      <c r="D29" s="30" t="n">
        <v>0</v>
      </c>
      <c r="E29" s="30" t="n">
        <v>0.01</v>
      </c>
      <c r="F29" s="30" t="n">
        <v>0.03</v>
      </c>
      <c r="G29" s="31">
        <f>IF(N29="Y",CHOOSE(Scenario,D29,E29,F29),E29)</f>
        <v/>
      </c>
      <c r="H29" s="5" t="inlineStr">
        <is>
          <t>Assumption</t>
        </is>
      </c>
      <c r="I29" s="5" t="inlineStr">
        <is>
          <t>L</t>
        </is>
      </c>
      <c r="J29" s="5" t="inlineStr">
        <is>
          <t>No evidence - Bear = 0</t>
        </is>
      </c>
      <c r="K29" s="5" t="inlineStr"/>
      <c r="L29" s="5">
        <f>IF(OR(G29&lt;0,G29&gt;1),1,0)</f>
        <v/>
      </c>
      <c r="M29" s="5">
        <f>IF(AND(G29&gt;=MIN(D29,F29),G29&lt;=MAX(D29,F29)),0,1)</f>
        <v/>
      </c>
      <c r="N29" s="18" t="inlineStr">
        <is>
          <t>Y</t>
        </is>
      </c>
    </row>
    <row r="30">
      <c r="A30" s="5" t="inlineStr">
        <is>
          <t>MarginExtraAdmission</t>
        </is>
      </c>
      <c r="B30" s="7" t="inlineStr">
        <is>
          <t>Institute margin on one extra admission</t>
        </is>
      </c>
      <c r="C30" s="5" t="inlineStr">
        <is>
          <t>%</t>
        </is>
      </c>
      <c r="D30" s="30" t="n">
        <v>0.4</v>
      </c>
      <c r="E30" s="30" t="n">
        <v>0.6</v>
      </c>
      <c r="F30" s="30" t="n">
        <v>0.8</v>
      </c>
      <c r="G30" s="31">
        <f>IF(N30="Y",CHOOSE(Scenario,D30,E30,F30),E30)</f>
        <v/>
      </c>
      <c r="H30" s="5" t="inlineStr">
        <is>
          <t>Assumption</t>
        </is>
      </c>
      <c r="I30" s="5" t="inlineStr">
        <is>
          <t>L</t>
        </is>
      </c>
      <c r="J30" s="5" t="inlineStr">
        <is>
          <t>Marginal seat in an existing batch</t>
        </is>
      </c>
      <c r="K30" s="5" t="inlineStr"/>
      <c r="L30" s="5">
        <f>IF(OR(G30&lt;0,G30&gt;1),1,0)</f>
        <v/>
      </c>
      <c r="M30" s="5">
        <f>IF(AND(G30&gt;=MIN(D30,F30),G30&lt;=MAX(D30,F30)),0,1)</f>
        <v/>
      </c>
      <c r="N30" s="18" t="inlineStr">
        <is>
          <t>N</t>
        </is>
      </c>
    </row>
    <row r="31">
      <c r="A31" s="5" t="inlineStr">
        <is>
          <t>StaffHoursSaved</t>
        </is>
      </c>
      <c r="B31" s="7" t="inlineStr">
        <is>
          <t>Staff hours saved per month</t>
        </is>
      </c>
      <c r="C31" s="5" t="inlineStr">
        <is>
          <t>hours/month</t>
        </is>
      </c>
      <c r="D31" s="24" t="n">
        <v>10</v>
      </c>
      <c r="E31" s="24" t="n">
        <v>25</v>
      </c>
      <c r="F31" s="24" t="n">
        <v>50</v>
      </c>
      <c r="G31" s="25">
        <f>IF(N31="Y",CHOOSE(Scenario,D31,E31,F31),E31)</f>
        <v/>
      </c>
      <c r="H31" s="5" t="inlineStr">
        <is>
          <t>Guide</t>
        </is>
      </c>
      <c r="I31" s="5" t="inlineStr">
        <is>
          <t>L</t>
        </is>
      </c>
      <c r="J31" s="5" t="inlineStr">
        <is>
          <t>Case brief value lever; primary research needed</t>
        </is>
      </c>
      <c r="K31" s="5" t="inlineStr"/>
      <c r="L31" s="5" t="n">
        <v>0</v>
      </c>
      <c r="M31" s="5">
        <f>IF(AND(G31&gt;=MIN(D31,F31),G31&lt;=MAX(D31,F31)),0,1)</f>
        <v/>
      </c>
      <c r="N31" s="18" t="inlineStr">
        <is>
          <t>N</t>
        </is>
      </c>
    </row>
    <row r="32">
      <c r="A32" s="5" t="inlineStr">
        <is>
          <t>StaffHourCost</t>
        </is>
      </c>
      <c r="B32" s="7" t="inlineStr">
        <is>
          <t>Cost of one admin staff hour</t>
        </is>
      </c>
      <c r="C32" s="5" t="inlineStr">
        <is>
          <t>Rs/hour</t>
        </is>
      </c>
      <c r="D32" s="26" t="n">
        <v>75</v>
      </c>
      <c r="E32" s="26" t="n">
        <v>100</v>
      </c>
      <c r="F32" s="26" t="n">
        <v>150</v>
      </c>
      <c r="G32" s="27">
        <f>IF(N32="Y",CHOOSE(Scenario,D32,E32,F32),E32)</f>
        <v/>
      </c>
      <c r="H32" s="5" t="inlineStr">
        <is>
          <t>Researched</t>
        </is>
      </c>
      <c r="I32" s="5" t="inlineStr">
        <is>
          <t>M</t>
        </is>
      </c>
      <c r="J32" s="5" t="inlineStr">
        <is>
          <t>R5: Tier-2 executive pay Rs18-25k/month (Payscale/Indeed Patna) / ~200 h</t>
        </is>
      </c>
      <c r="K32" s="5" t="inlineStr"/>
      <c r="L32" s="5" t="n">
        <v>0</v>
      </c>
      <c r="M32" s="5">
        <f>IF(AND(G32&gt;=MIN(D32,F32),G32&lt;=MAX(D32,F32)),0,1)</f>
        <v/>
      </c>
      <c r="N32" s="18" t="inlineStr">
        <is>
          <t>N</t>
        </is>
      </c>
    </row>
    <row r="33">
      <c r="A33" s="5" t="inlineStr">
        <is>
          <t>InterventionMinutes</t>
        </is>
      </c>
      <c r="B33" s="7" t="inlineStr">
        <is>
          <t>Mentor minutes per intervention</t>
        </is>
      </c>
      <c r="C33" s="5" t="inlineStr">
        <is>
          <t>minutes</t>
        </is>
      </c>
      <c r="D33" s="24" t="n">
        <v>240</v>
      </c>
      <c r="E33" s="24" t="n">
        <v>120</v>
      </c>
      <c r="F33" s="24" t="n">
        <v>60</v>
      </c>
      <c r="G33" s="25">
        <f>IF(N33="Y",CHOOSE(Scenario,D33,E33,F33),E33)</f>
        <v/>
      </c>
      <c r="H33" s="5" t="inlineStr">
        <is>
          <t>Assumption</t>
        </is>
      </c>
      <c r="I33" s="5" t="inlineStr">
        <is>
          <t>L</t>
        </is>
      </c>
      <c r="J33" s="5" t="inlineStr">
        <is>
          <t>Assumption: the trials behind the 15% effect used multi-touch outreach (call + parent meeting + follow-ups), about 2 hours per flagged student</t>
        </is>
      </c>
      <c r="K33" s="5" t="inlineStr">
        <is>
          <t>Audit 2026-10-22: was 30 minutes Base, too thin to deliver the trial effect</t>
        </is>
      </c>
      <c r="L33" s="5" t="n">
        <v>0</v>
      </c>
      <c r="M33" s="5">
        <f>IF(AND(G33&gt;=MIN(D33,F33),G33&lt;=MAX(D33,F33)),0,1)</f>
        <v/>
      </c>
      <c r="N33" s="18" t="inlineStr">
        <is>
          <t>N</t>
        </is>
      </c>
    </row>
    <row r="34">
      <c r="A34" s="5" t="inlineStr">
        <is>
          <t>MentorHourCost</t>
        </is>
      </c>
      <c r="B34" s="7" t="inlineStr">
        <is>
          <t>Cost of one mentor hour</t>
        </is>
      </c>
      <c r="C34" s="5" t="inlineStr">
        <is>
          <t>Rs/hour</t>
        </is>
      </c>
      <c r="D34" s="26" t="n">
        <v>250</v>
      </c>
      <c r="E34" s="26" t="n">
        <v>200</v>
      </c>
      <c r="F34" s="26" t="n">
        <v>150</v>
      </c>
      <c r="G34" s="27">
        <f>IF(N34="Y",CHOOSE(Scenario,D34,E34,F34),E34)</f>
        <v/>
      </c>
      <c r="H34" s="5" t="inlineStr">
        <is>
          <t>Assumption</t>
        </is>
      </c>
      <c r="I34" s="5" t="inlineStr">
        <is>
          <t>M</t>
        </is>
      </c>
      <c r="J34" s="5" t="inlineStr">
        <is>
          <t>Teacher pay ~Rs30-50k/month / ~200 h</t>
        </is>
      </c>
      <c r="K34" s="5" t="inlineStr"/>
      <c r="L34" s="5" t="n">
        <v>0</v>
      </c>
      <c r="M34" s="5">
        <f>IF(AND(G34&gt;=MIN(D34,F34),G34&lt;=MAX(D34,F34)),0,1)</f>
        <v/>
      </c>
      <c r="N34" s="18" t="inlineStr">
        <is>
          <t>N</t>
        </is>
      </c>
    </row>
    <row r="35">
      <c r="A35" s="5" t="inlineStr">
        <is>
          <t>GST</t>
        </is>
      </c>
      <c r="B35" s="7" t="inlineStr">
        <is>
          <t>GST on SaaS</t>
        </is>
      </c>
      <c r="C35" s="5" t="inlineStr">
        <is>
          <t>%</t>
        </is>
      </c>
      <c r="D35" s="30" t="n">
        <v>0.18</v>
      </c>
      <c r="E35" s="30" t="n">
        <v>0.18</v>
      </c>
      <c r="F35" s="30" t="n">
        <v>0.18</v>
      </c>
      <c r="G35" s="31">
        <f>IF(N35="Y",CHOOSE(Scenario,D35,E35,F35),E35)</f>
        <v/>
      </c>
      <c r="H35" s="5" t="inlineStr">
        <is>
          <t>Researched</t>
        </is>
      </c>
      <c r="I35" s="5" t="inlineStr">
        <is>
          <t>M</t>
        </is>
      </c>
      <c r="J35" s="5" t="inlineStr">
        <is>
          <t>R6: 18% (heading 9983 residual entry; Notif. 11/2017-CTR as amended by 15/2025-CTR)</t>
        </is>
      </c>
      <c r="K35" s="5" t="inlineStr">
        <is>
          <t>SAC code 9983 vs 9984 unconfirmed - ask a CA</t>
        </is>
      </c>
      <c r="L35" s="5">
        <f>IF(OR(G35&lt;0,G35&gt;1),1,0)</f>
        <v/>
      </c>
      <c r="M35" s="5">
        <f>IF(AND(G35&gt;=MIN(D35,F35),G35&lt;=MAX(D35,F35)),0,1)</f>
        <v/>
      </c>
      <c r="N35" s="18" t="inlineStr">
        <is>
          <t>N</t>
        </is>
      </c>
    </row>
    <row r="36">
      <c r="A36" s="5" t="inlineStr">
        <is>
          <t>ITCShare</t>
        </is>
      </c>
      <c r="B36" s="7" t="inlineStr">
        <is>
          <t>Share of institutes that reclaim our GST as input credit</t>
        </is>
      </c>
      <c r="C36" s="5" t="inlineStr">
        <is>
          <t>%</t>
        </is>
      </c>
      <c r="D36" s="30" t="n">
        <v>0.3</v>
      </c>
      <c r="E36" s="30" t="n">
        <v>0.6</v>
      </c>
      <c r="F36" s="30" t="n">
        <v>0.9</v>
      </c>
      <c r="G36" s="31">
        <f>IF(N36="Y",CHOOSE(Scenario,D36,E36,F36),E36)</f>
        <v/>
      </c>
      <c r="H36" s="5" t="inlineStr">
        <is>
          <t>Assumption</t>
        </is>
      </c>
      <c r="I36" s="5" t="inlineStr">
        <is>
          <t>L</t>
        </is>
      </c>
      <c r="J36" s="5" t="inlineStr">
        <is>
          <t>R6: coaching is taxable at 18%; registration mandatory above Rs20L turnover; CGST s.16(1) gives ITC to registered persons. A 180-student institute turns over ~Rs1 Cr, so legally registered - but cash/informal practice in Tier-3</t>
        </is>
      </c>
      <c r="K36" s="5" t="inlineStr">
        <is>
          <t>Was 'all unregistered' in the naive view</t>
        </is>
      </c>
      <c r="L36" s="5">
        <f>IF(OR(G36&lt;0,G36&gt;1),1,0)</f>
        <v/>
      </c>
      <c r="M36" s="5">
        <f>IF(AND(G36&gt;=MIN(D36,F36),G36&lt;=MAX(D36,F36)),0,1)</f>
        <v/>
      </c>
      <c r="N36" s="18" t="inlineStr">
        <is>
          <t>N</t>
        </is>
      </c>
    </row>
    <row r="37">
      <c r="A37" s="22" t="inlineStr">
        <is>
          <t>Pricing</t>
        </is>
      </c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</row>
    <row r="38">
      <c r="A38" s="5" t="inlineStr">
        <is>
          <t>ListPrice</t>
        </is>
      </c>
      <c r="B38" s="7" t="inlineStr">
        <is>
          <t>List price per active student per month</t>
        </is>
      </c>
      <c r="C38" s="5" t="inlineStr">
        <is>
          <t>Rs/student/month</t>
        </is>
      </c>
      <c r="D38" s="26" t="n">
        <v>20</v>
      </c>
      <c r="E38" s="26" t="n">
        <v>30</v>
      </c>
      <c r="F38" s="26" t="n">
        <v>40</v>
      </c>
      <c r="G38" s="27">
        <f>IF(N38="Y",CHOOSE(Scenario,D38,E38,F38),E38)</f>
        <v/>
      </c>
      <c r="H38" s="5" t="inlineStr">
        <is>
          <t>Assumption</t>
        </is>
      </c>
      <c r="I38" s="5" t="inlineStr">
        <is>
          <t>L</t>
        </is>
      </c>
      <c r="J38" s="5" t="inlineStr">
        <is>
          <t>R1: ERP/LMS anchors Rs4-21/student/month at 400 students (Classplus/Fedena/Graphy); no competitor bundles OMR + topic analytics + Hindi WhatsApp</t>
        </is>
      </c>
      <c r="K38" s="5" t="inlineStr">
        <is>
          <t>Decision lever - test in interviews (Van Westendorp)</t>
        </is>
      </c>
      <c r="L38" s="5" t="n">
        <v>0</v>
      </c>
      <c r="M38" s="5">
        <f>IF(AND(G38&gt;=MIN(D38,F38),G38&lt;=MAX(D38,F38)),0,1)</f>
        <v/>
      </c>
      <c r="N38" s="18" t="inlineStr">
        <is>
          <t>Y</t>
        </is>
      </c>
    </row>
    <row r="39">
      <c r="A39" s="5" t="inlineStr">
        <is>
          <t>CompetitorAnchor</t>
        </is>
      </c>
      <c r="B39" s="7" t="inlineStr">
        <is>
          <t>What institutes already pay for an ERP/LMS</t>
        </is>
      </c>
      <c r="C39" s="5" t="inlineStr">
        <is>
          <t>Rs/student/month</t>
        </is>
      </c>
      <c r="D39" s="32" t="n">
        <v>4.17</v>
      </c>
      <c r="E39" s="32" t="n">
        <v>10.42</v>
      </c>
      <c r="F39" s="32" t="n">
        <v>20.83</v>
      </c>
      <c r="G39" s="33">
        <f>IF(N39="Y",CHOOSE(Scenario,D39,E39,F39),E39)</f>
        <v/>
      </c>
      <c r="H39" s="5" t="inlineStr">
        <is>
          <t>Researched</t>
        </is>
      </c>
      <c r="I39" s="5" t="inlineStr">
        <is>
          <t>M</t>
        </is>
      </c>
      <c r="J39" s="5" t="inlineStr">
        <is>
          <t>R1: Classplus Starter Rs19999/yr (Capterra); Fedena Standard / Graphy Grow Rs50k/yr; Fedena Ultimate Rs1L/yr - all at 400 students</t>
        </is>
      </c>
      <c r="K39" s="5" t="inlineStr">
        <is>
          <t>Reference only - not used in revenue</t>
        </is>
      </c>
      <c r="L39" s="5" t="n">
        <v>0</v>
      </c>
      <c r="M39" s="5">
        <f>IF(AND(G39&gt;=MIN(D39,F39),G39&lt;=MAX(D39,F39)),0,1)</f>
        <v/>
      </c>
      <c r="N39" s="18" t="inlineStr">
        <is>
          <t>N</t>
        </is>
      </c>
    </row>
    <row r="40">
      <c r="A40" s="5" t="inlineStr">
        <is>
          <t>CompetitorAnchorHigh</t>
        </is>
      </c>
      <c r="B40" s="7" t="inlineStr">
        <is>
          <t>Highest priced ERP/LMS anchor found</t>
        </is>
      </c>
      <c r="C40" s="5" t="inlineStr">
        <is>
          <t>Rs/student/month</t>
        </is>
      </c>
      <c r="D40" s="32" t="n">
        <v>20.83</v>
      </c>
      <c r="E40" s="32" t="n">
        <v>20.83</v>
      </c>
      <c r="F40" s="32" t="n">
        <v>20.83</v>
      </c>
      <c r="G40" s="33">
        <f>IF(N40="Y",CHOOSE(Scenario,D40,E40,F40),E40)</f>
        <v/>
      </c>
      <c r="H40" s="5" t="inlineStr">
        <is>
          <t>Researched</t>
        </is>
      </c>
      <c r="I40" s="5" t="inlineStr">
        <is>
          <t>M</t>
        </is>
      </c>
      <c r="J40" s="5" t="inlineStr">
        <is>
          <t>R1: Fedena Ultimate / Graphy Rise Rs1L/yr at 400 students</t>
        </is>
      </c>
      <c r="K40" s="5" t="inlineStr">
        <is>
          <t>Used in a warning check</t>
        </is>
      </c>
      <c r="L40" s="5" t="n">
        <v>0</v>
      </c>
      <c r="M40" s="5">
        <f>IF(AND(G40&gt;=MIN(D40,F40),G40&lt;=MAX(D40,F40)),0,1)</f>
        <v/>
      </c>
      <c r="N40" s="18" t="inlineStr">
        <is>
          <t>N</t>
        </is>
      </c>
    </row>
    <row r="41">
      <c r="A41" s="5" t="inlineStr">
        <is>
          <t>MinFee</t>
        </is>
      </c>
      <c r="B41" s="7" t="inlineStr">
        <is>
          <t>Minimum monthly fee per institute</t>
        </is>
      </c>
      <c r="C41" s="5" t="inlineStr">
        <is>
          <t>Rs/month</t>
        </is>
      </c>
      <c r="D41" s="26" t="n">
        <v>2000</v>
      </c>
      <c r="E41" s="26" t="n">
        <v>3000</v>
      </c>
      <c r="F41" s="26" t="n">
        <v>4000</v>
      </c>
      <c r="G41" s="27">
        <f>IF(N41="Y",CHOOSE(Scenario,D41,E41,F41),E41)</f>
        <v/>
      </c>
      <c r="H41" s="5" t="inlineStr">
        <is>
          <t>Assumption</t>
        </is>
      </c>
      <c r="I41" s="5" t="inlineStr">
        <is>
          <t>L</t>
        </is>
      </c>
      <c r="J41" s="5" t="inlineStr">
        <is>
          <t>FINANCE_PLAN s.3.2</t>
        </is>
      </c>
      <c r="K41" s="5" t="inlineStr"/>
      <c r="L41" s="5" t="n">
        <v>0</v>
      </c>
      <c r="M41" s="5">
        <f>IF(AND(G41&gt;=MIN(D41,F41),G41&lt;=MAX(D41,F41)),0,1)</f>
        <v/>
      </c>
      <c r="N41" s="18" t="inlineStr">
        <is>
          <t>N</t>
        </is>
      </c>
    </row>
    <row r="42">
      <c r="A42" s="5" t="inlineStr">
        <is>
          <t>NegotiationDisc</t>
        </is>
      </c>
      <c r="B42" s="7" t="inlineStr">
        <is>
          <t>Average negotiated discount off list</t>
        </is>
      </c>
      <c r="C42" s="5" t="inlineStr">
        <is>
          <t>%</t>
        </is>
      </c>
      <c r="D42" s="30" t="n">
        <v>0.2</v>
      </c>
      <c r="E42" s="30" t="n">
        <v>0.1</v>
      </c>
      <c r="F42" s="30" t="n">
        <v>0.05</v>
      </c>
      <c r="G42" s="31">
        <f>IF(N42="Y",CHOOSE(Scenario,D42,E42,F42),E42)</f>
        <v/>
      </c>
      <c r="H42" s="5" t="inlineStr">
        <is>
          <t>Assumption</t>
        </is>
      </c>
      <c r="I42" s="5" t="inlineStr">
        <is>
          <t>L</t>
        </is>
      </c>
      <c r="J42" s="5" t="inlineStr">
        <is>
          <t>Primary research needed</t>
        </is>
      </c>
      <c r="K42" s="5" t="inlineStr"/>
      <c r="L42" s="5">
        <f>IF(OR(G42&lt;0,G42&gt;1),1,0)</f>
        <v/>
      </c>
      <c r="M42" s="5">
        <f>IF(AND(G42&gt;=MIN(D42,F42),G42&lt;=MAX(D42,F42)),0,1)</f>
        <v/>
      </c>
      <c r="N42" s="18" t="inlineStr">
        <is>
          <t>N</t>
        </is>
      </c>
    </row>
    <row r="43">
      <c r="A43" s="5" t="inlineStr">
        <is>
          <t>PrepayUptake</t>
        </is>
      </c>
      <c r="B43" s="7" t="inlineStr">
        <is>
          <t>Share of institutes choosing annual prepay</t>
        </is>
      </c>
      <c r="C43" s="5" t="inlineStr">
        <is>
          <t>%</t>
        </is>
      </c>
      <c r="D43" s="30" t="n">
        <v>0.2</v>
      </c>
      <c r="E43" s="30" t="n">
        <v>0.4</v>
      </c>
      <c r="F43" s="30" t="n">
        <v>0.6</v>
      </c>
      <c r="G43" s="31">
        <f>IF(N43="Y",CHOOSE(Scenario,D43,E43,F43),E43)</f>
        <v/>
      </c>
      <c r="H43" s="5" t="inlineStr">
        <is>
          <t>Assumption</t>
        </is>
      </c>
      <c r="I43" s="5" t="inlineStr">
        <is>
          <t>L</t>
        </is>
      </c>
      <c r="J43" s="5" t="inlineStr">
        <is>
          <t>Coaching institutes are cash-rich in Apr-Jun (admission season)</t>
        </is>
      </c>
      <c r="K43" s="5" t="inlineStr">
        <is>
          <t>Prepaid institutes cannot churn mid-session</t>
        </is>
      </c>
      <c r="L43" s="5">
        <f>IF(OR(G43&lt;0,G43&gt;1),1,0)</f>
        <v/>
      </c>
      <c r="M43" s="5">
        <f>IF(AND(G43&gt;=MIN(D43,F43),G43&lt;=MAX(D43,F43)),0,1)</f>
        <v/>
      </c>
      <c r="N43" s="18" t="inlineStr">
        <is>
          <t>N</t>
        </is>
      </c>
    </row>
    <row r="44">
      <c r="A44" s="5" t="inlineStr">
        <is>
          <t>PrepayDisc</t>
        </is>
      </c>
      <c r="B44" s="7" t="inlineStr">
        <is>
          <t>Annual prepay discount</t>
        </is>
      </c>
      <c r="C44" s="5" t="inlineStr">
        <is>
          <t>%</t>
        </is>
      </c>
      <c r="D44" s="30" t="n">
        <v>0.15</v>
      </c>
      <c r="E44" s="30" t="n">
        <v>0.15</v>
      </c>
      <c r="F44" s="30" t="n">
        <v>0.15</v>
      </c>
      <c r="G44" s="31">
        <f>IF(N44="Y",CHOOSE(Scenario,D44,E44,F44),E44)</f>
        <v/>
      </c>
      <c r="H44" s="5" t="inlineStr">
        <is>
          <t>Assumption</t>
        </is>
      </c>
      <c r="I44" s="5" t="inlineStr">
        <is>
          <t>M</t>
        </is>
      </c>
      <c r="J44" s="5" t="inlineStr">
        <is>
          <t>FINANCE_PLAN s.3.2; R2 shows institutes give 4-6% for upfront fees</t>
        </is>
      </c>
      <c r="K44" s="5" t="inlineStr"/>
      <c r="L44" s="5">
        <f>IF(OR(G44&lt;0,G44&gt;1),1,0)</f>
        <v/>
      </c>
      <c r="M44" s="5">
        <f>IF(AND(G44&gt;=MIN(D44,F44),G44&lt;=MAX(D44,F44)),0,1)</f>
        <v/>
      </c>
      <c r="N44" s="18" t="inlineStr">
        <is>
          <t>N</t>
        </is>
      </c>
    </row>
    <row r="45">
      <c r="A45" s="5" t="inlineStr">
        <is>
          <t>BadDebt</t>
        </is>
      </c>
      <c r="B45" s="7" t="inlineStr">
        <is>
          <t>Bad debt / uncollected billing</t>
        </is>
      </c>
      <c r="C45" s="5" t="inlineStr">
        <is>
          <t>%</t>
        </is>
      </c>
      <c r="D45" s="30" t="n">
        <v>0.08</v>
      </c>
      <c r="E45" s="30" t="n">
        <v>0.03</v>
      </c>
      <c r="F45" s="30" t="n">
        <v>0.01</v>
      </c>
      <c r="G45" s="31">
        <f>IF(N45="Y",CHOOSE(Scenario,D45,E45,F45),E45)</f>
        <v/>
      </c>
      <c r="H45" s="5" t="inlineStr">
        <is>
          <t>Assumption</t>
        </is>
      </c>
      <c r="I45" s="5" t="inlineStr">
        <is>
          <t>M</t>
        </is>
      </c>
      <c r="J45" s="5" t="inlineStr">
        <is>
          <t>FINANCE_PLAN s.3.2</t>
        </is>
      </c>
      <c r="K45" s="5" t="inlineStr"/>
      <c r="L45" s="5">
        <f>IF(OR(G45&lt;0,G45&gt;1),1,0)</f>
        <v/>
      </c>
      <c r="M45" s="5">
        <f>IF(AND(G45&gt;=MIN(D45,F45),G45&lt;=MAX(D45,F45)),0,1)</f>
        <v/>
      </c>
      <c r="N45" s="18" t="inlineStr">
        <is>
          <t>N</t>
        </is>
      </c>
    </row>
    <row r="46">
      <c r="A46" s="5" t="inlineStr">
        <is>
          <t>GatewayFee</t>
        </is>
      </c>
      <c r="B46" s="7" t="inlineStr">
        <is>
          <t>Payment collection cost (blended)</t>
        </is>
      </c>
      <c r="C46" s="5" t="inlineStr">
        <is>
          <t>% of revenue</t>
        </is>
      </c>
      <c r="D46" s="30" t="n">
        <v>0.0236</v>
      </c>
      <c r="E46" s="30" t="n">
        <v>0.012</v>
      </c>
      <c r="F46" s="30" t="n">
        <v>0.004</v>
      </c>
      <c r="G46" s="31">
        <f>IF(N46="Y",CHOOSE(Scenario,D46,E46,F46),E46)</f>
        <v/>
      </c>
      <c r="H46" s="5" t="inlineStr">
        <is>
          <t>Researched</t>
        </is>
      </c>
      <c r="I46" s="5" t="inlineStr">
        <is>
          <t>M</t>
        </is>
      </c>
      <c r="J46" s="5" t="inlineStr">
        <is>
          <t>R6: Razorpay 2% + 18% GST = 2.36%; UPI MDR 0.4% on P2M &gt;Rs2000 from 15-Oct-2026; NEFT ~0</t>
        </is>
      </c>
      <c r="K46" s="5" t="inlineStr">
        <is>
          <t>Base assumes half paid by bank transfer</t>
        </is>
      </c>
      <c r="L46" s="5">
        <f>IF(OR(G46&lt;0,G46&gt;1),1,0)</f>
        <v/>
      </c>
      <c r="M46" s="5">
        <f>IF(AND(G46&gt;=MIN(D46,F46),G46&lt;=MAX(D46,F46)),0,1)</f>
        <v/>
      </c>
      <c r="N46" s="18" t="inlineStr">
        <is>
          <t>N</t>
        </is>
      </c>
    </row>
    <row r="47">
      <c r="A47" s="22" t="inlineStr">
        <is>
          <t>COGS</t>
        </is>
      </c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</row>
    <row r="48">
      <c r="A48" s="5" t="inlineStr">
        <is>
          <t>ReportsPerStudentMonth</t>
        </is>
      </c>
      <c r="B48" s="7" t="inlineStr">
        <is>
          <t>AI parent reports per student per month</t>
        </is>
      </c>
      <c r="C48" s="5" t="inlineStr">
        <is>
          <t>reports</t>
        </is>
      </c>
      <c r="D48" s="24" t="n">
        <v>6</v>
      </c>
      <c r="E48" s="24" t="n">
        <v>4</v>
      </c>
      <c r="F48" s="24" t="n">
        <v>4</v>
      </c>
      <c r="G48" s="25">
        <f>IF(N48="Y",CHOOSE(Scenario,D48,E48,F48),E48)</f>
        <v/>
      </c>
      <c r="H48" s="5" t="inlineStr">
        <is>
          <t>Assumption</t>
        </is>
      </c>
      <c r="I48" s="5" t="inlineStr">
        <is>
          <t>M</t>
        </is>
      </c>
      <c r="J48" s="5" t="inlineStr">
        <is>
          <t>TECH_PLAN s.11 weekly report; Bear adds alerts</t>
        </is>
      </c>
      <c r="K48" s="5" t="inlineStr"/>
      <c r="L48" s="5" t="n">
        <v>0</v>
      </c>
      <c r="M48" s="5">
        <f>IF(AND(G48&gt;=MIN(D48,F48),G48&lt;=MAX(D48,F48)),0,1)</f>
        <v/>
      </c>
      <c r="N48" s="18" t="inlineStr">
        <is>
          <t>N</t>
        </is>
      </c>
    </row>
    <row r="49">
      <c r="A49" s="5" t="inlineStr">
        <is>
          <t>TokensInPerReport</t>
        </is>
      </c>
      <c r="B49" s="7" t="inlineStr">
        <is>
          <t>LLM input tokens per report</t>
        </is>
      </c>
      <c r="C49" s="5" t="inlineStr">
        <is>
          <t>tokens</t>
        </is>
      </c>
      <c r="D49" s="24" t="n">
        <v>2500</v>
      </c>
      <c r="E49" s="24" t="n">
        <v>1500</v>
      </c>
      <c r="F49" s="24" t="n">
        <v>1000</v>
      </c>
      <c r="G49" s="25">
        <f>IF(N49="Y",CHOOSE(Scenario,D49,E49,F49),E49)</f>
        <v/>
      </c>
      <c r="H49" s="5" t="inlineStr">
        <is>
          <t>Assumption</t>
        </is>
      </c>
      <c r="I49" s="5" t="inlineStr">
        <is>
          <t>M</t>
        </is>
      </c>
      <c r="J49" s="5" t="inlineStr">
        <is>
          <t>TECH_PLAN GenAI design (numbers_json + template)</t>
        </is>
      </c>
      <c r="K49" s="5" t="inlineStr"/>
      <c r="L49" s="5" t="n">
        <v>0</v>
      </c>
      <c r="M49" s="5">
        <f>IF(AND(G49&gt;=MIN(D49,F49),G49&lt;=MAX(D49,F49)),0,1)</f>
        <v/>
      </c>
      <c r="N49" s="18" t="inlineStr">
        <is>
          <t>N</t>
        </is>
      </c>
    </row>
    <row r="50">
      <c r="A50" s="5" t="inlineStr">
        <is>
          <t>TokensOutPerReport</t>
        </is>
      </c>
      <c r="B50" s="7" t="inlineStr">
        <is>
          <t>LLM output tokens per report</t>
        </is>
      </c>
      <c r="C50" s="5" t="inlineStr">
        <is>
          <t>tokens</t>
        </is>
      </c>
      <c r="D50" s="24" t="n">
        <v>1200</v>
      </c>
      <c r="E50" s="24" t="n">
        <v>1000</v>
      </c>
      <c r="F50" s="24" t="n">
        <v>600</v>
      </c>
      <c r="G50" s="25">
        <f>IF(N50="Y",CHOOSE(Scenario,D50,E50,F50),E50)</f>
        <v/>
      </c>
      <c r="H50" s="5" t="inlineStr">
        <is>
          <t>Assumption</t>
        </is>
      </c>
      <c r="I50" s="5" t="inlineStr">
        <is>
          <t>M</t>
        </is>
      </c>
      <c r="J50" s="5" t="inlineStr">
        <is>
          <t>Bilingual report ~400-600 words</t>
        </is>
      </c>
      <c r="K50" s="5" t="inlineStr"/>
      <c r="L50" s="5" t="n">
        <v>0</v>
      </c>
      <c r="M50" s="5">
        <f>IF(AND(G50&gt;=MIN(D50,F50),G50&lt;=MAX(D50,F50)),0,1)</f>
        <v/>
      </c>
      <c r="N50" s="18" t="inlineStr">
        <is>
          <t>N</t>
        </is>
      </c>
    </row>
    <row r="51">
      <c r="A51" s="5" t="inlineStr">
        <is>
          <t>LLMPriceIn</t>
        </is>
      </c>
      <c r="B51" s="7" t="inlineStr">
        <is>
          <t>LLM input price (hosted)</t>
        </is>
      </c>
      <c r="C51" s="5" t="inlineStr">
        <is>
          <t>Rs per 1M tokens</t>
        </is>
      </c>
      <c r="D51" s="32" t="n">
        <v>142.58</v>
      </c>
      <c r="E51" s="32" t="n">
        <v>23.76</v>
      </c>
      <c r="F51" s="32" t="n">
        <v>9.51</v>
      </c>
      <c r="G51" s="33">
        <f>IF(N51="Y",CHOOSE(Scenario,D51,E51,F51),E51)</f>
        <v/>
      </c>
      <c r="H51" s="5" t="inlineStr">
        <is>
          <t>Researched</t>
        </is>
      </c>
      <c r="I51" s="5" t="inlineStr">
        <is>
          <t>H</t>
        </is>
      </c>
      <c r="J51" s="5" t="inlineStr">
        <is>
          <t>R6: Gemini 3.8 Flash from 1-Jan-2027 / Gemini 3.1 Flash-Lite / Claude Haiku 5.5 at Rs95.05/USD (official pricing pages 20-Oct-2026)</t>
        </is>
      </c>
      <c r="K51" s="5" t="inlineStr">
        <is>
          <t>Local Ollama = ~0 (prototype)</t>
        </is>
      </c>
      <c r="L51" s="5" t="n">
        <v>0</v>
      </c>
      <c r="M51" s="5">
        <f>IF(AND(G51&gt;=MIN(D51,F51),G51&lt;=MAX(D51,F51)),0,1)</f>
        <v/>
      </c>
      <c r="N51" s="18" t="inlineStr">
        <is>
          <t>N</t>
        </is>
      </c>
    </row>
    <row r="52">
      <c r="A52" s="5" t="inlineStr">
        <is>
          <t>LLMPriceOut</t>
        </is>
      </c>
      <c r="B52" s="7" t="inlineStr">
        <is>
          <t>LLM output price (hosted)</t>
        </is>
      </c>
      <c r="C52" s="5" t="inlineStr">
        <is>
          <t>Rs per 1M tokens</t>
        </is>
      </c>
      <c r="D52" s="32" t="n">
        <v>712.88</v>
      </c>
      <c r="E52" s="32" t="n">
        <v>142.58</v>
      </c>
      <c r="F52" s="32" t="n">
        <v>47.53</v>
      </c>
      <c r="G52" s="33">
        <f>IF(N52="Y",CHOOSE(Scenario,D52,E52,F52),E52)</f>
        <v/>
      </c>
      <c r="H52" s="5" t="inlineStr">
        <is>
          <t>Researched</t>
        </is>
      </c>
      <c r="I52" s="5" t="inlineStr">
        <is>
          <t>H</t>
        </is>
      </c>
      <c r="J52" s="5" t="inlineStr">
        <is>
          <t>R6: same models as input price</t>
        </is>
      </c>
      <c r="K52" s="5" t="inlineStr"/>
      <c r="L52" s="5" t="n">
        <v>0</v>
      </c>
      <c r="M52" s="5">
        <f>IF(AND(G52&gt;=MIN(D52,F52),G52&lt;=MAX(D52,F52)),0,1)</f>
        <v/>
      </c>
      <c r="N52" s="18" t="inlineStr">
        <is>
          <t>N</t>
        </is>
      </c>
    </row>
    <row r="53">
      <c r="A53" s="5" t="inlineStr">
        <is>
          <t>WAMsgsPerStudentMonth</t>
        </is>
      </c>
      <c r="B53" s="7" t="inlineStr">
        <is>
          <t>WhatsApp utility messages per student per month</t>
        </is>
      </c>
      <c r="C53" s="5" t="inlineStr">
        <is>
          <t>messages</t>
        </is>
      </c>
      <c r="D53" s="24" t="n">
        <v>10</v>
      </c>
      <c r="E53" s="24" t="n">
        <v>6</v>
      </c>
      <c r="F53" s="24" t="n">
        <v>4</v>
      </c>
      <c r="G53" s="25">
        <f>IF(N53="Y",CHOOSE(Scenario,D53,E53,F53),E53)</f>
        <v/>
      </c>
      <c r="H53" s="5" t="inlineStr">
        <is>
          <t>Assumption</t>
        </is>
      </c>
      <c r="I53" s="5" t="inlineStr">
        <is>
          <t>M</t>
        </is>
      </c>
      <c r="J53" s="5" t="inlineStr">
        <is>
          <t>Weekly report + alerts + fee reminders</t>
        </is>
      </c>
      <c r="K53" s="5" t="inlineStr"/>
      <c r="L53" s="5" t="n">
        <v>0</v>
      </c>
      <c r="M53" s="5">
        <f>IF(AND(G53&gt;=MIN(D53,F53),G53&lt;=MAX(D53,F53)),0,1)</f>
        <v/>
      </c>
      <c r="N53" s="18" t="inlineStr">
        <is>
          <t>N</t>
        </is>
      </c>
    </row>
    <row r="54">
      <c r="A54" s="5" t="inlineStr">
        <is>
          <t>WAPricePerMsg</t>
        </is>
      </c>
      <c r="B54" s="7" t="inlineStr">
        <is>
          <t>WhatsApp utility message price (India)</t>
        </is>
      </c>
      <c r="C54" s="5" t="inlineStr">
        <is>
          <t>Rs/message</t>
        </is>
      </c>
      <c r="D54" s="32" t="n">
        <v>0.145</v>
      </c>
      <c r="E54" s="32" t="n">
        <v>0.1323</v>
      </c>
      <c r="F54" s="32" t="n">
        <v>0.115</v>
      </c>
      <c r="G54" s="33">
        <f>IF(N54="Y",CHOOSE(Scenario,D54,E54,F54),E54)</f>
        <v/>
      </c>
      <c r="H54" s="5" t="inlineStr">
        <is>
          <t>Researched</t>
        </is>
      </c>
      <c r="I54" s="5" t="inlineStr">
        <is>
          <t>H</t>
        </is>
      </c>
      <c r="J54" s="5" t="inlineStr">
        <is>
          <t>R6: Meta list Rs0.115 (eff. 1-Oct-2026); Gallabox Rs0.1323; AiSensy Rs0.145. Utility replies in window charged again from 1-Oct-2026</t>
        </is>
      </c>
      <c r="K54" s="5" t="inlineStr"/>
      <c r="L54" s="5" t="n">
        <v>0</v>
      </c>
      <c r="M54" s="5">
        <f>IF(AND(G54&gt;=MIN(D54,F54),G54&lt;=MAX(D54,F54)),0,1)</f>
        <v/>
      </c>
      <c r="N54" s="18" t="inlineStr">
        <is>
          <t>N</t>
        </is>
      </c>
    </row>
    <row r="55">
      <c r="A55" s="5" t="inlineStr">
        <is>
          <t>ComputePerStudentMonth</t>
        </is>
      </c>
      <c r="B55" s="7" t="inlineStr">
        <is>
          <t>Compute + storage + backups per student</t>
        </is>
      </c>
      <c r="C55" s="5" t="inlineStr">
        <is>
          <t>Rs/student/month</t>
        </is>
      </c>
      <c r="D55" s="32" t="n">
        <v>1.5</v>
      </c>
      <c r="E55" s="32" t="n">
        <v>0.8</v>
      </c>
      <c r="F55" s="32" t="n">
        <v>0.4</v>
      </c>
      <c r="G55" s="33">
        <f>IF(N55="Y",CHOOSE(Scenario,D55,E55,F55),E55)</f>
        <v/>
      </c>
      <c r="H55" s="5" t="inlineStr">
        <is>
          <t>Assumption</t>
        </is>
      </c>
      <c r="I55" s="5" t="inlineStr">
        <is>
          <t>L</t>
        </is>
      </c>
      <c r="J55" s="5" t="inlineStr">
        <is>
          <t>TECH_PLAN s.16 cost model (NB09 pending); OMR images auto-deleted after 7 days</t>
        </is>
      </c>
      <c r="K55" s="5" t="inlineStr"/>
      <c r="L55" s="5" t="n">
        <v>0</v>
      </c>
      <c r="M55" s="5">
        <f>IF(AND(G55&gt;=MIN(D55,F55),G55&lt;=MAX(D55,F55)),0,1)</f>
        <v/>
      </c>
      <c r="N55" s="18" t="inlineStr">
        <is>
          <t>N</t>
        </is>
      </c>
    </row>
    <row r="56">
      <c r="A56" s="5" t="inlineStr">
        <is>
          <t>ConsentCostPerStudentYear</t>
        </is>
      </c>
      <c r="B56" s="7" t="inlineStr">
        <is>
          <t>Consent OTP + verification per student</t>
        </is>
      </c>
      <c r="C56" s="5" t="inlineStr">
        <is>
          <t>Rs/student/yr</t>
        </is>
      </c>
      <c r="D56" s="32" t="n">
        <v>3</v>
      </c>
      <c r="E56" s="32" t="n">
        <v>1.5</v>
      </c>
      <c r="F56" s="32" t="n">
        <v>0.5</v>
      </c>
      <c r="G56" s="33">
        <f>IF(N56="Y",CHOOSE(Scenario,D56,E56,F56),E56)</f>
        <v/>
      </c>
      <c r="H56" s="5" t="inlineStr">
        <is>
          <t>Assumption</t>
        </is>
      </c>
      <c r="I56" s="5" t="inlineStr">
        <is>
          <t>L</t>
        </is>
      </c>
      <c r="J56" s="5" t="inlineStr">
        <is>
          <t>TECH_PLAN consent design (OTP)</t>
        </is>
      </c>
      <c r="K56" s="5" t="inlineStr"/>
      <c r="L56" s="5" t="n">
        <v>0</v>
      </c>
      <c r="M56" s="5">
        <f>IF(AND(G56&gt;=MIN(D56,F56),G56&lt;=MAX(D56,F56)),0,1)</f>
        <v/>
      </c>
      <c r="N56" s="18" t="inlineStr">
        <is>
          <t>N</t>
        </is>
      </c>
    </row>
    <row r="57">
      <c r="A57" s="5" t="inlineStr">
        <is>
          <t>ServerCostMonth</t>
        </is>
      </c>
      <c r="B57" s="7" t="inlineStr">
        <is>
          <t>App server + managed Postgres + backups per stack</t>
        </is>
      </c>
      <c r="C57" s="5" t="inlineStr">
        <is>
          <t>Rs/month</t>
        </is>
      </c>
      <c r="D57" s="26" t="n">
        <v>9000</v>
      </c>
      <c r="E57" s="26" t="n">
        <v>4000</v>
      </c>
      <c r="F57" s="26" t="n">
        <v>3000</v>
      </c>
      <c r="G57" s="27">
        <f>IF(N57="Y",CHOOSE(Scenario,D57,E57,F57),E57)</f>
        <v/>
      </c>
      <c r="H57" s="5" t="inlineStr">
        <is>
          <t>Researched</t>
        </is>
      </c>
      <c r="I57" s="5" t="inlineStr">
        <is>
          <t>M</t>
        </is>
      </c>
      <c r="J57" s="5" t="inlineStr">
        <is>
          <t>R6: AWS t3.medium Rs3108 + DO PG 2vCPU Rs5789 / Lightsail-DO Rs2281 + DO PG Rs1440 / t4g Rs1554 + Lightsail DB Rs1426</t>
        </is>
      </c>
      <c r="K57" s="5" t="inlineStr">
        <is>
          <t>Base adds ~Rs300 backups</t>
        </is>
      </c>
      <c r="L57" s="5" t="n">
        <v>0</v>
      </c>
      <c r="M57" s="5">
        <f>IF(AND(G57&gt;=MIN(D57,F57),G57&lt;=MAX(D57,F57)),0,1)</f>
        <v/>
      </c>
      <c r="N57" s="18" t="inlineStr">
        <is>
          <t>N</t>
        </is>
      </c>
    </row>
    <row r="58">
      <c r="A58" s="5" t="inlineStr">
        <is>
          <t>BSPFeeMonth</t>
        </is>
      </c>
      <c r="B58" s="7" t="inlineStr">
        <is>
          <t>WhatsApp BSP platform fee per stack</t>
        </is>
      </c>
      <c r="C58" s="5" t="inlineStr">
        <is>
          <t>Rs/month</t>
        </is>
      </c>
      <c r="D58" s="26" t="n">
        <v>3200</v>
      </c>
      <c r="E58" s="26" t="n">
        <v>1500</v>
      </c>
      <c r="F58" s="26" t="n">
        <v>0</v>
      </c>
      <c r="G58" s="27">
        <f>IF(N58="Y",CHOOSE(Scenario,D58,E58,F58),E58)</f>
        <v/>
      </c>
      <c r="H58" s="5" t="inlineStr">
        <is>
          <t>Researched</t>
        </is>
      </c>
      <c r="I58" s="5" t="inlineStr">
        <is>
          <t>M</t>
        </is>
      </c>
      <c r="J58" s="5" t="inlineStr">
        <is>
          <t>R6: AiSensy Pro Rs3200 / Basic Rs1500 / Gupshup self-serve Rs0 + per-msg</t>
        </is>
      </c>
      <c r="K58" s="5" t="inlineStr"/>
      <c r="L58" s="5" t="n">
        <v>0</v>
      </c>
      <c r="M58" s="5">
        <f>IF(AND(G58&gt;=MIN(D58,F58),G58&lt;=MAX(D58,F58)),0,1)</f>
        <v/>
      </c>
      <c r="N58" s="18" t="inlineStr">
        <is>
          <t>N</t>
        </is>
      </c>
    </row>
    <row r="59">
      <c r="A59" s="5" t="inlineStr">
        <is>
          <t>InstPerStack</t>
        </is>
      </c>
      <c r="B59" s="7" t="inlineStr">
        <is>
          <t>Institutes sharing one server stack</t>
        </is>
      </c>
      <c r="C59" s="5" t="inlineStr">
        <is>
          <t>institutes</t>
        </is>
      </c>
      <c r="D59" s="24" t="n">
        <v>10</v>
      </c>
      <c r="E59" s="24" t="n">
        <v>20</v>
      </c>
      <c r="F59" s="24" t="n">
        <v>40</v>
      </c>
      <c r="G59" s="25">
        <f>IF(N59="Y",CHOOSE(Scenario,D59,E59,F59),E59)</f>
        <v/>
      </c>
      <c r="H59" s="5" t="inlineStr">
        <is>
          <t>Assumption</t>
        </is>
      </c>
      <c r="I59" s="5" t="inlineStr">
        <is>
          <t>L</t>
        </is>
      </c>
      <c r="J59" s="5" t="inlineStr">
        <is>
          <t>Depends on load test (NB09)</t>
        </is>
      </c>
      <c r="K59" s="5" t="inlineStr"/>
      <c r="L59" s="5" t="n">
        <v>0</v>
      </c>
      <c r="M59" s="5">
        <f>IF(AND(G59&gt;=MIN(D59,F59),G59&lt;=MAX(D59,F59)),0,1)</f>
        <v/>
      </c>
      <c r="N59" s="18" t="inlineStr">
        <is>
          <t>N</t>
        </is>
      </c>
    </row>
    <row r="60">
      <c r="A60" s="5" t="inlineStr">
        <is>
          <t>CompliancePerInstMonth</t>
        </is>
      </c>
      <c r="B60" s="7" t="inlineStr">
        <is>
          <t>DPDP compliance cost per institute</t>
        </is>
      </c>
      <c r="C60" s="5" t="inlineStr">
        <is>
          <t>Rs/month</t>
        </is>
      </c>
      <c r="D60" s="26" t="n">
        <v>400</v>
      </c>
      <c r="E60" s="26" t="n">
        <v>200</v>
      </c>
      <c r="F60" s="26" t="n">
        <v>100</v>
      </c>
      <c r="G60" s="27">
        <f>IF(N60="Y",CHOOSE(Scenario,D60,E60,F60),E60)</f>
        <v/>
      </c>
      <c r="H60" s="5" t="inlineStr">
        <is>
          <t>Assumption</t>
        </is>
      </c>
      <c r="I60" s="5" t="inlineStr">
        <is>
          <t>L</t>
        </is>
      </c>
      <c r="J60" s="5" t="inlineStr">
        <is>
          <t>Audits / consent management / DPO time</t>
        </is>
      </c>
      <c r="K60" s="5" t="inlineStr"/>
      <c r="L60" s="5" t="n">
        <v>0</v>
      </c>
      <c r="M60" s="5">
        <f>IF(AND(G60&gt;=MIN(D60,F60),G60&lt;=MAX(D60,F60)),0,1)</f>
        <v/>
      </c>
      <c r="N60" s="18" t="inlineStr">
        <is>
          <t>N</t>
        </is>
      </c>
    </row>
    <row r="61">
      <c r="A61" s="22" t="inlineStr">
        <is>
          <t>GTM</t>
        </is>
      </c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</row>
    <row r="62">
      <c r="A62" s="5" t="inlineStr">
        <is>
          <t>CSM_CTC</t>
        </is>
      </c>
      <c r="B62" s="7" t="inlineStr">
        <is>
          <t>Customer-success / onboarding exec monthly CTC</t>
        </is>
      </c>
      <c r="C62" s="5" t="inlineStr">
        <is>
          <t>Rs/month</t>
        </is>
      </c>
      <c r="D62" s="26" t="n">
        <v>45000</v>
      </c>
      <c r="E62" s="26" t="n">
        <v>35000</v>
      </c>
      <c r="F62" s="26" t="n">
        <v>25000</v>
      </c>
      <c r="G62" s="27">
        <f>IF(N62="Y",CHOOSE(Scenario,D62,E62,F62),E62)</f>
        <v/>
      </c>
      <c r="H62" s="5" t="inlineStr">
        <is>
          <t>Researched</t>
        </is>
      </c>
      <c r="I62" s="5" t="inlineStr">
        <is>
          <t>L</t>
        </is>
      </c>
      <c r="J62" s="5" t="inlineStr">
        <is>
          <t>R5: Tier-2 remote CS median Rs33-42k (Frontlines 2026); Payscale Jaipur CSM-manager Rs58k</t>
        </is>
      </c>
      <c r="K62" s="5" t="inlineStr"/>
      <c r="L62" s="5" t="n">
        <v>0</v>
      </c>
      <c r="M62" s="5">
        <f>IF(AND(G62&gt;=MIN(D62,F62),G62&lt;=MAX(D62,F62)),0,1)</f>
        <v/>
      </c>
      <c r="N62" s="18" t="inlineStr">
        <is>
          <t>N</t>
        </is>
      </c>
    </row>
    <row r="63">
      <c r="A63" s="5" t="inlineStr">
        <is>
          <t>InstPerCSM</t>
        </is>
      </c>
      <c r="B63" s="7" t="inlineStr">
        <is>
          <t>Institutes per CSM</t>
        </is>
      </c>
      <c r="C63" s="5" t="inlineStr">
        <is>
          <t>institutes</t>
        </is>
      </c>
      <c r="D63" s="24" t="n">
        <v>40</v>
      </c>
      <c r="E63" s="24" t="n">
        <v>80</v>
      </c>
      <c r="F63" s="24" t="n">
        <v>120</v>
      </c>
      <c r="G63" s="25">
        <f>IF(N63="Y",CHOOSE(Scenario,D63,E63,F63),E63)</f>
        <v/>
      </c>
      <c r="H63" s="5" t="inlineStr">
        <is>
          <t>Researched</t>
        </is>
      </c>
      <c r="I63" s="5" t="inlineStr">
        <is>
          <t>L</t>
        </is>
      </c>
      <c r="J63" s="5" t="inlineStr">
        <is>
          <t>R5: Gainsight SMB 100-250 accounts per CSM - cut for high-touch Tier-2 onboarding</t>
        </is>
      </c>
      <c r="K63" s="5" t="inlineStr"/>
      <c r="L63" s="5" t="n">
        <v>0</v>
      </c>
      <c r="M63" s="5">
        <f>IF(AND(G63&gt;=MIN(D63,F63),G63&lt;=MAX(D63,F63)),0,1)</f>
        <v/>
      </c>
      <c r="N63" s="18" t="inlineStr">
        <is>
          <t>N</t>
        </is>
      </c>
    </row>
    <row r="64">
      <c r="A64" s="5" t="inlineStr">
        <is>
          <t>RepCTC</t>
        </is>
      </c>
      <c r="B64" s="7" t="inlineStr">
        <is>
          <t>Field sales rep monthly CTC (incl. fuel)</t>
        </is>
      </c>
      <c r="C64" s="5" t="inlineStr">
        <is>
          <t>Rs/month</t>
        </is>
      </c>
      <c r="D64" s="26" t="n">
        <v>30000</v>
      </c>
      <c r="E64" s="26" t="n">
        <v>24000</v>
      </c>
      <c r="F64" s="26" t="n">
        <v>19000</v>
      </c>
      <c r="G64" s="27">
        <f>IF(N64="Y",CHOOSE(Scenario,D64,E64,F64),E64)</f>
        <v/>
      </c>
      <c r="H64" s="5" t="inlineStr">
        <is>
          <t>Researched</t>
        </is>
      </c>
      <c r="I64" s="5" t="inlineStr">
        <is>
          <t>M</t>
        </is>
      </c>
      <c r="J64" s="5" t="inlineStr">
        <is>
          <t>R5: Payscale Patna field sales ~Rs20k base; PhonePe postings Rs18-25k + Rs4-4.5k fuel</t>
        </is>
      </c>
      <c r="K64" s="5" t="inlineStr"/>
      <c r="L64" s="5" t="n">
        <v>0</v>
      </c>
      <c r="M64" s="5">
        <f>IF(AND(G64&gt;=MIN(D64,F64),G64&lt;=MAX(D64,F64)),0,1)</f>
        <v/>
      </c>
      <c r="N64" s="18" t="inlineStr">
        <is>
          <t>N</t>
        </is>
      </c>
    </row>
    <row r="65">
      <c r="A65" s="5" t="inlineStr">
        <is>
          <t>RepTravel</t>
        </is>
      </c>
      <c r="B65" s="7" t="inlineStr">
        <is>
          <t>Rep intercity travel + demo material per month</t>
        </is>
      </c>
      <c r="C65" s="5" t="inlineStr">
        <is>
          <t>Rs/month</t>
        </is>
      </c>
      <c r="D65" s="26" t="n">
        <v>8000</v>
      </c>
      <c r="E65" s="26" t="n">
        <v>5000</v>
      </c>
      <c r="F65" s="26" t="n">
        <v>3000</v>
      </c>
      <c r="G65" s="27">
        <f>IF(N65="Y",CHOOSE(Scenario,D65,E65,F65),E65)</f>
        <v/>
      </c>
      <c r="H65" s="5" t="inlineStr">
        <is>
          <t>Assumption</t>
        </is>
      </c>
      <c r="I65" s="5" t="inlineStr">
        <is>
          <t>L</t>
        </is>
      </c>
      <c r="J65" s="5" t="inlineStr">
        <is>
          <t>R5: per-km allowance not found</t>
        </is>
      </c>
      <c r="K65" s="5" t="inlineStr"/>
      <c r="L65" s="5" t="n">
        <v>0</v>
      </c>
      <c r="M65" s="5">
        <f>IF(AND(G65&gt;=MIN(D65,F65),G65&lt;=MAX(D65,F65)),0,1)</f>
        <v/>
      </c>
      <c r="N65" s="18" t="inlineStr">
        <is>
          <t>N</t>
        </is>
      </c>
    </row>
    <row r="66">
      <c r="A66" s="5" t="inlineStr">
        <is>
          <t>SalesOverheadPct</t>
        </is>
      </c>
      <c r="B66" s="7" t="inlineStr">
        <is>
          <t>Sales overhead loading on rep cost (manager, incentives, recruiting, tools)</t>
        </is>
      </c>
      <c r="C66" s="5" t="inlineStr">
        <is>
          <t>% of rep cost</t>
        </is>
      </c>
      <c r="D66" s="30" t="n">
        <v>0.4</v>
      </c>
      <c r="E66" s="30" t="n">
        <v>0.3</v>
      </c>
      <c r="F66" s="30" t="n">
        <v>0.2</v>
      </c>
      <c r="G66" s="31">
        <f>IF(N66="Y",CHOOSE(Scenario,D66,E66,F66),E66)</f>
        <v/>
      </c>
      <c r="H66" s="5" t="inlineStr">
        <is>
          <t>Assumption</t>
        </is>
      </c>
      <c r="I66" s="5" t="inlineStr">
        <is>
          <t>L</t>
        </is>
      </c>
      <c r="J66" s="5" t="inlineStr">
        <is>
          <t>R5: bottom-up CAC adds x1.3 / x1.2 / x1.0 for manager overhead plus an incentive; peers load CAC with 25-40%</t>
        </is>
      </c>
      <c r="K66" s="5" t="inlineStr">
        <is>
          <t>Audit 2026-10-22: new. Puts CAC inside the PS's Rs15-30k range</t>
        </is>
      </c>
      <c r="L66" s="5">
        <f>IF(OR(G66&lt;0,G66&gt;1),1,0)</f>
        <v/>
      </c>
      <c r="M66" s="5">
        <f>IF(AND(G66&gt;=MIN(D66,F66),G66&lt;=MAX(D66,F66)),0,1)</f>
        <v/>
      </c>
      <c r="N66" s="18" t="inlineStr">
        <is>
          <t>N</t>
        </is>
      </c>
    </row>
    <row r="67">
      <c r="A67" s="5" t="inlineStr">
        <is>
          <t>PilotsPerRepMonth</t>
        </is>
      </c>
      <c r="B67" s="7" t="inlineStr">
        <is>
          <t>Pilots started per rep per month (yearly avg)</t>
        </is>
      </c>
      <c r="C67" s="5" t="inlineStr">
        <is>
          <t>pilots</t>
        </is>
      </c>
      <c r="D67" s="34" t="n">
        <v>6</v>
      </c>
      <c r="E67" s="34" t="n">
        <v>10</v>
      </c>
      <c r="F67" s="34" t="n">
        <v>14</v>
      </c>
      <c r="G67" s="35">
        <f>IF(N67="Y",CHOOSE(Scenario,D67,E67,F67),E67)</f>
        <v/>
      </c>
      <c r="H67" s="5" t="inlineStr">
        <is>
          <t>Assumption</t>
        </is>
      </c>
      <c r="I67" s="5" t="inlineStr">
        <is>
          <t>L</t>
        </is>
      </c>
      <c r="J67" s="5" t="inlineStr">
        <is>
          <t>R5: SaaStr 20-50 deals/month is inside sales; cut for in-person Tier-2 demos; peak Mar-Jun</t>
        </is>
      </c>
      <c r="K67" s="5" t="inlineStr"/>
      <c r="L67" s="5" t="n">
        <v>0</v>
      </c>
      <c r="M67" s="5">
        <f>IF(AND(G67&gt;=MIN(D67,F67),G67&lt;=MAX(D67,F67)),0,1)</f>
        <v/>
      </c>
      <c r="N67" s="18" t="inlineStr">
        <is>
          <t>Y</t>
        </is>
      </c>
    </row>
    <row r="68">
      <c r="A68" s="5" t="inlineStr">
        <is>
          <t>PilotConv</t>
        </is>
      </c>
      <c r="B68" s="7" t="inlineStr">
        <is>
          <t>Pilot-to-paid conversion</t>
        </is>
      </c>
      <c r="C68" s="5" t="inlineStr">
        <is>
          <t>%</t>
        </is>
      </c>
      <c r="D68" s="30" t="n">
        <v>0.15</v>
      </c>
      <c r="E68" s="30" t="n">
        <v>0.3</v>
      </c>
      <c r="F68" s="30" t="n">
        <v>0.5</v>
      </c>
      <c r="G68" s="31">
        <f>IF(N68="Y",CHOOSE(Scenario,D68,E68,F68),E68)</f>
        <v/>
      </c>
      <c r="H68" s="5" t="inlineStr">
        <is>
          <t>Researched</t>
        </is>
      </c>
      <c r="I68" s="5" t="inlineStr">
        <is>
          <t>L</t>
        </is>
      </c>
      <c r="J68" s="5" t="inlineStr">
        <is>
          <t>R5: trial-to-paid 8% median / 18.2% opt-in / 48.8% opt-out (Userpilot 2026); assisted-pilot benchmark not found</t>
        </is>
      </c>
      <c r="K68" s="5" t="inlineStr"/>
      <c r="L68" s="5">
        <f>IF(OR(G68&lt;0,G68&gt;1),1,0)</f>
        <v/>
      </c>
      <c r="M68" s="5">
        <f>IF(AND(G68&gt;=MIN(D68,F68),G68&lt;=MAX(D68,F68)),0,1)</f>
        <v/>
      </c>
      <c r="N68" s="18" t="inlineStr">
        <is>
          <t>Y</t>
        </is>
      </c>
    </row>
    <row r="69">
      <c r="A69" s="5" t="inlineStr">
        <is>
          <t>PilotMonths</t>
        </is>
      </c>
      <c r="B69" s="7" t="inlineStr">
        <is>
          <t>Free pilot length</t>
        </is>
      </c>
      <c r="C69" s="5" t="inlineStr">
        <is>
          <t>months</t>
        </is>
      </c>
      <c r="D69" s="24" t="n">
        <v>2</v>
      </c>
      <c r="E69" s="24" t="n">
        <v>1</v>
      </c>
      <c r="F69" s="24" t="n">
        <v>1</v>
      </c>
      <c r="G69" s="25">
        <f>IF(N69="Y",CHOOSE(Scenario,D69,E69,F69),E69)</f>
        <v/>
      </c>
      <c r="H69" s="5" t="inlineStr">
        <is>
          <t>Assumption</t>
        </is>
      </c>
      <c r="I69" s="5" t="inlineStr">
        <is>
          <t>M</t>
        </is>
      </c>
      <c r="J69" s="5" t="inlineStr">
        <is>
          <t>FINANCE_PLAN s.3.2</t>
        </is>
      </c>
      <c r="K69" s="5" t="inlineStr"/>
      <c r="L69" s="5" t="n">
        <v>0</v>
      </c>
      <c r="M69" s="5">
        <f>IF(AND(G69&gt;=MIN(D69,F69),G69&lt;=MAX(D69,F69)),0,1)</f>
        <v/>
      </c>
      <c r="N69" s="18" t="inlineStr">
        <is>
          <t>N</t>
        </is>
      </c>
    </row>
    <row r="70">
      <c r="A70" s="5" t="inlineStr">
        <is>
          <t>PilotSetupCost</t>
        </is>
      </c>
      <c r="B70" s="7" t="inlineStr">
        <is>
          <t>Retro-pilot setup (import last year's Excel; show who left)</t>
        </is>
      </c>
      <c r="C70" s="5" t="inlineStr">
        <is>
          <t>Rs per pilot</t>
        </is>
      </c>
      <c r="D70" s="26" t="n">
        <v>5000</v>
      </c>
      <c r="E70" s="26" t="n">
        <v>3000</v>
      </c>
      <c r="F70" s="26" t="n">
        <v>1500</v>
      </c>
      <c r="G70" s="27">
        <f>IF(N70="Y",CHOOSE(Scenario,D70,E70,F70),E70)</f>
        <v/>
      </c>
      <c r="H70" s="5" t="inlineStr">
        <is>
          <t>Assumption</t>
        </is>
      </c>
      <c r="I70" s="5" t="inlineStr">
        <is>
          <t>L</t>
        </is>
      </c>
      <c r="J70" s="5" t="inlineStr">
        <is>
          <t>GTM design: light pilot; full onboarding only after conversion</t>
        </is>
      </c>
      <c r="K70" s="5" t="inlineStr">
        <is>
          <t>Primary research needed</t>
        </is>
      </c>
      <c r="L70" s="5" t="n">
        <v>0</v>
      </c>
      <c r="M70" s="5">
        <f>IF(AND(G70&gt;=MIN(D70,F70),G70&lt;=MAX(D70,F70)),0,1)</f>
        <v/>
      </c>
      <c r="N70" s="18" t="inlineStr">
        <is>
          <t>N</t>
        </is>
      </c>
    </row>
    <row r="71">
      <c r="A71" s="5" t="inlineStr">
        <is>
          <t>OnboardBase</t>
        </is>
      </c>
      <c r="B71" s="7" t="inlineStr">
        <is>
          <t>Onboarding cost per institute (mid)</t>
        </is>
      </c>
      <c r="C71" s="5" t="inlineStr">
        <is>
          <t>Rs</t>
        </is>
      </c>
      <c r="D71" s="26" t="n">
        <v>15000</v>
      </c>
      <c r="E71" s="26" t="n">
        <v>8000</v>
      </c>
      <c r="F71" s="26" t="n">
        <v>5000</v>
      </c>
      <c r="G71" s="27">
        <f>IF(N71="Y",CHOOSE(Scenario,D71,E71,F71),E71)</f>
        <v/>
      </c>
      <c r="H71" s="5" t="inlineStr">
        <is>
          <t>Guide</t>
        </is>
      </c>
      <c r="I71" s="5" t="inlineStr">
        <is>
          <t>L</t>
        </is>
      </c>
      <c r="J71" s="5" t="inlineStr">
        <is>
          <t>Case brief Rs5-10k; low-tech institutes higher</t>
        </is>
      </c>
      <c r="K71" s="5" t="inlineStr"/>
      <c r="L71" s="5" t="n">
        <v>0</v>
      </c>
      <c r="M71" s="5">
        <f>IF(AND(G71&gt;=MIN(D71,F71),G71&lt;=MAX(D71,F71)),0,1)</f>
        <v/>
      </c>
      <c r="N71" s="18" t="inlineStr">
        <is>
          <t>N</t>
        </is>
      </c>
    </row>
    <row r="72">
      <c r="A72" s="5" t="inlineStr">
        <is>
          <t>MarketingPerPaid</t>
        </is>
      </c>
      <c r="B72" s="7" t="inlineStr">
        <is>
          <t>Marketing spend per paid institute</t>
        </is>
      </c>
      <c r="C72" s="5" t="inlineStr">
        <is>
          <t>Rs</t>
        </is>
      </c>
      <c r="D72" s="26" t="n">
        <v>6000</v>
      </c>
      <c r="E72" s="26" t="n">
        <v>3000</v>
      </c>
      <c r="F72" s="26" t="n">
        <v>1000</v>
      </c>
      <c r="G72" s="27">
        <f>IF(N72="Y",CHOOSE(Scenario,D72,E72,F72),E72)</f>
        <v/>
      </c>
      <c r="H72" s="5" t="inlineStr">
        <is>
          <t>Assumption</t>
        </is>
      </c>
      <c r="I72" s="5" t="inlineStr">
        <is>
          <t>L</t>
        </is>
      </c>
      <c r="J72" s="5" t="inlineStr"/>
      <c r="K72" s="5" t="inlineStr"/>
      <c r="L72" s="5" t="n">
        <v>0</v>
      </c>
      <c r="M72" s="5">
        <f>IF(AND(G72&gt;=MIN(D72,F72),G72&lt;=MAX(D72,F72)),0,1)</f>
        <v/>
      </c>
      <c r="N72" s="18" t="inlineStr">
        <is>
          <t>N</t>
        </is>
      </c>
    </row>
    <row r="73">
      <c r="A73" s="5" t="inlineStr">
        <is>
          <t>ChannelCommission</t>
        </is>
      </c>
      <c r="B73" s="7" t="inlineStr">
        <is>
          <t>Channel-partner commission (share of year-1 revenue)</t>
        </is>
      </c>
      <c r="C73" s="5" t="inlineStr">
        <is>
          <t>% of year-1 revenue</t>
        </is>
      </c>
      <c r="D73" s="30" t="n">
        <v>0.3</v>
      </c>
      <c r="E73" s="30" t="n">
        <v>0.2</v>
      </c>
      <c r="F73" s="30" t="n">
        <v>0.15</v>
      </c>
      <c r="G73" s="31">
        <f>IF(N73="Y",CHOOSE(Scenario,D73,E73,F73),E73)</f>
        <v/>
      </c>
      <c r="H73" s="5" t="inlineStr">
        <is>
          <t>Assumption</t>
        </is>
      </c>
      <c r="I73" s="5" t="inlineStr">
        <is>
          <t>L</t>
        </is>
      </c>
      <c r="J73" s="5" t="inlineStr">
        <is>
          <t>FINANCE_PLAN s.3.2: 15-20% of year-1 revenue, 30% upper bound</t>
        </is>
      </c>
      <c r="K73" s="5" t="inlineStr">
        <is>
          <t>Used for the channel-vs-field comparison in Unit_Econ</t>
        </is>
      </c>
      <c r="L73" s="5">
        <f>IF(OR(G73&lt;0,G73&gt;1),1,0)</f>
        <v/>
      </c>
      <c r="M73" s="5">
        <f>IF(AND(G73&gt;=MIN(D73,F73),G73&lt;=MAX(D73,F73)),0,1)</f>
        <v/>
      </c>
      <c r="N73" s="18" t="inlineStr">
        <is>
          <t>N</t>
        </is>
      </c>
    </row>
    <row r="74">
      <c r="A74" s="5" t="inlineStr">
        <is>
          <t>ChurnInSeason</t>
        </is>
      </c>
      <c r="B74" s="7" t="inlineStr">
        <is>
          <t>Monthly logo churn for monthly payers</t>
        </is>
      </c>
      <c r="C74" s="5" t="inlineStr">
        <is>
          <t>%/month</t>
        </is>
      </c>
      <c r="D74" s="30" t="n">
        <v>0.05</v>
      </c>
      <c r="E74" s="30" t="n">
        <v>0.03</v>
      </c>
      <c r="F74" s="30" t="n">
        <v>0.015</v>
      </c>
      <c r="G74" s="31">
        <f>IF(N74="Y",CHOOSE(Scenario,D74,E74,F74),E74)</f>
        <v/>
      </c>
      <c r="H74" s="5" t="inlineStr">
        <is>
          <t>Researched</t>
        </is>
      </c>
      <c r="I74" s="5" t="inlineStr">
        <is>
          <t>L</t>
        </is>
      </c>
      <c r="J74" s="5" t="inlineStr">
        <is>
          <t>R5: ChartMogul 6.1%/month at ARPA &lt;$25 (2022); eChai India SMB 3-5%; SaaS Capital 2025 GRR 90%/yr</t>
        </is>
      </c>
      <c r="K74" s="5" t="inlineStr">
        <is>
          <t>Applied only to institutes not on annual prepay</t>
        </is>
      </c>
      <c r="L74" s="5">
        <f>IF(OR(G74&lt;0,G74&gt;1),1,0)</f>
        <v/>
      </c>
      <c r="M74" s="5">
        <f>IF(AND(G74&gt;=MIN(D74,F74),G74&lt;=MAX(D74,F74)),0,1)</f>
        <v/>
      </c>
      <c r="N74" s="18" t="inlineStr">
        <is>
          <t>Y</t>
        </is>
      </c>
    </row>
    <row r="75">
      <c r="A75" s="5" t="inlineStr">
        <is>
          <t>RenewalSpike</t>
        </is>
      </c>
      <c r="B75" s="7" t="inlineStr">
        <is>
          <t>Non-renewal at session end (annual)</t>
        </is>
      </c>
      <c r="C75" s="5" t="inlineStr">
        <is>
          <t>% of logos</t>
        </is>
      </c>
      <c r="D75" s="30" t="n">
        <v>0.3</v>
      </c>
      <c r="E75" s="30" t="n">
        <v>0.2</v>
      </c>
      <c r="F75" s="30" t="n">
        <v>0.1</v>
      </c>
      <c r="G75" s="31">
        <f>IF(N75="Y",CHOOSE(Scenario,D75,E75,F75),E75)</f>
        <v/>
      </c>
      <c r="H75" s="5" t="inlineStr">
        <is>
          <t>Assumption</t>
        </is>
      </c>
      <c r="I75" s="5" t="inlineStr">
        <is>
          <t>L</t>
        </is>
      </c>
      <c r="J75" s="5" t="inlineStr">
        <is>
          <t>R5: no benchmark found - answers the judges' post-exam churn question</t>
        </is>
      </c>
      <c r="K75" s="5" t="inlineStr">
        <is>
          <t>Spread over renewal months</t>
        </is>
      </c>
      <c r="L75" s="5">
        <f>IF(OR(G75&lt;0,G75&gt;1),1,0)</f>
        <v/>
      </c>
      <c r="M75" s="5">
        <f>IF(AND(G75&gt;=MIN(D75,F75),G75&lt;=MAX(D75,F75)),0,1)</f>
        <v/>
      </c>
      <c r="N75" s="18" t="inlineStr">
        <is>
          <t>Y</t>
        </is>
      </c>
    </row>
    <row r="76">
      <c r="A76" s="5" t="inlineStr">
        <is>
          <t>MinRenewTenure</t>
        </is>
      </c>
      <c r="B76" s="7" t="inlineStr">
        <is>
          <t>Months a customer must have paid before the first renewal decision</t>
        </is>
      </c>
      <c r="C76" s="5" t="inlineStr">
        <is>
          <t>months</t>
        </is>
      </c>
      <c r="D76" s="24" t="n">
        <v>9</v>
      </c>
      <c r="E76" s="24" t="n">
        <v>9</v>
      </c>
      <c r="F76" s="24" t="n">
        <v>9</v>
      </c>
      <c r="G76" s="25">
        <f>IF(N76="Y",CHOOSE(Scenario,D76,E76,F76),E76)</f>
        <v/>
      </c>
      <c r="H76" s="5" t="inlineStr">
        <is>
          <t>Structural</t>
        </is>
      </c>
      <c r="I76" s="5" t="inlineStr">
        <is>
          <t>M</t>
        </is>
      </c>
      <c r="J76" s="5" t="inlineStr">
        <is>
          <t>A customer signed in May cannot fail to renew in June; the first renewal is at the next session start</t>
        </is>
      </c>
      <c r="K76" s="5" t="inlineStr">
        <is>
          <t>Audit 2026-10-22: new. Fixes the renewal timing in Unit_Econ</t>
        </is>
      </c>
      <c r="L76" s="5" t="n">
        <v>0</v>
      </c>
      <c r="M76" s="5">
        <f>IF(AND(G76&gt;=MIN(D76,F76),G76&lt;=MAX(D76,F76)),0,1)</f>
        <v/>
      </c>
      <c r="N76" s="18" t="inlineStr">
        <is>
          <t>N</t>
        </is>
      </c>
    </row>
    <row r="77">
      <c r="A77" s="5" t="inlineStr">
        <is>
          <t>DiscountRate</t>
        </is>
      </c>
      <c r="B77" s="7" t="inlineStr">
        <is>
          <t>Discount rate for LTV</t>
        </is>
      </c>
      <c r="C77" s="5" t="inlineStr">
        <is>
          <t>%/yr</t>
        </is>
      </c>
      <c r="D77" s="30" t="n">
        <v>0.2</v>
      </c>
      <c r="E77" s="30" t="n">
        <v>0.2</v>
      </c>
      <c r="F77" s="30" t="n">
        <v>0.2</v>
      </c>
      <c r="G77" s="31">
        <f>IF(N77="Y",CHOOSE(Scenario,D77,E77,F77),E77)</f>
        <v/>
      </c>
      <c r="H77" s="5" t="inlineStr">
        <is>
          <t>Structural</t>
        </is>
      </c>
      <c r="I77" s="5" t="inlineStr">
        <is>
          <t>M</t>
        </is>
      </c>
      <c r="J77" s="5" t="inlineStr">
        <is>
          <t>Early-stage cost of capital convention</t>
        </is>
      </c>
      <c r="K77" s="5" t="inlineStr"/>
      <c r="L77" s="5">
        <f>IF(OR(G77&lt;0,G77&gt;1),1,0)</f>
        <v/>
      </c>
      <c r="M77" s="5">
        <f>IF(AND(G77&gt;=MIN(D77,F77),G77&lt;=MAX(D77,F77)),0,1)</f>
        <v/>
      </c>
      <c r="N77" s="18" t="inlineStr">
        <is>
          <t>N</t>
        </is>
      </c>
    </row>
    <row r="78">
      <c r="A78" s="5" t="inlineStr">
        <is>
          <t>StartMonth</t>
        </is>
      </c>
      <c r="B78" s="7" t="inlineStr">
        <is>
          <t>Paid start month (1 = April)</t>
        </is>
      </c>
      <c r="C78" s="5" t="inlineStr">
        <is>
          <t>month #</t>
        </is>
      </c>
      <c r="D78" s="24" t="n">
        <v>2</v>
      </c>
      <c r="E78" s="24" t="n">
        <v>2</v>
      </c>
      <c r="F78" s="24" t="n">
        <v>2</v>
      </c>
      <c r="G78" s="25">
        <f>IF(N78="Y",CHOOSE(Scenario,D78,E78,F78),E78)</f>
        <v/>
      </c>
      <c r="H78" s="5" t="inlineStr">
        <is>
          <t>Structural</t>
        </is>
      </c>
      <c r="I78" s="5" t="inlineStr">
        <is>
          <t>M</t>
        </is>
      </c>
      <c r="J78" s="5" t="inlineStr">
        <is>
          <t>Sales peak Mar-Jun; paid from May after a 1-month pilot</t>
        </is>
      </c>
      <c r="K78" s="5" t="inlineStr"/>
      <c r="L78" s="5" t="n">
        <v>0</v>
      </c>
      <c r="M78" s="5">
        <f>IF(AND(G78&gt;=MIN(D78,F78),G78&lt;=MAX(D78,F78)),0,1)</f>
        <v/>
      </c>
      <c r="N78" s="18" t="inlineStr">
        <is>
          <t>N</t>
        </is>
      </c>
    </row>
    <row r="79">
      <c r="A79" s="22" t="inlineStr">
        <is>
          <t>Team</t>
        </is>
      </c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</row>
    <row r="80">
      <c r="A80" s="5" t="inlineStr">
        <is>
          <t>Founders</t>
        </is>
      </c>
      <c r="B80" s="7" t="inlineStr">
        <is>
          <t>Founders drawing a stipend</t>
        </is>
      </c>
      <c r="C80" s="5" t="inlineStr">
        <is>
          <t>people</t>
        </is>
      </c>
      <c r="D80" s="24" t="n">
        <v>3</v>
      </c>
      <c r="E80" s="24" t="n">
        <v>3</v>
      </c>
      <c r="F80" s="24" t="n">
        <v>3</v>
      </c>
      <c r="G80" s="25">
        <f>IF(N80="Y",CHOOSE(Scenario,D80,E80,F80),E80)</f>
        <v/>
      </c>
      <c r="H80" s="5" t="inlineStr">
        <is>
          <t>Assumption</t>
        </is>
      </c>
      <c r="I80" s="5" t="inlineStr">
        <is>
          <t>M</t>
        </is>
      </c>
      <c r="J80" s="5" t="inlineStr">
        <is>
          <t>Owner decision</t>
        </is>
      </c>
      <c r="K80" s="5" t="inlineStr"/>
      <c r="L80" s="5" t="n">
        <v>0</v>
      </c>
      <c r="M80" s="5">
        <f>IF(AND(G80&gt;=MIN(D80,F80),G80&lt;=MAX(D80,F80)),0,1)</f>
        <v/>
      </c>
      <c r="N80" s="18" t="inlineStr">
        <is>
          <t>N</t>
        </is>
      </c>
    </row>
    <row r="81">
      <c r="A81" s="5" t="inlineStr">
        <is>
          <t>FounderStipend</t>
        </is>
      </c>
      <c r="B81" s="7" t="inlineStr">
        <is>
          <t>Founder stipend per month</t>
        </is>
      </c>
      <c r="C81" s="5" t="inlineStr">
        <is>
          <t>Rs/month</t>
        </is>
      </c>
      <c r="D81" s="26" t="n">
        <v>30000</v>
      </c>
      <c r="E81" s="26" t="n">
        <v>20000</v>
      </c>
      <c r="F81" s="26" t="n">
        <v>15000</v>
      </c>
      <c r="G81" s="27">
        <f>IF(N81="Y",CHOOSE(Scenario,D81,E81,F81),E81)</f>
        <v/>
      </c>
      <c r="H81" s="5" t="inlineStr">
        <is>
          <t>Assumption</t>
        </is>
      </c>
      <c r="I81" s="5" t="inlineStr">
        <is>
          <t>M</t>
        </is>
      </c>
      <c r="J81" s="5" t="inlineStr">
        <is>
          <t>Owner decision</t>
        </is>
      </c>
      <c r="K81" s="5" t="inlineStr"/>
      <c r="L81" s="5" t="n">
        <v>0</v>
      </c>
      <c r="M81" s="5">
        <f>IF(AND(G81&gt;=MIN(D81,F81),G81&lt;=MAX(D81,F81)),0,1)</f>
        <v/>
      </c>
      <c r="N81" s="18" t="inlineStr">
        <is>
          <t>N</t>
        </is>
      </c>
    </row>
    <row r="82">
      <c r="A82" s="5" t="inlineStr">
        <is>
          <t>EngineersY1</t>
        </is>
      </c>
      <c r="B82" s="7" t="inlineStr">
        <is>
          <t>Engineers in year 1</t>
        </is>
      </c>
      <c r="C82" s="5" t="inlineStr">
        <is>
          <t>people</t>
        </is>
      </c>
      <c r="D82" s="24" t="n">
        <v>1</v>
      </c>
      <c r="E82" s="24" t="n">
        <v>1</v>
      </c>
      <c r="F82" s="24" t="n">
        <v>1</v>
      </c>
      <c r="G82" s="25">
        <f>IF(N82="Y",CHOOSE(Scenario,D82,E82,F82),E82)</f>
        <v/>
      </c>
      <c r="H82" s="5" t="inlineStr">
        <is>
          <t>Assumption</t>
        </is>
      </c>
      <c r="I82" s="5" t="inlineStr">
        <is>
          <t>M</t>
        </is>
      </c>
      <c r="J82" s="5" t="inlineStr"/>
      <c r="K82" s="5" t="inlineStr">
        <is>
          <t>Hiring plan is a decision, so Bear = Base = Bull</t>
        </is>
      </c>
      <c r="L82" s="5" t="n">
        <v>0</v>
      </c>
      <c r="M82" s="5">
        <f>IF(AND(G82&gt;=MIN(D82,F82),G82&lt;=MAX(D82,F82)),0,1)</f>
        <v/>
      </c>
      <c r="N82" s="18" t="inlineStr">
        <is>
          <t>N</t>
        </is>
      </c>
    </row>
    <row r="83">
      <c r="A83" s="5" t="inlineStr">
        <is>
          <t>EngineerCTC</t>
        </is>
      </c>
      <c r="B83" s="7" t="inlineStr">
        <is>
          <t>Engineer monthly CTC</t>
        </is>
      </c>
      <c r="C83" s="5" t="inlineStr">
        <is>
          <t>Rs/month</t>
        </is>
      </c>
      <c r="D83" s="26" t="n">
        <v>67000</v>
      </c>
      <c r="E83" s="26" t="n">
        <v>50000</v>
      </c>
      <c r="F83" s="26" t="n">
        <v>35000</v>
      </c>
      <c r="G83" s="27">
        <f>IF(N83="Y",CHOOSE(Scenario,D83,E83,F83),E83)</f>
        <v/>
      </c>
      <c r="H83" s="5" t="inlineStr">
        <is>
          <t>Researched</t>
        </is>
      </c>
      <c r="I83" s="5" t="inlineStr">
        <is>
          <t>L</t>
        </is>
      </c>
      <c r="J83" s="5" t="inlineStr">
        <is>
          <t>R5: Glassdoor Jaipur Rs6L/yr; Indore Rs6-8L/yr (1-3 yrs)</t>
        </is>
      </c>
      <c r="K83" s="5" t="inlineStr"/>
      <c r="L83" s="5" t="n">
        <v>0</v>
      </c>
      <c r="M83" s="5">
        <f>IF(AND(G83&gt;=MIN(D83,F83),G83&lt;=MAX(D83,F83)),0,1)</f>
        <v/>
      </c>
      <c r="N83" s="18" t="inlineStr">
        <is>
          <t>N</t>
        </is>
      </c>
    </row>
    <row r="84">
      <c r="A84" s="5" t="inlineStr">
        <is>
          <t>ToolsOpex</t>
        </is>
      </c>
      <c r="B84" s="7" t="inlineStr">
        <is>
          <t>Tools / office / legal per month</t>
        </is>
      </c>
      <c r="C84" s="5" t="inlineStr">
        <is>
          <t>Rs/month</t>
        </is>
      </c>
      <c r="D84" s="26" t="n">
        <v>20000</v>
      </c>
      <c r="E84" s="26" t="n">
        <v>12000</v>
      </c>
      <c r="F84" s="26" t="n">
        <v>8000</v>
      </c>
      <c r="G84" s="27">
        <f>IF(N84="Y",CHOOSE(Scenario,D84,E84,F84),E84)</f>
        <v/>
      </c>
      <c r="H84" s="5" t="inlineStr">
        <is>
          <t>Assumption</t>
        </is>
      </c>
      <c r="I84" s="5" t="inlineStr">
        <is>
          <t>L</t>
        </is>
      </c>
      <c r="J84" s="5" t="inlineStr"/>
      <c r="K84" s="5" t="inlineStr"/>
      <c r="L84" s="5" t="n">
        <v>0</v>
      </c>
      <c r="M84" s="5">
        <f>IF(AND(G84&gt;=MIN(D84,F84),G84&lt;=MAX(D84,F84)),0,1)</f>
        <v/>
      </c>
      <c r="N84" s="18" t="inlineStr">
        <is>
          <t>N</t>
        </is>
      </c>
    </row>
    <row r="85">
      <c r="A85" s="22" t="inlineStr">
        <is>
          <t>Guide</t>
        </is>
      </c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</row>
    <row r="86">
      <c r="A86" s="5" t="inlineStr">
        <is>
          <t>G_Students</t>
        </is>
      </c>
      <c r="B86" s="7" t="inlineStr">
        <is>
          <t>Guide: students</t>
        </is>
      </c>
      <c r="C86" s="5" t="inlineStr">
        <is>
          <t>students</t>
        </is>
      </c>
      <c r="D86" s="24" t="n">
        <v>400</v>
      </c>
      <c r="E86" s="24" t="n">
        <v>400</v>
      </c>
      <c r="F86" s="24" t="n">
        <v>400</v>
      </c>
      <c r="G86" s="25">
        <f>IF(N86="Y",CHOOSE(Scenario,D86,E86,F86),E86)</f>
        <v/>
      </c>
      <c r="H86" s="5" t="inlineStr">
        <is>
          <t>Guide</t>
        </is>
      </c>
      <c r="I86" s="5" t="inlineStr">
        <is>
          <t>H</t>
        </is>
      </c>
      <c r="J86" s="5" t="inlineStr">
        <is>
          <t>Case brief</t>
        </is>
      </c>
      <c r="K86" s="5" t="inlineStr"/>
      <c r="L86" s="5" t="n">
        <v>0</v>
      </c>
      <c r="M86" s="5">
        <f>IF(AND(G86&gt;=MIN(D86,F86),G86&lt;=MAX(D86,F86)),0,1)</f>
        <v/>
      </c>
      <c r="N86" s="18" t="inlineStr">
        <is>
          <t>N</t>
        </is>
      </c>
    </row>
    <row r="87">
      <c r="A87" s="5" t="inlineStr">
        <is>
          <t>G_Fee</t>
        </is>
      </c>
      <c r="B87" s="7" t="inlineStr">
        <is>
          <t>Guide: annual fee per student</t>
        </is>
      </c>
      <c r="C87" s="5" t="inlineStr">
        <is>
          <t>Rs/yr</t>
        </is>
      </c>
      <c r="D87" s="26" t="n">
        <v>60000</v>
      </c>
      <c r="E87" s="26" t="n">
        <v>60000</v>
      </c>
      <c r="F87" s="26" t="n">
        <v>60000</v>
      </c>
      <c r="G87" s="27">
        <f>IF(N87="Y",CHOOSE(Scenario,D87,E87,F87),E87)</f>
        <v/>
      </c>
      <c r="H87" s="5" t="inlineStr">
        <is>
          <t>Guide</t>
        </is>
      </c>
      <c r="I87" s="5" t="inlineStr">
        <is>
          <t>H</t>
        </is>
      </c>
      <c r="J87" s="5" t="inlineStr">
        <is>
          <t>Case brief</t>
        </is>
      </c>
      <c r="K87" s="5" t="inlineStr">
        <is>
          <t>Used for the PS's own platform-cost-as-%-of-fee figure</t>
        </is>
      </c>
      <c r="L87" s="5" t="n">
        <v>0</v>
      </c>
      <c r="M87" s="5">
        <f>IF(AND(G87&gt;=MIN(D87,F87),G87&lt;=MAX(D87,F87)),0,1)</f>
        <v/>
      </c>
      <c r="N87" s="18" t="inlineStr">
        <is>
          <t>N</t>
        </is>
      </c>
    </row>
    <row r="88">
      <c r="A88" s="5" t="inlineStr">
        <is>
          <t>G_Dropout</t>
        </is>
      </c>
      <c r="B88" s="7" t="inlineStr">
        <is>
          <t>Guide: dropout rate</t>
        </is>
      </c>
      <c r="C88" s="5" t="inlineStr">
        <is>
          <t>%</t>
        </is>
      </c>
      <c r="D88" s="30" t="n">
        <v>0.12</v>
      </c>
      <c r="E88" s="30" t="n">
        <v>0.12</v>
      </c>
      <c r="F88" s="30" t="n">
        <v>0.12</v>
      </c>
      <c r="G88" s="31">
        <f>IF(N88="Y",CHOOSE(Scenario,D88,E88,F88),E88)</f>
        <v/>
      </c>
      <c r="H88" s="5" t="inlineStr">
        <is>
          <t>Guide</t>
        </is>
      </c>
      <c r="I88" s="5" t="inlineStr">
        <is>
          <t>H</t>
        </is>
      </c>
      <c r="J88" s="5" t="inlineStr">
        <is>
          <t>Case brief</t>
        </is>
      </c>
      <c r="K88" s="5" t="inlineStr"/>
      <c r="L88" s="5">
        <f>IF(OR(G88&lt;0,G88&gt;1),1,0)</f>
        <v/>
      </c>
      <c r="M88" s="5">
        <f>IF(AND(G88&gt;=MIN(D88,F88),G88&lt;=MAX(D88,F88)),0,1)</f>
        <v/>
      </c>
      <c r="N88" s="18" t="inlineStr">
        <is>
          <t>N</t>
        </is>
      </c>
    </row>
    <row r="89">
      <c r="A89" s="5" t="inlineStr">
        <is>
          <t>G_RemainingFee</t>
        </is>
      </c>
      <c r="B89" s="7" t="inlineStr">
        <is>
          <t>Guide: remaining fee per dropout</t>
        </is>
      </c>
      <c r="C89" s="5" t="inlineStr">
        <is>
          <t>Rs</t>
        </is>
      </c>
      <c r="D89" s="26" t="n">
        <v>36000</v>
      </c>
      <c r="E89" s="26" t="n">
        <v>36000</v>
      </c>
      <c r="F89" s="26" t="n">
        <v>36000</v>
      </c>
      <c r="G89" s="27">
        <f>IF(N89="Y",CHOOSE(Scenario,D89,E89,F89),E89)</f>
        <v/>
      </c>
      <c r="H89" s="5" t="inlineStr">
        <is>
          <t>Guide</t>
        </is>
      </c>
      <c r="I89" s="5" t="inlineStr">
        <is>
          <t>H</t>
        </is>
      </c>
      <c r="J89" s="5" t="inlineStr">
        <is>
          <t>Case brief</t>
        </is>
      </c>
      <c r="K89" s="5" t="inlineStr"/>
      <c r="L89" s="5" t="n">
        <v>0</v>
      </c>
      <c r="M89" s="5">
        <f>IF(AND(G89&gt;=MIN(D89,F89),G89&lt;=MAX(D89,F89)),0,1)</f>
        <v/>
      </c>
      <c r="N89" s="18" t="inlineStr">
        <is>
          <t>N</t>
        </is>
      </c>
    </row>
    <row r="90">
      <c r="A90" s="5" t="inlineStr">
        <is>
          <t>G_Prevent</t>
        </is>
      </c>
      <c r="B90" s="7" t="inlineStr">
        <is>
          <t>Guide: share of dropouts prevented</t>
        </is>
      </c>
      <c r="C90" s="5" t="inlineStr">
        <is>
          <t>%</t>
        </is>
      </c>
      <c r="D90" s="30" t="n">
        <v>0.25</v>
      </c>
      <c r="E90" s="30" t="n">
        <v>0.25</v>
      </c>
      <c r="F90" s="30" t="n">
        <v>0.25</v>
      </c>
      <c r="G90" s="31">
        <f>IF(N90="Y",CHOOSE(Scenario,D90,E90,F90),E90)</f>
        <v/>
      </c>
      <c r="H90" s="5" t="inlineStr">
        <is>
          <t>Guide</t>
        </is>
      </c>
      <c r="I90" s="5" t="inlineStr">
        <is>
          <t>H</t>
        </is>
      </c>
      <c r="J90" s="5" t="inlineStr">
        <is>
          <t>Case brief</t>
        </is>
      </c>
      <c r="K90" s="5" t="inlineStr"/>
      <c r="L90" s="5">
        <f>IF(OR(G90&lt;0,G90&gt;1),1,0)</f>
        <v/>
      </c>
      <c r="M90" s="5">
        <f>IF(AND(G90&gt;=MIN(D90,F90),G90&lt;=MAX(D90,F90)),0,1)</f>
        <v/>
      </c>
      <c r="N90" s="18" t="inlineStr">
        <is>
          <t>N</t>
        </is>
      </c>
    </row>
    <row r="91">
      <c r="A91" s="5" t="inlineStr">
        <is>
          <t>G_Price</t>
        </is>
      </c>
      <c r="B91" s="7" t="inlineStr">
        <is>
          <t>Guide: price per student per month</t>
        </is>
      </c>
      <c r="C91" s="5" t="inlineStr">
        <is>
          <t>Rs</t>
        </is>
      </c>
      <c r="D91" s="26" t="n">
        <v>40</v>
      </c>
      <c r="E91" s="26" t="n">
        <v>40</v>
      </c>
      <c r="F91" s="26" t="n">
        <v>40</v>
      </c>
      <c r="G91" s="27">
        <f>IF(N91="Y",CHOOSE(Scenario,D91,E91,F91),E91)</f>
        <v/>
      </c>
      <c r="H91" s="5" t="inlineStr">
        <is>
          <t>Guide</t>
        </is>
      </c>
      <c r="I91" s="5" t="inlineStr">
        <is>
          <t>H</t>
        </is>
      </c>
      <c r="J91" s="5" t="inlineStr">
        <is>
          <t>Case brief</t>
        </is>
      </c>
      <c r="K91" s="5" t="inlineStr"/>
      <c r="L91" s="5" t="n">
        <v>0</v>
      </c>
      <c r="M91" s="5">
        <f>IF(AND(G91&gt;=MIN(D91,F91),G91&lt;=MAX(D91,F91)),0,1)</f>
        <v/>
      </c>
      <c r="N91" s="18" t="inlineStr">
        <is>
          <t>N</t>
        </is>
      </c>
    </row>
    <row r="92">
      <c r="A92" s="5" t="inlineStr">
        <is>
          <t>G_Months</t>
        </is>
      </c>
      <c r="B92" s="7" t="inlineStr">
        <is>
          <t>Guide: billing months per year</t>
        </is>
      </c>
      <c r="C92" s="5" t="inlineStr">
        <is>
          <t>months</t>
        </is>
      </c>
      <c r="D92" s="24" t="n">
        <v>12</v>
      </c>
      <c r="E92" s="24" t="n">
        <v>12</v>
      </c>
      <c r="F92" s="24" t="n">
        <v>12</v>
      </c>
      <c r="G92" s="25">
        <f>IF(N92="Y",CHOOSE(Scenario,D92,E92,F92),E92)</f>
        <v/>
      </c>
      <c r="H92" s="5" t="inlineStr">
        <is>
          <t>Guide</t>
        </is>
      </c>
      <c r="I92" s="5" t="inlineStr">
        <is>
          <t>H</t>
        </is>
      </c>
      <c r="J92" s="5" t="inlineStr">
        <is>
          <t>Case brief</t>
        </is>
      </c>
      <c r="K92" s="5" t="inlineStr"/>
      <c r="L92" s="5" t="n">
        <v>0</v>
      </c>
      <c r="M92" s="5">
        <f>IF(AND(G92&gt;=MIN(D92,F92),G92&lt;=MAX(D92,F92)),0,1)</f>
        <v/>
      </c>
      <c r="N92" s="18" t="inlineStr">
        <is>
          <t>N</t>
        </is>
      </c>
    </row>
    <row r="93">
      <c r="A93" s="5" t="inlineStr">
        <is>
          <t>G_Infra</t>
        </is>
      </c>
      <c r="B93" s="7" t="inlineStr">
        <is>
          <t>Guide: infra + AI per student per month</t>
        </is>
      </c>
      <c r="C93" s="5" t="inlineStr">
        <is>
          <t>Rs</t>
        </is>
      </c>
      <c r="D93" s="26" t="n">
        <v>6</v>
      </c>
      <c r="E93" s="26" t="n">
        <v>6</v>
      </c>
      <c r="F93" s="26" t="n">
        <v>6</v>
      </c>
      <c r="G93" s="27">
        <f>IF(N93="Y",CHOOSE(Scenario,D93,E93,F93),E93)</f>
        <v/>
      </c>
      <c r="H93" s="5" t="inlineStr">
        <is>
          <t>Guide</t>
        </is>
      </c>
      <c r="I93" s="5" t="inlineStr">
        <is>
          <t>H</t>
        </is>
      </c>
      <c r="J93" s="5" t="inlineStr">
        <is>
          <t>Case brief</t>
        </is>
      </c>
      <c r="K93" s="5" t="inlineStr"/>
      <c r="L93" s="5" t="n">
        <v>0</v>
      </c>
      <c r="M93" s="5">
        <f>IF(AND(G93&gt;=MIN(D93,F93),G93&lt;=MAX(D93,F93)),0,1)</f>
        <v/>
      </c>
      <c r="N93" s="18" t="inlineStr">
        <is>
          <t>N</t>
        </is>
      </c>
    </row>
    <row r="94">
      <c r="A94" s="5" t="inlineStr">
        <is>
          <t>G_Support</t>
        </is>
      </c>
      <c r="B94" s="7" t="inlineStr">
        <is>
          <t>Guide: support per institute per month</t>
        </is>
      </c>
      <c r="C94" s="5" t="inlineStr">
        <is>
          <t>Rs</t>
        </is>
      </c>
      <c r="D94" s="26" t="n">
        <v>3000</v>
      </c>
      <c r="E94" s="26" t="n">
        <v>3000</v>
      </c>
      <c r="F94" s="26" t="n">
        <v>3000</v>
      </c>
      <c r="G94" s="27">
        <f>IF(N94="Y",CHOOSE(Scenario,D94,E94,F94),E94)</f>
        <v/>
      </c>
      <c r="H94" s="5" t="inlineStr">
        <is>
          <t>Guide</t>
        </is>
      </c>
      <c r="I94" s="5" t="inlineStr">
        <is>
          <t>H</t>
        </is>
      </c>
      <c r="J94" s="5" t="inlineStr">
        <is>
          <t>Case brief</t>
        </is>
      </c>
      <c r="K94" s="5" t="inlineStr"/>
      <c r="L94" s="5" t="n">
        <v>0</v>
      </c>
      <c r="M94" s="5">
        <f>IF(AND(G94&gt;=MIN(D94,F94),G94&lt;=MAX(D94,F94)),0,1)</f>
        <v/>
      </c>
      <c r="N94" s="18" t="inlineStr">
        <is>
          <t>N</t>
        </is>
      </c>
    </row>
    <row r="95">
      <c r="A95" s="5" t="inlineStr">
        <is>
          <t>G_CAC</t>
        </is>
      </c>
      <c r="B95" s="7" t="inlineStr">
        <is>
          <t>Guide: CAC</t>
        </is>
      </c>
      <c r="C95" s="5" t="inlineStr">
        <is>
          <t>Rs</t>
        </is>
      </c>
      <c r="D95" s="26" t="n">
        <v>25000</v>
      </c>
      <c r="E95" s="26" t="n">
        <v>25000</v>
      </c>
      <c r="F95" s="26" t="n">
        <v>25000</v>
      </c>
      <c r="G95" s="27">
        <f>IF(N95="Y",CHOOSE(Scenario,D95,E95,F95),E95)</f>
        <v/>
      </c>
      <c r="H95" s="5" t="inlineStr">
        <is>
          <t>Guide</t>
        </is>
      </c>
      <c r="I95" s="5" t="inlineStr">
        <is>
          <t>H</t>
        </is>
      </c>
      <c r="J95" s="5" t="inlineStr">
        <is>
          <t>Case brief</t>
        </is>
      </c>
      <c r="K95" s="5" t="inlineStr"/>
      <c r="L95" s="5" t="n">
        <v>0</v>
      </c>
      <c r="M95" s="5">
        <f>IF(AND(G95&gt;=MIN(D95,F95),G95&lt;=MAX(D95,F95)),0,1)</f>
        <v/>
      </c>
      <c r="N95" s="18" t="inlineStr">
        <is>
          <t>N</t>
        </is>
      </c>
    </row>
    <row r="96">
      <c r="A96" s="5" t="inlineStr">
        <is>
          <t>G_Onboard</t>
        </is>
      </c>
      <c r="B96" s="7" t="inlineStr">
        <is>
          <t>Guide: onboarding</t>
        </is>
      </c>
      <c r="C96" s="5" t="inlineStr">
        <is>
          <t>Rs</t>
        </is>
      </c>
      <c r="D96" s="26" t="n">
        <v>8000</v>
      </c>
      <c r="E96" s="26" t="n">
        <v>8000</v>
      </c>
      <c r="F96" s="26" t="n">
        <v>8000</v>
      </c>
      <c r="G96" s="27">
        <f>IF(N96="Y",CHOOSE(Scenario,D96,E96,F96),E96)</f>
        <v/>
      </c>
      <c r="H96" s="5" t="inlineStr">
        <is>
          <t>Guide</t>
        </is>
      </c>
      <c r="I96" s="5" t="inlineStr">
        <is>
          <t>H</t>
        </is>
      </c>
      <c r="J96" s="5" t="inlineStr">
        <is>
          <t>Case brief</t>
        </is>
      </c>
      <c r="K96" s="5" t="inlineStr"/>
      <c r="L96" s="5" t="n">
        <v>0</v>
      </c>
      <c r="M96" s="5">
        <f>IF(AND(G96&gt;=MIN(D96,F96),G96&lt;=MAX(D96,F96)),0,1)</f>
        <v/>
      </c>
      <c r="N96" s="18" t="inlineStr">
        <is>
          <t>N</t>
        </is>
      </c>
    </row>
    <row r="97">
      <c r="A97" s="5" t="inlineStr">
        <is>
          <t>G_Churn</t>
        </is>
      </c>
      <c r="B97" s="7" t="inlineStr">
        <is>
          <t>Guide: monthly churn</t>
        </is>
      </c>
      <c r="C97" s="5" t="inlineStr">
        <is>
          <t>%</t>
        </is>
      </c>
      <c r="D97" s="30" t="n">
        <v>0.03</v>
      </c>
      <c r="E97" s="30" t="n">
        <v>0.03</v>
      </c>
      <c r="F97" s="30" t="n">
        <v>0.03</v>
      </c>
      <c r="G97" s="31">
        <f>IF(N97="Y",CHOOSE(Scenario,D97,E97,F97),E97)</f>
        <v/>
      </c>
      <c r="H97" s="5" t="inlineStr">
        <is>
          <t>Guide</t>
        </is>
      </c>
      <c r="I97" s="5" t="inlineStr">
        <is>
          <t>H</t>
        </is>
      </c>
      <c r="J97" s="5" t="inlineStr">
        <is>
          <t>Case brief</t>
        </is>
      </c>
      <c r="K97" s="5" t="inlineStr"/>
      <c r="L97" s="5">
        <f>IF(OR(G97&lt;0,G97&gt;1),1,0)</f>
        <v/>
      </c>
      <c r="M97" s="5">
        <f>IF(AND(G97&gt;=MIN(D97,F97),G97&lt;=MAX(D97,F97)),0,1)</f>
        <v/>
      </c>
      <c r="N97" s="18" t="inlineStr">
        <is>
          <t>N</t>
        </is>
      </c>
    </row>
    <row r="98">
      <c r="A98" s="22" t="inlineStr">
        <is>
          <t>Projection</t>
        </is>
      </c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</row>
    <row r="99">
      <c r="A99" s="5" t="inlineStr">
        <is>
          <t>SegMix_S</t>
        </is>
      </c>
      <c r="B99" s="7" t="inlineStr">
        <is>
          <t>Share of new institutes that are Small</t>
        </is>
      </c>
      <c r="C99" s="5" t="inlineStr">
        <is>
          <t>% of new logos</t>
        </is>
      </c>
      <c r="D99" s="30" t="n">
        <v>0.55</v>
      </c>
      <c r="E99" s="30" t="n">
        <v>0.45</v>
      </c>
      <c r="F99" s="30" t="n">
        <v>0.35</v>
      </c>
      <c r="G99" s="31">
        <f>IF(N99="Y",CHOOSE(Scenario,D99,E99,F99),E99)</f>
        <v/>
      </c>
      <c r="H99" s="5" t="inlineStr">
        <is>
          <t>Assumption</t>
        </is>
      </c>
      <c r="I99" s="5" t="inlineStr">
        <is>
          <t>L</t>
        </is>
      </c>
      <c r="J99" s="5" t="inlineStr">
        <is>
          <t>Size distribution of Tier-2/3 institutes not found (R7 gap); skewed to small</t>
        </is>
      </c>
      <c r="K99" s="5" t="inlineStr">
        <is>
          <t>Bear = more small institutes</t>
        </is>
      </c>
      <c r="L99" s="5">
        <f>IF(OR(G99&lt;0,G99&gt;1),1,0)</f>
        <v/>
      </c>
      <c r="M99" s="5">
        <f>IF(AND(G99&gt;=MIN(D99,F99),G99&lt;=MAX(D99,F99)),0,1)</f>
        <v/>
      </c>
      <c r="N99" s="18" t="inlineStr">
        <is>
          <t>N</t>
        </is>
      </c>
    </row>
    <row r="100">
      <c r="A100" s="5" t="inlineStr">
        <is>
          <t>SegMix_M</t>
        </is>
      </c>
      <c r="B100" s="7" t="inlineStr">
        <is>
          <t>Share of new institutes that are Mid</t>
        </is>
      </c>
      <c r="C100" s="5" t="inlineStr">
        <is>
          <t>% of new logos</t>
        </is>
      </c>
      <c r="D100" s="30" t="n">
        <v>0.35</v>
      </c>
      <c r="E100" s="30" t="n">
        <v>0.4</v>
      </c>
      <c r="F100" s="30" t="n">
        <v>0.45</v>
      </c>
      <c r="G100" s="31">
        <f>IF(N100="Y",CHOOSE(Scenario,D100,E100,F100),E100)</f>
        <v/>
      </c>
      <c r="H100" s="5" t="inlineStr">
        <is>
          <t>Assumption</t>
        </is>
      </c>
      <c r="I100" s="5" t="inlineStr">
        <is>
          <t>L</t>
        </is>
      </c>
      <c r="J100" s="5" t="inlineStr">
        <is>
          <t>As above</t>
        </is>
      </c>
      <c r="K100" s="5" t="inlineStr">
        <is>
          <t>The three shares must sum to 100%</t>
        </is>
      </c>
      <c r="L100" s="5">
        <f>IF(OR(G100&lt;0,G100&gt;1),1,0)</f>
        <v/>
      </c>
      <c r="M100" s="5">
        <f>IF(AND(G100&gt;=MIN(D100,F100),G100&lt;=MAX(D100,F100)),0,1)</f>
        <v/>
      </c>
      <c r="N100" s="18" t="inlineStr">
        <is>
          <t>N</t>
        </is>
      </c>
    </row>
    <row r="101">
      <c r="A101" s="5" t="inlineStr">
        <is>
          <t>SegMix_L</t>
        </is>
      </c>
      <c r="B101" s="7" t="inlineStr">
        <is>
          <t>Share of new institutes that are Large</t>
        </is>
      </c>
      <c r="C101" s="5" t="inlineStr">
        <is>
          <t>% of new logos</t>
        </is>
      </c>
      <c r="D101" s="30" t="n">
        <v>0.1</v>
      </c>
      <c r="E101" s="30" t="n">
        <v>0.15</v>
      </c>
      <c r="F101" s="30" t="n">
        <v>0.2</v>
      </c>
      <c r="G101" s="31">
        <f>IF(N101="Y",CHOOSE(Scenario,D101,E101,F101),E101)</f>
        <v/>
      </c>
      <c r="H101" s="5" t="inlineStr">
        <is>
          <t>Assumption</t>
        </is>
      </c>
      <c r="I101" s="5" t="inlineStr">
        <is>
          <t>L</t>
        </is>
      </c>
      <c r="J101" s="5" t="inlineStr">
        <is>
          <t>As above</t>
        </is>
      </c>
      <c r="K101" s="5" t="inlineStr">
        <is>
          <t>The three shares must sum to 100%</t>
        </is>
      </c>
      <c r="L101" s="5">
        <f>IF(OR(G101&lt;0,G101&gt;1),1,0)</f>
        <v/>
      </c>
      <c r="M101" s="5">
        <f>IF(AND(G101&gt;=MIN(D101,F101),G101&lt;=MAX(D101,F101)),0,1)</f>
        <v/>
      </c>
      <c r="N101" s="18" t="inlineStr">
        <is>
          <t>N</t>
        </is>
      </c>
    </row>
    <row r="102">
      <c r="A102" s="5" t="inlineStr">
        <is>
          <t>RepsY1</t>
        </is>
      </c>
      <c r="B102" s="7" t="inlineStr">
        <is>
          <t>Field sales reps in year 1</t>
        </is>
      </c>
      <c r="C102" s="5" t="inlineStr">
        <is>
          <t>people</t>
        </is>
      </c>
      <c r="D102" s="24" t="n">
        <v>1</v>
      </c>
      <c r="E102" s="24" t="n">
        <v>1</v>
      </c>
      <c r="F102" s="24" t="n">
        <v>1</v>
      </c>
      <c r="G102" s="25">
        <f>IF(N102="Y",CHOOSE(Scenario,D102,E102,F102),E102)</f>
        <v/>
      </c>
      <c r="H102" s="5" t="inlineStr">
        <is>
          <t>Assumption</t>
        </is>
      </c>
      <c r="I102" s="5" t="inlineStr">
        <is>
          <t>M</t>
        </is>
      </c>
      <c r="J102" s="5" t="inlineStr">
        <is>
          <t>Owner decision; the founders also sell</t>
        </is>
      </c>
      <c r="K102" s="5" t="inlineStr">
        <is>
          <t>Decision: Bear = Base = Bull</t>
        </is>
      </c>
      <c r="L102" s="5" t="n">
        <v>0</v>
      </c>
      <c r="M102" s="5">
        <f>IF(AND(G102&gt;=MIN(D102,F102),G102&lt;=MAX(D102,F102)),0,1)</f>
        <v/>
      </c>
      <c r="N102" s="18" t="inlineStr">
        <is>
          <t>N</t>
        </is>
      </c>
    </row>
    <row r="103">
      <c r="A103" s="5" t="inlineStr">
        <is>
          <t>RepsY2</t>
        </is>
      </c>
      <c r="B103" s="7" t="inlineStr">
        <is>
          <t>Field sales reps in year 2</t>
        </is>
      </c>
      <c r="C103" s="5" t="inlineStr">
        <is>
          <t>people</t>
        </is>
      </c>
      <c r="D103" s="24" t="n">
        <v>1</v>
      </c>
      <c r="E103" s="24" t="n">
        <v>1</v>
      </c>
      <c r="F103" s="24" t="n">
        <v>1</v>
      </c>
      <c r="G103" s="25">
        <f>IF(N103="Y",CHOOSE(Scenario,D103,E103,F103),E103)</f>
        <v/>
      </c>
      <c r="H103" s="5" t="inlineStr">
        <is>
          <t>Assumption</t>
        </is>
      </c>
      <c r="I103" s="5" t="inlineStr">
        <is>
          <t>M</t>
        </is>
      </c>
      <c r="J103" s="5" t="inlineStr">
        <is>
          <t>Owner decision</t>
        </is>
      </c>
      <c r="K103" s="5" t="inlineStr">
        <is>
          <t>Audit: held at 1. At 8% of the market one rep exhausts the cap in about 3 years; a second rep only helps after the territory grows</t>
        </is>
      </c>
      <c r="L103" s="5" t="n">
        <v>0</v>
      </c>
      <c r="M103" s="5">
        <f>IF(AND(G103&gt;=MIN(D103,F103),G103&lt;=MAX(D103,F103)),0,1)</f>
        <v/>
      </c>
      <c r="N103" s="18" t="inlineStr">
        <is>
          <t>N</t>
        </is>
      </c>
    </row>
    <row r="104">
      <c r="A104" s="5" t="inlineStr">
        <is>
          <t>RepsY3</t>
        </is>
      </c>
      <c r="B104" s="7" t="inlineStr">
        <is>
          <t>Field sales reps in year 3</t>
        </is>
      </c>
      <c r="C104" s="5" t="inlineStr">
        <is>
          <t>people</t>
        </is>
      </c>
      <c r="D104" s="24" t="n">
        <v>1</v>
      </c>
      <c r="E104" s="24" t="n">
        <v>1</v>
      </c>
      <c r="F104" s="24" t="n">
        <v>1</v>
      </c>
      <c r="G104" s="25">
        <f>IF(N104="Y",CHOOSE(Scenario,D104,E104,F104),E104)</f>
        <v/>
      </c>
      <c r="H104" s="5" t="inlineStr">
        <is>
          <t>Assumption</t>
        </is>
      </c>
      <c r="I104" s="5" t="inlineStr">
        <is>
          <t>M</t>
        </is>
      </c>
      <c r="J104" s="5" t="inlineStr">
        <is>
          <t>Owner decision; capped by the addressable market, see Projection</t>
        </is>
      </c>
      <c r="K104" s="5" t="inlineStr">
        <is>
          <t>Audit: held at 1 for the same reason. Growth beyond this needs new territory or exams, not more reps</t>
        </is>
      </c>
      <c r="L104" s="5" t="n">
        <v>0</v>
      </c>
      <c r="M104" s="5">
        <f>IF(AND(G104&gt;=MIN(D104,F104),G104&lt;=MAX(D104,F104)),0,1)</f>
        <v/>
      </c>
      <c r="N104" s="18" t="inlineStr">
        <is>
          <t>N</t>
        </is>
      </c>
    </row>
    <row r="105">
      <c r="A105" s="5" t="inlineStr">
        <is>
          <t>EngineersY2</t>
        </is>
      </c>
      <c r="B105" s="7" t="inlineStr">
        <is>
          <t>Engineers in year 2</t>
        </is>
      </c>
      <c r="C105" s="5" t="inlineStr">
        <is>
          <t>people</t>
        </is>
      </c>
      <c r="D105" s="24" t="n">
        <v>2</v>
      </c>
      <c r="E105" s="24" t="n">
        <v>2</v>
      </c>
      <c r="F105" s="24" t="n">
        <v>2</v>
      </c>
      <c r="G105" s="25">
        <f>IF(N105="Y",CHOOSE(Scenario,D105,E105,F105),E105)</f>
        <v/>
      </c>
      <c r="H105" s="5" t="inlineStr">
        <is>
          <t>Assumption</t>
        </is>
      </c>
      <c r="I105" s="5" t="inlineStr">
        <is>
          <t>M</t>
        </is>
      </c>
      <c r="J105" s="5" t="inlineStr">
        <is>
          <t>Owner decision</t>
        </is>
      </c>
      <c r="K105" s="5" t="inlineStr">
        <is>
          <t>Decision</t>
        </is>
      </c>
      <c r="L105" s="5" t="n">
        <v>0</v>
      </c>
      <c r="M105" s="5">
        <f>IF(AND(G105&gt;=MIN(D105,F105),G105&lt;=MAX(D105,F105)),0,1)</f>
        <v/>
      </c>
      <c r="N105" s="18" t="inlineStr">
        <is>
          <t>N</t>
        </is>
      </c>
    </row>
    <row r="106">
      <c r="A106" s="5" t="inlineStr">
        <is>
          <t>EngineersY3</t>
        </is>
      </c>
      <c r="B106" s="7" t="inlineStr">
        <is>
          <t>Engineers in year 3</t>
        </is>
      </c>
      <c r="C106" s="5" t="inlineStr">
        <is>
          <t>people</t>
        </is>
      </c>
      <c r="D106" s="24" t="n">
        <v>2</v>
      </c>
      <c r="E106" s="24" t="n">
        <v>2</v>
      </c>
      <c r="F106" s="24" t="n">
        <v>2</v>
      </c>
      <c r="G106" s="25">
        <f>IF(N106="Y",CHOOSE(Scenario,D106,E106,F106),E106)</f>
        <v/>
      </c>
      <c r="H106" s="5" t="inlineStr">
        <is>
          <t>Assumption</t>
        </is>
      </c>
      <c r="I106" s="5" t="inlineStr">
        <is>
          <t>M</t>
        </is>
      </c>
      <c r="J106" s="5" t="inlineStr">
        <is>
          <t>Owner decision</t>
        </is>
      </c>
      <c r="K106" s="5" t="inlineStr">
        <is>
          <t>Decision</t>
        </is>
      </c>
      <c r="L106" s="5" t="n">
        <v>0</v>
      </c>
      <c r="M106" s="5">
        <f>IF(AND(G106&gt;=MIN(D106,F106),G106&lt;=MAX(D106,F106)),0,1)</f>
        <v/>
      </c>
      <c r="N106" s="18" t="inlineStr">
        <is>
          <t>N</t>
        </is>
      </c>
    </row>
    <row r="107">
      <c r="A107" s="5" t="inlineStr">
        <is>
          <t>RDFloorPct</t>
        </is>
      </c>
      <c r="B107" s="7" t="inlineStr">
        <is>
          <t>Minimum product and engineering spend as a share of revenue</t>
        </is>
      </c>
      <c r="C107" s="5" t="inlineStr">
        <is>
          <t>% of revenue</t>
        </is>
      </c>
      <c r="D107" s="30" t="n">
        <v>0.15</v>
      </c>
      <c r="E107" s="30" t="n">
        <v>0.15</v>
      </c>
      <c r="F107" s="30" t="n">
        <v>0.15</v>
      </c>
      <c r="G107" s="31">
        <f>IF(N107="Y",CHOOSE(Scenario,D107,E107,F107),E107)</f>
        <v/>
      </c>
      <c r="H107" s="5" t="inlineStr">
        <is>
          <t>Assumption</t>
        </is>
      </c>
      <c r="I107" s="5" t="inlineStr">
        <is>
          <t>L</t>
        </is>
      </c>
      <c r="J107" s="5" t="inlineStr">
        <is>
          <t>CFO convention: a SaaS business spends well over 10% of revenue on product and about 8% on overheads as it scales</t>
        </is>
      </c>
      <c r="K107" s="5" t="inlineStr">
        <is>
          <t>Costs must scale with revenue: planned engineers are the floor, this share of revenue is the other floor</t>
        </is>
      </c>
      <c r="L107" s="5">
        <f>IF(OR(G107&lt;0,G107&gt;1),1,0)</f>
        <v/>
      </c>
      <c r="M107" s="5">
        <f>IF(AND(G107&gt;=MIN(D107,F107),G107&lt;=MAX(D107,F107)),0,1)</f>
        <v/>
      </c>
      <c r="N107" s="18" t="inlineStr">
        <is>
          <t>N</t>
        </is>
      </c>
    </row>
    <row r="108">
      <c r="A108" s="5" t="inlineStr">
        <is>
          <t>GAFloorPct</t>
        </is>
      </c>
      <c r="B108" s="7" t="inlineStr">
        <is>
          <t>Minimum founders' and general costs as a share of revenue</t>
        </is>
      </c>
      <c r="C108" s="5" t="inlineStr">
        <is>
          <t>% of revenue</t>
        </is>
      </c>
      <c r="D108" s="30" t="n">
        <v>0.08</v>
      </c>
      <c r="E108" s="30" t="n">
        <v>0.08</v>
      </c>
      <c r="F108" s="30" t="n">
        <v>0.08</v>
      </c>
      <c r="G108" s="31">
        <f>IF(N108="Y",CHOOSE(Scenario,D108,E108,F108),E108)</f>
        <v/>
      </c>
      <c r="H108" s="5" t="inlineStr">
        <is>
          <t>Assumption</t>
        </is>
      </c>
      <c r="I108" s="5" t="inlineStr">
        <is>
          <t>L</t>
        </is>
      </c>
      <c r="J108" s="5" t="inlineStr">
        <is>
          <t>CFO convention: a SaaS business spends well over 10% of revenue on product and about 8% on overheads as it scales</t>
        </is>
      </c>
      <c r="K108" s="5" t="inlineStr">
        <is>
          <t>Audit 2026-10-22: stops a fast-growth case from showing an unrealistic margin</t>
        </is>
      </c>
      <c r="L108" s="5">
        <f>IF(OR(G108&lt;0,G108&gt;1),1,0)</f>
        <v/>
      </c>
      <c r="M108" s="5">
        <f>IF(AND(G108&gt;=MIN(D108,F108),G108&lt;=MAX(D108,F108)),0,1)</f>
        <v/>
      </c>
      <c r="N108" s="18" t="inlineStr">
        <is>
          <t>N</t>
        </is>
      </c>
    </row>
    <row r="109">
      <c r="A109" s="5" t="inlineStr">
        <is>
          <t>SalaryInflation</t>
        </is>
      </c>
      <c r="B109" s="7" t="inlineStr">
        <is>
          <t>Annual salary and cost inflation</t>
        </is>
      </c>
      <c r="C109" s="5" t="inlineStr">
        <is>
          <t>%/yr</t>
        </is>
      </c>
      <c r="D109" s="30" t="n">
        <v>0.1</v>
      </c>
      <c r="E109" s="30" t="n">
        <v>0.08</v>
      </c>
      <c r="F109" s="30" t="n">
        <v>0.06</v>
      </c>
      <c r="G109" s="31">
        <f>IF(N109="Y",CHOOSE(Scenario,D109,E109,F109),E109)</f>
        <v/>
      </c>
      <c r="H109" s="5" t="inlineStr">
        <is>
          <t>Assumption</t>
        </is>
      </c>
      <c r="I109" s="5" t="inlineStr">
        <is>
          <t>M</t>
        </is>
      </c>
      <c r="J109" s="5" t="inlineStr">
        <is>
          <t>Indian wage inflation convention</t>
        </is>
      </c>
      <c r="K109" s="5" t="inlineStr">
        <is>
          <t>Applied from year 2</t>
        </is>
      </c>
      <c r="L109" s="5">
        <f>IF(OR(G109&lt;0,G109&gt;1),1,0)</f>
        <v/>
      </c>
      <c r="M109" s="5">
        <f>IF(AND(G109&gt;=MIN(D109,F109),G109&lt;=MAX(D109,F109)),0,1)</f>
        <v/>
      </c>
      <c r="N109" s="18" t="inlineStr">
        <is>
          <t>N</t>
        </is>
      </c>
    </row>
    <row r="110">
      <c r="A110" s="5" t="inlineStr">
        <is>
          <t>DaysToCollect</t>
        </is>
      </c>
      <c r="B110" s="7" t="inlineStr">
        <is>
          <t>Days to collect an invoice (receivables)</t>
        </is>
      </c>
      <c r="C110" s="5" t="inlineStr">
        <is>
          <t>days</t>
        </is>
      </c>
      <c r="D110" s="24" t="n">
        <v>60</v>
      </c>
      <c r="E110" s="24" t="n">
        <v>30</v>
      </c>
      <c r="F110" s="24" t="n">
        <v>15</v>
      </c>
      <c r="G110" s="25">
        <f>IF(N110="Y",CHOOSE(Scenario,D110,E110,F110),E110)</f>
        <v/>
      </c>
      <c r="H110" s="5" t="inlineStr">
        <is>
          <t>Assumption</t>
        </is>
      </c>
      <c r="I110" s="5" t="inlineStr">
        <is>
          <t>L</t>
        </is>
      </c>
      <c r="J110" s="5" t="inlineStr">
        <is>
          <t>FINANCE_PLAN s.3.2: small businesses pay late</t>
        </is>
      </c>
      <c r="K110" s="5" t="inlineStr">
        <is>
          <t>Early collection from annual prepay is not credited (conservative)</t>
        </is>
      </c>
      <c r="L110" s="5" t="n">
        <v>0</v>
      </c>
      <c r="M110" s="5">
        <f>IF(AND(G110&gt;=MIN(D110,F110),G110&lt;=MAX(D110,F110)),0,1)</f>
        <v/>
      </c>
      <c r="N110" s="18" t="inlineStr">
        <is>
          <t>N</t>
        </is>
      </c>
    </row>
    <row r="111">
      <c r="A111" s="5" t="inlineStr">
        <is>
          <t>HireEquipment</t>
        </is>
      </c>
      <c r="B111" s="7" t="inlineStr">
        <is>
          <t>Laptop and set-up cost per new hire</t>
        </is>
      </c>
      <c r="C111" s="5" t="inlineStr">
        <is>
          <t>Rs/hire</t>
        </is>
      </c>
      <c r="D111" s="26" t="n">
        <v>70000</v>
      </c>
      <c r="E111" s="26" t="n">
        <v>50000</v>
      </c>
      <c r="F111" s="26" t="n">
        <v>40000</v>
      </c>
      <c r="G111" s="27">
        <f>IF(N111="Y",CHOOSE(Scenario,D111,E111,F111),E111)</f>
        <v/>
      </c>
      <c r="H111" s="5" t="inlineStr">
        <is>
          <t>Assumption</t>
        </is>
      </c>
      <c r="I111" s="5" t="inlineStr">
        <is>
          <t>M</t>
        </is>
      </c>
      <c r="J111" s="5" t="inlineStr">
        <is>
          <t>Market price of a business laptop plus accessories</t>
        </is>
      </c>
      <c r="K111" s="5" t="inlineStr">
        <is>
          <t>One-off cash cost</t>
        </is>
      </c>
      <c r="L111" s="5" t="n">
        <v>0</v>
      </c>
      <c r="M111" s="5">
        <f>IF(AND(G111&gt;=MIN(D111,F111),G111&lt;=MAX(D111,F111)),0,1)</f>
        <v/>
      </c>
      <c r="N111" s="18" t="inlineStr">
        <is>
          <t>N</t>
        </is>
      </c>
    </row>
    <row r="112">
      <c r="A112" s="5" t="inlineStr">
        <is>
          <t>CashBufferMonths</t>
        </is>
      </c>
      <c r="B112" s="7" t="inlineStr">
        <is>
          <t>Minimum cash buffer, in months of costs</t>
        </is>
      </c>
      <c r="C112" s="5" t="inlineStr">
        <is>
          <t>months</t>
        </is>
      </c>
      <c r="D112" s="24" t="n">
        <v>3</v>
      </c>
      <c r="E112" s="24" t="n">
        <v>3</v>
      </c>
      <c r="F112" s="24" t="n">
        <v>3</v>
      </c>
      <c r="G112" s="25">
        <f>IF(N112="Y",CHOOSE(Scenario,D112,E112,F112),E112)</f>
        <v/>
      </c>
      <c r="H112" s="5" t="inlineStr">
        <is>
          <t>Structural</t>
        </is>
      </c>
      <c r="I112" s="5" t="inlineStr">
        <is>
          <t>M</t>
        </is>
      </c>
      <c r="J112" s="5" t="inlineStr">
        <is>
          <t>Standard start-up runway rule</t>
        </is>
      </c>
      <c r="K112" s="5" t="inlineStr">
        <is>
          <t>Funding ask = peak cash deficit + this buffer</t>
        </is>
      </c>
      <c r="L112" s="5" t="n">
        <v>0</v>
      </c>
      <c r="M112" s="5">
        <f>IF(AND(G112&gt;=MIN(D112,F112),G112&lt;=MAX(D112,F112)),0,1)</f>
        <v/>
      </c>
      <c r="N112" s="18" t="inlineStr">
        <is>
          <t>N</t>
        </is>
      </c>
    </row>
    <row r="113">
      <c r="A113" s="5" t="inlineStr">
        <is>
          <t>AddressableInstitutes</t>
        </is>
      </c>
      <c r="B113" s="7" t="inlineStr">
        <is>
          <t>Addressable institutes (SAM): independent, 150-2,000 students, five states</t>
        </is>
      </c>
      <c r="C113" s="5" t="inlineStr">
        <is>
          <t>institutes</t>
        </is>
      </c>
      <c r="D113" s="24" t="n">
        <v>600</v>
      </c>
      <c r="E113" s="24" t="n">
        <v>1180</v>
      </c>
      <c r="F113" s="24" t="n">
        <v>2000</v>
      </c>
      <c r="G113" s="25">
        <f>IF(N113="Y",CHOOSE(Scenario,D113,E113,F113),E113)</f>
        <v/>
      </c>
      <c r="H113" s="5" t="inlineStr">
        <is>
          <t>Assumption</t>
        </is>
      </c>
      <c r="I113" s="5" t="inlineStr">
        <is>
          <t>L</t>
        </is>
      </c>
      <c r="J113" s="5" t="inlineStr">
        <is>
          <t>R7 derivation (research/R7_market_size.md): Bihar+UP 170/740/2,600 extended to Rajasthan+MP+Jharkhand 240/1,180/4,700. Base = the extended-state Base. Bear and Bull are geometric midpoints between Base and the research extremes (about the 25th/75th percentile, not the 5th/95th). Five states cover the PS's cities (Patna, Lucknow, Kota, Jaipur, Indore)</t>
        </is>
      </c>
      <c r="K113" s="5" t="inlineStr">
        <is>
          <t>Audit 2026-10-22: the research extremes (240 and 4,700) multiplied with the penetration extremes gave 7 customers in Bear, a tail event. Derived, mostly assumption: no institute counts by size exist. Replace after 10-15 owner calls</t>
        </is>
      </c>
      <c r="L113" s="5" t="n">
        <v>0</v>
      </c>
      <c r="M113" s="5">
        <f>IF(AND(G113&gt;=MIN(D113,F113),G113&lt;=MAX(D113,F113)),0,1)</f>
        <v/>
      </c>
      <c r="N113" s="18" t="inlineStr">
        <is>
          <t>Y</t>
        </is>
      </c>
    </row>
    <row r="114">
      <c r="A114" s="5" t="inlineStr">
        <is>
          <t>MaxPenetration</t>
        </is>
      </c>
      <c r="B114" s="7" t="inlineStr">
        <is>
          <t>Maximum share of SAM won in 3 years (cumulative new logos)</t>
        </is>
      </c>
      <c r="C114" s="5" t="inlineStr">
        <is>
          <t>% of SAM</t>
        </is>
      </c>
      <c r="D114" s="30" t="n">
        <v>0.05</v>
      </c>
      <c r="E114" s="30" t="n">
        <v>0.08</v>
      </c>
      <c r="F114" s="30" t="n">
        <v>0.12</v>
      </c>
      <c r="G114" s="31">
        <f>IF(N114="Y",CHOOSE(Scenario,D114,E114,F114),E114)</f>
        <v/>
      </c>
      <c r="H114" s="5" t="inlineStr">
        <is>
          <t>Assumption</t>
        </is>
      </c>
      <c r="I114" s="5" t="inlineStr">
        <is>
          <t>L</t>
        </is>
      </c>
      <c r="J114" s="5" t="inlineStr">
        <is>
          <t>R7: no denominators found for Classplus/Teachmint/Vyapar (Classplus claimed 3,500 centres in about 2 years with a free COVID-era product); 8% Base is R7's recommendation, Bear/Bull narrowed to 5%/12% so the market range is not double-extreme</t>
        </is>
      </c>
      <c r="K114" s="5" t="inlineStr">
        <is>
          <t>Audit 2026-10-22. The single biggest lever on the 3-year result</t>
        </is>
      </c>
      <c r="L114" s="5">
        <f>IF(OR(G114&lt;0,G114&gt;1),1,0)</f>
        <v/>
      </c>
      <c r="M114" s="5">
        <f>IF(AND(G114&gt;=MIN(D114,F114),G114&lt;=MAX(D114,F114)),0,1)</f>
        <v/>
      </c>
      <c r="N114" s="18" t="inlineStr">
        <is>
          <t>Y</t>
        </is>
      </c>
    </row>
  </sheetData>
  <dataValidations count="1">
    <dataValidation sqref="N5:N114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8" customWidth="1" min="4" max="4"/>
    <col width="22" customWidth="1" min="5" max="5"/>
    <col width="70" customWidth="1" min="6" max="6"/>
  </cols>
  <sheetData>
    <row r="1">
      <c r="A1" s="1" t="inlineStr">
        <is>
          <t>Seasonality, dropout timing and the 60-month timeline</t>
        </is>
      </c>
    </row>
    <row r="2">
      <c r="A2" s="2" t="inlineStr">
        <is>
          <t>Session month 1 = April. Blue cells are inputs (currently assumptions, see Source).</t>
        </is>
      </c>
    </row>
    <row r="3">
      <c r="A3" s="36" t="inlineStr">
        <is>
          <t>A. Active-student index and renewal (churn) months</t>
        </is>
      </c>
    </row>
    <row r="4">
      <c r="A4" s="6" t="inlineStr">
        <is>
          <t>No.</t>
        </is>
      </c>
      <c r="B4" s="6" t="inlineStr">
        <is>
          <t>Month</t>
        </is>
      </c>
      <c r="C4" s="6" t="inlineStr">
        <is>
          <t>Active-student index</t>
        </is>
      </c>
      <c r="D4" s="6" t="inlineStr">
        <is>
          <t>Renewal month (1/0)</t>
        </is>
      </c>
      <c r="E4" s="6" t="inlineStr">
        <is>
          <t>Sales intensity index</t>
        </is>
      </c>
      <c r="F4" s="6" t="inlineStr">
        <is>
          <t>Source</t>
        </is>
      </c>
    </row>
    <row r="5">
      <c r="A5" s="7" t="n">
        <v>1</v>
      </c>
      <c r="B5" s="7" t="inlineStr">
        <is>
          <t>Apr</t>
        </is>
      </c>
      <c r="C5" s="28" t="n">
        <v>0.85</v>
      </c>
      <c r="D5" s="37" t="n">
        <v>1</v>
      </c>
      <c r="E5" s="34" t="n">
        <v>1.6</v>
      </c>
      <c r="F5" s="5" t="inlineStr">
        <is>
          <t>Assumption (L): new session starts; admissions still coming in | flag: Assumption: renewal decision for the new session | sales index: Assumption: PS Section 7 'sales cycle peaks before the new session (March-June)'; mean 1.0</t>
        </is>
      </c>
    </row>
    <row r="6">
      <c r="A6" s="7" t="n">
        <v>2</v>
      </c>
      <c r="B6" s="7" t="inlineStr">
        <is>
          <t>May</t>
        </is>
      </c>
      <c r="C6" s="28" t="n">
        <v>0.95</v>
      </c>
      <c r="D6" s="37" t="n">
        <v>1</v>
      </c>
      <c r="E6" s="34" t="n">
        <v>2</v>
      </c>
      <c r="F6" s="5" t="inlineStr">
        <is>
          <t>Assumption (L) | flag: Assumption</t>
        </is>
      </c>
    </row>
    <row r="7">
      <c r="A7" s="7" t="n">
        <v>3</v>
      </c>
      <c r="B7" s="7" t="inlineStr">
        <is>
          <t>Jun</t>
        </is>
      </c>
      <c r="C7" s="28" t="n">
        <v>1</v>
      </c>
      <c r="D7" s="37" t="n">
        <v>0</v>
      </c>
      <c r="E7" s="34" t="n">
        <v>1.7</v>
      </c>
      <c r="F7" s="5" t="inlineStr">
        <is>
          <t>Assumption (L)</t>
        </is>
      </c>
    </row>
    <row r="8">
      <c r="A8" s="7" t="n">
        <v>4</v>
      </c>
      <c r="B8" s="7" t="inlineStr">
        <is>
          <t>Jul</t>
        </is>
      </c>
      <c r="C8" s="28" t="n">
        <v>1</v>
      </c>
      <c r="D8" s="37" t="n">
        <v>0</v>
      </c>
      <c r="E8" s="34" t="n">
        <v>1</v>
      </c>
      <c r="F8" s="5" t="inlineStr">
        <is>
          <t>Assumption (L)</t>
        </is>
      </c>
    </row>
    <row r="9">
      <c r="A9" s="7" t="n">
        <v>5</v>
      </c>
      <c r="B9" s="7" t="inlineStr">
        <is>
          <t>Aug</t>
        </is>
      </c>
      <c r="C9" s="28" t="n">
        <v>1</v>
      </c>
      <c r="D9" s="37" t="n">
        <v>0</v>
      </c>
      <c r="E9" s="34" t="n">
        <v>0.7</v>
      </c>
      <c r="F9" s="5" t="inlineStr">
        <is>
          <t>Assumption (L)</t>
        </is>
      </c>
    </row>
    <row r="10">
      <c r="A10" s="7" t="n">
        <v>6</v>
      </c>
      <c r="B10" s="7" t="inlineStr">
        <is>
          <t>Sep</t>
        </is>
      </c>
      <c r="C10" s="28" t="n">
        <v>1</v>
      </c>
      <c r="D10" s="37" t="n">
        <v>0</v>
      </c>
      <c r="E10" s="34" t="n">
        <v>0.6</v>
      </c>
      <c r="F10" s="5" t="inlineStr">
        <is>
          <t>Assumption (L)</t>
        </is>
      </c>
    </row>
    <row r="11">
      <c r="A11" s="7" t="n">
        <v>7</v>
      </c>
      <c r="B11" s="7" t="inlineStr">
        <is>
          <t>Oct</t>
        </is>
      </c>
      <c r="C11" s="28" t="n">
        <v>0.98</v>
      </c>
      <c r="D11" s="37" t="n">
        <v>0</v>
      </c>
      <c r="E11" s="34" t="n">
        <v>0.5</v>
      </c>
      <c r="F11" s="5" t="inlineStr">
        <is>
          <t>Assumption (L): dropouts start reducing roster</t>
        </is>
      </c>
    </row>
    <row r="12">
      <c r="A12" s="7" t="n">
        <v>8</v>
      </c>
      <c r="B12" s="7" t="inlineStr">
        <is>
          <t>Nov</t>
        </is>
      </c>
      <c r="C12" s="28" t="n">
        <v>0.96</v>
      </c>
      <c r="D12" s="37" t="n">
        <v>0</v>
      </c>
      <c r="E12" s="34" t="n">
        <v>0.5</v>
      </c>
      <c r="F12" s="5" t="inlineStr">
        <is>
          <t>Assumption (L)</t>
        </is>
      </c>
    </row>
    <row r="13">
      <c r="A13" s="7" t="n">
        <v>9</v>
      </c>
      <c r="B13" s="7" t="inlineStr">
        <is>
          <t>Dec</t>
        </is>
      </c>
      <c r="C13" s="28" t="n">
        <v>0.93</v>
      </c>
      <c r="D13" s="37" t="n">
        <v>0</v>
      </c>
      <c r="E13" s="34" t="n">
        <v>0.4</v>
      </c>
      <c r="F13" s="5" t="inlineStr">
        <is>
          <t>Assumption (L)</t>
        </is>
      </c>
    </row>
    <row r="14">
      <c r="A14" s="7" t="n">
        <v>10</v>
      </c>
      <c r="B14" s="7" t="inlineStr">
        <is>
          <t>Jan</t>
        </is>
      </c>
      <c r="C14" s="28" t="n">
        <v>0.85</v>
      </c>
      <c r="D14" s="37" t="n">
        <v>0</v>
      </c>
      <c r="E14" s="34" t="n">
        <v>0.5</v>
      </c>
      <c r="F14" s="5" t="inlineStr">
        <is>
          <t>Assumption (L): JEE Main Jan; 12th students thin out</t>
        </is>
      </c>
    </row>
    <row r="15">
      <c r="A15" s="7" t="n">
        <v>11</v>
      </c>
      <c r="B15" s="7" t="inlineStr">
        <is>
          <t>Feb</t>
        </is>
      </c>
      <c r="C15" s="28" t="n">
        <v>0.6</v>
      </c>
      <c r="D15" s="37" t="n">
        <v>0</v>
      </c>
      <c r="E15" s="34" t="n">
        <v>0.8</v>
      </c>
      <c r="F15" s="5" t="inlineStr">
        <is>
          <t>Assumption (L): board exams</t>
        </is>
      </c>
    </row>
    <row r="16">
      <c r="A16" s="7" t="n">
        <v>12</v>
      </c>
      <c r="B16" s="7" t="inlineStr">
        <is>
          <t>Mar</t>
        </is>
      </c>
      <c r="C16" s="28" t="n">
        <v>0.45</v>
      </c>
      <c r="D16" s="37" t="n">
        <v>1</v>
      </c>
      <c r="E16" s="34" t="n">
        <v>1.7</v>
      </c>
      <c r="F16" s="5" t="inlineStr">
        <is>
          <t>Assumption (L): boards end; session over for 12th | flag: Assumption: post-exam churn window</t>
        </is>
      </c>
    </row>
    <row r="18">
      <c r="B18" s="7" t="inlineStr">
        <is>
          <t>Renewal months per year</t>
        </is>
      </c>
      <c r="C18" s="38">
        <f>SUM(Season_Flag)</f>
        <v/>
      </c>
    </row>
    <row r="20">
      <c r="A20" s="36" t="inlineStr">
        <is>
          <t>B. When in the course students drop out</t>
        </is>
      </c>
    </row>
    <row r="21">
      <c r="A21" s="6" t="inlineStr">
        <is>
          <t>Course month</t>
        </is>
      </c>
      <c r="B21" s="6" t="inlineStr"/>
      <c r="C21" s="6" t="inlineStr">
        <is>
          <t>Share of dropouts</t>
        </is>
      </c>
      <c r="D21" s="6" t="inlineStr">
        <is>
          <t>Share of course left</t>
        </is>
      </c>
      <c r="E21" s="6" t="inlineStr">
        <is>
          <t>Source</t>
        </is>
      </c>
    </row>
    <row r="22">
      <c r="A22" s="7" t="n">
        <v>1</v>
      </c>
      <c r="B22" s="5" t="inlineStr">
        <is>
          <t>Course month 1</t>
        </is>
      </c>
      <c r="C22" s="30" t="n">
        <v>0.03</v>
      </c>
      <c r="D22" s="39">
        <f>MAX(0,(CourseMonths-A22)/CourseMonths)</f>
        <v/>
      </c>
      <c r="E22" s="5" t="inlineStr">
        <is>
          <t>Assumption (L): PS Section 7 'highest in first 4-5 months'; tech generator peak months 3-4 (43% of dropouts there, FEASIBILITY_CHECK s.6). Audit 2026-10-22: was front-loaded (30% in months 1-2)</t>
        </is>
      </c>
    </row>
    <row r="23">
      <c r="A23" s="7" t="n">
        <v>2</v>
      </c>
      <c r="B23" s="5" t="inlineStr">
        <is>
          <t>Course month 2</t>
        </is>
      </c>
      <c r="C23" s="30" t="n">
        <v>0.1</v>
      </c>
      <c r="D23" s="39">
        <f>MAX(0,(CourseMonths-A23)/CourseMonths)</f>
        <v/>
      </c>
      <c r="E23" s="5" t="inlineStr">
        <is>
          <t>Assumption (L): same curve</t>
        </is>
      </c>
    </row>
    <row r="24">
      <c r="A24" s="7" t="n">
        <v>3</v>
      </c>
      <c r="B24" s="5" t="inlineStr">
        <is>
          <t>Course month 3</t>
        </is>
      </c>
      <c r="C24" s="30" t="n">
        <v>0.2</v>
      </c>
      <c r="D24" s="39">
        <f>MAX(0,(CourseMonths-A24)/CourseMonths)</f>
        <v/>
      </c>
      <c r="E24" s="5" t="inlineStr">
        <is>
          <t>Assumption (L): same curve</t>
        </is>
      </c>
    </row>
    <row r="25">
      <c r="A25" s="7" t="n">
        <v>4</v>
      </c>
      <c r="B25" s="5" t="inlineStr">
        <is>
          <t>Course month 4</t>
        </is>
      </c>
      <c r="C25" s="30" t="n">
        <v>0.23</v>
      </c>
      <c r="D25" s="39">
        <f>MAX(0,(CourseMonths-A25)/CourseMonths)</f>
        <v/>
      </c>
      <c r="E25" s="5" t="inlineStr">
        <is>
          <t>Assumption (L): same curve</t>
        </is>
      </c>
    </row>
    <row r="26">
      <c r="A26" s="7" t="n">
        <v>5</v>
      </c>
      <c r="B26" s="5" t="inlineStr">
        <is>
          <t>Course month 5</t>
        </is>
      </c>
      <c r="C26" s="30" t="n">
        <v>0.15</v>
      </c>
      <c r="D26" s="39">
        <f>MAX(0,(CourseMonths-A26)/CourseMonths)</f>
        <v/>
      </c>
      <c r="E26" s="5" t="inlineStr">
        <is>
          <t>Assumption (L): same curve</t>
        </is>
      </c>
    </row>
    <row r="27">
      <c r="A27" s="7" t="n">
        <v>6</v>
      </c>
      <c r="B27" s="5" t="inlineStr">
        <is>
          <t>Course month 6</t>
        </is>
      </c>
      <c r="C27" s="30" t="n">
        <v>0.09</v>
      </c>
      <c r="D27" s="39">
        <f>MAX(0,(CourseMonths-A27)/CourseMonths)</f>
        <v/>
      </c>
      <c r="E27" s="5" t="inlineStr">
        <is>
          <t>Assumption (L): same curve</t>
        </is>
      </c>
    </row>
    <row r="28">
      <c r="A28" s="7" t="n">
        <v>7</v>
      </c>
      <c r="B28" s="5" t="inlineStr">
        <is>
          <t>Course month 7</t>
        </is>
      </c>
      <c r="C28" s="30" t="n">
        <v>0.07000000000000001</v>
      </c>
      <c r="D28" s="39">
        <f>MAX(0,(CourseMonths-A28)/CourseMonths)</f>
        <v/>
      </c>
      <c r="E28" s="5" t="inlineStr">
        <is>
          <t>Assumption (L): same curve</t>
        </is>
      </c>
    </row>
    <row r="29">
      <c r="A29" s="7" t="n">
        <v>8</v>
      </c>
      <c r="B29" s="5" t="inlineStr">
        <is>
          <t>Course month 8</t>
        </is>
      </c>
      <c r="C29" s="30" t="n">
        <v>0.05</v>
      </c>
      <c r="D29" s="39">
        <f>MAX(0,(CourseMonths-A29)/CourseMonths)</f>
        <v/>
      </c>
      <c r="E29" s="5" t="inlineStr">
        <is>
          <t>Assumption (L): same curve</t>
        </is>
      </c>
    </row>
    <row r="30">
      <c r="A30" s="7" t="n">
        <v>9</v>
      </c>
      <c r="B30" s="5" t="inlineStr">
        <is>
          <t>Course month 9</t>
        </is>
      </c>
      <c r="C30" s="30" t="n">
        <v>0.04</v>
      </c>
      <c r="D30" s="39">
        <f>MAX(0,(CourseMonths-A30)/CourseMonths)</f>
        <v/>
      </c>
      <c r="E30" s="5" t="inlineStr">
        <is>
          <t>Assumption (L): same curve</t>
        </is>
      </c>
    </row>
    <row r="31">
      <c r="A31" s="7" t="n">
        <v>10</v>
      </c>
      <c r="B31" s="5" t="inlineStr">
        <is>
          <t>Course month 10</t>
        </is>
      </c>
      <c r="C31" s="30" t="n">
        <v>0.04</v>
      </c>
      <c r="D31" s="39">
        <f>MAX(0,(CourseMonths-A31)/CourseMonths)</f>
        <v/>
      </c>
      <c r="E31" s="5" t="inlineStr">
        <is>
          <t>Assumption (L): same curve</t>
        </is>
      </c>
    </row>
    <row r="32">
      <c r="B32" s="36" t="inlineStr">
        <is>
          <t>Total (must be 100%)</t>
        </is>
      </c>
      <c r="C32" s="40">
        <f>SUM(DropTiming)</f>
        <v/>
      </c>
    </row>
    <row r="34">
      <c r="A34" s="36" t="inlineStr">
        <is>
          <t>C. Timeline for LTV: paid month t → calendar month, student index, renewal flag, discount factor</t>
        </is>
      </c>
    </row>
    <row r="36">
      <c r="A36" s="6" t="inlineStr">
        <is>
          <t>t (paid month)</t>
        </is>
      </c>
      <c r="B36" s="6" t="inlineStr">
        <is>
          <t>Calendar month #</t>
        </is>
      </c>
      <c r="C36" s="6" t="inlineStr">
        <is>
          <t>Active-student index</t>
        </is>
      </c>
      <c r="D36" s="6" t="inlineStr">
        <is>
          <t>Renewal flag</t>
        </is>
      </c>
      <c r="E36" s="6" t="inlineStr">
        <is>
          <t>Discount factor</t>
        </is>
      </c>
    </row>
    <row r="37">
      <c r="A37" s="7" t="n">
        <v>1</v>
      </c>
      <c r="B37" s="7">
        <f>MOD(StartMonth+A37-2,12)+1</f>
        <v/>
      </c>
      <c r="C37" s="41">
        <f>INDEX(Season_Idx,B37)</f>
        <v/>
      </c>
      <c r="D37" s="42">
        <f>INDEX(Season_Flag,B37)</f>
        <v/>
      </c>
      <c r="E37" s="43">
        <f>1/(1+DiscountRate)^(A37/12)</f>
        <v/>
      </c>
    </row>
    <row r="38">
      <c r="A38" s="7" t="n">
        <v>2</v>
      </c>
      <c r="B38" s="7">
        <f>MOD(StartMonth+A38-2,12)+1</f>
        <v/>
      </c>
      <c r="C38" s="41">
        <f>INDEX(Season_Idx,B38)</f>
        <v/>
      </c>
      <c r="D38" s="42">
        <f>INDEX(Season_Flag,B38)</f>
        <v/>
      </c>
      <c r="E38" s="43">
        <f>1/(1+DiscountRate)^(A38/12)</f>
        <v/>
      </c>
    </row>
    <row r="39">
      <c r="A39" s="7" t="n">
        <v>3</v>
      </c>
      <c r="B39" s="7">
        <f>MOD(StartMonth+A39-2,12)+1</f>
        <v/>
      </c>
      <c r="C39" s="41">
        <f>INDEX(Season_Idx,B39)</f>
        <v/>
      </c>
      <c r="D39" s="42">
        <f>INDEX(Season_Flag,B39)</f>
        <v/>
      </c>
      <c r="E39" s="43">
        <f>1/(1+DiscountRate)^(A39/12)</f>
        <v/>
      </c>
    </row>
    <row r="40">
      <c r="A40" s="7" t="n">
        <v>4</v>
      </c>
      <c r="B40" s="7">
        <f>MOD(StartMonth+A40-2,12)+1</f>
        <v/>
      </c>
      <c r="C40" s="41">
        <f>INDEX(Season_Idx,B40)</f>
        <v/>
      </c>
      <c r="D40" s="42">
        <f>INDEX(Season_Flag,B40)</f>
        <v/>
      </c>
      <c r="E40" s="43">
        <f>1/(1+DiscountRate)^(A40/12)</f>
        <v/>
      </c>
    </row>
    <row r="41">
      <c r="A41" s="7" t="n">
        <v>5</v>
      </c>
      <c r="B41" s="7">
        <f>MOD(StartMonth+A41-2,12)+1</f>
        <v/>
      </c>
      <c r="C41" s="41">
        <f>INDEX(Season_Idx,B41)</f>
        <v/>
      </c>
      <c r="D41" s="42">
        <f>INDEX(Season_Flag,B41)</f>
        <v/>
      </c>
      <c r="E41" s="43">
        <f>1/(1+DiscountRate)^(A41/12)</f>
        <v/>
      </c>
    </row>
    <row r="42">
      <c r="A42" s="7" t="n">
        <v>6</v>
      </c>
      <c r="B42" s="7">
        <f>MOD(StartMonth+A42-2,12)+1</f>
        <v/>
      </c>
      <c r="C42" s="41">
        <f>INDEX(Season_Idx,B42)</f>
        <v/>
      </c>
      <c r="D42" s="42">
        <f>INDEX(Season_Flag,B42)</f>
        <v/>
      </c>
      <c r="E42" s="43">
        <f>1/(1+DiscountRate)^(A42/12)</f>
        <v/>
      </c>
    </row>
    <row r="43">
      <c r="A43" s="7" t="n">
        <v>7</v>
      </c>
      <c r="B43" s="7">
        <f>MOD(StartMonth+A43-2,12)+1</f>
        <v/>
      </c>
      <c r="C43" s="41">
        <f>INDEX(Season_Idx,B43)</f>
        <v/>
      </c>
      <c r="D43" s="42">
        <f>INDEX(Season_Flag,B43)</f>
        <v/>
      </c>
      <c r="E43" s="43">
        <f>1/(1+DiscountRate)^(A43/12)</f>
        <v/>
      </c>
    </row>
    <row r="44">
      <c r="A44" s="7" t="n">
        <v>8</v>
      </c>
      <c r="B44" s="7">
        <f>MOD(StartMonth+A44-2,12)+1</f>
        <v/>
      </c>
      <c r="C44" s="41">
        <f>INDEX(Season_Idx,B44)</f>
        <v/>
      </c>
      <c r="D44" s="42">
        <f>INDEX(Season_Flag,B44)</f>
        <v/>
      </c>
      <c r="E44" s="43">
        <f>1/(1+DiscountRate)^(A44/12)</f>
        <v/>
      </c>
    </row>
    <row r="45">
      <c r="A45" s="7" t="n">
        <v>9</v>
      </c>
      <c r="B45" s="7">
        <f>MOD(StartMonth+A45-2,12)+1</f>
        <v/>
      </c>
      <c r="C45" s="41">
        <f>INDEX(Season_Idx,B45)</f>
        <v/>
      </c>
      <c r="D45" s="42">
        <f>INDEX(Season_Flag,B45)</f>
        <v/>
      </c>
      <c r="E45" s="43">
        <f>1/(1+DiscountRate)^(A45/12)</f>
        <v/>
      </c>
    </row>
    <row r="46">
      <c r="A46" s="7" t="n">
        <v>10</v>
      </c>
      <c r="B46" s="7">
        <f>MOD(StartMonth+A46-2,12)+1</f>
        <v/>
      </c>
      <c r="C46" s="41">
        <f>INDEX(Season_Idx,B46)</f>
        <v/>
      </c>
      <c r="D46" s="42">
        <f>INDEX(Season_Flag,B46)</f>
        <v/>
      </c>
      <c r="E46" s="43">
        <f>1/(1+DiscountRate)^(A46/12)</f>
        <v/>
      </c>
    </row>
    <row r="47">
      <c r="A47" s="7" t="n">
        <v>11</v>
      </c>
      <c r="B47" s="7">
        <f>MOD(StartMonth+A47-2,12)+1</f>
        <v/>
      </c>
      <c r="C47" s="41">
        <f>INDEX(Season_Idx,B47)</f>
        <v/>
      </c>
      <c r="D47" s="42">
        <f>INDEX(Season_Flag,B47)</f>
        <v/>
      </c>
      <c r="E47" s="43">
        <f>1/(1+DiscountRate)^(A47/12)</f>
        <v/>
      </c>
    </row>
    <row r="48">
      <c r="A48" s="7" t="n">
        <v>12</v>
      </c>
      <c r="B48" s="7">
        <f>MOD(StartMonth+A48-2,12)+1</f>
        <v/>
      </c>
      <c r="C48" s="41">
        <f>INDEX(Season_Idx,B48)</f>
        <v/>
      </c>
      <c r="D48" s="42">
        <f>INDEX(Season_Flag,B48)</f>
        <v/>
      </c>
      <c r="E48" s="43">
        <f>1/(1+DiscountRate)^(A48/12)</f>
        <v/>
      </c>
    </row>
    <row r="49">
      <c r="A49" s="7" t="n">
        <v>13</v>
      </c>
      <c r="B49" s="7">
        <f>MOD(StartMonth+A49-2,12)+1</f>
        <v/>
      </c>
      <c r="C49" s="41">
        <f>INDEX(Season_Idx,B49)</f>
        <v/>
      </c>
      <c r="D49" s="42">
        <f>INDEX(Season_Flag,B49)</f>
        <v/>
      </c>
      <c r="E49" s="43">
        <f>1/(1+DiscountRate)^(A49/12)</f>
        <v/>
      </c>
    </row>
    <row r="50">
      <c r="A50" s="7" t="n">
        <v>14</v>
      </c>
      <c r="B50" s="7">
        <f>MOD(StartMonth+A50-2,12)+1</f>
        <v/>
      </c>
      <c r="C50" s="41">
        <f>INDEX(Season_Idx,B50)</f>
        <v/>
      </c>
      <c r="D50" s="42">
        <f>INDEX(Season_Flag,B50)</f>
        <v/>
      </c>
      <c r="E50" s="43">
        <f>1/(1+DiscountRate)^(A50/12)</f>
        <v/>
      </c>
    </row>
    <row r="51">
      <c r="A51" s="7" t="n">
        <v>15</v>
      </c>
      <c r="B51" s="7">
        <f>MOD(StartMonth+A51-2,12)+1</f>
        <v/>
      </c>
      <c r="C51" s="41">
        <f>INDEX(Season_Idx,B51)</f>
        <v/>
      </c>
      <c r="D51" s="42">
        <f>INDEX(Season_Flag,B51)</f>
        <v/>
      </c>
      <c r="E51" s="43">
        <f>1/(1+DiscountRate)^(A51/12)</f>
        <v/>
      </c>
    </row>
    <row r="52">
      <c r="A52" s="7" t="n">
        <v>16</v>
      </c>
      <c r="B52" s="7">
        <f>MOD(StartMonth+A52-2,12)+1</f>
        <v/>
      </c>
      <c r="C52" s="41">
        <f>INDEX(Season_Idx,B52)</f>
        <v/>
      </c>
      <c r="D52" s="42">
        <f>INDEX(Season_Flag,B52)</f>
        <v/>
      </c>
      <c r="E52" s="43">
        <f>1/(1+DiscountRate)^(A52/12)</f>
        <v/>
      </c>
    </row>
    <row r="53">
      <c r="A53" s="7" t="n">
        <v>17</v>
      </c>
      <c r="B53" s="7">
        <f>MOD(StartMonth+A53-2,12)+1</f>
        <v/>
      </c>
      <c r="C53" s="41">
        <f>INDEX(Season_Idx,B53)</f>
        <v/>
      </c>
      <c r="D53" s="42">
        <f>INDEX(Season_Flag,B53)</f>
        <v/>
      </c>
      <c r="E53" s="43">
        <f>1/(1+DiscountRate)^(A53/12)</f>
        <v/>
      </c>
    </row>
    <row r="54">
      <c r="A54" s="7" t="n">
        <v>18</v>
      </c>
      <c r="B54" s="7">
        <f>MOD(StartMonth+A54-2,12)+1</f>
        <v/>
      </c>
      <c r="C54" s="41">
        <f>INDEX(Season_Idx,B54)</f>
        <v/>
      </c>
      <c r="D54" s="42">
        <f>INDEX(Season_Flag,B54)</f>
        <v/>
      </c>
      <c r="E54" s="43">
        <f>1/(1+DiscountRate)^(A54/12)</f>
        <v/>
      </c>
    </row>
    <row r="55">
      <c r="A55" s="7" t="n">
        <v>19</v>
      </c>
      <c r="B55" s="7">
        <f>MOD(StartMonth+A55-2,12)+1</f>
        <v/>
      </c>
      <c r="C55" s="41">
        <f>INDEX(Season_Idx,B55)</f>
        <v/>
      </c>
      <c r="D55" s="42">
        <f>INDEX(Season_Flag,B55)</f>
        <v/>
      </c>
      <c r="E55" s="43">
        <f>1/(1+DiscountRate)^(A55/12)</f>
        <v/>
      </c>
    </row>
    <row r="56">
      <c r="A56" s="7" t="n">
        <v>20</v>
      </c>
      <c r="B56" s="7">
        <f>MOD(StartMonth+A56-2,12)+1</f>
        <v/>
      </c>
      <c r="C56" s="41">
        <f>INDEX(Season_Idx,B56)</f>
        <v/>
      </c>
      <c r="D56" s="42">
        <f>INDEX(Season_Flag,B56)</f>
        <v/>
      </c>
      <c r="E56" s="43">
        <f>1/(1+DiscountRate)^(A56/12)</f>
        <v/>
      </c>
    </row>
    <row r="57">
      <c r="A57" s="7" t="n">
        <v>21</v>
      </c>
      <c r="B57" s="7">
        <f>MOD(StartMonth+A57-2,12)+1</f>
        <v/>
      </c>
      <c r="C57" s="41">
        <f>INDEX(Season_Idx,B57)</f>
        <v/>
      </c>
      <c r="D57" s="42">
        <f>INDEX(Season_Flag,B57)</f>
        <v/>
      </c>
      <c r="E57" s="43">
        <f>1/(1+DiscountRate)^(A57/12)</f>
        <v/>
      </c>
    </row>
    <row r="58">
      <c r="A58" s="7" t="n">
        <v>22</v>
      </c>
      <c r="B58" s="7">
        <f>MOD(StartMonth+A58-2,12)+1</f>
        <v/>
      </c>
      <c r="C58" s="41">
        <f>INDEX(Season_Idx,B58)</f>
        <v/>
      </c>
      <c r="D58" s="42">
        <f>INDEX(Season_Flag,B58)</f>
        <v/>
      </c>
      <c r="E58" s="43">
        <f>1/(1+DiscountRate)^(A58/12)</f>
        <v/>
      </c>
    </row>
    <row r="59">
      <c r="A59" s="7" t="n">
        <v>23</v>
      </c>
      <c r="B59" s="7">
        <f>MOD(StartMonth+A59-2,12)+1</f>
        <v/>
      </c>
      <c r="C59" s="41">
        <f>INDEX(Season_Idx,B59)</f>
        <v/>
      </c>
      <c r="D59" s="42">
        <f>INDEX(Season_Flag,B59)</f>
        <v/>
      </c>
      <c r="E59" s="43">
        <f>1/(1+DiscountRate)^(A59/12)</f>
        <v/>
      </c>
    </row>
    <row r="60">
      <c r="A60" s="7" t="n">
        <v>24</v>
      </c>
      <c r="B60" s="7">
        <f>MOD(StartMonth+A60-2,12)+1</f>
        <v/>
      </c>
      <c r="C60" s="41">
        <f>INDEX(Season_Idx,B60)</f>
        <v/>
      </c>
      <c r="D60" s="42">
        <f>INDEX(Season_Flag,B60)</f>
        <v/>
      </c>
      <c r="E60" s="43">
        <f>1/(1+DiscountRate)^(A60/12)</f>
        <v/>
      </c>
    </row>
    <row r="61">
      <c r="A61" s="7" t="n">
        <v>25</v>
      </c>
      <c r="B61" s="7">
        <f>MOD(StartMonth+A61-2,12)+1</f>
        <v/>
      </c>
      <c r="C61" s="41">
        <f>INDEX(Season_Idx,B61)</f>
        <v/>
      </c>
      <c r="D61" s="42">
        <f>INDEX(Season_Flag,B61)</f>
        <v/>
      </c>
      <c r="E61" s="43">
        <f>1/(1+DiscountRate)^(A61/12)</f>
        <v/>
      </c>
    </row>
    <row r="62">
      <c r="A62" s="7" t="n">
        <v>26</v>
      </c>
      <c r="B62" s="7">
        <f>MOD(StartMonth+A62-2,12)+1</f>
        <v/>
      </c>
      <c r="C62" s="41">
        <f>INDEX(Season_Idx,B62)</f>
        <v/>
      </c>
      <c r="D62" s="42">
        <f>INDEX(Season_Flag,B62)</f>
        <v/>
      </c>
      <c r="E62" s="43">
        <f>1/(1+DiscountRate)^(A62/12)</f>
        <v/>
      </c>
    </row>
    <row r="63">
      <c r="A63" s="7" t="n">
        <v>27</v>
      </c>
      <c r="B63" s="7">
        <f>MOD(StartMonth+A63-2,12)+1</f>
        <v/>
      </c>
      <c r="C63" s="41">
        <f>INDEX(Season_Idx,B63)</f>
        <v/>
      </c>
      <c r="D63" s="42">
        <f>INDEX(Season_Flag,B63)</f>
        <v/>
      </c>
      <c r="E63" s="43">
        <f>1/(1+DiscountRate)^(A63/12)</f>
        <v/>
      </c>
    </row>
    <row r="64">
      <c r="A64" s="7" t="n">
        <v>28</v>
      </c>
      <c r="B64" s="7">
        <f>MOD(StartMonth+A64-2,12)+1</f>
        <v/>
      </c>
      <c r="C64" s="41">
        <f>INDEX(Season_Idx,B64)</f>
        <v/>
      </c>
      <c r="D64" s="42">
        <f>INDEX(Season_Flag,B64)</f>
        <v/>
      </c>
      <c r="E64" s="43">
        <f>1/(1+DiscountRate)^(A64/12)</f>
        <v/>
      </c>
    </row>
    <row r="65">
      <c r="A65" s="7" t="n">
        <v>29</v>
      </c>
      <c r="B65" s="7">
        <f>MOD(StartMonth+A65-2,12)+1</f>
        <v/>
      </c>
      <c r="C65" s="41">
        <f>INDEX(Season_Idx,B65)</f>
        <v/>
      </c>
      <c r="D65" s="42">
        <f>INDEX(Season_Flag,B65)</f>
        <v/>
      </c>
      <c r="E65" s="43">
        <f>1/(1+DiscountRate)^(A65/12)</f>
        <v/>
      </c>
    </row>
    <row r="66">
      <c r="A66" s="7" t="n">
        <v>30</v>
      </c>
      <c r="B66" s="7">
        <f>MOD(StartMonth+A66-2,12)+1</f>
        <v/>
      </c>
      <c r="C66" s="41">
        <f>INDEX(Season_Idx,B66)</f>
        <v/>
      </c>
      <c r="D66" s="42">
        <f>INDEX(Season_Flag,B66)</f>
        <v/>
      </c>
      <c r="E66" s="43">
        <f>1/(1+DiscountRate)^(A66/12)</f>
        <v/>
      </c>
    </row>
    <row r="67">
      <c r="A67" s="7" t="n">
        <v>31</v>
      </c>
      <c r="B67" s="7">
        <f>MOD(StartMonth+A67-2,12)+1</f>
        <v/>
      </c>
      <c r="C67" s="41">
        <f>INDEX(Season_Idx,B67)</f>
        <v/>
      </c>
      <c r="D67" s="42">
        <f>INDEX(Season_Flag,B67)</f>
        <v/>
      </c>
      <c r="E67" s="43">
        <f>1/(1+DiscountRate)^(A67/12)</f>
        <v/>
      </c>
    </row>
    <row r="68">
      <c r="A68" s="7" t="n">
        <v>32</v>
      </c>
      <c r="B68" s="7">
        <f>MOD(StartMonth+A68-2,12)+1</f>
        <v/>
      </c>
      <c r="C68" s="41">
        <f>INDEX(Season_Idx,B68)</f>
        <v/>
      </c>
      <c r="D68" s="42">
        <f>INDEX(Season_Flag,B68)</f>
        <v/>
      </c>
      <c r="E68" s="43">
        <f>1/(1+DiscountRate)^(A68/12)</f>
        <v/>
      </c>
    </row>
    <row r="69">
      <c r="A69" s="7" t="n">
        <v>33</v>
      </c>
      <c r="B69" s="7">
        <f>MOD(StartMonth+A69-2,12)+1</f>
        <v/>
      </c>
      <c r="C69" s="41">
        <f>INDEX(Season_Idx,B69)</f>
        <v/>
      </c>
      <c r="D69" s="42">
        <f>INDEX(Season_Flag,B69)</f>
        <v/>
      </c>
      <c r="E69" s="43">
        <f>1/(1+DiscountRate)^(A69/12)</f>
        <v/>
      </c>
    </row>
    <row r="70">
      <c r="A70" s="7" t="n">
        <v>34</v>
      </c>
      <c r="B70" s="7">
        <f>MOD(StartMonth+A70-2,12)+1</f>
        <v/>
      </c>
      <c r="C70" s="41">
        <f>INDEX(Season_Idx,B70)</f>
        <v/>
      </c>
      <c r="D70" s="42">
        <f>INDEX(Season_Flag,B70)</f>
        <v/>
      </c>
      <c r="E70" s="43">
        <f>1/(1+DiscountRate)^(A70/12)</f>
        <v/>
      </c>
    </row>
    <row r="71">
      <c r="A71" s="7" t="n">
        <v>35</v>
      </c>
      <c r="B71" s="7">
        <f>MOD(StartMonth+A71-2,12)+1</f>
        <v/>
      </c>
      <c r="C71" s="41">
        <f>INDEX(Season_Idx,B71)</f>
        <v/>
      </c>
      <c r="D71" s="42">
        <f>INDEX(Season_Flag,B71)</f>
        <v/>
      </c>
      <c r="E71" s="43">
        <f>1/(1+DiscountRate)^(A71/12)</f>
        <v/>
      </c>
    </row>
    <row r="72">
      <c r="A72" s="7" t="n">
        <v>36</v>
      </c>
      <c r="B72" s="7">
        <f>MOD(StartMonth+A72-2,12)+1</f>
        <v/>
      </c>
      <c r="C72" s="41">
        <f>INDEX(Season_Idx,B72)</f>
        <v/>
      </c>
      <c r="D72" s="42">
        <f>INDEX(Season_Flag,B72)</f>
        <v/>
      </c>
      <c r="E72" s="43">
        <f>1/(1+DiscountRate)^(A72/12)</f>
        <v/>
      </c>
    </row>
    <row r="73">
      <c r="A73" s="7" t="n">
        <v>37</v>
      </c>
      <c r="B73" s="7">
        <f>MOD(StartMonth+A73-2,12)+1</f>
        <v/>
      </c>
      <c r="C73" s="41">
        <f>INDEX(Season_Idx,B73)</f>
        <v/>
      </c>
      <c r="D73" s="42">
        <f>INDEX(Season_Flag,B73)</f>
        <v/>
      </c>
      <c r="E73" s="43">
        <f>1/(1+DiscountRate)^(A73/12)</f>
        <v/>
      </c>
    </row>
    <row r="74">
      <c r="A74" s="7" t="n">
        <v>38</v>
      </c>
      <c r="B74" s="7">
        <f>MOD(StartMonth+A74-2,12)+1</f>
        <v/>
      </c>
      <c r="C74" s="41">
        <f>INDEX(Season_Idx,B74)</f>
        <v/>
      </c>
      <c r="D74" s="42">
        <f>INDEX(Season_Flag,B74)</f>
        <v/>
      </c>
      <c r="E74" s="43">
        <f>1/(1+DiscountRate)^(A74/12)</f>
        <v/>
      </c>
    </row>
    <row r="75">
      <c r="A75" s="7" t="n">
        <v>39</v>
      </c>
      <c r="B75" s="7">
        <f>MOD(StartMonth+A75-2,12)+1</f>
        <v/>
      </c>
      <c r="C75" s="41">
        <f>INDEX(Season_Idx,B75)</f>
        <v/>
      </c>
      <c r="D75" s="42">
        <f>INDEX(Season_Flag,B75)</f>
        <v/>
      </c>
      <c r="E75" s="43">
        <f>1/(1+DiscountRate)^(A75/12)</f>
        <v/>
      </c>
    </row>
    <row r="76">
      <c r="A76" s="7" t="n">
        <v>40</v>
      </c>
      <c r="B76" s="7">
        <f>MOD(StartMonth+A76-2,12)+1</f>
        <v/>
      </c>
      <c r="C76" s="41">
        <f>INDEX(Season_Idx,B76)</f>
        <v/>
      </c>
      <c r="D76" s="42">
        <f>INDEX(Season_Flag,B76)</f>
        <v/>
      </c>
      <c r="E76" s="43">
        <f>1/(1+DiscountRate)^(A76/12)</f>
        <v/>
      </c>
    </row>
    <row r="77">
      <c r="A77" s="7" t="n">
        <v>41</v>
      </c>
      <c r="B77" s="7">
        <f>MOD(StartMonth+A77-2,12)+1</f>
        <v/>
      </c>
      <c r="C77" s="41">
        <f>INDEX(Season_Idx,B77)</f>
        <v/>
      </c>
      <c r="D77" s="42">
        <f>INDEX(Season_Flag,B77)</f>
        <v/>
      </c>
      <c r="E77" s="43">
        <f>1/(1+DiscountRate)^(A77/12)</f>
        <v/>
      </c>
    </row>
    <row r="78">
      <c r="A78" s="7" t="n">
        <v>42</v>
      </c>
      <c r="B78" s="7">
        <f>MOD(StartMonth+A78-2,12)+1</f>
        <v/>
      </c>
      <c r="C78" s="41">
        <f>INDEX(Season_Idx,B78)</f>
        <v/>
      </c>
      <c r="D78" s="42">
        <f>INDEX(Season_Flag,B78)</f>
        <v/>
      </c>
      <c r="E78" s="43">
        <f>1/(1+DiscountRate)^(A78/12)</f>
        <v/>
      </c>
    </row>
    <row r="79">
      <c r="A79" s="7" t="n">
        <v>43</v>
      </c>
      <c r="B79" s="7">
        <f>MOD(StartMonth+A79-2,12)+1</f>
        <v/>
      </c>
      <c r="C79" s="41">
        <f>INDEX(Season_Idx,B79)</f>
        <v/>
      </c>
      <c r="D79" s="42">
        <f>INDEX(Season_Flag,B79)</f>
        <v/>
      </c>
      <c r="E79" s="43">
        <f>1/(1+DiscountRate)^(A79/12)</f>
        <v/>
      </c>
    </row>
    <row r="80">
      <c r="A80" s="7" t="n">
        <v>44</v>
      </c>
      <c r="B80" s="7">
        <f>MOD(StartMonth+A80-2,12)+1</f>
        <v/>
      </c>
      <c r="C80" s="41">
        <f>INDEX(Season_Idx,B80)</f>
        <v/>
      </c>
      <c r="D80" s="42">
        <f>INDEX(Season_Flag,B80)</f>
        <v/>
      </c>
      <c r="E80" s="43">
        <f>1/(1+DiscountRate)^(A80/12)</f>
        <v/>
      </c>
    </row>
    <row r="81">
      <c r="A81" s="7" t="n">
        <v>45</v>
      </c>
      <c r="B81" s="7">
        <f>MOD(StartMonth+A81-2,12)+1</f>
        <v/>
      </c>
      <c r="C81" s="41">
        <f>INDEX(Season_Idx,B81)</f>
        <v/>
      </c>
      <c r="D81" s="42">
        <f>INDEX(Season_Flag,B81)</f>
        <v/>
      </c>
      <c r="E81" s="43">
        <f>1/(1+DiscountRate)^(A81/12)</f>
        <v/>
      </c>
    </row>
    <row r="82">
      <c r="A82" s="7" t="n">
        <v>46</v>
      </c>
      <c r="B82" s="7">
        <f>MOD(StartMonth+A82-2,12)+1</f>
        <v/>
      </c>
      <c r="C82" s="41">
        <f>INDEX(Season_Idx,B82)</f>
        <v/>
      </c>
      <c r="D82" s="42">
        <f>INDEX(Season_Flag,B82)</f>
        <v/>
      </c>
      <c r="E82" s="43">
        <f>1/(1+DiscountRate)^(A82/12)</f>
        <v/>
      </c>
    </row>
    <row r="83">
      <c r="A83" s="7" t="n">
        <v>47</v>
      </c>
      <c r="B83" s="7">
        <f>MOD(StartMonth+A83-2,12)+1</f>
        <v/>
      </c>
      <c r="C83" s="41">
        <f>INDEX(Season_Idx,B83)</f>
        <v/>
      </c>
      <c r="D83" s="42">
        <f>INDEX(Season_Flag,B83)</f>
        <v/>
      </c>
      <c r="E83" s="43">
        <f>1/(1+DiscountRate)^(A83/12)</f>
        <v/>
      </c>
    </row>
    <row r="84">
      <c r="A84" s="7" t="n">
        <v>48</v>
      </c>
      <c r="B84" s="7">
        <f>MOD(StartMonth+A84-2,12)+1</f>
        <v/>
      </c>
      <c r="C84" s="41">
        <f>INDEX(Season_Idx,B84)</f>
        <v/>
      </c>
      <c r="D84" s="42">
        <f>INDEX(Season_Flag,B84)</f>
        <v/>
      </c>
      <c r="E84" s="43">
        <f>1/(1+DiscountRate)^(A84/12)</f>
        <v/>
      </c>
    </row>
    <row r="85">
      <c r="A85" s="7" t="n">
        <v>49</v>
      </c>
      <c r="B85" s="7">
        <f>MOD(StartMonth+A85-2,12)+1</f>
        <v/>
      </c>
      <c r="C85" s="41">
        <f>INDEX(Season_Idx,B85)</f>
        <v/>
      </c>
      <c r="D85" s="42">
        <f>INDEX(Season_Flag,B85)</f>
        <v/>
      </c>
      <c r="E85" s="43">
        <f>1/(1+DiscountRate)^(A85/12)</f>
        <v/>
      </c>
    </row>
    <row r="86">
      <c r="A86" s="7" t="n">
        <v>50</v>
      </c>
      <c r="B86" s="7">
        <f>MOD(StartMonth+A86-2,12)+1</f>
        <v/>
      </c>
      <c r="C86" s="41">
        <f>INDEX(Season_Idx,B86)</f>
        <v/>
      </c>
      <c r="D86" s="42">
        <f>INDEX(Season_Flag,B86)</f>
        <v/>
      </c>
      <c r="E86" s="43">
        <f>1/(1+DiscountRate)^(A86/12)</f>
        <v/>
      </c>
    </row>
    <row r="87">
      <c r="A87" s="7" t="n">
        <v>51</v>
      </c>
      <c r="B87" s="7">
        <f>MOD(StartMonth+A87-2,12)+1</f>
        <v/>
      </c>
      <c r="C87" s="41">
        <f>INDEX(Season_Idx,B87)</f>
        <v/>
      </c>
      <c r="D87" s="42">
        <f>INDEX(Season_Flag,B87)</f>
        <v/>
      </c>
      <c r="E87" s="43">
        <f>1/(1+DiscountRate)^(A87/12)</f>
        <v/>
      </c>
    </row>
    <row r="88">
      <c r="A88" s="7" t="n">
        <v>52</v>
      </c>
      <c r="B88" s="7">
        <f>MOD(StartMonth+A88-2,12)+1</f>
        <v/>
      </c>
      <c r="C88" s="41">
        <f>INDEX(Season_Idx,B88)</f>
        <v/>
      </c>
      <c r="D88" s="42">
        <f>INDEX(Season_Flag,B88)</f>
        <v/>
      </c>
      <c r="E88" s="43">
        <f>1/(1+DiscountRate)^(A88/12)</f>
        <v/>
      </c>
    </row>
    <row r="89">
      <c r="A89" s="7" t="n">
        <v>53</v>
      </c>
      <c r="B89" s="7">
        <f>MOD(StartMonth+A89-2,12)+1</f>
        <v/>
      </c>
      <c r="C89" s="41">
        <f>INDEX(Season_Idx,B89)</f>
        <v/>
      </c>
      <c r="D89" s="42">
        <f>INDEX(Season_Flag,B89)</f>
        <v/>
      </c>
      <c r="E89" s="43">
        <f>1/(1+DiscountRate)^(A89/12)</f>
        <v/>
      </c>
    </row>
    <row r="90">
      <c r="A90" s="7" t="n">
        <v>54</v>
      </c>
      <c r="B90" s="7">
        <f>MOD(StartMonth+A90-2,12)+1</f>
        <v/>
      </c>
      <c r="C90" s="41">
        <f>INDEX(Season_Idx,B90)</f>
        <v/>
      </c>
      <c r="D90" s="42">
        <f>INDEX(Season_Flag,B90)</f>
        <v/>
      </c>
      <c r="E90" s="43">
        <f>1/(1+DiscountRate)^(A90/12)</f>
        <v/>
      </c>
    </row>
    <row r="91">
      <c r="A91" s="7" t="n">
        <v>55</v>
      </c>
      <c r="B91" s="7">
        <f>MOD(StartMonth+A91-2,12)+1</f>
        <v/>
      </c>
      <c r="C91" s="41">
        <f>INDEX(Season_Idx,B91)</f>
        <v/>
      </c>
      <c r="D91" s="42">
        <f>INDEX(Season_Flag,B91)</f>
        <v/>
      </c>
      <c r="E91" s="43">
        <f>1/(1+DiscountRate)^(A91/12)</f>
        <v/>
      </c>
    </row>
    <row r="92">
      <c r="A92" s="7" t="n">
        <v>56</v>
      </c>
      <c r="B92" s="7">
        <f>MOD(StartMonth+A92-2,12)+1</f>
        <v/>
      </c>
      <c r="C92" s="41">
        <f>INDEX(Season_Idx,B92)</f>
        <v/>
      </c>
      <c r="D92" s="42">
        <f>INDEX(Season_Flag,B92)</f>
        <v/>
      </c>
      <c r="E92" s="43">
        <f>1/(1+DiscountRate)^(A92/12)</f>
        <v/>
      </c>
    </row>
    <row r="93">
      <c r="A93" s="7" t="n">
        <v>57</v>
      </c>
      <c r="B93" s="7">
        <f>MOD(StartMonth+A93-2,12)+1</f>
        <v/>
      </c>
      <c r="C93" s="41">
        <f>INDEX(Season_Idx,B93)</f>
        <v/>
      </c>
      <c r="D93" s="42">
        <f>INDEX(Season_Flag,B93)</f>
        <v/>
      </c>
      <c r="E93" s="43">
        <f>1/(1+DiscountRate)^(A93/12)</f>
        <v/>
      </c>
    </row>
    <row r="94">
      <c r="A94" s="7" t="n">
        <v>58</v>
      </c>
      <c r="B94" s="7">
        <f>MOD(StartMonth+A94-2,12)+1</f>
        <v/>
      </c>
      <c r="C94" s="41">
        <f>INDEX(Season_Idx,B94)</f>
        <v/>
      </c>
      <c r="D94" s="42">
        <f>INDEX(Season_Flag,B94)</f>
        <v/>
      </c>
      <c r="E94" s="43">
        <f>1/(1+DiscountRate)^(A94/12)</f>
        <v/>
      </c>
    </row>
    <row r="95">
      <c r="A95" s="7" t="n">
        <v>59</v>
      </c>
      <c r="B95" s="7">
        <f>MOD(StartMonth+A95-2,12)+1</f>
        <v/>
      </c>
      <c r="C95" s="41">
        <f>INDEX(Season_Idx,B95)</f>
        <v/>
      </c>
      <c r="D95" s="42">
        <f>INDEX(Season_Flag,B95)</f>
        <v/>
      </c>
      <c r="E95" s="43">
        <f>1/(1+DiscountRate)^(A95/12)</f>
        <v/>
      </c>
    </row>
    <row r="96">
      <c r="A96" s="7" t="n">
        <v>60</v>
      </c>
      <c r="B96" s="7">
        <f>MOD(StartMonth+A96-2,12)+1</f>
        <v/>
      </c>
      <c r="C96" s="41">
        <f>INDEX(Season_Idx,B96)</f>
        <v/>
      </c>
      <c r="D96" s="42">
        <f>INDEX(Season_Flag,B96)</f>
        <v/>
      </c>
      <c r="E96" s="43">
        <f>1/(1+DiscountRate)^(A96/12)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20" customWidth="1" min="3" max="3"/>
    <col width="50" customWidth="1" min="4" max="4"/>
  </cols>
  <sheetData>
    <row r="1">
      <c r="A1" s="1" t="inlineStr">
        <is>
          <t>Pricing — list price, discounts, realised price</t>
        </is>
      </c>
    </row>
    <row r="2">
      <c r="A2" s="2" t="inlineStr">
        <is>
          <t>Green = linked input · black = formula · green fill = output used elsewhere</t>
        </is>
      </c>
    </row>
    <row r="4">
      <c r="A4" s="6" t="inlineStr"/>
      <c r="B4" s="6" t="inlineStr">
        <is>
          <t>Item</t>
        </is>
      </c>
      <c r="C4" s="6" t="inlineStr">
        <is>
          <t>Unit</t>
        </is>
      </c>
      <c r="D4" s="6" t="inlineStr">
        <is>
          <t>LIVE</t>
        </is>
      </c>
    </row>
    <row r="5">
      <c r="A5" s="23" t="n"/>
      <c r="B5" s="22" t="inlineStr">
        <is>
          <t>Inputs (from Assumptions)</t>
        </is>
      </c>
      <c r="C5" s="23" t="n"/>
      <c r="D5" s="23" t="n"/>
    </row>
    <row r="6">
      <c r="B6" s="7" t="inlineStr">
        <is>
          <t>List price per active student per month</t>
        </is>
      </c>
      <c r="C6" s="5" t="inlineStr">
        <is>
          <t>Rs/student/month</t>
        </is>
      </c>
      <c r="D6" s="44">
        <f>ListPrice</f>
        <v/>
      </c>
    </row>
    <row r="7">
      <c r="B7" s="7" t="inlineStr">
        <is>
          <t>Minimum monthly fee per institute</t>
        </is>
      </c>
      <c r="C7" s="5" t="inlineStr">
        <is>
          <t>Rs/month</t>
        </is>
      </c>
      <c r="D7" s="44">
        <f>MinFee</f>
        <v/>
      </c>
    </row>
    <row r="8">
      <c r="B8" s="7" t="inlineStr">
        <is>
          <t>Average negotiated discount off list</t>
        </is>
      </c>
      <c r="C8" s="5" t="inlineStr">
        <is>
          <t>%</t>
        </is>
      </c>
      <c r="D8" s="45">
        <f>NegotiationDisc</f>
        <v/>
      </c>
    </row>
    <row r="9">
      <c r="B9" s="7" t="inlineStr">
        <is>
          <t>Share of institutes choosing annual prepay</t>
        </is>
      </c>
      <c r="C9" s="5" t="inlineStr">
        <is>
          <t>%</t>
        </is>
      </c>
      <c r="D9" s="45">
        <f>PrepayUptake</f>
        <v/>
      </c>
    </row>
    <row r="10">
      <c r="B10" s="7" t="inlineStr">
        <is>
          <t>Annual prepay discount</t>
        </is>
      </c>
      <c r="C10" s="5" t="inlineStr">
        <is>
          <t>%</t>
        </is>
      </c>
      <c r="D10" s="45">
        <f>PrepayDisc</f>
        <v/>
      </c>
    </row>
    <row r="11">
      <c r="B11" s="7" t="inlineStr">
        <is>
          <t>GST on SaaS</t>
        </is>
      </c>
      <c r="C11" s="5" t="inlineStr">
        <is>
          <t>%</t>
        </is>
      </c>
      <c r="D11" s="45">
        <f>GST</f>
        <v/>
      </c>
    </row>
    <row r="12">
      <c r="A12" s="23" t="n"/>
      <c r="B12" s="22" t="inlineStr">
        <is>
          <t>Realised price</t>
        </is>
      </c>
      <c r="C12" s="23" t="n"/>
      <c r="D12" s="23" t="n"/>
    </row>
    <row r="13">
      <c r="B13" s="7" t="inlineStr">
        <is>
          <t>Effective discount = negotiation + prepay uptake × prepay discount</t>
        </is>
      </c>
      <c r="C13" s="5" t="inlineStr">
        <is>
          <t>%</t>
        </is>
      </c>
      <c r="D13" s="40">
        <f>D8+D9*D10</f>
        <v/>
      </c>
    </row>
    <row r="14">
      <c r="B14" s="7" t="inlineStr">
        <is>
          <t>Realised price per student-month (ex-GST)</t>
        </is>
      </c>
      <c r="C14" s="5" t="inlineStr">
        <is>
          <t>₹/student/month</t>
        </is>
      </c>
      <c r="D14" s="46">
        <f>D6*(1-D13)</f>
        <v/>
      </c>
    </row>
    <row r="15">
      <c r="B15" s="7" t="inlineStr">
        <is>
          <t>Price the owner feels (incl. GST)</t>
        </is>
      </c>
      <c r="C15" s="5" t="inlineStr">
        <is>
          <t>₹/student/month</t>
        </is>
      </c>
      <c r="D15" s="47">
        <f>D14*(1+D11)</f>
        <v/>
      </c>
    </row>
    <row r="16">
      <c r="B16" s="7" t="inlineStr">
        <is>
          <t>What institutes already pay for an ERP/LMS</t>
        </is>
      </c>
      <c r="C16" s="5" t="inlineStr">
        <is>
          <t>Rs/student/month</t>
        </is>
      </c>
      <c r="D16" s="48">
        <f>CompetitorAnchor</f>
        <v/>
      </c>
    </row>
    <row r="17">
      <c r="B17" s="7" t="inlineStr">
        <is>
          <t>Our realised price ÷ what institutes already pay for an ERP/LMS</t>
        </is>
      </c>
      <c r="C17" s="5" t="inlineStr">
        <is>
          <t>x</t>
        </is>
      </c>
      <c r="D17" s="49">
        <f>IF(D16&gt;0,D14/D16,0)</f>
        <v/>
      </c>
    </row>
    <row r="20">
      <c r="A20" s="36" t="inlineStr">
        <is>
          <t>Packaging (for the deck; Pro price is the model's list price)</t>
        </is>
      </c>
    </row>
    <row r="21">
      <c r="A21" s="6" t="inlineStr">
        <is>
          <t>Tier</t>
        </is>
      </c>
      <c r="B21" s="6" t="inlineStr">
        <is>
          <t>Contents</t>
        </is>
      </c>
      <c r="C21" s="6" t="inlineStr">
        <is>
          <t>Price</t>
        </is>
      </c>
      <c r="D21" s="6" t="inlineStr">
        <is>
          <t>Role</t>
        </is>
      </c>
    </row>
    <row r="22">
      <c r="A22" s="3" t="inlineStr">
        <is>
          <t>Starter</t>
        </is>
      </c>
      <c r="B22" s="7" t="inlineStr">
        <is>
          <t>CSV / OMR upload, test-level reports, 1 batch</t>
        </is>
      </c>
      <c r="C22" s="50" t="n">
        <v>0</v>
      </c>
      <c r="D22" s="5" t="inlineStr">
        <is>
          <t>Free — lead generation, data on-ramp</t>
        </is>
      </c>
    </row>
    <row r="23">
      <c r="A23" s="3" t="inlineStr">
        <is>
          <t>Pro (core)</t>
        </is>
      </c>
      <c r="B23" s="7" t="inlineStr">
        <is>
          <t>Topic heatmap, at-risk list with reasons, template parent reports</t>
        </is>
      </c>
      <c r="C23" s="50">
        <f>ListPrice</f>
        <v/>
      </c>
      <c r="D23" s="5" t="inlineStr">
        <is>
          <t>Core paid plan, ₹/active student/month, min fee applies</t>
        </is>
      </c>
    </row>
    <row r="24">
      <c r="A24" s="3" t="inlineStr">
        <is>
          <t>Premium (AI)</t>
        </is>
      </c>
      <c r="B24" s="7" t="inlineStr">
        <is>
          <t>GenAI Hindi/English parent reports on WhatsApp, percentile band, study plans</t>
        </is>
      </c>
      <c r="C24" s="50" t="inlineStr">
        <is>
          <t>Pro + add-on</t>
        </is>
      </c>
      <c r="D24" s="5" t="inlineStr">
        <is>
          <t>Upsell — NOT in base revenue until priced by research</t>
        </is>
      </c>
    </row>
    <row r="25">
      <c r="A25" s="3" t="inlineStr">
        <is>
          <t>Annual plan</t>
        </is>
      </c>
      <c r="B25" s="7" t="inlineStr">
        <is>
          <t>Pro billed yearly upfront</t>
        </is>
      </c>
      <c r="C25" s="50">
        <f>ListPrice*(1-PrepayDisc)</f>
        <v/>
      </c>
      <c r="D25" s="5" t="inlineStr">
        <is>
          <t>Cash up front, lower churn at renewal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20" customWidth="1" min="3" max="3"/>
    <col width="14" customWidth="1" min="4" max="4"/>
  </cols>
  <sheetData>
    <row r="1">
      <c r="A1" s="1" t="inlineStr">
        <is>
          <t>COGS build-up — cost to serve one student (must match TECH_PLAN §16 / NB09)</t>
        </is>
      </c>
    </row>
    <row r="2">
      <c r="A2" s="2" t="inlineStr">
        <is>
          <t>Mid-segment size used for the all-in figure. Tech plan target band: ₹3–10 per student-month.</t>
        </is>
      </c>
    </row>
    <row r="4">
      <c r="A4" s="6" t="inlineStr"/>
      <c r="B4" s="6" t="inlineStr">
        <is>
          <t>Item</t>
        </is>
      </c>
      <c r="C4" s="6" t="inlineStr">
        <is>
          <t>Unit</t>
        </is>
      </c>
      <c r="D4" s="6" t="inlineStr">
        <is>
          <t>LIVE</t>
        </is>
      </c>
    </row>
    <row r="5">
      <c r="A5" s="23" t="n"/>
      <c r="B5" s="22" t="inlineStr">
        <is>
          <t>Inputs (from Assumptions)</t>
        </is>
      </c>
      <c r="C5" s="23" t="n"/>
      <c r="D5" s="23" t="n"/>
    </row>
    <row r="6">
      <c r="B6" s="7" t="inlineStr">
        <is>
          <t>AI parent reports per student per month</t>
        </is>
      </c>
      <c r="C6" s="5" t="inlineStr">
        <is>
          <t>reports</t>
        </is>
      </c>
      <c r="D6" s="51">
        <f>ReportsPerStudentMonth</f>
        <v/>
      </c>
    </row>
    <row r="7">
      <c r="B7" s="7" t="inlineStr">
        <is>
          <t>LLM input tokens per report</t>
        </is>
      </c>
      <c r="C7" s="5" t="inlineStr">
        <is>
          <t>tokens</t>
        </is>
      </c>
      <c r="D7" s="51">
        <f>TokensInPerReport</f>
        <v/>
      </c>
    </row>
    <row r="8">
      <c r="B8" s="7" t="inlineStr">
        <is>
          <t>LLM output tokens per report</t>
        </is>
      </c>
      <c r="C8" s="5" t="inlineStr">
        <is>
          <t>tokens</t>
        </is>
      </c>
      <c r="D8" s="51">
        <f>TokensOutPerReport</f>
        <v/>
      </c>
    </row>
    <row r="9">
      <c r="B9" s="7" t="inlineStr">
        <is>
          <t>LLM input price (hosted)</t>
        </is>
      </c>
      <c r="C9" s="5" t="inlineStr">
        <is>
          <t>Rs per 1M tokens</t>
        </is>
      </c>
      <c r="D9" s="48">
        <f>LLMPriceIn</f>
        <v/>
      </c>
    </row>
    <row r="10">
      <c r="B10" s="7" t="inlineStr">
        <is>
          <t>LLM output price (hosted)</t>
        </is>
      </c>
      <c r="C10" s="5" t="inlineStr">
        <is>
          <t>Rs per 1M tokens</t>
        </is>
      </c>
      <c r="D10" s="48">
        <f>LLMPriceOut</f>
        <v/>
      </c>
    </row>
    <row r="11">
      <c r="B11" s="7" t="inlineStr">
        <is>
          <t>WhatsApp utility messages per student per month</t>
        </is>
      </c>
      <c r="C11" s="5" t="inlineStr">
        <is>
          <t>messages</t>
        </is>
      </c>
      <c r="D11" s="51">
        <f>WAMsgsPerStudentMonth</f>
        <v/>
      </c>
    </row>
    <row r="12">
      <c r="B12" s="7" t="inlineStr">
        <is>
          <t>WhatsApp utility message price (India)</t>
        </is>
      </c>
      <c r="C12" s="5" t="inlineStr">
        <is>
          <t>Rs/message</t>
        </is>
      </c>
      <c r="D12" s="48">
        <f>WAPricePerMsg</f>
        <v/>
      </c>
    </row>
    <row r="13">
      <c r="B13" s="7" t="inlineStr">
        <is>
          <t>Compute + storage + backups per student</t>
        </is>
      </c>
      <c r="C13" s="5" t="inlineStr">
        <is>
          <t>Rs/student/month</t>
        </is>
      </c>
      <c r="D13" s="48">
        <f>ComputePerStudentMonth</f>
        <v/>
      </c>
    </row>
    <row r="14">
      <c r="B14" s="7" t="inlineStr">
        <is>
          <t>Consent OTP + verification per student</t>
        </is>
      </c>
      <c r="C14" s="5" t="inlineStr">
        <is>
          <t>Rs/student/yr</t>
        </is>
      </c>
      <c r="D14" s="48">
        <f>ConsentCostPerStudentYear</f>
        <v/>
      </c>
    </row>
    <row r="15">
      <c r="B15" s="7" t="inlineStr">
        <is>
          <t>App server + managed Postgres + backups per stack</t>
        </is>
      </c>
      <c r="C15" s="5" t="inlineStr">
        <is>
          <t>Rs/month</t>
        </is>
      </c>
      <c r="D15" s="44">
        <f>ServerCostMonth</f>
        <v/>
      </c>
    </row>
    <row r="16">
      <c r="B16" s="7" t="inlineStr">
        <is>
          <t>WhatsApp BSP platform fee per stack</t>
        </is>
      </c>
      <c r="C16" s="5" t="inlineStr">
        <is>
          <t>Rs/month</t>
        </is>
      </c>
      <c r="D16" s="44">
        <f>BSPFeeMonth</f>
        <v/>
      </c>
    </row>
    <row r="17">
      <c r="B17" s="7" t="inlineStr">
        <is>
          <t>Institutes sharing one server stack</t>
        </is>
      </c>
      <c r="C17" s="5" t="inlineStr">
        <is>
          <t>institutes</t>
        </is>
      </c>
      <c r="D17" s="51">
        <f>InstPerStack</f>
        <v/>
      </c>
    </row>
    <row r="18">
      <c r="B18" s="7" t="inlineStr">
        <is>
          <t>DPDP compliance cost per institute</t>
        </is>
      </c>
      <c r="C18" s="5" t="inlineStr">
        <is>
          <t>Rs/month</t>
        </is>
      </c>
      <c r="D18" s="44">
        <f>CompliancePerInstMonth</f>
        <v/>
      </c>
    </row>
    <row r="19">
      <c r="B19" s="7" t="inlineStr">
        <is>
          <t>Students per institute</t>
        </is>
      </c>
      <c r="C19" s="5" t="inlineStr">
        <is>
          <t>students</t>
        </is>
      </c>
      <c r="D19" s="51">
        <f>Students_M</f>
        <v/>
      </c>
    </row>
    <row r="20">
      <c r="A20" s="23" t="n"/>
      <c r="B20" s="22" t="inlineStr">
        <is>
          <t>Variable cost per active student per month</t>
        </is>
      </c>
      <c r="C20" s="23" t="n"/>
      <c r="D20" s="23" t="n"/>
    </row>
    <row r="21">
      <c r="B21" s="7" t="inlineStr">
        <is>
          <t>LLM (AI parent reports, hosted model)</t>
        </is>
      </c>
      <c r="C21" s="5" t="inlineStr">
        <is>
          <t>₹/student/month</t>
        </is>
      </c>
      <c r="D21" s="47">
        <f>D6*(D7*D9+D8*D10)/1000000</f>
        <v/>
      </c>
    </row>
    <row r="22">
      <c r="B22" s="7" t="inlineStr">
        <is>
          <t>WhatsApp utility messages</t>
        </is>
      </c>
      <c r="C22" s="5" t="inlineStr">
        <is>
          <t>₹/student/month</t>
        </is>
      </c>
      <c r="D22" s="47">
        <f>D11*D12</f>
        <v/>
      </c>
    </row>
    <row r="23">
      <c r="B23" s="7" t="inlineStr">
        <is>
          <t>Compute + storage + backups</t>
        </is>
      </c>
      <c r="C23" s="5" t="inlineStr">
        <is>
          <t>₹/student/month</t>
        </is>
      </c>
      <c r="D23" s="47">
        <f>D13</f>
        <v/>
      </c>
    </row>
    <row r="24">
      <c r="B24" s="7" t="inlineStr">
        <is>
          <t>Consent OTP / verification (annual ÷ 12)</t>
        </is>
      </c>
      <c r="C24" s="5" t="inlineStr">
        <is>
          <t>₹/student/month</t>
        </is>
      </c>
      <c r="D24" s="47">
        <f>D14/12</f>
        <v/>
      </c>
    </row>
    <row r="25">
      <c r="B25" s="7" t="inlineStr">
        <is>
          <t>Total variable COGS per student-month</t>
        </is>
      </c>
      <c r="C25" s="5" t="inlineStr">
        <is>
          <t>₹/student/month</t>
        </is>
      </c>
      <c r="D25" s="46">
        <f>SUM(D21:D24)</f>
        <v/>
      </c>
    </row>
    <row r="26">
      <c r="A26" s="23" t="n"/>
      <c r="B26" s="22" t="inlineStr">
        <is>
          <t>Fixed cost per institute per month</t>
        </is>
      </c>
      <c r="C26" s="23" t="n"/>
      <c r="D26" s="23" t="n"/>
    </row>
    <row r="27">
      <c r="B27" s="7" t="inlineStr">
        <is>
          <t>Hosting share = (server + DB + WhatsApp BSP fee) ÷ institutes per stack</t>
        </is>
      </c>
      <c r="C27" s="5" t="inlineStr">
        <is>
          <t>₹/institute/month</t>
        </is>
      </c>
      <c r="D27" s="50">
        <f>(D15+D16)/D17</f>
        <v/>
      </c>
    </row>
    <row r="28">
      <c r="B28" s="7" t="inlineStr">
        <is>
          <t>Hosting share + DPDP compliance</t>
        </is>
      </c>
      <c r="C28" s="5" t="inlineStr">
        <is>
          <t>₹/institute/month</t>
        </is>
      </c>
      <c r="D28" s="52">
        <f>D27+D18</f>
        <v/>
      </c>
    </row>
    <row r="29">
      <c r="B29" s="7" t="inlineStr">
        <is>
          <t>All-in COGS per student-month at this size</t>
        </is>
      </c>
      <c r="C29" s="5" t="inlineStr">
        <is>
          <t>₹/student/month</t>
        </is>
      </c>
      <c r="D29" s="46">
        <f>D25+D28/D19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0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Institute ROI — does it pay for the owner? (per segment, live scenario)</t>
        </is>
      </c>
    </row>
    <row r="2">
      <c r="A2" s="2" t="inlineStr">
        <is>
          <t>Same price and same dropout funnel as Unit_Econ. Green fill = key outputs.</t>
        </is>
      </c>
    </row>
    <row r="4">
      <c r="A4" s="6" t="inlineStr"/>
      <c r="B4" s="6" t="inlineStr">
        <is>
          <t>Line</t>
        </is>
      </c>
      <c r="C4" s="6" t="inlineStr">
        <is>
          <t>Unit</t>
        </is>
      </c>
      <c r="D4" s="6" t="inlineStr">
        <is>
          <t>Small (&lt;250)</t>
        </is>
      </c>
      <c r="E4" s="6" t="inlineStr">
        <is>
          <t>Mid (250-800)</t>
        </is>
      </c>
      <c r="F4" s="6" t="inlineStr">
        <is>
          <t>Large (&gt;800)</t>
        </is>
      </c>
    </row>
    <row r="5">
      <c r="A5" s="23" t="n"/>
      <c r="B5" s="22" t="inlineStr">
        <is>
          <t>Inputs (from Assumptions / Pricing)</t>
        </is>
      </c>
      <c r="C5" s="23" t="n"/>
      <c r="D5" s="23" t="n"/>
      <c r="E5" s="23" t="n"/>
      <c r="F5" s="23" t="n"/>
    </row>
    <row r="6">
      <c r="B6" s="7" t="inlineStr">
        <is>
          <t>Students per institute</t>
        </is>
      </c>
      <c r="C6" s="5" t="inlineStr">
        <is>
          <t>students</t>
        </is>
      </c>
      <c r="D6" s="51">
        <f>Students_S</f>
        <v/>
      </c>
      <c r="E6" s="51">
        <f>Students_M</f>
        <v/>
      </c>
      <c r="F6" s="51">
        <f>Students_L</f>
        <v/>
      </c>
    </row>
    <row r="7">
      <c r="B7" s="7" t="inlineStr">
        <is>
          <t>Annual fee per student</t>
        </is>
      </c>
      <c r="C7" s="5" t="inlineStr">
        <is>
          <t>Rs/yr</t>
        </is>
      </c>
      <c r="D7" s="44">
        <f>Fee_S</f>
        <v/>
      </c>
      <c r="E7" s="44">
        <f>Fee_M</f>
        <v/>
      </c>
      <c r="F7" s="44">
        <f>Fee_L</f>
        <v/>
      </c>
    </row>
    <row r="8">
      <c r="B8" s="7" t="inlineStr">
        <is>
          <t>Mid-session dropout/default rate</t>
        </is>
      </c>
      <c r="C8" s="5" t="inlineStr">
        <is>
          <t>% of students/yr</t>
        </is>
      </c>
      <c r="D8" s="45">
        <f>DropoutRate</f>
        <v/>
      </c>
      <c r="E8" s="45">
        <f>DropoutRate</f>
        <v/>
      </c>
      <c r="F8" s="45">
        <f>DropoutRate</f>
        <v/>
      </c>
    </row>
    <row r="9">
      <c r="B9" s="7" t="inlineStr">
        <is>
          <t>Share of students paying full fee upfront</t>
        </is>
      </c>
      <c r="C9" s="5" t="inlineStr">
        <is>
          <t>%</t>
        </is>
      </c>
      <c r="D9" s="45">
        <f>UpfrontShare</f>
        <v/>
      </c>
      <c r="E9" s="45">
        <f>UpfrontShare</f>
        <v/>
      </c>
      <c r="F9" s="45">
        <f>UpfrontShare</f>
        <v/>
      </c>
    </row>
    <row r="10">
      <c r="B10" s="7" t="inlineStr">
        <is>
          <t>Instalments per year for non-upfront payers</t>
        </is>
      </c>
      <c r="C10" s="5" t="inlineStr">
        <is>
          <t>count</t>
        </is>
      </c>
      <c r="D10" s="51">
        <f>NInstalments</f>
        <v/>
      </c>
      <c r="E10" s="51">
        <f>NInstalments</f>
        <v/>
      </c>
      <c r="F10" s="51">
        <f>NInstalments</f>
        <v/>
      </c>
    </row>
    <row r="11">
      <c r="B11" s="7" t="inlineStr">
        <is>
          <t>Share of upfront leavers actually refunded pro-rata</t>
        </is>
      </c>
      <c r="C11" s="5" t="inlineStr">
        <is>
          <t>%</t>
        </is>
      </c>
      <c r="D11" s="45">
        <f>RefundEnforced</f>
        <v/>
      </c>
      <c r="E11" s="45">
        <f>RefundEnforced</f>
        <v/>
      </c>
      <c r="F11" s="45">
        <f>RefundEnforced</f>
        <v/>
      </c>
    </row>
    <row r="12">
      <c r="B12" s="7" t="inlineStr">
        <is>
          <t>Months before the model can flag (no test data yet)</t>
        </is>
      </c>
      <c r="C12" s="5" t="inlineStr">
        <is>
          <t>months</t>
        </is>
      </c>
      <c r="D12" s="51">
        <f>BlindMonths</f>
        <v/>
      </c>
      <c r="E12" s="51">
        <f>BlindMonths</f>
        <v/>
      </c>
      <c r="F12" s="51">
        <f>BlindMonths</f>
        <v/>
      </c>
    </row>
    <row r="13">
      <c r="B13" s="7" t="inlineStr">
        <is>
          <t>Share of students under 18</t>
        </is>
      </c>
      <c r="C13" s="5" t="inlineStr">
        <is>
          <t>%</t>
        </is>
      </c>
      <c r="D13" s="45">
        <f>MinorShare</f>
        <v/>
      </c>
      <c r="E13" s="45">
        <f>MinorShare</f>
        <v/>
      </c>
      <c r="F13" s="45">
        <f>MinorShare</f>
        <v/>
      </c>
    </row>
    <row r="14">
      <c r="B14" s="7" t="inlineStr">
        <is>
          <t>Model recall on minors (academic-support + rules)</t>
        </is>
      </c>
      <c r="C14" s="5" t="inlineStr">
        <is>
          <t>%</t>
        </is>
      </c>
      <c r="D14" s="45">
        <f>Recall_Minor</f>
        <v/>
      </c>
      <c r="E14" s="45">
        <f>Recall_Minor</f>
        <v/>
      </c>
      <c r="F14" s="45">
        <f>Recall_Minor</f>
        <v/>
      </c>
    </row>
    <row r="15">
      <c r="B15" s="7" t="inlineStr">
        <is>
          <t>Model recall on 18+ (full ML)</t>
        </is>
      </c>
      <c r="C15" s="5" t="inlineStr">
        <is>
          <t>%</t>
        </is>
      </c>
      <c r="D15" s="45">
        <f>Recall_Adult</f>
        <v/>
      </c>
      <c r="E15" s="45">
        <f>Recall_Adult</f>
        <v/>
      </c>
      <c r="F15" s="45">
        <f>Recall_Adult</f>
        <v/>
      </c>
    </row>
    <row r="16">
      <c r="B16" s="7" t="inlineStr">
        <is>
          <t>Precision of at-risk flag</t>
        </is>
      </c>
      <c r="C16" s="5" t="inlineStr">
        <is>
          <t>%</t>
        </is>
      </c>
      <c r="D16" s="45">
        <f>Precision</f>
        <v/>
      </c>
      <c r="E16" s="45">
        <f>Precision</f>
        <v/>
      </c>
      <c r="F16" s="45">
        <f>Precision</f>
        <v/>
      </c>
    </row>
    <row r="17">
      <c r="B17" s="7" t="inlineStr">
        <is>
          <t>Share of flags the institute assigns to outreach</t>
        </is>
      </c>
      <c r="C17" s="5" t="inlineStr">
        <is>
          <t>%</t>
        </is>
      </c>
      <c r="D17" s="45">
        <f>ActionRate</f>
        <v/>
      </c>
      <c r="E17" s="45">
        <f>ActionRate</f>
        <v/>
      </c>
      <c r="F17" s="45">
        <f>ActionRate</f>
        <v/>
      </c>
    </row>
    <row r="18">
      <c r="B18" s="7" t="inlineStr">
        <is>
          <t>Dropout reduction among flagged students given outreach (RCT)</t>
        </is>
      </c>
      <c r="C18" s="5" t="inlineStr">
        <is>
          <t>relative %</t>
        </is>
      </c>
      <c r="D18" s="45">
        <f>InterventionSuccess</f>
        <v/>
      </c>
      <c r="E18" s="45">
        <f>InterventionSuccess</f>
        <v/>
      </c>
      <c r="F18" s="45">
        <f>InterventionSuccess</f>
        <v/>
      </c>
    </row>
    <row r="19">
      <c r="B19" s="7" t="inlineStr">
        <is>
          <t>Admissions uplift next session from results/parent trust</t>
        </is>
      </c>
      <c r="C19" s="5" t="inlineStr">
        <is>
          <t>% of students</t>
        </is>
      </c>
      <c r="D19" s="45">
        <f>AdmissionUplift</f>
        <v/>
      </c>
      <c r="E19" s="45">
        <f>AdmissionUplift</f>
        <v/>
      </c>
      <c r="F19" s="45">
        <f>AdmissionUplift</f>
        <v/>
      </c>
    </row>
    <row r="20">
      <c r="B20" s="7" t="inlineStr">
        <is>
          <t>Institute margin on one extra admission</t>
        </is>
      </c>
      <c r="C20" s="5" t="inlineStr">
        <is>
          <t>%</t>
        </is>
      </c>
      <c r="D20" s="45">
        <f>MarginExtraAdmission</f>
        <v/>
      </c>
      <c r="E20" s="45">
        <f>MarginExtraAdmission</f>
        <v/>
      </c>
      <c r="F20" s="45">
        <f>MarginExtraAdmission</f>
        <v/>
      </c>
    </row>
    <row r="21">
      <c r="B21" s="7" t="inlineStr">
        <is>
          <t>Staff hours saved per month</t>
        </is>
      </c>
      <c r="C21" s="5" t="inlineStr">
        <is>
          <t>hours/month</t>
        </is>
      </c>
      <c r="D21" s="51">
        <f>StaffHoursSaved</f>
        <v/>
      </c>
      <c r="E21" s="51">
        <f>StaffHoursSaved</f>
        <v/>
      </c>
      <c r="F21" s="51">
        <f>StaffHoursSaved</f>
        <v/>
      </c>
    </row>
    <row r="22">
      <c r="B22" s="7" t="inlineStr">
        <is>
          <t>Cost of one admin staff hour</t>
        </is>
      </c>
      <c r="C22" s="5" t="inlineStr">
        <is>
          <t>Rs/hour</t>
        </is>
      </c>
      <c r="D22" s="44">
        <f>StaffHourCost</f>
        <v/>
      </c>
      <c r="E22" s="44">
        <f>StaffHourCost</f>
        <v/>
      </c>
      <c r="F22" s="44">
        <f>StaffHourCost</f>
        <v/>
      </c>
    </row>
    <row r="23">
      <c r="B23" s="7" t="inlineStr">
        <is>
          <t>Mentor minutes per intervention</t>
        </is>
      </c>
      <c r="C23" s="5" t="inlineStr">
        <is>
          <t>minutes</t>
        </is>
      </c>
      <c r="D23" s="51">
        <f>InterventionMinutes</f>
        <v/>
      </c>
      <c r="E23" s="51">
        <f>InterventionMinutes</f>
        <v/>
      </c>
      <c r="F23" s="51">
        <f>InterventionMinutes</f>
        <v/>
      </c>
    </row>
    <row r="24">
      <c r="B24" s="7" t="inlineStr">
        <is>
          <t>Cost of one mentor hour</t>
        </is>
      </c>
      <c r="C24" s="5" t="inlineStr">
        <is>
          <t>Rs/hour</t>
        </is>
      </c>
      <c r="D24" s="44">
        <f>MentorHourCost</f>
        <v/>
      </c>
      <c r="E24" s="44">
        <f>MentorHourCost</f>
        <v/>
      </c>
      <c r="F24" s="44">
        <f>MentorHourCost</f>
        <v/>
      </c>
    </row>
    <row r="25">
      <c r="B25" s="7" t="inlineStr">
        <is>
          <t>List price per active student per month</t>
        </is>
      </c>
      <c r="C25" s="5" t="inlineStr">
        <is>
          <t>Rs/student/month</t>
        </is>
      </c>
      <c r="D25" s="44">
        <f>ListPrice</f>
        <v/>
      </c>
      <c r="E25" s="44">
        <f>ListPrice</f>
        <v/>
      </c>
      <c r="F25" s="44">
        <f>ListPrice</f>
        <v/>
      </c>
    </row>
    <row r="26">
      <c r="B26" s="7" t="inlineStr">
        <is>
          <t>Minimum monthly fee per institute</t>
        </is>
      </c>
      <c r="C26" s="5" t="inlineStr">
        <is>
          <t>Rs/month</t>
        </is>
      </c>
      <c r="D26" s="44">
        <f>MinFee</f>
        <v/>
      </c>
      <c r="E26" s="44">
        <f>MinFee</f>
        <v/>
      </c>
      <c r="F26" s="44">
        <f>MinFee</f>
        <v/>
      </c>
    </row>
    <row r="27">
      <c r="B27" s="7" t="inlineStr">
        <is>
          <t>GST on SaaS</t>
        </is>
      </c>
      <c r="C27" s="5" t="inlineStr">
        <is>
          <t>%</t>
        </is>
      </c>
      <c r="D27" s="45">
        <f>GST</f>
        <v/>
      </c>
      <c r="E27" s="45">
        <f>GST</f>
        <v/>
      </c>
      <c r="F27" s="45">
        <f>GST</f>
        <v/>
      </c>
    </row>
    <row r="28">
      <c r="B28" s="7" t="inlineStr">
        <is>
          <t>Share of institutes that reclaim our GST as input credit</t>
        </is>
      </c>
      <c r="C28" s="5" t="inlineStr">
        <is>
          <t>%</t>
        </is>
      </c>
      <c r="D28" s="45">
        <f>ITCShare</f>
        <v/>
      </c>
      <c r="E28" s="45">
        <f>ITCShare</f>
        <v/>
      </c>
      <c r="F28" s="45">
        <f>ITCShare</f>
        <v/>
      </c>
    </row>
    <row r="29">
      <c r="B29" s="7" t="inlineStr">
        <is>
          <t>Effective discount (Pricing)</t>
        </is>
      </c>
      <c r="C29" s="5" t="inlineStr">
        <is>
          <t>%</t>
        </is>
      </c>
      <c r="D29" s="45">
        <f>EffDisc</f>
        <v/>
      </c>
      <c r="E29" s="45">
        <f>EffDisc</f>
        <v/>
      </c>
      <c r="F29" s="45">
        <f>EffDisc</f>
        <v/>
      </c>
    </row>
    <row r="30">
      <c r="A30" s="23" t="n"/>
      <c r="B30" s="22" t="inlineStr">
        <is>
          <t>1. What a dropout actually costs (unpaid instalments + refunds to full payers)</t>
        </is>
      </c>
      <c r="C30" s="23" t="n"/>
      <c r="D30" s="23" t="n"/>
      <c r="E30" s="23" t="n"/>
      <c r="F30" s="23" t="n"/>
    </row>
    <row r="31">
      <c r="B31" s="7" t="inlineStr">
        <is>
          <t>Dropouts per year</t>
        </is>
      </c>
      <c r="C31" s="5" t="inlineStr">
        <is>
          <t>students/yr</t>
        </is>
      </c>
      <c r="D31" s="53">
        <f>D6*D8</f>
        <v/>
      </c>
      <c r="E31" s="53">
        <f>E6*E8</f>
        <v/>
      </c>
      <c r="F31" s="53">
        <f>F6*F8</f>
        <v/>
      </c>
    </row>
    <row r="32">
      <c r="B32" s="7" t="inlineStr">
        <is>
          <t>Avg fee lost per dropout (timing curve × unpaid instalments / pro-rata refund)</t>
        </is>
      </c>
      <c r="C32" s="5" t="inlineStr">
        <is>
          <t>₹/dropout</t>
        </is>
      </c>
      <c r="D32" s="52">
        <f>SUMPRODUCT(DropTiming,D7*((1-D9)*(1-(INT((DropMonth-1)*D10/CourseMonths)+1)/D10)+D9*D11*DropRemain))</f>
        <v/>
      </c>
      <c r="E32" s="52">
        <f>SUMPRODUCT(DropTiming,E7*((1-E9)*(1-(INT((DropMonth-1)*E10/CourseMonths)+1)/E10)+E9*E11*DropRemain))</f>
        <v/>
      </c>
      <c r="F32" s="52">
        <f>SUMPRODUCT(DropTiming,F7*((1-F9)*(1-(INT((DropMonth-1)*F10/CourseMonths)+1)/F10)+F9*F11*DropRemain))</f>
        <v/>
      </c>
    </row>
    <row r="33">
      <c r="B33" s="7" t="inlineStr">
        <is>
          <t>Fee lost to dropouts per year (no platform)</t>
        </is>
      </c>
      <c r="C33" s="5" t="inlineStr">
        <is>
          <t>₹/yr</t>
        </is>
      </c>
      <c r="D33" s="50">
        <f>D31*D32</f>
        <v/>
      </c>
      <c r="E33" s="50">
        <f>E31*E32</f>
        <v/>
      </c>
      <c r="F33" s="50">
        <f>F31*F32</f>
        <v/>
      </c>
    </row>
    <row r="34">
      <c r="A34" s="23" t="n"/>
      <c r="B34" s="22" t="inlineStr">
        <is>
          <t>2. Prevention funnel (replaces the guide's flat 25%)</t>
        </is>
      </c>
      <c r="C34" s="23" t="n"/>
      <c r="D34" s="23" t="n"/>
      <c r="E34" s="23" t="n"/>
      <c r="F34" s="23" t="n"/>
    </row>
    <row r="35">
      <c r="B35" s="7" t="inlineStr">
        <is>
          <t>Blended recall (minors: academic model + rules; 18+: full ML)</t>
        </is>
      </c>
      <c r="C35" s="5" t="inlineStr">
        <is>
          <t>%</t>
        </is>
      </c>
      <c r="D35" s="39">
        <f>D13*D14+(1-D13)*D15</f>
        <v/>
      </c>
      <c r="E35" s="39">
        <f>E13*E14+(1-E13)*E15</f>
        <v/>
      </c>
      <c r="F35" s="39">
        <f>F13*F14+(1-F13)*F15</f>
        <v/>
      </c>
    </row>
    <row r="36">
      <c r="B36" s="7" t="inlineStr">
        <is>
          <t>Share of dropouts after the 'blind' months (enough test data to flag)</t>
        </is>
      </c>
      <c r="C36" s="5" t="inlineStr">
        <is>
          <t>%</t>
        </is>
      </c>
      <c r="D36" s="39">
        <f>SUMPRODUCT(DropTiming*(DropMonth&gt;D12))</f>
        <v/>
      </c>
      <c r="E36" s="39">
        <f>SUMPRODUCT(DropTiming*(DropMonth&gt;E12))</f>
        <v/>
      </c>
      <c r="F36" s="39">
        <f>SUMPRODUCT(DropTiming*(DropMonth&gt;F12))</f>
        <v/>
      </c>
    </row>
    <row r="37">
      <c r="B37" s="7" t="inlineStr">
        <is>
          <t>Effective dropout reduction = recall × action × RCT effect × catchable</t>
        </is>
      </c>
      <c r="C37" s="5" t="inlineStr">
        <is>
          <t>%</t>
        </is>
      </c>
      <c r="D37" s="40">
        <f>D35*D17*D18*D36</f>
        <v/>
      </c>
      <c r="E37" s="40">
        <f>E35*E17*E18*E36</f>
        <v/>
      </c>
      <c r="F37" s="40">
        <f>F35*F17*F18*F36</f>
        <v/>
      </c>
    </row>
    <row r="38">
      <c r="B38" s="7" t="inlineStr">
        <is>
          <t>Dropouts prevented per year</t>
        </is>
      </c>
      <c r="C38" s="5" t="inlineStr">
        <is>
          <t>students/yr</t>
        </is>
      </c>
      <c r="D38" s="54">
        <f>D31*D37</f>
        <v/>
      </c>
      <c r="E38" s="54">
        <f>E31*E37</f>
        <v/>
      </c>
      <c r="F38" s="54">
        <f>F31*F37</f>
        <v/>
      </c>
    </row>
    <row r="39">
      <c r="B39" s="7" t="inlineStr">
        <is>
          <t>Fee saved per prevented dropout (catchable months only)</t>
        </is>
      </c>
      <c r="C39" s="5" t="inlineStr">
        <is>
          <t>₹/student</t>
        </is>
      </c>
      <c r="D39" s="52">
        <f>IF(D36&gt;0,SUMPRODUCT(DropTiming*(DropMonth&gt;D12)*D7*((1-D9)*(1-(INT((DropMonth-1)*D10/CourseMonths)+1)/D10)+D9*D11*DropRemain))/D36,0)</f>
        <v/>
      </c>
      <c r="E39" s="52">
        <f>IF(E36&gt;0,SUMPRODUCT(DropTiming*(DropMonth&gt;E12)*E7*((1-E9)*(1-(INT((DropMonth-1)*E10/CourseMonths)+1)/E10)+E9*E11*DropRemain))/E36,0)</f>
        <v/>
      </c>
      <c r="F39" s="52">
        <f>IF(F36&gt;0,SUMPRODUCT(DropTiming*(DropMonth&gt;F12)*F7*((1-F9)*(1-(INT((DropMonth-1)*F10/CourseMonths)+1)/F10)+F9*F11*DropRemain))/F36,0)</f>
        <v/>
      </c>
    </row>
    <row r="40">
      <c r="A40" s="23" t="n"/>
      <c r="B40" s="22" t="inlineStr">
        <is>
          <t>3. Value to the institute (₹/yr)</t>
        </is>
      </c>
      <c r="C40" s="23" t="n"/>
      <c r="D40" s="23" t="n"/>
      <c r="E40" s="23" t="n"/>
      <c r="F40" s="23" t="n"/>
    </row>
    <row r="41">
      <c r="B41" s="7" t="inlineStr">
        <is>
          <t>Fees retained</t>
        </is>
      </c>
      <c r="C41" s="5" t="inlineStr">
        <is>
          <t>₹/yr</t>
        </is>
      </c>
      <c r="D41" s="50">
        <f>D38*D39</f>
        <v/>
      </c>
      <c r="E41" s="50">
        <f>E38*E39</f>
        <v/>
      </c>
      <c r="F41" s="50">
        <f>F38*F39</f>
        <v/>
      </c>
    </row>
    <row r="42">
      <c r="B42" s="7" t="inlineStr">
        <is>
          <t>Margin on extra admissions (results / parent trust)</t>
        </is>
      </c>
      <c r="C42" s="5" t="inlineStr">
        <is>
          <t>₹/yr</t>
        </is>
      </c>
      <c r="D42" s="50">
        <f>D6*D19*D7*D20</f>
        <v/>
      </c>
      <c r="E42" s="50">
        <f>E6*E19*E7*E20</f>
        <v/>
      </c>
      <c r="F42" s="50">
        <f>F6*F19*F7*F20</f>
        <v/>
      </c>
    </row>
    <row r="43">
      <c r="B43" s="7" t="inlineStr">
        <is>
          <t>Staff time saved</t>
        </is>
      </c>
      <c r="C43" s="5" t="inlineStr">
        <is>
          <t>₹/yr</t>
        </is>
      </c>
      <c r="D43" s="50">
        <f>D21*D22*12</f>
        <v/>
      </c>
      <c r="E43" s="50">
        <f>E21*E22*12</f>
        <v/>
      </c>
      <c r="F43" s="50">
        <f>F21*F22*12</f>
        <v/>
      </c>
    </row>
    <row r="44">
      <c r="B44" s="7" t="inlineStr">
        <is>
          <t>Total value</t>
        </is>
      </c>
      <c r="C44" s="5" t="inlineStr">
        <is>
          <t>₹/yr</t>
        </is>
      </c>
      <c r="D44" s="52">
        <f>D41+D42+D43</f>
        <v/>
      </c>
      <c r="E44" s="52">
        <f>E41+E42+E43</f>
        <v/>
      </c>
      <c r="F44" s="52">
        <f>F41+F42+F43</f>
        <v/>
      </c>
    </row>
    <row r="45">
      <c r="A45" s="23" t="n"/>
      <c r="B45" s="22" t="inlineStr">
        <is>
          <t>4. Cost to the institute (₹/yr)</t>
        </is>
      </c>
      <c r="C45" s="23" t="n"/>
      <c r="D45" s="23" t="n"/>
      <c r="E45" s="23" t="n"/>
      <c r="F45" s="23" t="n"/>
    </row>
    <row r="46">
      <c r="B46" s="7" t="inlineStr">
        <is>
          <t>Platform fee (seasonal active students, min fee, discounts; ex-GST)</t>
        </is>
      </c>
      <c r="C46" s="5" t="inlineStr">
        <is>
          <t>₹/yr</t>
        </is>
      </c>
      <c r="D46" s="50">
        <f>SUMPRODUCT((D6*Season_Idx*D25&gt;D26)*(D6*Season_Idx*D25)+(D6*Season_Idx*D25&lt;=D26)*D26)*(1-D29)</f>
        <v/>
      </c>
      <c r="E46" s="50">
        <f>SUMPRODUCT((E6*Season_Idx*E25&gt;E26)*(E6*Season_Idx*E25)+(E6*Season_Idx*E25&lt;=E26)*E26)*(1-E29)</f>
        <v/>
      </c>
      <c r="F46" s="50">
        <f>SUMPRODUCT((F6*Season_Idx*F25&gt;F26)*(F6*Season_Idx*F25)+(F6*Season_Idx*F25&lt;=F26)*F26)*(1-F29)</f>
        <v/>
      </c>
    </row>
    <row r="47">
      <c r="B47" s="7" t="inlineStr">
        <is>
          <t>GST the institute cannot reclaim</t>
        </is>
      </c>
      <c r="C47" s="5" t="inlineStr">
        <is>
          <t>₹/yr</t>
        </is>
      </c>
      <c r="D47" s="50">
        <f>D46*D27*(1-D28)</f>
        <v/>
      </c>
      <c r="E47" s="50">
        <f>E46*E27*(1-E28)</f>
        <v/>
      </c>
      <c r="F47" s="50">
        <f>F46*F27*(1-F28)</f>
        <v/>
      </c>
    </row>
    <row r="48">
      <c r="B48" s="7" t="inlineStr">
        <is>
          <t>Students flagged per year (true + false alarms)</t>
        </is>
      </c>
      <c r="C48" s="5" t="inlineStr">
        <is>
          <t>students/yr</t>
        </is>
      </c>
      <c r="D48" s="53">
        <f>IF(D16&gt;0,D31*D35/D16,0)</f>
        <v/>
      </c>
      <c r="E48" s="53">
        <f>IF(E16&gt;0,E31*E35/E16,0)</f>
        <v/>
      </c>
      <c r="F48" s="53">
        <f>IF(F16&gt;0,F31*F35/F16,0)</f>
        <v/>
      </c>
    </row>
    <row r="49">
      <c r="B49" s="7" t="inlineStr">
        <is>
          <t>Share of the roll flagged per year (alert load)</t>
        </is>
      </c>
      <c r="C49" s="5" t="inlineStr">
        <is>
          <t>%</t>
        </is>
      </c>
      <c r="D49" s="39">
        <f>IF(D6&gt;0,D48/D6,0)</f>
        <v/>
      </c>
      <c r="E49" s="39">
        <f>IF(E6&gt;0,E48/E6,0)</f>
        <v/>
      </c>
      <c r="F49" s="39">
        <f>IF(F6&gt;0,F48/F6,0)</f>
        <v/>
      </c>
    </row>
    <row r="50">
      <c r="B50" s="7" t="inlineStr">
        <is>
          <t>Mentor time spent acting on flags</t>
        </is>
      </c>
      <c r="C50" s="5" t="inlineStr">
        <is>
          <t>₹/yr</t>
        </is>
      </c>
      <c r="D50" s="50">
        <f>D48*D17*D23/60*D24</f>
        <v/>
      </c>
      <c r="E50" s="50">
        <f>E48*E17*E23/60*E24</f>
        <v/>
      </c>
      <c r="F50" s="50">
        <f>F48*F17*F23/60*F24</f>
        <v/>
      </c>
    </row>
    <row r="51">
      <c r="B51" s="7" t="inlineStr">
        <is>
          <t>Total cost</t>
        </is>
      </c>
      <c r="C51" s="5" t="inlineStr">
        <is>
          <t>₹/yr</t>
        </is>
      </c>
      <c r="D51" s="52">
        <f>D46+D47+D50</f>
        <v/>
      </c>
      <c r="E51" s="52">
        <f>E46+E47+E50</f>
        <v/>
      </c>
      <c r="F51" s="52">
        <f>F46+F47+F50</f>
        <v/>
      </c>
    </row>
    <row r="52">
      <c r="A52" s="23" t="n"/>
      <c r="B52" s="22" t="inlineStr">
        <is>
          <t>5. Result</t>
        </is>
      </c>
      <c r="C52" s="23" t="n"/>
      <c r="D52" s="23" t="n"/>
      <c r="E52" s="23" t="n"/>
      <c r="F52" s="23" t="n"/>
    </row>
    <row r="53">
      <c r="B53" s="7" t="inlineStr">
        <is>
          <t>Net benefit to institute</t>
        </is>
      </c>
      <c r="C53" s="5" t="inlineStr">
        <is>
          <t>₹/yr</t>
        </is>
      </c>
      <c r="D53" s="52">
        <f>D44-D51</f>
        <v/>
      </c>
      <c r="E53" s="52">
        <f>E44-E51</f>
        <v/>
      </c>
      <c r="F53" s="52">
        <f>F44-F51</f>
        <v/>
      </c>
    </row>
    <row r="54">
      <c r="B54" s="7" t="inlineStr">
        <is>
          <t>Institute ROI (value ÷ cost)</t>
        </is>
      </c>
      <c r="C54" s="5" t="inlineStr">
        <is>
          <t>x</t>
        </is>
      </c>
      <c r="D54" s="55">
        <f>IF(D51&gt;0,D44/D51,0)</f>
        <v/>
      </c>
      <c r="E54" s="55">
        <f>IF(E51&gt;0,E44/E51,0)</f>
        <v/>
      </c>
      <c r="F54" s="55">
        <f>IF(F51&gt;0,F44/F51,0)</f>
        <v/>
      </c>
    </row>
    <row r="55">
      <c r="B55" s="7" t="inlineStr">
        <is>
          <t>Fees-only ROI (no soft benefits)</t>
        </is>
      </c>
      <c r="C55" s="5" t="inlineStr">
        <is>
          <t>x</t>
        </is>
      </c>
      <c r="D55" s="55">
        <f>IF(D51&gt;0,D41/D51,0)</f>
        <v/>
      </c>
      <c r="E55" s="55">
        <f>IF(E51&gt;0,E41/E51,0)</f>
        <v/>
      </c>
      <c r="F55" s="55">
        <f>IF(F51&gt;0,F41/F51,0)</f>
        <v/>
      </c>
    </row>
    <row r="56">
      <c r="B56" s="7" t="inlineStr">
        <is>
          <t>Hard-benefit ROI (fees retained + staff time, no admissions)</t>
        </is>
      </c>
      <c r="C56" s="5" t="inlineStr">
        <is>
          <t>x</t>
        </is>
      </c>
      <c r="D56" s="55">
        <f>IF(D51&gt;0,(D41+D43)/D51,0)</f>
        <v/>
      </c>
      <c r="E56" s="55">
        <f>IF(E51&gt;0,(E41+E43)/E51,0)</f>
        <v/>
      </c>
      <c r="F56" s="55">
        <f>IF(F51&gt;0,(F41+F43)/F51,0)</f>
        <v/>
      </c>
    </row>
    <row r="57">
      <c r="B57" s="7" t="inlineStr">
        <is>
          <t>Break-even: students to save per year (fees only)</t>
        </is>
      </c>
      <c r="C57" s="5" t="inlineStr">
        <is>
          <t>students/yr</t>
        </is>
      </c>
      <c r="D57" s="54">
        <f>IF(D39&gt;0,D51/D39,0)</f>
        <v/>
      </c>
      <c r="E57" s="54">
        <f>IF(E39&gt;0,E51/E39,0)</f>
        <v/>
      </c>
      <c r="F57" s="54">
        <f>IF(F39&gt;0,F51/F39,0)</f>
        <v/>
      </c>
    </row>
    <row r="58">
      <c r="B58" s="7" t="inlineStr">
        <is>
          <t>Break-even dropout reduction needed</t>
        </is>
      </c>
      <c r="C58" s="5" t="inlineStr">
        <is>
          <t>%</t>
        </is>
      </c>
      <c r="D58" s="40">
        <f>IF(D31&gt;0,D57/D31,0)</f>
        <v/>
      </c>
      <c r="E58" s="40">
        <f>IF(E31&gt;0,E57/E31,0)</f>
        <v/>
      </c>
      <c r="F58" s="40">
        <f>IF(F31&gt;0,F57/F31,0)</f>
        <v/>
      </c>
    </row>
    <row r="59">
      <c r="B59" s="7" t="inlineStr">
        <is>
          <t>Admissions uplift needed to break even, after fees + staff time</t>
        </is>
      </c>
      <c r="C59" s="5" t="inlineStr">
        <is>
          <t>% of students</t>
        </is>
      </c>
      <c r="D59" s="40">
        <f>IF(D6*D7*D20&gt;0,MAX(0,D51-D41-D43)/(D6*D7*D20),0)</f>
        <v/>
      </c>
      <c r="E59" s="40">
        <f>IF(E6*E7*E20&gt;0,MAX(0,E51-E41-E43)/(E6*E7*E20),0)</f>
        <v/>
      </c>
      <c r="F59" s="40">
        <f>IF(F6*F7*F20&gt;0,MAX(0,F51-F41-F43)/(F6*F7*F20),0)</f>
        <v/>
      </c>
    </row>
    <row r="60">
      <c r="B60" s="7" t="inlineStr">
        <is>
          <t>…in extra admissions per year</t>
        </is>
      </c>
      <c r="C60" s="5" t="inlineStr">
        <is>
          <t>students/yr</t>
        </is>
      </c>
      <c r="D60" s="54">
        <f>D59*D6</f>
        <v/>
      </c>
      <c r="E60" s="54">
        <f>E59*E6</f>
        <v/>
      </c>
      <c r="F60" s="54">
        <f>F59*F6</f>
        <v/>
      </c>
    </row>
    <row r="61">
      <c r="B61" s="7" t="inlineStr">
        <is>
          <t>Platform cost per student per year (incl. unreclaimed GST)</t>
        </is>
      </c>
      <c r="C61" s="5" t="inlineStr">
        <is>
          <t>₹/student/yr</t>
        </is>
      </c>
      <c r="D61" s="52">
        <f>(D46+D47)/D6</f>
        <v/>
      </c>
      <c r="E61" s="52">
        <f>(E46+E47)/E6</f>
        <v/>
      </c>
      <c r="F61" s="52">
        <f>(F46+F47)/F6</f>
        <v/>
      </c>
    </row>
    <row r="62">
      <c r="B62" s="7" t="inlineStr">
        <is>
          <t>Platform cost as % of the student's fee</t>
        </is>
      </c>
      <c r="C62" s="5" t="inlineStr">
        <is>
          <t>%</t>
        </is>
      </c>
      <c r="D62" s="40">
        <f>D61/D7</f>
        <v/>
      </c>
      <c r="E62" s="40">
        <f>E61/E7</f>
        <v/>
      </c>
      <c r="F62" s="40">
        <f>F61/F7</f>
        <v/>
      </c>
    </row>
    <row r="65">
      <c r="A65" s="36" t="inlineStr">
        <is>
          <t>The guide's naive model (for contrast — all inputs from the Guide block on Assumptions)</t>
        </is>
      </c>
    </row>
    <row r="66">
      <c r="B66" s="7" t="inlineStr">
        <is>
          <t>Dropouts per year</t>
        </is>
      </c>
      <c r="E66" s="53">
        <f>G_Students*G_Dropout</f>
        <v/>
      </c>
    </row>
    <row r="67">
      <c r="B67" s="7" t="inlineStr">
        <is>
          <t>Dropouts prevented (flat 25%)</t>
        </is>
      </c>
      <c r="E67" s="53">
        <f>G_Students*G_Dropout*G_Prevent</f>
        <v/>
      </c>
    </row>
    <row r="68">
      <c r="B68" s="7" t="inlineStr">
        <is>
          <t>Fees saved</t>
        </is>
      </c>
      <c r="E68" s="50">
        <f>G_Students*G_Dropout*G_Prevent*G_RemainingFee</f>
        <v/>
      </c>
    </row>
    <row r="69">
      <c r="B69" s="7" t="inlineStr">
        <is>
          <t>Platform cost (12 months, no GST, no seasonality)</t>
        </is>
      </c>
      <c r="E69" s="50">
        <f>G_Students*G_Price*G_Months</f>
        <v/>
      </c>
    </row>
    <row r="70">
      <c r="B70" s="7" t="inlineStr">
        <is>
          <t>Guide ROI</t>
        </is>
      </c>
      <c r="E70" s="49">
        <f>IF(ROUND(G_Students*G_Price*G_Months,6)&gt;0,G_Students*G_Dropout*G_Prevent*G_RemainingFee/(G_Students*G_Price*G_Months),0)</f>
        <v/>
      </c>
    </row>
    <row r="71">
      <c r="B71" s="7" t="inlineStr">
        <is>
          <t>Guide break-even students</t>
        </is>
      </c>
      <c r="E71" s="53">
        <f>G_Students*G_Price*G_Months/G_RemainingFee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6" customWidth="1" min="2" max="2"/>
    <col width="16" customWidth="1" min="3" max="3"/>
    <col width="16" customWidth="1" min="4" max="4"/>
    <col width="16" customWidth="1" min="5" max="5"/>
    <col width="16" customWidth="1" min="6" max="6"/>
    <col width="3" customWidth="1" min="7" max="7"/>
    <col width="50" customWidth="1" min="8" max="8"/>
    <col width="14" customWidth="1" min="9" max="9"/>
  </cols>
  <sheetData>
    <row r="1">
      <c r="A1" s="1" t="inlineStr">
        <is>
          <t>Unit economics per institute (live scenario)</t>
        </is>
      </c>
    </row>
    <row r="2">
      <c r="A2" s="2" t="inlineStr">
        <is>
          <t>LTV uses a seasonal survival curve (monthly churn + a renewal spike that applies only after the customer has paid MinRenewTenure months), discounted, capped at 60 months. Payback = 61 means 'not within 60 months'. Undiscounted LTV and simple payback are shown too, because peers quote those.</t>
        </is>
      </c>
    </row>
    <row r="4">
      <c r="A4" s="6" t="inlineStr"/>
      <c r="B4" s="6" t="inlineStr">
        <is>
          <t>Line</t>
        </is>
      </c>
      <c r="C4" s="6" t="inlineStr">
        <is>
          <t>Unit</t>
        </is>
      </c>
      <c r="D4" s="6" t="inlineStr">
        <is>
          <t>Small (&lt;250)</t>
        </is>
      </c>
      <c r="E4" s="6" t="inlineStr">
        <is>
          <t>Mid (250-800)</t>
        </is>
      </c>
      <c r="F4" s="6" t="inlineStr">
        <is>
          <t>Large (&gt;800)</t>
        </is>
      </c>
      <c r="H4" s="56" t="inlineStr">
        <is>
          <t>Guide's naive unit economics</t>
        </is>
      </c>
      <c r="I4" s="56" t="inlineStr">
        <is>
          <t>Value</t>
        </is>
      </c>
    </row>
    <row r="5">
      <c r="A5" s="23" t="n"/>
      <c r="B5" s="22" t="inlineStr">
        <is>
          <t>Inputs (from Assumptions / Pricing / COGS_Build)</t>
        </is>
      </c>
      <c r="C5" s="23" t="n"/>
      <c r="D5" s="23" t="n"/>
      <c r="E5" s="23" t="n"/>
      <c r="F5" s="23" t="n"/>
      <c r="H5" s="7" t="inlineStr">
        <is>
          <t>Revenue per institute per month</t>
        </is>
      </c>
      <c r="I5" s="50">
        <f>G_Students*G_Price</f>
        <v/>
      </c>
    </row>
    <row r="6">
      <c r="B6" s="7" t="inlineStr">
        <is>
          <t>Students per institute</t>
        </is>
      </c>
      <c r="C6" s="5" t="inlineStr">
        <is>
          <t>students</t>
        </is>
      </c>
      <c r="D6" s="51">
        <f>Students_S</f>
        <v/>
      </c>
      <c r="E6" s="51">
        <f>Students_M</f>
        <v/>
      </c>
      <c r="F6" s="51">
        <f>Students_L</f>
        <v/>
      </c>
      <c r="H6" s="7" t="inlineStr">
        <is>
          <t>Contribution per month</t>
        </is>
      </c>
      <c r="I6" s="50">
        <f>G_Students*G_Price-G_Students*G_Infra-G_Support</f>
        <v/>
      </c>
    </row>
    <row r="7">
      <c r="B7" s="7" t="inlineStr">
        <is>
          <t>List price per active student per month</t>
        </is>
      </c>
      <c r="C7" s="5" t="inlineStr">
        <is>
          <t>Rs/student/month</t>
        </is>
      </c>
      <c r="D7" s="44">
        <f>ListPrice</f>
        <v/>
      </c>
      <c r="E7" s="44">
        <f>ListPrice</f>
        <v/>
      </c>
      <c r="F7" s="44">
        <f>ListPrice</f>
        <v/>
      </c>
      <c r="H7" s="7" t="inlineStr">
        <is>
          <t>CAC + onboarding</t>
        </is>
      </c>
      <c r="I7" s="50">
        <f>G_CAC+G_Onboard</f>
        <v/>
      </c>
    </row>
    <row r="8">
      <c r="B8" s="7" t="inlineStr">
        <is>
          <t>Minimum monthly fee per institute</t>
        </is>
      </c>
      <c r="C8" s="5" t="inlineStr">
        <is>
          <t>Rs/month</t>
        </is>
      </c>
      <c r="D8" s="44">
        <f>MinFee</f>
        <v/>
      </c>
      <c r="E8" s="44">
        <f>MinFee</f>
        <v/>
      </c>
      <c r="F8" s="44">
        <f>MinFee</f>
        <v/>
      </c>
      <c r="H8" s="7" t="inlineStr">
        <is>
          <t>Payback (months)</t>
        </is>
      </c>
      <c r="I8" s="53">
        <f>(G_CAC+G_Onboard)/(G_Students*G_Price-G_Students*G_Infra-G_Support)</f>
        <v/>
      </c>
    </row>
    <row r="9">
      <c r="B9" s="7" t="inlineStr">
        <is>
          <t>Bad debt / uncollected billing</t>
        </is>
      </c>
      <c r="C9" s="5" t="inlineStr">
        <is>
          <t>%</t>
        </is>
      </c>
      <c r="D9" s="45">
        <f>BadDebt</f>
        <v/>
      </c>
      <c r="E9" s="45">
        <f>BadDebt</f>
        <v/>
      </c>
      <c r="F9" s="45">
        <f>BadDebt</f>
        <v/>
      </c>
      <c r="H9" s="7" t="inlineStr">
        <is>
          <t>LTV = contribution ÷ churn</t>
        </is>
      </c>
      <c r="I9" s="50">
        <f>(G_Students*G_Price-G_Students*G_Infra-G_Support)/G_Churn</f>
        <v/>
      </c>
    </row>
    <row r="10">
      <c r="B10" s="7" t="inlineStr">
        <is>
          <t>Payment collection cost (blended)</t>
        </is>
      </c>
      <c r="C10" s="5" t="inlineStr">
        <is>
          <t>% of revenue</t>
        </is>
      </c>
      <c r="D10" s="45">
        <f>GatewayFee</f>
        <v/>
      </c>
      <c r="E10" s="45">
        <f>GatewayFee</f>
        <v/>
      </c>
      <c r="F10" s="45">
        <f>GatewayFee</f>
        <v/>
      </c>
      <c r="H10" s="7" t="inlineStr">
        <is>
          <t>LTV ÷ (CAC + onboarding)</t>
        </is>
      </c>
      <c r="I10" s="49">
        <f>((G_Students*G_Price-G_Students*G_Infra-G_Support)/G_Churn)/(G_CAC+G_Onboard)</f>
        <v/>
      </c>
    </row>
    <row r="11">
      <c r="B11" s="7" t="inlineStr">
        <is>
          <t>Monthly logo churn for monthly payers</t>
        </is>
      </c>
      <c r="C11" s="5" t="inlineStr">
        <is>
          <t>%/month</t>
        </is>
      </c>
      <c r="D11" s="45">
        <f>ChurnInSeason</f>
        <v/>
      </c>
      <c r="E11" s="45">
        <f>ChurnInSeason</f>
        <v/>
      </c>
      <c r="F11" s="45">
        <f>ChurnInSeason</f>
        <v/>
      </c>
    </row>
    <row r="12">
      <c r="B12" s="7" t="inlineStr">
        <is>
          <t>Share of institutes choosing annual prepay</t>
        </is>
      </c>
      <c r="C12" s="5" t="inlineStr">
        <is>
          <t>%</t>
        </is>
      </c>
      <c r="D12" s="45">
        <f>PrepayUptake</f>
        <v/>
      </c>
      <c r="E12" s="45">
        <f>PrepayUptake</f>
        <v/>
      </c>
      <c r="F12" s="45">
        <f>PrepayUptake</f>
        <v/>
      </c>
    </row>
    <row r="13">
      <c r="B13" s="7" t="inlineStr">
        <is>
          <t>Non-renewal at session end (annual)</t>
        </is>
      </c>
      <c r="C13" s="5" t="inlineStr">
        <is>
          <t>% of logos</t>
        </is>
      </c>
      <c r="D13" s="45">
        <f>RenewalSpike</f>
        <v/>
      </c>
      <c r="E13" s="45">
        <f>RenewalSpike</f>
        <v/>
      </c>
      <c r="F13" s="45">
        <f>RenewalSpike</f>
        <v/>
      </c>
      <c r="H13" s="56" t="inlineStr">
        <is>
          <t>Break-even scale, steady state (no new sales; fixed team ÷ Mid contribution)</t>
        </is>
      </c>
      <c r="I13" s="56" t="inlineStr">
        <is>
          <t>Value</t>
        </is>
      </c>
    </row>
    <row r="14">
      <c r="B14" s="7" t="inlineStr">
        <is>
          <t>Customer-success / onboarding exec monthly CTC</t>
        </is>
      </c>
      <c r="C14" s="5" t="inlineStr">
        <is>
          <t>Rs/month</t>
        </is>
      </c>
      <c r="D14" s="44">
        <f>CSM_CTC</f>
        <v/>
      </c>
      <c r="E14" s="44">
        <f>CSM_CTC</f>
        <v/>
      </c>
      <c r="F14" s="44">
        <f>CSM_CTC</f>
        <v/>
      </c>
      <c r="H14" s="7" t="inlineStr">
        <is>
          <t>Fixed team + tools cost per month</t>
        </is>
      </c>
      <c r="I14" s="50">
        <f>Founders*FounderStipend+EngineersY1*EngineerCTC+ToolsOpex</f>
        <v/>
      </c>
    </row>
    <row r="15">
      <c r="B15" s="7" t="inlineStr">
        <is>
          <t>Institutes per CSM</t>
        </is>
      </c>
      <c r="C15" s="5" t="inlineStr">
        <is>
          <t>institutes</t>
        </is>
      </c>
      <c r="D15" s="51">
        <f>InstPerCSM</f>
        <v/>
      </c>
      <c r="E15" s="51">
        <f>InstPerCSM</f>
        <v/>
      </c>
      <c r="F15" s="51">
        <f>InstPerCSM</f>
        <v/>
      </c>
      <c r="H15" s="7" t="inlineStr">
        <is>
          <t>Mid-institute avg monthly contribution</t>
        </is>
      </c>
      <c r="I15" s="50">
        <f>E37</f>
        <v/>
      </c>
    </row>
    <row r="16">
      <c r="B16" s="7" t="inlineStr">
        <is>
          <t>Field sales rep monthly CTC (incl. fuel)</t>
        </is>
      </c>
      <c r="C16" s="5" t="inlineStr">
        <is>
          <t>Rs/month</t>
        </is>
      </c>
      <c r="D16" s="44">
        <f>RepCTC</f>
        <v/>
      </c>
      <c r="E16" s="44">
        <f>RepCTC</f>
        <v/>
      </c>
      <c r="F16" s="44">
        <f>RepCTC</f>
        <v/>
      </c>
      <c r="H16" s="7" t="inlineStr">
        <is>
          <t>Institutes needed to cover fixed cost</t>
        </is>
      </c>
      <c r="I16" s="54">
        <f>IF(I15&gt;0,I14/I15,0)</f>
        <v/>
      </c>
    </row>
    <row r="17">
      <c r="B17" s="7" t="inlineStr">
        <is>
          <t>Rep intercity travel + demo material per month</t>
        </is>
      </c>
      <c r="C17" s="5" t="inlineStr">
        <is>
          <t>Rs/month</t>
        </is>
      </c>
      <c r="D17" s="44">
        <f>RepTravel</f>
        <v/>
      </c>
      <c r="E17" s="44">
        <f>RepTravel</f>
        <v/>
      </c>
      <c r="F17" s="44">
        <f>RepTravel</f>
        <v/>
      </c>
      <c r="H17" s="7" t="inlineStr">
        <is>
          <t>…equivalent active students</t>
        </is>
      </c>
      <c r="I17" s="57">
        <f>I16*Students_M</f>
        <v/>
      </c>
    </row>
    <row r="18">
      <c r="B18" s="7" t="inlineStr">
        <is>
          <t>Pilots started per rep per month (yearly avg)</t>
        </is>
      </c>
      <c r="C18" s="5" t="inlineStr">
        <is>
          <t>pilots</t>
        </is>
      </c>
      <c r="D18" s="58">
        <f>PilotsPerRepMonth</f>
        <v/>
      </c>
      <c r="E18" s="58">
        <f>PilotsPerRepMonth</f>
        <v/>
      </c>
      <c r="F18" s="58">
        <f>PilotsPerRepMonth</f>
        <v/>
      </c>
      <c r="H18" s="7" t="inlineStr">
        <is>
          <t>Paid institutes one rep adds per month</t>
        </is>
      </c>
      <c r="I18" s="53">
        <f>PilotsPerRepMonth*PilotConv</f>
        <v/>
      </c>
    </row>
    <row r="19">
      <c r="B19" s="7" t="inlineStr">
        <is>
          <t>Pilot-to-paid conversion</t>
        </is>
      </c>
      <c r="C19" s="5" t="inlineStr">
        <is>
          <t>%</t>
        </is>
      </c>
      <c r="D19" s="45">
        <f>PilotConv</f>
        <v/>
      </c>
      <c r="E19" s="45">
        <f>PilotConv</f>
        <v/>
      </c>
      <c r="F19" s="45">
        <f>PilotConv</f>
        <v/>
      </c>
    </row>
    <row r="20">
      <c r="B20" s="7" t="inlineStr">
        <is>
          <t>Free pilot length</t>
        </is>
      </c>
      <c r="C20" s="5" t="inlineStr">
        <is>
          <t>months</t>
        </is>
      </c>
      <c r="D20" s="51">
        <f>PilotMonths</f>
        <v/>
      </c>
      <c r="E20" s="51">
        <f>PilotMonths</f>
        <v/>
      </c>
      <c r="F20" s="51">
        <f>PilotMonths</f>
        <v/>
      </c>
      <c r="H20" s="5" t="inlineStr">
        <is>
          <t>Hiring plan, cohorts, P&amp;L, cash and funding need: see the Projection tab.</t>
        </is>
      </c>
    </row>
    <row r="21">
      <c r="B21" s="7" t="inlineStr">
        <is>
          <t>Retro-pilot setup (import last year's Excel; show who left)</t>
        </is>
      </c>
      <c r="C21" s="5" t="inlineStr">
        <is>
          <t>Rs per pilot</t>
        </is>
      </c>
      <c r="D21" s="44">
        <f>PilotSetupCost</f>
        <v/>
      </c>
      <c r="E21" s="44">
        <f>PilotSetupCost</f>
        <v/>
      </c>
      <c r="F21" s="44">
        <f>PilotSetupCost</f>
        <v/>
      </c>
    </row>
    <row r="22">
      <c r="B22" s="7" t="inlineStr">
        <is>
          <t>Onboarding cost per institute (mid)</t>
        </is>
      </c>
      <c r="C22" s="5" t="inlineStr">
        <is>
          <t>Rs</t>
        </is>
      </c>
      <c r="D22" s="44">
        <f>OnboardBase</f>
        <v/>
      </c>
      <c r="E22" s="44">
        <f>OnboardBase</f>
        <v/>
      </c>
      <c r="F22" s="44">
        <f>OnboardBase</f>
        <v/>
      </c>
    </row>
    <row r="23">
      <c r="B23" s="7" t="inlineStr">
        <is>
          <t>Onboarding cost multiplier</t>
        </is>
      </c>
      <c r="C23" s="5" t="inlineStr">
        <is>
          <t>x</t>
        </is>
      </c>
      <c r="D23" s="59">
        <f>OnboardMult_S</f>
        <v/>
      </c>
      <c r="E23" s="59">
        <f>OnboardMult_M</f>
        <v/>
      </c>
      <c r="F23" s="59">
        <f>OnboardMult_L</f>
        <v/>
      </c>
    </row>
    <row r="24">
      <c r="B24" s="7" t="inlineStr">
        <is>
          <t>Marketing spend per paid institute</t>
        </is>
      </c>
      <c r="C24" s="5" t="inlineStr">
        <is>
          <t>Rs</t>
        </is>
      </c>
      <c r="D24" s="44">
        <f>MarketingPerPaid</f>
        <v/>
      </c>
      <c r="E24" s="44">
        <f>MarketingPerPaid</f>
        <v/>
      </c>
      <c r="F24" s="44">
        <f>MarketingPerPaid</f>
        <v/>
      </c>
    </row>
    <row r="25">
      <c r="B25" s="7" t="inlineStr">
        <is>
          <t>Sales overhead loading on rep cost (manager, incentives, recruiting, tools)</t>
        </is>
      </c>
      <c r="C25" s="5" t="inlineStr">
        <is>
          <t>% of rep cost</t>
        </is>
      </c>
      <c r="D25" s="45">
        <f>SalesOverheadPct</f>
        <v/>
      </c>
      <c r="E25" s="45">
        <f>SalesOverheadPct</f>
        <v/>
      </c>
      <c r="F25" s="45">
        <f>SalesOverheadPct</f>
        <v/>
      </c>
    </row>
    <row r="26">
      <c r="B26" s="7" t="inlineStr">
        <is>
          <t>Months a customer must have paid before the first renewal decision</t>
        </is>
      </c>
      <c r="C26" s="5" t="inlineStr">
        <is>
          <t>months</t>
        </is>
      </c>
      <c r="D26" s="51">
        <f>MinRenewTenure</f>
        <v/>
      </c>
      <c r="E26" s="51">
        <f>MinRenewTenure</f>
        <v/>
      </c>
      <c r="F26" s="51">
        <f>MinRenewTenure</f>
        <v/>
      </c>
    </row>
    <row r="27">
      <c r="B27" s="7" t="inlineStr">
        <is>
          <t>Channel-partner commission (share of year-1 revenue)</t>
        </is>
      </c>
      <c r="C27" s="5" t="inlineStr">
        <is>
          <t>% of year-1 revenue</t>
        </is>
      </c>
      <c r="D27" s="45">
        <f>ChannelCommission</f>
        <v/>
      </c>
      <c r="E27" s="45">
        <f>ChannelCommission</f>
        <v/>
      </c>
      <c r="F27" s="45">
        <f>ChannelCommission</f>
        <v/>
      </c>
    </row>
    <row r="28">
      <c r="B28" s="7" t="inlineStr">
        <is>
          <t>Effective discount (Pricing)</t>
        </is>
      </c>
      <c r="C28" s="5" t="inlineStr">
        <is>
          <t>%</t>
        </is>
      </c>
      <c r="D28" s="45">
        <f>EffDisc</f>
        <v/>
      </c>
      <c r="E28" s="45">
        <f>EffDisc</f>
        <v/>
      </c>
      <c r="F28" s="45">
        <f>EffDisc</f>
        <v/>
      </c>
    </row>
    <row r="29">
      <c r="B29" s="7" t="inlineStr">
        <is>
          <t>Variable COGS per student-month (COGS_Build)</t>
        </is>
      </c>
      <c r="C29" s="5" t="inlineStr">
        <is>
          <t>₹/student/month</t>
        </is>
      </c>
      <c r="D29" s="48">
        <f>COGS_PerStudent</f>
        <v/>
      </c>
      <c r="E29" s="48">
        <f>COGS_PerStudent</f>
        <v/>
      </c>
      <c r="F29" s="48">
        <f>COGS_PerStudent</f>
        <v/>
      </c>
    </row>
    <row r="30">
      <c r="B30" s="7" t="inlineStr">
        <is>
          <t>Fixed COGS per institute-month (COGS_Build)</t>
        </is>
      </c>
      <c r="C30" s="5" t="inlineStr">
        <is>
          <t>₹/month</t>
        </is>
      </c>
      <c r="D30" s="44">
        <f>COGS_FixedInst</f>
        <v/>
      </c>
      <c r="E30" s="44">
        <f>COGS_FixedInst</f>
        <v/>
      </c>
      <c r="F30" s="44">
        <f>COGS_FixedInst</f>
        <v/>
      </c>
    </row>
    <row r="31">
      <c r="A31" s="23" t="n"/>
      <c r="B31" s="22" t="inlineStr">
        <is>
          <t>1. Year-1 economics per institute (before churn)</t>
        </is>
      </c>
      <c r="C31" s="23" t="n"/>
      <c r="D31" s="23" t="n"/>
      <c r="E31" s="23" t="n"/>
      <c r="F31" s="23" t="n"/>
    </row>
    <row r="32">
      <c r="B32" s="7" t="inlineStr">
        <is>
          <t>Collected revenue, first 12 paid months (ex-GST, after bad debt)</t>
        </is>
      </c>
      <c r="C32" s="5" t="inlineStr">
        <is>
          <t>₹/yr</t>
        </is>
      </c>
      <c r="D32" s="52">
        <f>SUM(D61:D72)</f>
        <v/>
      </c>
      <c r="E32" s="52">
        <f>SUM(E61:E72)</f>
        <v/>
      </c>
      <c r="F32" s="52">
        <f>SUM(F61:F72)</f>
        <v/>
      </c>
    </row>
    <row r="33">
      <c r="B33" s="7" t="inlineStr">
        <is>
          <t>Average monthly revenue</t>
        </is>
      </c>
      <c r="C33" s="5" t="inlineStr">
        <is>
          <t>₹/month</t>
        </is>
      </c>
      <c r="D33" s="52">
        <f>D32/12</f>
        <v/>
      </c>
      <c r="E33" s="52">
        <f>E32/12</f>
        <v/>
      </c>
      <c r="F33" s="52">
        <f>F32/12</f>
        <v/>
      </c>
    </row>
    <row r="34">
      <c r="B34" s="7" t="inlineStr">
        <is>
          <t>COGS, first 12 months (students × seasonality × COGS + fixed + gateway)</t>
        </is>
      </c>
      <c r="C34" s="5" t="inlineStr">
        <is>
          <t>₹/yr</t>
        </is>
      </c>
      <c r="D34" s="50">
        <f>D6*D29*SUM(Seasonality!$C$37:$C$48)+12*D30+D10*D32</f>
        <v/>
      </c>
      <c r="E34" s="50">
        <f>E6*E29*SUM(Seasonality!$C$37:$C$48)+12*E30+E10*E32</f>
        <v/>
      </c>
      <c r="F34" s="50">
        <f>F6*F29*SUM(Seasonality!$C$37:$C$48)+12*F30+F10*F32</f>
        <v/>
      </c>
    </row>
    <row r="35">
      <c r="B35" s="7" t="inlineStr">
        <is>
          <t>Product gross margin (before customer-success staff)</t>
        </is>
      </c>
      <c r="C35" s="5" t="inlineStr">
        <is>
          <t>%</t>
        </is>
      </c>
      <c r="D35" s="40">
        <f>IF(D32&gt;0,(D32-D34)/D32,0)</f>
        <v/>
      </c>
      <c r="E35" s="40">
        <f>IF(E32&gt;0,(E32-E34)/E32,0)</f>
        <v/>
      </c>
      <c r="F35" s="40">
        <f>IF(F32&gt;0,(F32-F34)/F32,0)</f>
        <v/>
      </c>
    </row>
    <row r="36">
      <c r="B36" s="7" t="inlineStr">
        <is>
          <t>Customer-success cost per institute</t>
        </is>
      </c>
      <c r="C36" s="5" t="inlineStr">
        <is>
          <t>₹/month</t>
        </is>
      </c>
      <c r="D36" s="50">
        <f>D14/D15</f>
        <v/>
      </c>
      <c r="E36" s="50">
        <f>E14/E15</f>
        <v/>
      </c>
      <c r="F36" s="50">
        <f>F14/F15</f>
        <v/>
      </c>
    </row>
    <row r="37">
      <c r="B37" s="7" t="inlineStr">
        <is>
          <t>Average monthly contribution (after COGS + support)</t>
        </is>
      </c>
      <c r="C37" s="5" t="inlineStr">
        <is>
          <t>₹/month</t>
        </is>
      </c>
      <c r="D37" s="52">
        <f>SUM(D121:D132)/12</f>
        <v/>
      </c>
      <c r="E37" s="52">
        <f>SUM(E121:E132)/12</f>
        <v/>
      </c>
      <c r="F37" s="52">
        <f>SUM(F121:F132)/12</f>
        <v/>
      </c>
    </row>
    <row r="38">
      <c r="B38" s="7" t="inlineStr">
        <is>
          <t>Contribution margin (after support: the PS's definition, a peer's 'gross margin')</t>
        </is>
      </c>
      <c r="C38" s="5" t="inlineStr">
        <is>
          <t>%</t>
        </is>
      </c>
      <c r="D38" s="40">
        <f>IF(D33&gt;0,D37/D33,0)</f>
        <v/>
      </c>
      <c r="E38" s="40">
        <f>IF(E33&gt;0,E37/E33,0)</f>
        <v/>
      </c>
      <c r="F38" s="40">
        <f>IF(F33&gt;0,F37/F33,0)</f>
        <v/>
      </c>
    </row>
    <row r="39">
      <c r="A39" s="23" t="n"/>
      <c r="B39" s="22" t="inlineStr">
        <is>
          <t>2. Cost to acquire one paying institute</t>
        </is>
      </c>
      <c r="C39" s="23" t="n"/>
      <c r="D39" s="23" t="n"/>
      <c r="E39" s="23" t="n"/>
      <c r="F39" s="23" t="n"/>
    </row>
    <row r="40">
      <c r="B40" s="7" t="inlineStr">
        <is>
          <t>Sales cost per pilot started (rep CTC + travel, loaded with overhead, ÷ pilots)</t>
        </is>
      </c>
      <c r="C40" s="5" t="inlineStr">
        <is>
          <t>₹</t>
        </is>
      </c>
      <c r="D40" s="50">
        <f>(D16+D17)*(1+D25)/D18</f>
        <v/>
      </c>
      <c r="E40" s="50">
        <f>(E16+E17)*(1+E25)/E18</f>
        <v/>
      </c>
      <c r="F40" s="50">
        <f>(F16+F17)*(1+F25)/F18</f>
        <v/>
      </c>
    </row>
    <row r="41">
      <c r="B41" s="7" t="inlineStr">
        <is>
          <t>Onboarding cost (data migration + training)</t>
        </is>
      </c>
      <c r="C41" s="5" t="inlineStr">
        <is>
          <t>₹</t>
        </is>
      </c>
      <c r="D41" s="50">
        <f>D22*D23</f>
        <v/>
      </c>
      <c r="E41" s="50">
        <f>E22*E23</f>
        <v/>
      </c>
      <c r="F41" s="50">
        <f>F22*F23</f>
        <v/>
      </c>
    </row>
    <row r="42">
      <c r="B42" s="7" t="inlineStr">
        <is>
          <t>Cost of serving the free pilot</t>
        </is>
      </c>
      <c r="C42" s="5" t="inlineStr">
        <is>
          <t>₹</t>
        </is>
      </c>
      <c r="D42" s="50">
        <f>D20*(D6*D29+D30)</f>
        <v/>
      </c>
      <c r="E42" s="50">
        <f>E20*(E6*E29+E30)</f>
        <v/>
      </c>
      <c r="F42" s="50">
        <f>F20*(F6*F29+F30)</f>
        <v/>
      </c>
    </row>
    <row r="43">
      <c r="B43" s="7" t="inlineStr">
        <is>
          <t>CAC (PS definition): sales + marketing per paying institute (failed pilots included)</t>
        </is>
      </c>
      <c r="C43" s="5" t="inlineStr">
        <is>
          <t>₹</t>
        </is>
      </c>
      <c r="D43" s="52">
        <f>D40/D19+D24</f>
        <v/>
      </c>
      <c r="E43" s="52">
        <f>E40/E19+E24</f>
        <v/>
      </c>
      <c r="F43" s="52">
        <f>F40/F19+F24</f>
        <v/>
      </c>
    </row>
    <row r="44">
      <c r="B44" s="7" t="inlineStr">
        <is>
          <t>Fully loaded acquisition cost = (sales + pilot setup + pilot COGS) ÷ conversion + onboarding (paid only) + marketing</t>
        </is>
      </c>
      <c r="C44" s="5" t="inlineStr">
        <is>
          <t>₹</t>
        </is>
      </c>
      <c r="D44" s="52">
        <f>(D40+D21+D42)/D19+D41+D24</f>
        <v/>
      </c>
      <c r="E44" s="52">
        <f>(E40+E21+E42)/E19+E41+E24</f>
        <v/>
      </c>
      <c r="F44" s="52">
        <f>(F40+F21+F42)/F19+F41+F24</f>
        <v/>
      </c>
    </row>
    <row r="45">
      <c r="A45" s="23" t="n"/>
      <c r="B45" s="22" t="inlineStr">
        <is>
          <t>3. Retention (seasonal, not 1/churn)</t>
        </is>
      </c>
      <c r="C45" s="23" t="n"/>
      <c r="D45" s="23" t="n"/>
      <c r="E45" s="23" t="n"/>
      <c r="F45" s="23" t="n"/>
    </row>
    <row r="46">
      <c r="B46" s="7" t="inlineStr">
        <is>
          <t>In-season churn, monthly payers only (prepaid annual plans cannot leave mid-year)</t>
        </is>
      </c>
      <c r="C46" s="5" t="inlineStr">
        <is>
          <t>%/month</t>
        </is>
      </c>
      <c r="D46" s="39">
        <f>D11*(1-D12)</f>
        <v/>
      </c>
      <c r="E46" s="39">
        <f>E11*(1-E12)</f>
        <v/>
      </c>
      <c r="F46" s="39">
        <f>F11*(1-F12)</f>
        <v/>
      </c>
    </row>
    <row r="47">
      <c r="B47" s="7" t="inlineStr">
        <is>
          <t>Extra churn per renewal month</t>
        </is>
      </c>
      <c r="C47" s="5" t="inlineStr">
        <is>
          <t>%/month</t>
        </is>
      </c>
      <c r="D47" s="39">
        <f>1-(1-D13)^(1/NRenew)</f>
        <v/>
      </c>
      <c r="E47" s="39">
        <f>1-(1-E13)^(1/NRenew)</f>
        <v/>
      </c>
      <c r="F47" s="39">
        <f>1-(1-F13)^(1/NRenew)</f>
        <v/>
      </c>
    </row>
    <row r="48">
      <c r="B48" s="7" t="inlineStr">
        <is>
          <t>Annual logo retention</t>
        </is>
      </c>
      <c r="C48" s="5" t="inlineStr">
        <is>
          <t>%</t>
        </is>
      </c>
      <c r="D48" s="40">
        <f>(1-D46)^12*(1-D13)</f>
        <v/>
      </c>
      <c r="E48" s="40">
        <f>(1-E46)^12*(1-E13)</f>
        <v/>
      </c>
      <c r="F48" s="40">
        <f>(1-F46)^12*(1-F13)</f>
        <v/>
      </c>
    </row>
    <row r="49">
      <c r="B49" s="7" t="inlineStr">
        <is>
          <t>Expected paid lifetime within horizon</t>
        </is>
      </c>
      <c r="C49" s="5" t="inlineStr">
        <is>
          <t>months</t>
        </is>
      </c>
      <c r="D49" s="54">
        <f>SUM(D181:D240)</f>
        <v/>
      </c>
      <c r="E49" s="54">
        <f>SUM(E181:E240)</f>
        <v/>
      </c>
      <c r="F49" s="54">
        <f>SUM(F181:F240)</f>
        <v/>
      </c>
    </row>
    <row r="50">
      <c r="A50" s="23" t="n"/>
      <c r="B50" s="22" t="inlineStr">
        <is>
          <t>4. Lifetime value (60-month horizon, survival-weighted, discounted)</t>
        </is>
      </c>
      <c r="C50" s="23" t="n"/>
      <c r="D50" s="23" t="n"/>
      <c r="E50" s="23" t="n"/>
      <c r="F50" s="23" t="n"/>
    </row>
    <row r="51">
      <c r="B51" s="7" t="inlineStr">
        <is>
          <t>LTV (contribution)</t>
        </is>
      </c>
      <c r="C51" s="5" t="inlineStr">
        <is>
          <t>₹</t>
        </is>
      </c>
      <c r="D51" s="52">
        <f>D300</f>
        <v/>
      </c>
      <c r="E51" s="52">
        <f>E300</f>
        <v/>
      </c>
      <c r="F51" s="52">
        <f>F300</f>
        <v/>
      </c>
    </row>
    <row r="52">
      <c r="B52" s="7" t="inlineStr">
        <is>
          <t>LTV ÷ fully loaded acquisition cost</t>
        </is>
      </c>
      <c r="C52" s="5" t="inlineStr">
        <is>
          <t>x</t>
        </is>
      </c>
      <c r="D52" s="55">
        <f>IF(D44&gt;0,D51/D44,0)</f>
        <v/>
      </c>
      <c r="E52" s="55">
        <f>IF(E44&gt;0,E51/E44,0)</f>
        <v/>
      </c>
      <c r="F52" s="55">
        <f>IF(F44&gt;0,F51/F44,0)</f>
        <v/>
      </c>
    </row>
    <row r="53">
      <c r="B53" s="7" t="inlineStr">
        <is>
          <t>Payback (months of paid life, discounted)</t>
        </is>
      </c>
      <c r="C53" s="5" t="inlineStr">
        <is>
          <t>months</t>
        </is>
      </c>
      <c r="D53" s="60">
        <f>IF(D300&lt;D44,61,COUNTIF(D241:D300,"&lt;"&amp;D44)+1)</f>
        <v/>
      </c>
      <c r="E53" s="60">
        <f>IF(E300&lt;E44,61,COUNTIF(E241:E300,"&lt;"&amp;E44)+1)</f>
        <v/>
      </c>
      <c r="F53" s="60">
        <f>IF(F300&lt;F44,61,COUNTIF(F241:F300,"&lt;"&amp;F44)+1)</f>
        <v/>
      </c>
    </row>
    <row r="54">
      <c r="B54" s="7" t="inlineStr">
        <is>
          <t>Payback, simple (acquisition cost ÷ average monthly contribution)</t>
        </is>
      </c>
      <c r="C54" s="5" t="inlineStr">
        <is>
          <t>months</t>
        </is>
      </c>
      <c r="D54" s="54">
        <f>IF(D37&gt;0,D44/D37,99)</f>
        <v/>
      </c>
      <c r="E54" s="54">
        <f>IF(E37&gt;0,E44/E37,99)</f>
        <v/>
      </c>
      <c r="F54" s="54">
        <f>IF(F37&gt;0,F44/F37,99)</f>
        <v/>
      </c>
    </row>
    <row r="55">
      <c r="B55" s="7" t="inlineStr">
        <is>
          <t>LTV, undiscounted (survival-weighted)</t>
        </is>
      </c>
      <c r="C55" s="5" t="inlineStr">
        <is>
          <t>₹</t>
        </is>
      </c>
      <c r="D55" s="50">
        <f>SUMPRODUCT(D181:D240,D121:D180)</f>
        <v/>
      </c>
      <c r="E55" s="50">
        <f>SUMPRODUCT(E181:E240,E121:E180)</f>
        <v/>
      </c>
      <c r="F55" s="50">
        <f>SUMPRODUCT(F181:F240,F121:F180)</f>
        <v/>
      </c>
    </row>
    <row r="56">
      <c r="B56" s="7" t="inlineStr">
        <is>
          <t>LTV ÷ acquisition cost, undiscounted (the peer convention)</t>
        </is>
      </c>
      <c r="C56" s="5" t="inlineStr">
        <is>
          <t>x</t>
        </is>
      </c>
      <c r="D56" s="55">
        <f>IF(D44&gt;0,D55/D44,0)</f>
        <v/>
      </c>
      <c r="E56" s="55">
        <f>IF(E44&gt;0,E55/E44,0)</f>
        <v/>
      </c>
      <c r="F56" s="55">
        <f>IF(F44&gt;0,F55/F44,0)</f>
        <v/>
      </c>
    </row>
    <row r="57">
      <c r="A57" s="23" t="n"/>
      <c r="B57" s="22" t="inlineStr">
        <is>
          <t>4b. Field sales versus a channel partner</t>
        </is>
      </c>
      <c r="C57" s="23" t="n"/>
      <c r="D57" s="23" t="n"/>
      <c r="E57" s="23" t="n"/>
      <c r="F57" s="23" t="n"/>
    </row>
    <row r="58">
      <c r="B58" s="7" t="inlineStr">
        <is>
          <t>Acquisition cost via a channel partner (commission on year-1 revenue + our onboarding)</t>
        </is>
      </c>
      <c r="C58" s="5" t="inlineStr">
        <is>
          <t>₹</t>
        </is>
      </c>
      <c r="D58" s="50">
        <f>D27*D32+D41</f>
        <v/>
      </c>
      <c r="E58" s="50">
        <f>E27*E32+E41</f>
        <v/>
      </c>
      <c r="F58" s="50">
        <f>F27*F32+F41</f>
        <v/>
      </c>
    </row>
    <row r="59">
      <c r="B59" s="7" t="inlineStr">
        <is>
          <t>LTV ÷ channel acquisition cost</t>
        </is>
      </c>
      <c r="C59" s="5" t="inlineStr">
        <is>
          <t>x</t>
        </is>
      </c>
      <c r="D59" s="55">
        <f>IF(D58&gt;0,D51/D58,0)</f>
        <v/>
      </c>
      <c r="E59" s="55">
        <f>IF(E58&gt;0,E51/E58,0)</f>
        <v/>
      </c>
      <c r="F59" s="55">
        <f>IF(F58&gt;0,F51/F58,0)</f>
        <v/>
      </c>
    </row>
    <row r="60">
      <c r="A60" s="23" t="n"/>
      <c r="B60" s="22" t="inlineStr">
        <is>
          <t>5. Month-by-month engine (t = paid month; calendar from Seasonality timeline)</t>
        </is>
      </c>
      <c r="C60" s="23" t="n"/>
      <c r="D60" s="23" t="n"/>
      <c r="E60" s="23" t="n"/>
      <c r="F60" s="23" t="n"/>
    </row>
    <row r="61" hidden="1" outlineLevel="1">
      <c r="B61" s="7" t="inlineStr">
        <is>
          <t>Revenue collected · month 1</t>
        </is>
      </c>
      <c r="C61" s="5" t="inlineStr">
        <is>
          <t>₹</t>
        </is>
      </c>
      <c r="D61" s="50">
        <f>MAX(D8,D6*Seasonality!$C$37*D7)*(1-D28)*(1-D9)</f>
        <v/>
      </c>
      <c r="E61" s="50">
        <f>MAX(E8,E6*Seasonality!$C$37*E7)*(1-E28)*(1-E9)</f>
        <v/>
      </c>
      <c r="F61" s="50">
        <f>MAX(F8,F6*Seasonality!$C$37*F7)*(1-F28)*(1-F9)</f>
        <v/>
      </c>
    </row>
    <row r="62" hidden="1" outlineLevel="1">
      <c r="B62" s="7" t="inlineStr">
        <is>
          <t>Revenue collected · month 2</t>
        </is>
      </c>
      <c r="C62" s="5" t="inlineStr">
        <is>
          <t>₹</t>
        </is>
      </c>
      <c r="D62" s="50">
        <f>MAX(D8,D6*Seasonality!$C$38*D7)*(1-D28)*(1-D9)</f>
        <v/>
      </c>
      <c r="E62" s="50">
        <f>MAX(E8,E6*Seasonality!$C$38*E7)*(1-E28)*(1-E9)</f>
        <v/>
      </c>
      <c r="F62" s="50">
        <f>MAX(F8,F6*Seasonality!$C$38*F7)*(1-F28)*(1-F9)</f>
        <v/>
      </c>
    </row>
    <row r="63" hidden="1" outlineLevel="1">
      <c r="B63" s="7" t="inlineStr">
        <is>
          <t>Revenue collected · month 3</t>
        </is>
      </c>
      <c r="C63" s="5" t="inlineStr">
        <is>
          <t>₹</t>
        </is>
      </c>
      <c r="D63" s="50">
        <f>MAX(D8,D6*Seasonality!$C$39*D7)*(1-D28)*(1-D9)</f>
        <v/>
      </c>
      <c r="E63" s="50">
        <f>MAX(E8,E6*Seasonality!$C$39*E7)*(1-E28)*(1-E9)</f>
        <v/>
      </c>
      <c r="F63" s="50">
        <f>MAX(F8,F6*Seasonality!$C$39*F7)*(1-F28)*(1-F9)</f>
        <v/>
      </c>
    </row>
    <row r="64" hidden="1" outlineLevel="1">
      <c r="B64" s="7" t="inlineStr">
        <is>
          <t>Revenue collected · month 4</t>
        </is>
      </c>
      <c r="C64" s="5" t="inlineStr">
        <is>
          <t>₹</t>
        </is>
      </c>
      <c r="D64" s="50">
        <f>MAX(D8,D6*Seasonality!$C$40*D7)*(1-D28)*(1-D9)</f>
        <v/>
      </c>
      <c r="E64" s="50">
        <f>MAX(E8,E6*Seasonality!$C$40*E7)*(1-E28)*(1-E9)</f>
        <v/>
      </c>
      <c r="F64" s="50">
        <f>MAX(F8,F6*Seasonality!$C$40*F7)*(1-F28)*(1-F9)</f>
        <v/>
      </c>
    </row>
    <row r="65" hidden="1" outlineLevel="1">
      <c r="B65" s="7" t="inlineStr">
        <is>
          <t>Revenue collected · month 5</t>
        </is>
      </c>
      <c r="C65" s="5" t="inlineStr">
        <is>
          <t>₹</t>
        </is>
      </c>
      <c r="D65" s="50">
        <f>MAX(D8,D6*Seasonality!$C$41*D7)*(1-D28)*(1-D9)</f>
        <v/>
      </c>
      <c r="E65" s="50">
        <f>MAX(E8,E6*Seasonality!$C$41*E7)*(1-E28)*(1-E9)</f>
        <v/>
      </c>
      <c r="F65" s="50">
        <f>MAX(F8,F6*Seasonality!$C$41*F7)*(1-F28)*(1-F9)</f>
        <v/>
      </c>
    </row>
    <row r="66" hidden="1" outlineLevel="1">
      <c r="B66" s="7" t="inlineStr">
        <is>
          <t>Revenue collected · month 6</t>
        </is>
      </c>
      <c r="C66" s="5" t="inlineStr">
        <is>
          <t>₹</t>
        </is>
      </c>
      <c r="D66" s="50">
        <f>MAX(D8,D6*Seasonality!$C$42*D7)*(1-D28)*(1-D9)</f>
        <v/>
      </c>
      <c r="E66" s="50">
        <f>MAX(E8,E6*Seasonality!$C$42*E7)*(1-E28)*(1-E9)</f>
        <v/>
      </c>
      <c r="F66" s="50">
        <f>MAX(F8,F6*Seasonality!$C$42*F7)*(1-F28)*(1-F9)</f>
        <v/>
      </c>
    </row>
    <row r="67" hidden="1" outlineLevel="1">
      <c r="B67" s="7" t="inlineStr">
        <is>
          <t>Revenue collected · month 7</t>
        </is>
      </c>
      <c r="C67" s="5" t="inlineStr">
        <is>
          <t>₹</t>
        </is>
      </c>
      <c r="D67" s="50">
        <f>MAX(D8,D6*Seasonality!$C$43*D7)*(1-D28)*(1-D9)</f>
        <v/>
      </c>
      <c r="E67" s="50">
        <f>MAX(E8,E6*Seasonality!$C$43*E7)*(1-E28)*(1-E9)</f>
        <v/>
      </c>
      <c r="F67" s="50">
        <f>MAX(F8,F6*Seasonality!$C$43*F7)*(1-F28)*(1-F9)</f>
        <v/>
      </c>
    </row>
    <row r="68" hidden="1" outlineLevel="1">
      <c r="B68" s="7" t="inlineStr">
        <is>
          <t>Revenue collected · month 8</t>
        </is>
      </c>
      <c r="C68" s="5" t="inlineStr">
        <is>
          <t>₹</t>
        </is>
      </c>
      <c r="D68" s="50">
        <f>MAX(D8,D6*Seasonality!$C$44*D7)*(1-D28)*(1-D9)</f>
        <v/>
      </c>
      <c r="E68" s="50">
        <f>MAX(E8,E6*Seasonality!$C$44*E7)*(1-E28)*(1-E9)</f>
        <v/>
      </c>
      <c r="F68" s="50">
        <f>MAX(F8,F6*Seasonality!$C$44*F7)*(1-F28)*(1-F9)</f>
        <v/>
      </c>
    </row>
    <row r="69" hidden="1" outlineLevel="1">
      <c r="B69" s="7" t="inlineStr">
        <is>
          <t>Revenue collected · month 9</t>
        </is>
      </c>
      <c r="C69" s="5" t="inlineStr">
        <is>
          <t>₹</t>
        </is>
      </c>
      <c r="D69" s="50">
        <f>MAX(D8,D6*Seasonality!$C$45*D7)*(1-D28)*(1-D9)</f>
        <v/>
      </c>
      <c r="E69" s="50">
        <f>MAX(E8,E6*Seasonality!$C$45*E7)*(1-E28)*(1-E9)</f>
        <v/>
      </c>
      <c r="F69" s="50">
        <f>MAX(F8,F6*Seasonality!$C$45*F7)*(1-F28)*(1-F9)</f>
        <v/>
      </c>
    </row>
    <row r="70" hidden="1" outlineLevel="1">
      <c r="B70" s="7" t="inlineStr">
        <is>
          <t>Revenue collected · month 10</t>
        </is>
      </c>
      <c r="C70" s="5" t="inlineStr">
        <is>
          <t>₹</t>
        </is>
      </c>
      <c r="D70" s="50">
        <f>MAX(D8,D6*Seasonality!$C$46*D7)*(1-D28)*(1-D9)</f>
        <v/>
      </c>
      <c r="E70" s="50">
        <f>MAX(E8,E6*Seasonality!$C$46*E7)*(1-E28)*(1-E9)</f>
        <v/>
      </c>
      <c r="F70" s="50">
        <f>MAX(F8,F6*Seasonality!$C$46*F7)*(1-F28)*(1-F9)</f>
        <v/>
      </c>
    </row>
    <row r="71" hidden="1" outlineLevel="1">
      <c r="B71" s="7" t="inlineStr">
        <is>
          <t>Revenue collected · month 11</t>
        </is>
      </c>
      <c r="C71" s="5" t="inlineStr">
        <is>
          <t>₹</t>
        </is>
      </c>
      <c r="D71" s="50">
        <f>MAX(D8,D6*Seasonality!$C$47*D7)*(1-D28)*(1-D9)</f>
        <v/>
      </c>
      <c r="E71" s="50">
        <f>MAX(E8,E6*Seasonality!$C$47*E7)*(1-E28)*(1-E9)</f>
        <v/>
      </c>
      <c r="F71" s="50">
        <f>MAX(F8,F6*Seasonality!$C$47*F7)*(1-F28)*(1-F9)</f>
        <v/>
      </c>
    </row>
    <row r="72" hidden="1" outlineLevel="1">
      <c r="B72" s="7" t="inlineStr">
        <is>
          <t>Revenue collected · month 12</t>
        </is>
      </c>
      <c r="C72" s="5" t="inlineStr">
        <is>
          <t>₹</t>
        </is>
      </c>
      <c r="D72" s="50">
        <f>MAX(D8,D6*Seasonality!$C$48*D7)*(1-D28)*(1-D9)</f>
        <v/>
      </c>
      <c r="E72" s="50">
        <f>MAX(E8,E6*Seasonality!$C$48*E7)*(1-E28)*(1-E9)</f>
        <v/>
      </c>
      <c r="F72" s="50">
        <f>MAX(F8,F6*Seasonality!$C$48*F7)*(1-F28)*(1-F9)</f>
        <v/>
      </c>
    </row>
    <row r="73" hidden="1" outlineLevel="1">
      <c r="B73" s="7" t="inlineStr">
        <is>
          <t>Revenue collected · month 13</t>
        </is>
      </c>
      <c r="C73" s="5" t="inlineStr">
        <is>
          <t>₹</t>
        </is>
      </c>
      <c r="D73" s="50">
        <f>MAX(D8,D6*Seasonality!$C$49*D7)*(1-D28)*(1-D9)</f>
        <v/>
      </c>
      <c r="E73" s="50">
        <f>MAX(E8,E6*Seasonality!$C$49*E7)*(1-E28)*(1-E9)</f>
        <v/>
      </c>
      <c r="F73" s="50">
        <f>MAX(F8,F6*Seasonality!$C$49*F7)*(1-F28)*(1-F9)</f>
        <v/>
      </c>
    </row>
    <row r="74" hidden="1" outlineLevel="1">
      <c r="B74" s="7" t="inlineStr">
        <is>
          <t>Revenue collected · month 14</t>
        </is>
      </c>
      <c r="C74" s="5" t="inlineStr">
        <is>
          <t>₹</t>
        </is>
      </c>
      <c r="D74" s="50">
        <f>MAX(D8,D6*Seasonality!$C$50*D7)*(1-D28)*(1-D9)</f>
        <v/>
      </c>
      <c r="E74" s="50">
        <f>MAX(E8,E6*Seasonality!$C$50*E7)*(1-E28)*(1-E9)</f>
        <v/>
      </c>
      <c r="F74" s="50">
        <f>MAX(F8,F6*Seasonality!$C$50*F7)*(1-F28)*(1-F9)</f>
        <v/>
      </c>
    </row>
    <row r="75" hidden="1" outlineLevel="1">
      <c r="B75" s="7" t="inlineStr">
        <is>
          <t>Revenue collected · month 15</t>
        </is>
      </c>
      <c r="C75" s="5" t="inlineStr">
        <is>
          <t>₹</t>
        </is>
      </c>
      <c r="D75" s="50">
        <f>MAX(D8,D6*Seasonality!$C$51*D7)*(1-D28)*(1-D9)</f>
        <v/>
      </c>
      <c r="E75" s="50">
        <f>MAX(E8,E6*Seasonality!$C$51*E7)*(1-E28)*(1-E9)</f>
        <v/>
      </c>
      <c r="F75" s="50">
        <f>MAX(F8,F6*Seasonality!$C$51*F7)*(1-F28)*(1-F9)</f>
        <v/>
      </c>
    </row>
    <row r="76" hidden="1" outlineLevel="1">
      <c r="B76" s="7" t="inlineStr">
        <is>
          <t>Revenue collected · month 16</t>
        </is>
      </c>
      <c r="C76" s="5" t="inlineStr">
        <is>
          <t>₹</t>
        </is>
      </c>
      <c r="D76" s="50">
        <f>MAX(D8,D6*Seasonality!$C$52*D7)*(1-D28)*(1-D9)</f>
        <v/>
      </c>
      <c r="E76" s="50">
        <f>MAX(E8,E6*Seasonality!$C$52*E7)*(1-E28)*(1-E9)</f>
        <v/>
      </c>
      <c r="F76" s="50">
        <f>MAX(F8,F6*Seasonality!$C$52*F7)*(1-F28)*(1-F9)</f>
        <v/>
      </c>
    </row>
    <row r="77" hidden="1" outlineLevel="1">
      <c r="B77" s="7" t="inlineStr">
        <is>
          <t>Revenue collected · month 17</t>
        </is>
      </c>
      <c r="C77" s="5" t="inlineStr">
        <is>
          <t>₹</t>
        </is>
      </c>
      <c r="D77" s="50">
        <f>MAX(D8,D6*Seasonality!$C$53*D7)*(1-D28)*(1-D9)</f>
        <v/>
      </c>
      <c r="E77" s="50">
        <f>MAX(E8,E6*Seasonality!$C$53*E7)*(1-E28)*(1-E9)</f>
        <v/>
      </c>
      <c r="F77" s="50">
        <f>MAX(F8,F6*Seasonality!$C$53*F7)*(1-F28)*(1-F9)</f>
        <v/>
      </c>
    </row>
    <row r="78" hidden="1" outlineLevel="1">
      <c r="B78" s="7" t="inlineStr">
        <is>
          <t>Revenue collected · month 18</t>
        </is>
      </c>
      <c r="C78" s="5" t="inlineStr">
        <is>
          <t>₹</t>
        </is>
      </c>
      <c r="D78" s="50">
        <f>MAX(D8,D6*Seasonality!$C$54*D7)*(1-D28)*(1-D9)</f>
        <v/>
      </c>
      <c r="E78" s="50">
        <f>MAX(E8,E6*Seasonality!$C$54*E7)*(1-E28)*(1-E9)</f>
        <v/>
      </c>
      <c r="F78" s="50">
        <f>MAX(F8,F6*Seasonality!$C$54*F7)*(1-F28)*(1-F9)</f>
        <v/>
      </c>
    </row>
    <row r="79" hidden="1" outlineLevel="1">
      <c r="B79" s="7" t="inlineStr">
        <is>
          <t>Revenue collected · month 19</t>
        </is>
      </c>
      <c r="C79" s="5" t="inlineStr">
        <is>
          <t>₹</t>
        </is>
      </c>
      <c r="D79" s="50">
        <f>MAX(D8,D6*Seasonality!$C$55*D7)*(1-D28)*(1-D9)</f>
        <v/>
      </c>
      <c r="E79" s="50">
        <f>MAX(E8,E6*Seasonality!$C$55*E7)*(1-E28)*(1-E9)</f>
        <v/>
      </c>
      <c r="F79" s="50">
        <f>MAX(F8,F6*Seasonality!$C$55*F7)*(1-F28)*(1-F9)</f>
        <v/>
      </c>
    </row>
    <row r="80" hidden="1" outlineLevel="1">
      <c r="B80" s="7" t="inlineStr">
        <is>
          <t>Revenue collected · month 20</t>
        </is>
      </c>
      <c r="C80" s="5" t="inlineStr">
        <is>
          <t>₹</t>
        </is>
      </c>
      <c r="D80" s="50">
        <f>MAX(D8,D6*Seasonality!$C$56*D7)*(1-D28)*(1-D9)</f>
        <v/>
      </c>
      <c r="E80" s="50">
        <f>MAX(E8,E6*Seasonality!$C$56*E7)*(1-E28)*(1-E9)</f>
        <v/>
      </c>
      <c r="F80" s="50">
        <f>MAX(F8,F6*Seasonality!$C$56*F7)*(1-F28)*(1-F9)</f>
        <v/>
      </c>
    </row>
    <row r="81" hidden="1" outlineLevel="1">
      <c r="B81" s="7" t="inlineStr">
        <is>
          <t>Revenue collected · month 21</t>
        </is>
      </c>
      <c r="C81" s="5" t="inlineStr">
        <is>
          <t>₹</t>
        </is>
      </c>
      <c r="D81" s="50">
        <f>MAX(D8,D6*Seasonality!$C$57*D7)*(1-D28)*(1-D9)</f>
        <v/>
      </c>
      <c r="E81" s="50">
        <f>MAX(E8,E6*Seasonality!$C$57*E7)*(1-E28)*(1-E9)</f>
        <v/>
      </c>
      <c r="F81" s="50">
        <f>MAX(F8,F6*Seasonality!$C$57*F7)*(1-F28)*(1-F9)</f>
        <v/>
      </c>
    </row>
    <row r="82" hidden="1" outlineLevel="1">
      <c r="B82" s="7" t="inlineStr">
        <is>
          <t>Revenue collected · month 22</t>
        </is>
      </c>
      <c r="C82" s="5" t="inlineStr">
        <is>
          <t>₹</t>
        </is>
      </c>
      <c r="D82" s="50">
        <f>MAX(D8,D6*Seasonality!$C$58*D7)*(1-D28)*(1-D9)</f>
        <v/>
      </c>
      <c r="E82" s="50">
        <f>MAX(E8,E6*Seasonality!$C$58*E7)*(1-E28)*(1-E9)</f>
        <v/>
      </c>
      <c r="F82" s="50">
        <f>MAX(F8,F6*Seasonality!$C$58*F7)*(1-F28)*(1-F9)</f>
        <v/>
      </c>
    </row>
    <row r="83" hidden="1" outlineLevel="1">
      <c r="B83" s="7" t="inlineStr">
        <is>
          <t>Revenue collected · month 23</t>
        </is>
      </c>
      <c r="C83" s="5" t="inlineStr">
        <is>
          <t>₹</t>
        </is>
      </c>
      <c r="D83" s="50">
        <f>MAX(D8,D6*Seasonality!$C$59*D7)*(1-D28)*(1-D9)</f>
        <v/>
      </c>
      <c r="E83" s="50">
        <f>MAX(E8,E6*Seasonality!$C$59*E7)*(1-E28)*(1-E9)</f>
        <v/>
      </c>
      <c r="F83" s="50">
        <f>MAX(F8,F6*Seasonality!$C$59*F7)*(1-F28)*(1-F9)</f>
        <v/>
      </c>
    </row>
    <row r="84" hidden="1" outlineLevel="1">
      <c r="B84" s="7" t="inlineStr">
        <is>
          <t>Revenue collected · month 24</t>
        </is>
      </c>
      <c r="C84" s="5" t="inlineStr">
        <is>
          <t>₹</t>
        </is>
      </c>
      <c r="D84" s="50">
        <f>MAX(D8,D6*Seasonality!$C$60*D7)*(1-D28)*(1-D9)</f>
        <v/>
      </c>
      <c r="E84" s="50">
        <f>MAX(E8,E6*Seasonality!$C$60*E7)*(1-E28)*(1-E9)</f>
        <v/>
      </c>
      <c r="F84" s="50">
        <f>MAX(F8,F6*Seasonality!$C$60*F7)*(1-F28)*(1-F9)</f>
        <v/>
      </c>
    </row>
    <row r="85" hidden="1" outlineLevel="1">
      <c r="B85" s="7" t="inlineStr">
        <is>
          <t>Revenue collected · month 25</t>
        </is>
      </c>
      <c r="C85" s="5" t="inlineStr">
        <is>
          <t>₹</t>
        </is>
      </c>
      <c r="D85" s="50">
        <f>MAX(D8,D6*Seasonality!$C$61*D7)*(1-D28)*(1-D9)</f>
        <v/>
      </c>
      <c r="E85" s="50">
        <f>MAX(E8,E6*Seasonality!$C$61*E7)*(1-E28)*(1-E9)</f>
        <v/>
      </c>
      <c r="F85" s="50">
        <f>MAX(F8,F6*Seasonality!$C$61*F7)*(1-F28)*(1-F9)</f>
        <v/>
      </c>
    </row>
    <row r="86" hidden="1" outlineLevel="1">
      <c r="B86" s="7" t="inlineStr">
        <is>
          <t>Revenue collected · month 26</t>
        </is>
      </c>
      <c r="C86" s="5" t="inlineStr">
        <is>
          <t>₹</t>
        </is>
      </c>
      <c r="D86" s="50">
        <f>MAX(D8,D6*Seasonality!$C$62*D7)*(1-D28)*(1-D9)</f>
        <v/>
      </c>
      <c r="E86" s="50">
        <f>MAX(E8,E6*Seasonality!$C$62*E7)*(1-E28)*(1-E9)</f>
        <v/>
      </c>
      <c r="F86" s="50">
        <f>MAX(F8,F6*Seasonality!$C$62*F7)*(1-F28)*(1-F9)</f>
        <v/>
      </c>
    </row>
    <row r="87" hidden="1" outlineLevel="1">
      <c r="B87" s="7" t="inlineStr">
        <is>
          <t>Revenue collected · month 27</t>
        </is>
      </c>
      <c r="C87" s="5" t="inlineStr">
        <is>
          <t>₹</t>
        </is>
      </c>
      <c r="D87" s="50">
        <f>MAX(D8,D6*Seasonality!$C$63*D7)*(1-D28)*(1-D9)</f>
        <v/>
      </c>
      <c r="E87" s="50">
        <f>MAX(E8,E6*Seasonality!$C$63*E7)*(1-E28)*(1-E9)</f>
        <v/>
      </c>
      <c r="F87" s="50">
        <f>MAX(F8,F6*Seasonality!$C$63*F7)*(1-F28)*(1-F9)</f>
        <v/>
      </c>
    </row>
    <row r="88" hidden="1" outlineLevel="1">
      <c r="B88" s="7" t="inlineStr">
        <is>
          <t>Revenue collected · month 28</t>
        </is>
      </c>
      <c r="C88" s="5" t="inlineStr">
        <is>
          <t>₹</t>
        </is>
      </c>
      <c r="D88" s="50">
        <f>MAX(D8,D6*Seasonality!$C$64*D7)*(1-D28)*(1-D9)</f>
        <v/>
      </c>
      <c r="E88" s="50">
        <f>MAX(E8,E6*Seasonality!$C$64*E7)*(1-E28)*(1-E9)</f>
        <v/>
      </c>
      <c r="F88" s="50">
        <f>MAX(F8,F6*Seasonality!$C$64*F7)*(1-F28)*(1-F9)</f>
        <v/>
      </c>
    </row>
    <row r="89" hidden="1" outlineLevel="1">
      <c r="B89" s="7" t="inlineStr">
        <is>
          <t>Revenue collected · month 29</t>
        </is>
      </c>
      <c r="C89" s="5" t="inlineStr">
        <is>
          <t>₹</t>
        </is>
      </c>
      <c r="D89" s="50">
        <f>MAX(D8,D6*Seasonality!$C$65*D7)*(1-D28)*(1-D9)</f>
        <v/>
      </c>
      <c r="E89" s="50">
        <f>MAX(E8,E6*Seasonality!$C$65*E7)*(1-E28)*(1-E9)</f>
        <v/>
      </c>
      <c r="F89" s="50">
        <f>MAX(F8,F6*Seasonality!$C$65*F7)*(1-F28)*(1-F9)</f>
        <v/>
      </c>
    </row>
    <row r="90" hidden="1" outlineLevel="1">
      <c r="B90" s="7" t="inlineStr">
        <is>
          <t>Revenue collected · month 30</t>
        </is>
      </c>
      <c r="C90" s="5" t="inlineStr">
        <is>
          <t>₹</t>
        </is>
      </c>
      <c r="D90" s="50">
        <f>MAX(D8,D6*Seasonality!$C$66*D7)*(1-D28)*(1-D9)</f>
        <v/>
      </c>
      <c r="E90" s="50">
        <f>MAX(E8,E6*Seasonality!$C$66*E7)*(1-E28)*(1-E9)</f>
        <v/>
      </c>
      <c r="F90" s="50">
        <f>MAX(F8,F6*Seasonality!$C$66*F7)*(1-F28)*(1-F9)</f>
        <v/>
      </c>
    </row>
    <row r="91" hidden="1" outlineLevel="1">
      <c r="B91" s="7" t="inlineStr">
        <is>
          <t>Revenue collected · month 31</t>
        </is>
      </c>
      <c r="C91" s="5" t="inlineStr">
        <is>
          <t>₹</t>
        </is>
      </c>
      <c r="D91" s="50">
        <f>MAX(D8,D6*Seasonality!$C$67*D7)*(1-D28)*(1-D9)</f>
        <v/>
      </c>
      <c r="E91" s="50">
        <f>MAX(E8,E6*Seasonality!$C$67*E7)*(1-E28)*(1-E9)</f>
        <v/>
      </c>
      <c r="F91" s="50">
        <f>MAX(F8,F6*Seasonality!$C$67*F7)*(1-F28)*(1-F9)</f>
        <v/>
      </c>
    </row>
    <row r="92" hidden="1" outlineLevel="1">
      <c r="B92" s="7" t="inlineStr">
        <is>
          <t>Revenue collected · month 32</t>
        </is>
      </c>
      <c r="C92" s="5" t="inlineStr">
        <is>
          <t>₹</t>
        </is>
      </c>
      <c r="D92" s="50">
        <f>MAX(D8,D6*Seasonality!$C$68*D7)*(1-D28)*(1-D9)</f>
        <v/>
      </c>
      <c r="E92" s="50">
        <f>MAX(E8,E6*Seasonality!$C$68*E7)*(1-E28)*(1-E9)</f>
        <v/>
      </c>
      <c r="F92" s="50">
        <f>MAX(F8,F6*Seasonality!$C$68*F7)*(1-F28)*(1-F9)</f>
        <v/>
      </c>
    </row>
    <row r="93" hidden="1" outlineLevel="1">
      <c r="B93" s="7" t="inlineStr">
        <is>
          <t>Revenue collected · month 33</t>
        </is>
      </c>
      <c r="C93" s="5" t="inlineStr">
        <is>
          <t>₹</t>
        </is>
      </c>
      <c r="D93" s="50">
        <f>MAX(D8,D6*Seasonality!$C$69*D7)*(1-D28)*(1-D9)</f>
        <v/>
      </c>
      <c r="E93" s="50">
        <f>MAX(E8,E6*Seasonality!$C$69*E7)*(1-E28)*(1-E9)</f>
        <v/>
      </c>
      <c r="F93" s="50">
        <f>MAX(F8,F6*Seasonality!$C$69*F7)*(1-F28)*(1-F9)</f>
        <v/>
      </c>
    </row>
    <row r="94" hidden="1" outlineLevel="1">
      <c r="B94" s="7" t="inlineStr">
        <is>
          <t>Revenue collected · month 34</t>
        </is>
      </c>
      <c r="C94" s="5" t="inlineStr">
        <is>
          <t>₹</t>
        </is>
      </c>
      <c r="D94" s="50">
        <f>MAX(D8,D6*Seasonality!$C$70*D7)*(1-D28)*(1-D9)</f>
        <v/>
      </c>
      <c r="E94" s="50">
        <f>MAX(E8,E6*Seasonality!$C$70*E7)*(1-E28)*(1-E9)</f>
        <v/>
      </c>
      <c r="F94" s="50">
        <f>MAX(F8,F6*Seasonality!$C$70*F7)*(1-F28)*(1-F9)</f>
        <v/>
      </c>
    </row>
    <row r="95" hidden="1" outlineLevel="1">
      <c r="B95" s="7" t="inlineStr">
        <is>
          <t>Revenue collected · month 35</t>
        </is>
      </c>
      <c r="C95" s="5" t="inlineStr">
        <is>
          <t>₹</t>
        </is>
      </c>
      <c r="D95" s="50">
        <f>MAX(D8,D6*Seasonality!$C$71*D7)*(1-D28)*(1-D9)</f>
        <v/>
      </c>
      <c r="E95" s="50">
        <f>MAX(E8,E6*Seasonality!$C$71*E7)*(1-E28)*(1-E9)</f>
        <v/>
      </c>
      <c r="F95" s="50">
        <f>MAX(F8,F6*Seasonality!$C$71*F7)*(1-F28)*(1-F9)</f>
        <v/>
      </c>
    </row>
    <row r="96" hidden="1" outlineLevel="1">
      <c r="B96" s="7" t="inlineStr">
        <is>
          <t>Revenue collected · month 36</t>
        </is>
      </c>
      <c r="C96" s="5" t="inlineStr">
        <is>
          <t>₹</t>
        </is>
      </c>
      <c r="D96" s="50">
        <f>MAX(D8,D6*Seasonality!$C$72*D7)*(1-D28)*(1-D9)</f>
        <v/>
      </c>
      <c r="E96" s="50">
        <f>MAX(E8,E6*Seasonality!$C$72*E7)*(1-E28)*(1-E9)</f>
        <v/>
      </c>
      <c r="F96" s="50">
        <f>MAX(F8,F6*Seasonality!$C$72*F7)*(1-F28)*(1-F9)</f>
        <v/>
      </c>
    </row>
    <row r="97" hidden="1" outlineLevel="1">
      <c r="B97" s="7" t="inlineStr">
        <is>
          <t>Revenue collected · month 37</t>
        </is>
      </c>
      <c r="C97" s="5" t="inlineStr">
        <is>
          <t>₹</t>
        </is>
      </c>
      <c r="D97" s="50">
        <f>MAX(D8,D6*Seasonality!$C$73*D7)*(1-D28)*(1-D9)</f>
        <v/>
      </c>
      <c r="E97" s="50">
        <f>MAX(E8,E6*Seasonality!$C$73*E7)*(1-E28)*(1-E9)</f>
        <v/>
      </c>
      <c r="F97" s="50">
        <f>MAX(F8,F6*Seasonality!$C$73*F7)*(1-F28)*(1-F9)</f>
        <v/>
      </c>
    </row>
    <row r="98" hidden="1" outlineLevel="1">
      <c r="B98" s="7" t="inlineStr">
        <is>
          <t>Revenue collected · month 38</t>
        </is>
      </c>
      <c r="C98" s="5" t="inlineStr">
        <is>
          <t>₹</t>
        </is>
      </c>
      <c r="D98" s="50">
        <f>MAX(D8,D6*Seasonality!$C$74*D7)*(1-D28)*(1-D9)</f>
        <v/>
      </c>
      <c r="E98" s="50">
        <f>MAX(E8,E6*Seasonality!$C$74*E7)*(1-E28)*(1-E9)</f>
        <v/>
      </c>
      <c r="F98" s="50">
        <f>MAX(F8,F6*Seasonality!$C$74*F7)*(1-F28)*(1-F9)</f>
        <v/>
      </c>
    </row>
    <row r="99" hidden="1" outlineLevel="1">
      <c r="B99" s="7" t="inlineStr">
        <is>
          <t>Revenue collected · month 39</t>
        </is>
      </c>
      <c r="C99" s="5" t="inlineStr">
        <is>
          <t>₹</t>
        </is>
      </c>
      <c r="D99" s="50">
        <f>MAX(D8,D6*Seasonality!$C$75*D7)*(1-D28)*(1-D9)</f>
        <v/>
      </c>
      <c r="E99" s="50">
        <f>MAX(E8,E6*Seasonality!$C$75*E7)*(1-E28)*(1-E9)</f>
        <v/>
      </c>
      <c r="F99" s="50">
        <f>MAX(F8,F6*Seasonality!$C$75*F7)*(1-F28)*(1-F9)</f>
        <v/>
      </c>
    </row>
    <row r="100" hidden="1" outlineLevel="1">
      <c r="B100" s="7" t="inlineStr">
        <is>
          <t>Revenue collected · month 40</t>
        </is>
      </c>
      <c r="C100" s="5" t="inlineStr">
        <is>
          <t>₹</t>
        </is>
      </c>
      <c r="D100" s="50">
        <f>MAX(D8,D6*Seasonality!$C$76*D7)*(1-D28)*(1-D9)</f>
        <v/>
      </c>
      <c r="E100" s="50">
        <f>MAX(E8,E6*Seasonality!$C$76*E7)*(1-E28)*(1-E9)</f>
        <v/>
      </c>
      <c r="F100" s="50">
        <f>MAX(F8,F6*Seasonality!$C$76*F7)*(1-F28)*(1-F9)</f>
        <v/>
      </c>
    </row>
    <row r="101" hidden="1" outlineLevel="1">
      <c r="B101" s="7" t="inlineStr">
        <is>
          <t>Revenue collected · month 41</t>
        </is>
      </c>
      <c r="C101" s="5" t="inlineStr">
        <is>
          <t>₹</t>
        </is>
      </c>
      <c r="D101" s="50">
        <f>MAX(D8,D6*Seasonality!$C$77*D7)*(1-D28)*(1-D9)</f>
        <v/>
      </c>
      <c r="E101" s="50">
        <f>MAX(E8,E6*Seasonality!$C$77*E7)*(1-E28)*(1-E9)</f>
        <v/>
      </c>
      <c r="F101" s="50">
        <f>MAX(F8,F6*Seasonality!$C$77*F7)*(1-F28)*(1-F9)</f>
        <v/>
      </c>
    </row>
    <row r="102" hidden="1" outlineLevel="1">
      <c r="B102" s="7" t="inlineStr">
        <is>
          <t>Revenue collected · month 42</t>
        </is>
      </c>
      <c r="C102" s="5" t="inlineStr">
        <is>
          <t>₹</t>
        </is>
      </c>
      <c r="D102" s="50">
        <f>MAX(D8,D6*Seasonality!$C$78*D7)*(1-D28)*(1-D9)</f>
        <v/>
      </c>
      <c r="E102" s="50">
        <f>MAX(E8,E6*Seasonality!$C$78*E7)*(1-E28)*(1-E9)</f>
        <v/>
      </c>
      <c r="F102" s="50">
        <f>MAX(F8,F6*Seasonality!$C$78*F7)*(1-F28)*(1-F9)</f>
        <v/>
      </c>
    </row>
    <row r="103" hidden="1" outlineLevel="1">
      <c r="B103" s="7" t="inlineStr">
        <is>
          <t>Revenue collected · month 43</t>
        </is>
      </c>
      <c r="C103" s="5" t="inlineStr">
        <is>
          <t>₹</t>
        </is>
      </c>
      <c r="D103" s="50">
        <f>MAX(D8,D6*Seasonality!$C$79*D7)*(1-D28)*(1-D9)</f>
        <v/>
      </c>
      <c r="E103" s="50">
        <f>MAX(E8,E6*Seasonality!$C$79*E7)*(1-E28)*(1-E9)</f>
        <v/>
      </c>
      <c r="F103" s="50">
        <f>MAX(F8,F6*Seasonality!$C$79*F7)*(1-F28)*(1-F9)</f>
        <v/>
      </c>
    </row>
    <row r="104" hidden="1" outlineLevel="1">
      <c r="B104" s="7" t="inlineStr">
        <is>
          <t>Revenue collected · month 44</t>
        </is>
      </c>
      <c r="C104" s="5" t="inlineStr">
        <is>
          <t>₹</t>
        </is>
      </c>
      <c r="D104" s="50">
        <f>MAX(D8,D6*Seasonality!$C$80*D7)*(1-D28)*(1-D9)</f>
        <v/>
      </c>
      <c r="E104" s="50">
        <f>MAX(E8,E6*Seasonality!$C$80*E7)*(1-E28)*(1-E9)</f>
        <v/>
      </c>
      <c r="F104" s="50">
        <f>MAX(F8,F6*Seasonality!$C$80*F7)*(1-F28)*(1-F9)</f>
        <v/>
      </c>
    </row>
    <row r="105" hidden="1" outlineLevel="1">
      <c r="B105" s="7" t="inlineStr">
        <is>
          <t>Revenue collected · month 45</t>
        </is>
      </c>
      <c r="C105" s="5" t="inlineStr">
        <is>
          <t>₹</t>
        </is>
      </c>
      <c r="D105" s="50">
        <f>MAX(D8,D6*Seasonality!$C$81*D7)*(1-D28)*(1-D9)</f>
        <v/>
      </c>
      <c r="E105" s="50">
        <f>MAX(E8,E6*Seasonality!$C$81*E7)*(1-E28)*(1-E9)</f>
        <v/>
      </c>
      <c r="F105" s="50">
        <f>MAX(F8,F6*Seasonality!$C$81*F7)*(1-F28)*(1-F9)</f>
        <v/>
      </c>
    </row>
    <row r="106" hidden="1" outlineLevel="1">
      <c r="B106" s="7" t="inlineStr">
        <is>
          <t>Revenue collected · month 46</t>
        </is>
      </c>
      <c r="C106" s="5" t="inlineStr">
        <is>
          <t>₹</t>
        </is>
      </c>
      <c r="D106" s="50">
        <f>MAX(D8,D6*Seasonality!$C$82*D7)*(1-D28)*(1-D9)</f>
        <v/>
      </c>
      <c r="E106" s="50">
        <f>MAX(E8,E6*Seasonality!$C$82*E7)*(1-E28)*(1-E9)</f>
        <v/>
      </c>
      <c r="F106" s="50">
        <f>MAX(F8,F6*Seasonality!$C$82*F7)*(1-F28)*(1-F9)</f>
        <v/>
      </c>
    </row>
    <row r="107" hidden="1" outlineLevel="1">
      <c r="B107" s="7" t="inlineStr">
        <is>
          <t>Revenue collected · month 47</t>
        </is>
      </c>
      <c r="C107" s="5" t="inlineStr">
        <is>
          <t>₹</t>
        </is>
      </c>
      <c r="D107" s="50">
        <f>MAX(D8,D6*Seasonality!$C$83*D7)*(1-D28)*(1-D9)</f>
        <v/>
      </c>
      <c r="E107" s="50">
        <f>MAX(E8,E6*Seasonality!$C$83*E7)*(1-E28)*(1-E9)</f>
        <v/>
      </c>
      <c r="F107" s="50">
        <f>MAX(F8,F6*Seasonality!$C$83*F7)*(1-F28)*(1-F9)</f>
        <v/>
      </c>
    </row>
    <row r="108" hidden="1" outlineLevel="1">
      <c r="B108" s="7" t="inlineStr">
        <is>
          <t>Revenue collected · month 48</t>
        </is>
      </c>
      <c r="C108" s="5" t="inlineStr">
        <is>
          <t>₹</t>
        </is>
      </c>
      <c r="D108" s="50">
        <f>MAX(D8,D6*Seasonality!$C$84*D7)*(1-D28)*(1-D9)</f>
        <v/>
      </c>
      <c r="E108" s="50">
        <f>MAX(E8,E6*Seasonality!$C$84*E7)*(1-E28)*(1-E9)</f>
        <v/>
      </c>
      <c r="F108" s="50">
        <f>MAX(F8,F6*Seasonality!$C$84*F7)*(1-F28)*(1-F9)</f>
        <v/>
      </c>
    </row>
    <row r="109" hidden="1" outlineLevel="1">
      <c r="B109" s="7" t="inlineStr">
        <is>
          <t>Revenue collected · month 49</t>
        </is>
      </c>
      <c r="C109" s="5" t="inlineStr">
        <is>
          <t>₹</t>
        </is>
      </c>
      <c r="D109" s="50">
        <f>MAX(D8,D6*Seasonality!$C$85*D7)*(1-D28)*(1-D9)</f>
        <v/>
      </c>
      <c r="E109" s="50">
        <f>MAX(E8,E6*Seasonality!$C$85*E7)*(1-E28)*(1-E9)</f>
        <v/>
      </c>
      <c r="F109" s="50">
        <f>MAX(F8,F6*Seasonality!$C$85*F7)*(1-F28)*(1-F9)</f>
        <v/>
      </c>
    </row>
    <row r="110" hidden="1" outlineLevel="1">
      <c r="B110" s="7" t="inlineStr">
        <is>
          <t>Revenue collected · month 50</t>
        </is>
      </c>
      <c r="C110" s="5" t="inlineStr">
        <is>
          <t>₹</t>
        </is>
      </c>
      <c r="D110" s="50">
        <f>MAX(D8,D6*Seasonality!$C$86*D7)*(1-D28)*(1-D9)</f>
        <v/>
      </c>
      <c r="E110" s="50">
        <f>MAX(E8,E6*Seasonality!$C$86*E7)*(1-E28)*(1-E9)</f>
        <v/>
      </c>
      <c r="F110" s="50">
        <f>MAX(F8,F6*Seasonality!$C$86*F7)*(1-F28)*(1-F9)</f>
        <v/>
      </c>
    </row>
    <row r="111" hidden="1" outlineLevel="1">
      <c r="B111" s="7" t="inlineStr">
        <is>
          <t>Revenue collected · month 51</t>
        </is>
      </c>
      <c r="C111" s="5" t="inlineStr">
        <is>
          <t>₹</t>
        </is>
      </c>
      <c r="D111" s="50">
        <f>MAX(D8,D6*Seasonality!$C$87*D7)*(1-D28)*(1-D9)</f>
        <v/>
      </c>
      <c r="E111" s="50">
        <f>MAX(E8,E6*Seasonality!$C$87*E7)*(1-E28)*(1-E9)</f>
        <v/>
      </c>
      <c r="F111" s="50">
        <f>MAX(F8,F6*Seasonality!$C$87*F7)*(1-F28)*(1-F9)</f>
        <v/>
      </c>
    </row>
    <row r="112" hidden="1" outlineLevel="1">
      <c r="B112" s="7" t="inlineStr">
        <is>
          <t>Revenue collected · month 52</t>
        </is>
      </c>
      <c r="C112" s="5" t="inlineStr">
        <is>
          <t>₹</t>
        </is>
      </c>
      <c r="D112" s="50">
        <f>MAX(D8,D6*Seasonality!$C$88*D7)*(1-D28)*(1-D9)</f>
        <v/>
      </c>
      <c r="E112" s="50">
        <f>MAX(E8,E6*Seasonality!$C$88*E7)*(1-E28)*(1-E9)</f>
        <v/>
      </c>
      <c r="F112" s="50">
        <f>MAX(F8,F6*Seasonality!$C$88*F7)*(1-F28)*(1-F9)</f>
        <v/>
      </c>
    </row>
    <row r="113" hidden="1" outlineLevel="1">
      <c r="B113" s="7" t="inlineStr">
        <is>
          <t>Revenue collected · month 53</t>
        </is>
      </c>
      <c r="C113" s="5" t="inlineStr">
        <is>
          <t>₹</t>
        </is>
      </c>
      <c r="D113" s="50">
        <f>MAX(D8,D6*Seasonality!$C$89*D7)*(1-D28)*(1-D9)</f>
        <v/>
      </c>
      <c r="E113" s="50">
        <f>MAX(E8,E6*Seasonality!$C$89*E7)*(1-E28)*(1-E9)</f>
        <v/>
      </c>
      <c r="F113" s="50">
        <f>MAX(F8,F6*Seasonality!$C$89*F7)*(1-F28)*(1-F9)</f>
        <v/>
      </c>
    </row>
    <row r="114" hidden="1" outlineLevel="1">
      <c r="B114" s="7" t="inlineStr">
        <is>
          <t>Revenue collected · month 54</t>
        </is>
      </c>
      <c r="C114" s="5" t="inlineStr">
        <is>
          <t>₹</t>
        </is>
      </c>
      <c r="D114" s="50">
        <f>MAX(D8,D6*Seasonality!$C$90*D7)*(1-D28)*(1-D9)</f>
        <v/>
      </c>
      <c r="E114" s="50">
        <f>MAX(E8,E6*Seasonality!$C$90*E7)*(1-E28)*(1-E9)</f>
        <v/>
      </c>
      <c r="F114" s="50">
        <f>MAX(F8,F6*Seasonality!$C$90*F7)*(1-F28)*(1-F9)</f>
        <v/>
      </c>
    </row>
    <row r="115" hidden="1" outlineLevel="1">
      <c r="B115" s="7" t="inlineStr">
        <is>
          <t>Revenue collected · month 55</t>
        </is>
      </c>
      <c r="C115" s="5" t="inlineStr">
        <is>
          <t>₹</t>
        </is>
      </c>
      <c r="D115" s="50">
        <f>MAX(D8,D6*Seasonality!$C$91*D7)*(1-D28)*(1-D9)</f>
        <v/>
      </c>
      <c r="E115" s="50">
        <f>MAX(E8,E6*Seasonality!$C$91*E7)*(1-E28)*(1-E9)</f>
        <v/>
      </c>
      <c r="F115" s="50">
        <f>MAX(F8,F6*Seasonality!$C$91*F7)*(1-F28)*(1-F9)</f>
        <v/>
      </c>
    </row>
    <row r="116" hidden="1" outlineLevel="1">
      <c r="B116" s="7" t="inlineStr">
        <is>
          <t>Revenue collected · month 56</t>
        </is>
      </c>
      <c r="C116" s="5" t="inlineStr">
        <is>
          <t>₹</t>
        </is>
      </c>
      <c r="D116" s="50">
        <f>MAX(D8,D6*Seasonality!$C$92*D7)*(1-D28)*(1-D9)</f>
        <v/>
      </c>
      <c r="E116" s="50">
        <f>MAX(E8,E6*Seasonality!$C$92*E7)*(1-E28)*(1-E9)</f>
        <v/>
      </c>
      <c r="F116" s="50">
        <f>MAX(F8,F6*Seasonality!$C$92*F7)*(1-F28)*(1-F9)</f>
        <v/>
      </c>
    </row>
    <row r="117" hidden="1" outlineLevel="1">
      <c r="B117" s="7" t="inlineStr">
        <is>
          <t>Revenue collected · month 57</t>
        </is>
      </c>
      <c r="C117" s="5" t="inlineStr">
        <is>
          <t>₹</t>
        </is>
      </c>
      <c r="D117" s="50">
        <f>MAX(D8,D6*Seasonality!$C$93*D7)*(1-D28)*(1-D9)</f>
        <v/>
      </c>
      <c r="E117" s="50">
        <f>MAX(E8,E6*Seasonality!$C$93*E7)*(1-E28)*(1-E9)</f>
        <v/>
      </c>
      <c r="F117" s="50">
        <f>MAX(F8,F6*Seasonality!$C$93*F7)*(1-F28)*(1-F9)</f>
        <v/>
      </c>
    </row>
    <row r="118" hidden="1" outlineLevel="1">
      <c r="B118" s="7" t="inlineStr">
        <is>
          <t>Revenue collected · month 58</t>
        </is>
      </c>
      <c r="C118" s="5" t="inlineStr">
        <is>
          <t>₹</t>
        </is>
      </c>
      <c r="D118" s="50">
        <f>MAX(D8,D6*Seasonality!$C$94*D7)*(1-D28)*(1-D9)</f>
        <v/>
      </c>
      <c r="E118" s="50">
        <f>MAX(E8,E6*Seasonality!$C$94*E7)*(1-E28)*(1-E9)</f>
        <v/>
      </c>
      <c r="F118" s="50">
        <f>MAX(F8,F6*Seasonality!$C$94*F7)*(1-F28)*(1-F9)</f>
        <v/>
      </c>
    </row>
    <row r="119" hidden="1" outlineLevel="1">
      <c r="B119" s="7" t="inlineStr">
        <is>
          <t>Revenue collected · month 59</t>
        </is>
      </c>
      <c r="C119" s="5" t="inlineStr">
        <is>
          <t>₹</t>
        </is>
      </c>
      <c r="D119" s="50">
        <f>MAX(D8,D6*Seasonality!$C$95*D7)*(1-D28)*(1-D9)</f>
        <v/>
      </c>
      <c r="E119" s="50">
        <f>MAX(E8,E6*Seasonality!$C$95*E7)*(1-E28)*(1-E9)</f>
        <v/>
      </c>
      <c r="F119" s="50">
        <f>MAX(F8,F6*Seasonality!$C$95*F7)*(1-F28)*(1-F9)</f>
        <v/>
      </c>
    </row>
    <row r="120" hidden="1" outlineLevel="1">
      <c r="B120" s="7" t="inlineStr">
        <is>
          <t>Revenue collected · month 60</t>
        </is>
      </c>
      <c r="C120" s="5" t="inlineStr">
        <is>
          <t>₹</t>
        </is>
      </c>
      <c r="D120" s="50">
        <f>MAX(D8,D6*Seasonality!$C$96*D7)*(1-D28)*(1-D9)</f>
        <v/>
      </c>
      <c r="E120" s="50">
        <f>MAX(E8,E6*Seasonality!$C$96*E7)*(1-E28)*(1-E9)</f>
        <v/>
      </c>
      <c r="F120" s="50">
        <f>MAX(F8,F6*Seasonality!$C$96*F7)*(1-F28)*(1-F9)</f>
        <v/>
      </c>
    </row>
    <row r="121" hidden="1" outlineLevel="1">
      <c r="B121" s="7" t="inlineStr">
        <is>
          <t>Contribution · month 1</t>
        </is>
      </c>
      <c r="C121" s="5" t="inlineStr">
        <is>
          <t>₹</t>
        </is>
      </c>
      <c r="D121" s="50">
        <f>D61-(D6*Seasonality!$C$37*D29+D30+D10*D61)-D36</f>
        <v/>
      </c>
      <c r="E121" s="50">
        <f>E61-(E6*Seasonality!$C$37*E29+E30+E10*E61)-E36</f>
        <v/>
      </c>
      <c r="F121" s="50">
        <f>F61-(F6*Seasonality!$C$37*F29+F30+F10*F61)-F36</f>
        <v/>
      </c>
    </row>
    <row r="122" hidden="1" outlineLevel="1">
      <c r="B122" s="7" t="inlineStr">
        <is>
          <t>Contribution · month 2</t>
        </is>
      </c>
      <c r="C122" s="5" t="inlineStr">
        <is>
          <t>₹</t>
        </is>
      </c>
      <c r="D122" s="50">
        <f>D62-(D6*Seasonality!$C$38*D29+D30+D10*D62)-D36</f>
        <v/>
      </c>
      <c r="E122" s="50">
        <f>E62-(E6*Seasonality!$C$38*E29+E30+E10*E62)-E36</f>
        <v/>
      </c>
      <c r="F122" s="50">
        <f>F62-(F6*Seasonality!$C$38*F29+F30+F10*F62)-F36</f>
        <v/>
      </c>
    </row>
    <row r="123" hidden="1" outlineLevel="1">
      <c r="B123" s="7" t="inlineStr">
        <is>
          <t>Contribution · month 3</t>
        </is>
      </c>
      <c r="C123" s="5" t="inlineStr">
        <is>
          <t>₹</t>
        </is>
      </c>
      <c r="D123" s="50">
        <f>D63-(D6*Seasonality!$C$39*D29+D30+D10*D63)-D36</f>
        <v/>
      </c>
      <c r="E123" s="50">
        <f>E63-(E6*Seasonality!$C$39*E29+E30+E10*E63)-E36</f>
        <v/>
      </c>
      <c r="F123" s="50">
        <f>F63-(F6*Seasonality!$C$39*F29+F30+F10*F63)-F36</f>
        <v/>
      </c>
    </row>
    <row r="124" hidden="1" outlineLevel="1">
      <c r="B124" s="7" t="inlineStr">
        <is>
          <t>Contribution · month 4</t>
        </is>
      </c>
      <c r="C124" s="5" t="inlineStr">
        <is>
          <t>₹</t>
        </is>
      </c>
      <c r="D124" s="50">
        <f>D64-(D6*Seasonality!$C$40*D29+D30+D10*D64)-D36</f>
        <v/>
      </c>
      <c r="E124" s="50">
        <f>E64-(E6*Seasonality!$C$40*E29+E30+E10*E64)-E36</f>
        <v/>
      </c>
      <c r="F124" s="50">
        <f>F64-(F6*Seasonality!$C$40*F29+F30+F10*F64)-F36</f>
        <v/>
      </c>
    </row>
    <row r="125" hidden="1" outlineLevel="1">
      <c r="B125" s="7" t="inlineStr">
        <is>
          <t>Contribution · month 5</t>
        </is>
      </c>
      <c r="C125" s="5" t="inlineStr">
        <is>
          <t>₹</t>
        </is>
      </c>
      <c r="D125" s="50">
        <f>D65-(D6*Seasonality!$C$41*D29+D30+D10*D65)-D36</f>
        <v/>
      </c>
      <c r="E125" s="50">
        <f>E65-(E6*Seasonality!$C$41*E29+E30+E10*E65)-E36</f>
        <v/>
      </c>
      <c r="F125" s="50">
        <f>F65-(F6*Seasonality!$C$41*F29+F30+F10*F65)-F36</f>
        <v/>
      </c>
    </row>
    <row r="126" hidden="1" outlineLevel="1">
      <c r="B126" s="7" t="inlineStr">
        <is>
          <t>Contribution · month 6</t>
        </is>
      </c>
      <c r="C126" s="5" t="inlineStr">
        <is>
          <t>₹</t>
        </is>
      </c>
      <c r="D126" s="50">
        <f>D66-(D6*Seasonality!$C$42*D29+D30+D10*D66)-D36</f>
        <v/>
      </c>
      <c r="E126" s="50">
        <f>E66-(E6*Seasonality!$C$42*E29+E30+E10*E66)-E36</f>
        <v/>
      </c>
      <c r="F126" s="50">
        <f>F66-(F6*Seasonality!$C$42*F29+F30+F10*F66)-F36</f>
        <v/>
      </c>
    </row>
    <row r="127" hidden="1" outlineLevel="1">
      <c r="B127" s="7" t="inlineStr">
        <is>
          <t>Contribution · month 7</t>
        </is>
      </c>
      <c r="C127" s="5" t="inlineStr">
        <is>
          <t>₹</t>
        </is>
      </c>
      <c r="D127" s="50">
        <f>D67-(D6*Seasonality!$C$43*D29+D30+D10*D67)-D36</f>
        <v/>
      </c>
      <c r="E127" s="50">
        <f>E67-(E6*Seasonality!$C$43*E29+E30+E10*E67)-E36</f>
        <v/>
      </c>
      <c r="F127" s="50">
        <f>F67-(F6*Seasonality!$C$43*F29+F30+F10*F67)-F36</f>
        <v/>
      </c>
    </row>
    <row r="128" hidden="1" outlineLevel="1">
      <c r="B128" s="7" t="inlineStr">
        <is>
          <t>Contribution · month 8</t>
        </is>
      </c>
      <c r="C128" s="5" t="inlineStr">
        <is>
          <t>₹</t>
        </is>
      </c>
      <c r="D128" s="50">
        <f>D68-(D6*Seasonality!$C$44*D29+D30+D10*D68)-D36</f>
        <v/>
      </c>
      <c r="E128" s="50">
        <f>E68-(E6*Seasonality!$C$44*E29+E30+E10*E68)-E36</f>
        <v/>
      </c>
      <c r="F128" s="50">
        <f>F68-(F6*Seasonality!$C$44*F29+F30+F10*F68)-F36</f>
        <v/>
      </c>
    </row>
    <row r="129" hidden="1" outlineLevel="1">
      <c r="B129" s="7" t="inlineStr">
        <is>
          <t>Contribution · month 9</t>
        </is>
      </c>
      <c r="C129" s="5" t="inlineStr">
        <is>
          <t>₹</t>
        </is>
      </c>
      <c r="D129" s="50">
        <f>D69-(D6*Seasonality!$C$45*D29+D30+D10*D69)-D36</f>
        <v/>
      </c>
      <c r="E129" s="50">
        <f>E69-(E6*Seasonality!$C$45*E29+E30+E10*E69)-E36</f>
        <v/>
      </c>
      <c r="F129" s="50">
        <f>F69-(F6*Seasonality!$C$45*F29+F30+F10*F69)-F36</f>
        <v/>
      </c>
    </row>
    <row r="130" hidden="1" outlineLevel="1">
      <c r="B130" s="7" t="inlineStr">
        <is>
          <t>Contribution · month 10</t>
        </is>
      </c>
      <c r="C130" s="5" t="inlineStr">
        <is>
          <t>₹</t>
        </is>
      </c>
      <c r="D130" s="50">
        <f>D70-(D6*Seasonality!$C$46*D29+D30+D10*D70)-D36</f>
        <v/>
      </c>
      <c r="E130" s="50">
        <f>E70-(E6*Seasonality!$C$46*E29+E30+E10*E70)-E36</f>
        <v/>
      </c>
      <c r="F130" s="50">
        <f>F70-(F6*Seasonality!$C$46*F29+F30+F10*F70)-F36</f>
        <v/>
      </c>
    </row>
    <row r="131" hidden="1" outlineLevel="1">
      <c r="B131" s="7" t="inlineStr">
        <is>
          <t>Contribution · month 11</t>
        </is>
      </c>
      <c r="C131" s="5" t="inlineStr">
        <is>
          <t>₹</t>
        </is>
      </c>
      <c r="D131" s="50">
        <f>D71-(D6*Seasonality!$C$47*D29+D30+D10*D71)-D36</f>
        <v/>
      </c>
      <c r="E131" s="50">
        <f>E71-(E6*Seasonality!$C$47*E29+E30+E10*E71)-E36</f>
        <v/>
      </c>
      <c r="F131" s="50">
        <f>F71-(F6*Seasonality!$C$47*F29+F30+F10*F71)-F36</f>
        <v/>
      </c>
    </row>
    <row r="132" hidden="1" outlineLevel="1">
      <c r="B132" s="7" t="inlineStr">
        <is>
          <t>Contribution · month 12</t>
        </is>
      </c>
      <c r="C132" s="5" t="inlineStr">
        <is>
          <t>₹</t>
        </is>
      </c>
      <c r="D132" s="50">
        <f>D72-(D6*Seasonality!$C$48*D29+D30+D10*D72)-D36</f>
        <v/>
      </c>
      <c r="E132" s="50">
        <f>E72-(E6*Seasonality!$C$48*E29+E30+E10*E72)-E36</f>
        <v/>
      </c>
      <c r="F132" s="50">
        <f>F72-(F6*Seasonality!$C$48*F29+F30+F10*F72)-F36</f>
        <v/>
      </c>
    </row>
    <row r="133" hidden="1" outlineLevel="1">
      <c r="B133" s="7" t="inlineStr">
        <is>
          <t>Contribution · month 13</t>
        </is>
      </c>
      <c r="C133" s="5" t="inlineStr">
        <is>
          <t>₹</t>
        </is>
      </c>
      <c r="D133" s="50">
        <f>D73-(D6*Seasonality!$C$49*D29+D30+D10*D73)-D36</f>
        <v/>
      </c>
      <c r="E133" s="50">
        <f>E73-(E6*Seasonality!$C$49*E29+E30+E10*E73)-E36</f>
        <v/>
      </c>
      <c r="F133" s="50">
        <f>F73-(F6*Seasonality!$C$49*F29+F30+F10*F73)-F36</f>
        <v/>
      </c>
    </row>
    <row r="134" hidden="1" outlineLevel="1">
      <c r="B134" s="7" t="inlineStr">
        <is>
          <t>Contribution · month 14</t>
        </is>
      </c>
      <c r="C134" s="5" t="inlineStr">
        <is>
          <t>₹</t>
        </is>
      </c>
      <c r="D134" s="50">
        <f>D74-(D6*Seasonality!$C$50*D29+D30+D10*D74)-D36</f>
        <v/>
      </c>
      <c r="E134" s="50">
        <f>E74-(E6*Seasonality!$C$50*E29+E30+E10*E74)-E36</f>
        <v/>
      </c>
      <c r="F134" s="50">
        <f>F74-(F6*Seasonality!$C$50*F29+F30+F10*F74)-F36</f>
        <v/>
      </c>
    </row>
    <row r="135" hidden="1" outlineLevel="1">
      <c r="B135" s="7" t="inlineStr">
        <is>
          <t>Contribution · month 15</t>
        </is>
      </c>
      <c r="C135" s="5" t="inlineStr">
        <is>
          <t>₹</t>
        </is>
      </c>
      <c r="D135" s="50">
        <f>D75-(D6*Seasonality!$C$51*D29+D30+D10*D75)-D36</f>
        <v/>
      </c>
      <c r="E135" s="50">
        <f>E75-(E6*Seasonality!$C$51*E29+E30+E10*E75)-E36</f>
        <v/>
      </c>
      <c r="F135" s="50">
        <f>F75-(F6*Seasonality!$C$51*F29+F30+F10*F75)-F36</f>
        <v/>
      </c>
    </row>
    <row r="136" hidden="1" outlineLevel="1">
      <c r="B136" s="7" t="inlineStr">
        <is>
          <t>Contribution · month 16</t>
        </is>
      </c>
      <c r="C136" s="5" t="inlineStr">
        <is>
          <t>₹</t>
        </is>
      </c>
      <c r="D136" s="50">
        <f>D76-(D6*Seasonality!$C$52*D29+D30+D10*D76)-D36</f>
        <v/>
      </c>
      <c r="E136" s="50">
        <f>E76-(E6*Seasonality!$C$52*E29+E30+E10*E76)-E36</f>
        <v/>
      </c>
      <c r="F136" s="50">
        <f>F76-(F6*Seasonality!$C$52*F29+F30+F10*F76)-F36</f>
        <v/>
      </c>
    </row>
    <row r="137" hidden="1" outlineLevel="1">
      <c r="B137" s="7" t="inlineStr">
        <is>
          <t>Contribution · month 17</t>
        </is>
      </c>
      <c r="C137" s="5" t="inlineStr">
        <is>
          <t>₹</t>
        </is>
      </c>
      <c r="D137" s="50">
        <f>D77-(D6*Seasonality!$C$53*D29+D30+D10*D77)-D36</f>
        <v/>
      </c>
      <c r="E137" s="50">
        <f>E77-(E6*Seasonality!$C$53*E29+E30+E10*E77)-E36</f>
        <v/>
      </c>
      <c r="F137" s="50">
        <f>F77-(F6*Seasonality!$C$53*F29+F30+F10*F77)-F36</f>
        <v/>
      </c>
    </row>
    <row r="138" hidden="1" outlineLevel="1">
      <c r="B138" s="7" t="inlineStr">
        <is>
          <t>Contribution · month 18</t>
        </is>
      </c>
      <c r="C138" s="5" t="inlineStr">
        <is>
          <t>₹</t>
        </is>
      </c>
      <c r="D138" s="50">
        <f>D78-(D6*Seasonality!$C$54*D29+D30+D10*D78)-D36</f>
        <v/>
      </c>
      <c r="E138" s="50">
        <f>E78-(E6*Seasonality!$C$54*E29+E30+E10*E78)-E36</f>
        <v/>
      </c>
      <c r="F138" s="50">
        <f>F78-(F6*Seasonality!$C$54*F29+F30+F10*F78)-F36</f>
        <v/>
      </c>
    </row>
    <row r="139" hidden="1" outlineLevel="1">
      <c r="B139" s="7" t="inlineStr">
        <is>
          <t>Contribution · month 19</t>
        </is>
      </c>
      <c r="C139" s="5" t="inlineStr">
        <is>
          <t>₹</t>
        </is>
      </c>
      <c r="D139" s="50">
        <f>D79-(D6*Seasonality!$C$55*D29+D30+D10*D79)-D36</f>
        <v/>
      </c>
      <c r="E139" s="50">
        <f>E79-(E6*Seasonality!$C$55*E29+E30+E10*E79)-E36</f>
        <v/>
      </c>
      <c r="F139" s="50">
        <f>F79-(F6*Seasonality!$C$55*F29+F30+F10*F79)-F36</f>
        <v/>
      </c>
    </row>
    <row r="140" hidden="1" outlineLevel="1">
      <c r="B140" s="7" t="inlineStr">
        <is>
          <t>Contribution · month 20</t>
        </is>
      </c>
      <c r="C140" s="5" t="inlineStr">
        <is>
          <t>₹</t>
        </is>
      </c>
      <c r="D140" s="50">
        <f>D80-(D6*Seasonality!$C$56*D29+D30+D10*D80)-D36</f>
        <v/>
      </c>
      <c r="E140" s="50">
        <f>E80-(E6*Seasonality!$C$56*E29+E30+E10*E80)-E36</f>
        <v/>
      </c>
      <c r="F140" s="50">
        <f>F80-(F6*Seasonality!$C$56*F29+F30+F10*F80)-F36</f>
        <v/>
      </c>
    </row>
    <row r="141" hidden="1" outlineLevel="1">
      <c r="B141" s="7" t="inlineStr">
        <is>
          <t>Contribution · month 21</t>
        </is>
      </c>
      <c r="C141" s="5" t="inlineStr">
        <is>
          <t>₹</t>
        </is>
      </c>
      <c r="D141" s="50">
        <f>D81-(D6*Seasonality!$C$57*D29+D30+D10*D81)-D36</f>
        <v/>
      </c>
      <c r="E141" s="50">
        <f>E81-(E6*Seasonality!$C$57*E29+E30+E10*E81)-E36</f>
        <v/>
      </c>
      <c r="F141" s="50">
        <f>F81-(F6*Seasonality!$C$57*F29+F30+F10*F81)-F36</f>
        <v/>
      </c>
    </row>
    <row r="142" hidden="1" outlineLevel="1">
      <c r="B142" s="7" t="inlineStr">
        <is>
          <t>Contribution · month 22</t>
        </is>
      </c>
      <c r="C142" s="5" t="inlineStr">
        <is>
          <t>₹</t>
        </is>
      </c>
      <c r="D142" s="50">
        <f>D82-(D6*Seasonality!$C$58*D29+D30+D10*D82)-D36</f>
        <v/>
      </c>
      <c r="E142" s="50">
        <f>E82-(E6*Seasonality!$C$58*E29+E30+E10*E82)-E36</f>
        <v/>
      </c>
      <c r="F142" s="50">
        <f>F82-(F6*Seasonality!$C$58*F29+F30+F10*F82)-F36</f>
        <v/>
      </c>
    </row>
    <row r="143" hidden="1" outlineLevel="1">
      <c r="B143" s="7" t="inlineStr">
        <is>
          <t>Contribution · month 23</t>
        </is>
      </c>
      <c r="C143" s="5" t="inlineStr">
        <is>
          <t>₹</t>
        </is>
      </c>
      <c r="D143" s="50">
        <f>D83-(D6*Seasonality!$C$59*D29+D30+D10*D83)-D36</f>
        <v/>
      </c>
      <c r="E143" s="50">
        <f>E83-(E6*Seasonality!$C$59*E29+E30+E10*E83)-E36</f>
        <v/>
      </c>
      <c r="F143" s="50">
        <f>F83-(F6*Seasonality!$C$59*F29+F30+F10*F83)-F36</f>
        <v/>
      </c>
    </row>
    <row r="144" hidden="1" outlineLevel="1">
      <c r="B144" s="7" t="inlineStr">
        <is>
          <t>Contribution · month 24</t>
        </is>
      </c>
      <c r="C144" s="5" t="inlineStr">
        <is>
          <t>₹</t>
        </is>
      </c>
      <c r="D144" s="50">
        <f>D84-(D6*Seasonality!$C$60*D29+D30+D10*D84)-D36</f>
        <v/>
      </c>
      <c r="E144" s="50">
        <f>E84-(E6*Seasonality!$C$60*E29+E30+E10*E84)-E36</f>
        <v/>
      </c>
      <c r="F144" s="50">
        <f>F84-(F6*Seasonality!$C$60*F29+F30+F10*F84)-F36</f>
        <v/>
      </c>
    </row>
    <row r="145" hidden="1" outlineLevel="1">
      <c r="B145" s="7" t="inlineStr">
        <is>
          <t>Contribution · month 25</t>
        </is>
      </c>
      <c r="C145" s="5" t="inlineStr">
        <is>
          <t>₹</t>
        </is>
      </c>
      <c r="D145" s="50">
        <f>D85-(D6*Seasonality!$C$61*D29+D30+D10*D85)-D36</f>
        <v/>
      </c>
      <c r="E145" s="50">
        <f>E85-(E6*Seasonality!$C$61*E29+E30+E10*E85)-E36</f>
        <v/>
      </c>
      <c r="F145" s="50">
        <f>F85-(F6*Seasonality!$C$61*F29+F30+F10*F85)-F36</f>
        <v/>
      </c>
    </row>
    <row r="146" hidden="1" outlineLevel="1">
      <c r="B146" s="7" t="inlineStr">
        <is>
          <t>Contribution · month 26</t>
        </is>
      </c>
      <c r="C146" s="5" t="inlineStr">
        <is>
          <t>₹</t>
        </is>
      </c>
      <c r="D146" s="50">
        <f>D86-(D6*Seasonality!$C$62*D29+D30+D10*D86)-D36</f>
        <v/>
      </c>
      <c r="E146" s="50">
        <f>E86-(E6*Seasonality!$C$62*E29+E30+E10*E86)-E36</f>
        <v/>
      </c>
      <c r="F146" s="50">
        <f>F86-(F6*Seasonality!$C$62*F29+F30+F10*F86)-F36</f>
        <v/>
      </c>
    </row>
    <row r="147" hidden="1" outlineLevel="1">
      <c r="B147" s="7" t="inlineStr">
        <is>
          <t>Contribution · month 27</t>
        </is>
      </c>
      <c r="C147" s="5" t="inlineStr">
        <is>
          <t>₹</t>
        </is>
      </c>
      <c r="D147" s="50">
        <f>D87-(D6*Seasonality!$C$63*D29+D30+D10*D87)-D36</f>
        <v/>
      </c>
      <c r="E147" s="50">
        <f>E87-(E6*Seasonality!$C$63*E29+E30+E10*E87)-E36</f>
        <v/>
      </c>
      <c r="F147" s="50">
        <f>F87-(F6*Seasonality!$C$63*F29+F30+F10*F87)-F36</f>
        <v/>
      </c>
    </row>
    <row r="148" hidden="1" outlineLevel="1">
      <c r="B148" s="7" t="inlineStr">
        <is>
          <t>Contribution · month 28</t>
        </is>
      </c>
      <c r="C148" s="5" t="inlineStr">
        <is>
          <t>₹</t>
        </is>
      </c>
      <c r="D148" s="50">
        <f>D88-(D6*Seasonality!$C$64*D29+D30+D10*D88)-D36</f>
        <v/>
      </c>
      <c r="E148" s="50">
        <f>E88-(E6*Seasonality!$C$64*E29+E30+E10*E88)-E36</f>
        <v/>
      </c>
      <c r="F148" s="50">
        <f>F88-(F6*Seasonality!$C$64*F29+F30+F10*F88)-F36</f>
        <v/>
      </c>
    </row>
    <row r="149" hidden="1" outlineLevel="1">
      <c r="B149" s="7" t="inlineStr">
        <is>
          <t>Contribution · month 29</t>
        </is>
      </c>
      <c r="C149" s="5" t="inlineStr">
        <is>
          <t>₹</t>
        </is>
      </c>
      <c r="D149" s="50">
        <f>D89-(D6*Seasonality!$C$65*D29+D30+D10*D89)-D36</f>
        <v/>
      </c>
      <c r="E149" s="50">
        <f>E89-(E6*Seasonality!$C$65*E29+E30+E10*E89)-E36</f>
        <v/>
      </c>
      <c r="F149" s="50">
        <f>F89-(F6*Seasonality!$C$65*F29+F30+F10*F89)-F36</f>
        <v/>
      </c>
    </row>
    <row r="150" hidden="1" outlineLevel="1">
      <c r="B150" s="7" t="inlineStr">
        <is>
          <t>Contribution · month 30</t>
        </is>
      </c>
      <c r="C150" s="5" t="inlineStr">
        <is>
          <t>₹</t>
        </is>
      </c>
      <c r="D150" s="50">
        <f>D90-(D6*Seasonality!$C$66*D29+D30+D10*D90)-D36</f>
        <v/>
      </c>
      <c r="E150" s="50">
        <f>E90-(E6*Seasonality!$C$66*E29+E30+E10*E90)-E36</f>
        <v/>
      </c>
      <c r="F150" s="50">
        <f>F90-(F6*Seasonality!$C$66*F29+F30+F10*F90)-F36</f>
        <v/>
      </c>
    </row>
    <row r="151" hidden="1" outlineLevel="1">
      <c r="B151" s="7" t="inlineStr">
        <is>
          <t>Contribution · month 31</t>
        </is>
      </c>
      <c r="C151" s="5" t="inlineStr">
        <is>
          <t>₹</t>
        </is>
      </c>
      <c r="D151" s="50">
        <f>D91-(D6*Seasonality!$C$67*D29+D30+D10*D91)-D36</f>
        <v/>
      </c>
      <c r="E151" s="50">
        <f>E91-(E6*Seasonality!$C$67*E29+E30+E10*E91)-E36</f>
        <v/>
      </c>
      <c r="F151" s="50">
        <f>F91-(F6*Seasonality!$C$67*F29+F30+F10*F91)-F36</f>
        <v/>
      </c>
    </row>
    <row r="152" hidden="1" outlineLevel="1">
      <c r="B152" s="7" t="inlineStr">
        <is>
          <t>Contribution · month 32</t>
        </is>
      </c>
      <c r="C152" s="5" t="inlineStr">
        <is>
          <t>₹</t>
        </is>
      </c>
      <c r="D152" s="50">
        <f>D92-(D6*Seasonality!$C$68*D29+D30+D10*D92)-D36</f>
        <v/>
      </c>
      <c r="E152" s="50">
        <f>E92-(E6*Seasonality!$C$68*E29+E30+E10*E92)-E36</f>
        <v/>
      </c>
      <c r="F152" s="50">
        <f>F92-(F6*Seasonality!$C$68*F29+F30+F10*F92)-F36</f>
        <v/>
      </c>
    </row>
    <row r="153" hidden="1" outlineLevel="1">
      <c r="B153" s="7" t="inlineStr">
        <is>
          <t>Contribution · month 33</t>
        </is>
      </c>
      <c r="C153" s="5" t="inlineStr">
        <is>
          <t>₹</t>
        </is>
      </c>
      <c r="D153" s="50">
        <f>D93-(D6*Seasonality!$C$69*D29+D30+D10*D93)-D36</f>
        <v/>
      </c>
      <c r="E153" s="50">
        <f>E93-(E6*Seasonality!$C$69*E29+E30+E10*E93)-E36</f>
        <v/>
      </c>
      <c r="F153" s="50">
        <f>F93-(F6*Seasonality!$C$69*F29+F30+F10*F93)-F36</f>
        <v/>
      </c>
    </row>
    <row r="154" hidden="1" outlineLevel="1">
      <c r="B154" s="7" t="inlineStr">
        <is>
          <t>Contribution · month 34</t>
        </is>
      </c>
      <c r="C154" s="5" t="inlineStr">
        <is>
          <t>₹</t>
        </is>
      </c>
      <c r="D154" s="50">
        <f>D94-(D6*Seasonality!$C$70*D29+D30+D10*D94)-D36</f>
        <v/>
      </c>
      <c r="E154" s="50">
        <f>E94-(E6*Seasonality!$C$70*E29+E30+E10*E94)-E36</f>
        <v/>
      </c>
      <c r="F154" s="50">
        <f>F94-(F6*Seasonality!$C$70*F29+F30+F10*F94)-F36</f>
        <v/>
      </c>
    </row>
    <row r="155" hidden="1" outlineLevel="1">
      <c r="B155" s="7" t="inlineStr">
        <is>
          <t>Contribution · month 35</t>
        </is>
      </c>
      <c r="C155" s="5" t="inlineStr">
        <is>
          <t>₹</t>
        </is>
      </c>
      <c r="D155" s="50">
        <f>D95-(D6*Seasonality!$C$71*D29+D30+D10*D95)-D36</f>
        <v/>
      </c>
      <c r="E155" s="50">
        <f>E95-(E6*Seasonality!$C$71*E29+E30+E10*E95)-E36</f>
        <v/>
      </c>
      <c r="F155" s="50">
        <f>F95-(F6*Seasonality!$C$71*F29+F30+F10*F95)-F36</f>
        <v/>
      </c>
    </row>
    <row r="156" hidden="1" outlineLevel="1">
      <c r="B156" s="7" t="inlineStr">
        <is>
          <t>Contribution · month 36</t>
        </is>
      </c>
      <c r="C156" s="5" t="inlineStr">
        <is>
          <t>₹</t>
        </is>
      </c>
      <c r="D156" s="50">
        <f>D96-(D6*Seasonality!$C$72*D29+D30+D10*D96)-D36</f>
        <v/>
      </c>
      <c r="E156" s="50">
        <f>E96-(E6*Seasonality!$C$72*E29+E30+E10*E96)-E36</f>
        <v/>
      </c>
      <c r="F156" s="50">
        <f>F96-(F6*Seasonality!$C$72*F29+F30+F10*F96)-F36</f>
        <v/>
      </c>
    </row>
    <row r="157" hidden="1" outlineLevel="1">
      <c r="B157" s="7" t="inlineStr">
        <is>
          <t>Contribution · month 37</t>
        </is>
      </c>
      <c r="C157" s="5" t="inlineStr">
        <is>
          <t>₹</t>
        </is>
      </c>
      <c r="D157" s="50">
        <f>D97-(D6*Seasonality!$C$73*D29+D30+D10*D97)-D36</f>
        <v/>
      </c>
      <c r="E157" s="50">
        <f>E97-(E6*Seasonality!$C$73*E29+E30+E10*E97)-E36</f>
        <v/>
      </c>
      <c r="F157" s="50">
        <f>F97-(F6*Seasonality!$C$73*F29+F30+F10*F97)-F36</f>
        <v/>
      </c>
    </row>
    <row r="158" hidden="1" outlineLevel="1">
      <c r="B158" s="7" t="inlineStr">
        <is>
          <t>Contribution · month 38</t>
        </is>
      </c>
      <c r="C158" s="5" t="inlineStr">
        <is>
          <t>₹</t>
        </is>
      </c>
      <c r="D158" s="50">
        <f>D98-(D6*Seasonality!$C$74*D29+D30+D10*D98)-D36</f>
        <v/>
      </c>
      <c r="E158" s="50">
        <f>E98-(E6*Seasonality!$C$74*E29+E30+E10*E98)-E36</f>
        <v/>
      </c>
      <c r="F158" s="50">
        <f>F98-(F6*Seasonality!$C$74*F29+F30+F10*F98)-F36</f>
        <v/>
      </c>
    </row>
    <row r="159" hidden="1" outlineLevel="1">
      <c r="B159" s="7" t="inlineStr">
        <is>
          <t>Contribution · month 39</t>
        </is>
      </c>
      <c r="C159" s="5" t="inlineStr">
        <is>
          <t>₹</t>
        </is>
      </c>
      <c r="D159" s="50">
        <f>D99-(D6*Seasonality!$C$75*D29+D30+D10*D99)-D36</f>
        <v/>
      </c>
      <c r="E159" s="50">
        <f>E99-(E6*Seasonality!$C$75*E29+E30+E10*E99)-E36</f>
        <v/>
      </c>
      <c r="F159" s="50">
        <f>F99-(F6*Seasonality!$C$75*F29+F30+F10*F99)-F36</f>
        <v/>
      </c>
    </row>
    <row r="160" hidden="1" outlineLevel="1">
      <c r="B160" s="7" t="inlineStr">
        <is>
          <t>Contribution · month 40</t>
        </is>
      </c>
      <c r="C160" s="5" t="inlineStr">
        <is>
          <t>₹</t>
        </is>
      </c>
      <c r="D160" s="50">
        <f>D100-(D6*Seasonality!$C$76*D29+D30+D10*D100)-D36</f>
        <v/>
      </c>
      <c r="E160" s="50">
        <f>E100-(E6*Seasonality!$C$76*E29+E30+E10*E100)-E36</f>
        <v/>
      </c>
      <c r="F160" s="50">
        <f>F100-(F6*Seasonality!$C$76*F29+F30+F10*F100)-F36</f>
        <v/>
      </c>
    </row>
    <row r="161" hidden="1" outlineLevel="1">
      <c r="B161" s="7" t="inlineStr">
        <is>
          <t>Contribution · month 41</t>
        </is>
      </c>
      <c r="C161" s="5" t="inlineStr">
        <is>
          <t>₹</t>
        </is>
      </c>
      <c r="D161" s="50">
        <f>D101-(D6*Seasonality!$C$77*D29+D30+D10*D101)-D36</f>
        <v/>
      </c>
      <c r="E161" s="50">
        <f>E101-(E6*Seasonality!$C$77*E29+E30+E10*E101)-E36</f>
        <v/>
      </c>
      <c r="F161" s="50">
        <f>F101-(F6*Seasonality!$C$77*F29+F30+F10*F101)-F36</f>
        <v/>
      </c>
    </row>
    <row r="162" hidden="1" outlineLevel="1">
      <c r="B162" s="7" t="inlineStr">
        <is>
          <t>Contribution · month 42</t>
        </is>
      </c>
      <c r="C162" s="5" t="inlineStr">
        <is>
          <t>₹</t>
        </is>
      </c>
      <c r="D162" s="50">
        <f>D102-(D6*Seasonality!$C$78*D29+D30+D10*D102)-D36</f>
        <v/>
      </c>
      <c r="E162" s="50">
        <f>E102-(E6*Seasonality!$C$78*E29+E30+E10*E102)-E36</f>
        <v/>
      </c>
      <c r="F162" s="50">
        <f>F102-(F6*Seasonality!$C$78*F29+F30+F10*F102)-F36</f>
        <v/>
      </c>
    </row>
    <row r="163" hidden="1" outlineLevel="1">
      <c r="B163" s="7" t="inlineStr">
        <is>
          <t>Contribution · month 43</t>
        </is>
      </c>
      <c r="C163" s="5" t="inlineStr">
        <is>
          <t>₹</t>
        </is>
      </c>
      <c r="D163" s="50">
        <f>D103-(D6*Seasonality!$C$79*D29+D30+D10*D103)-D36</f>
        <v/>
      </c>
      <c r="E163" s="50">
        <f>E103-(E6*Seasonality!$C$79*E29+E30+E10*E103)-E36</f>
        <v/>
      </c>
      <c r="F163" s="50">
        <f>F103-(F6*Seasonality!$C$79*F29+F30+F10*F103)-F36</f>
        <v/>
      </c>
    </row>
    <row r="164" hidden="1" outlineLevel="1">
      <c r="B164" s="7" t="inlineStr">
        <is>
          <t>Contribution · month 44</t>
        </is>
      </c>
      <c r="C164" s="5" t="inlineStr">
        <is>
          <t>₹</t>
        </is>
      </c>
      <c r="D164" s="50">
        <f>D104-(D6*Seasonality!$C$80*D29+D30+D10*D104)-D36</f>
        <v/>
      </c>
      <c r="E164" s="50">
        <f>E104-(E6*Seasonality!$C$80*E29+E30+E10*E104)-E36</f>
        <v/>
      </c>
      <c r="F164" s="50">
        <f>F104-(F6*Seasonality!$C$80*F29+F30+F10*F104)-F36</f>
        <v/>
      </c>
    </row>
    <row r="165" hidden="1" outlineLevel="1">
      <c r="B165" s="7" t="inlineStr">
        <is>
          <t>Contribution · month 45</t>
        </is>
      </c>
      <c r="C165" s="5" t="inlineStr">
        <is>
          <t>₹</t>
        </is>
      </c>
      <c r="D165" s="50">
        <f>D105-(D6*Seasonality!$C$81*D29+D30+D10*D105)-D36</f>
        <v/>
      </c>
      <c r="E165" s="50">
        <f>E105-(E6*Seasonality!$C$81*E29+E30+E10*E105)-E36</f>
        <v/>
      </c>
      <c r="F165" s="50">
        <f>F105-(F6*Seasonality!$C$81*F29+F30+F10*F105)-F36</f>
        <v/>
      </c>
    </row>
    <row r="166" hidden="1" outlineLevel="1">
      <c r="B166" s="7" t="inlineStr">
        <is>
          <t>Contribution · month 46</t>
        </is>
      </c>
      <c r="C166" s="5" t="inlineStr">
        <is>
          <t>₹</t>
        </is>
      </c>
      <c r="D166" s="50">
        <f>D106-(D6*Seasonality!$C$82*D29+D30+D10*D106)-D36</f>
        <v/>
      </c>
      <c r="E166" s="50">
        <f>E106-(E6*Seasonality!$C$82*E29+E30+E10*E106)-E36</f>
        <v/>
      </c>
      <c r="F166" s="50">
        <f>F106-(F6*Seasonality!$C$82*F29+F30+F10*F106)-F36</f>
        <v/>
      </c>
    </row>
    <row r="167" hidden="1" outlineLevel="1">
      <c r="B167" s="7" t="inlineStr">
        <is>
          <t>Contribution · month 47</t>
        </is>
      </c>
      <c r="C167" s="5" t="inlineStr">
        <is>
          <t>₹</t>
        </is>
      </c>
      <c r="D167" s="50">
        <f>D107-(D6*Seasonality!$C$83*D29+D30+D10*D107)-D36</f>
        <v/>
      </c>
      <c r="E167" s="50">
        <f>E107-(E6*Seasonality!$C$83*E29+E30+E10*E107)-E36</f>
        <v/>
      </c>
      <c r="F167" s="50">
        <f>F107-(F6*Seasonality!$C$83*F29+F30+F10*F107)-F36</f>
        <v/>
      </c>
    </row>
    <row r="168" hidden="1" outlineLevel="1">
      <c r="B168" s="7" t="inlineStr">
        <is>
          <t>Contribution · month 48</t>
        </is>
      </c>
      <c r="C168" s="5" t="inlineStr">
        <is>
          <t>₹</t>
        </is>
      </c>
      <c r="D168" s="50">
        <f>D108-(D6*Seasonality!$C$84*D29+D30+D10*D108)-D36</f>
        <v/>
      </c>
      <c r="E168" s="50">
        <f>E108-(E6*Seasonality!$C$84*E29+E30+E10*E108)-E36</f>
        <v/>
      </c>
      <c r="F168" s="50">
        <f>F108-(F6*Seasonality!$C$84*F29+F30+F10*F108)-F36</f>
        <v/>
      </c>
    </row>
    <row r="169" hidden="1" outlineLevel="1">
      <c r="B169" s="7" t="inlineStr">
        <is>
          <t>Contribution · month 49</t>
        </is>
      </c>
      <c r="C169" s="5" t="inlineStr">
        <is>
          <t>₹</t>
        </is>
      </c>
      <c r="D169" s="50">
        <f>D109-(D6*Seasonality!$C$85*D29+D30+D10*D109)-D36</f>
        <v/>
      </c>
      <c r="E169" s="50">
        <f>E109-(E6*Seasonality!$C$85*E29+E30+E10*E109)-E36</f>
        <v/>
      </c>
      <c r="F169" s="50">
        <f>F109-(F6*Seasonality!$C$85*F29+F30+F10*F109)-F36</f>
        <v/>
      </c>
    </row>
    <row r="170" hidden="1" outlineLevel="1">
      <c r="B170" s="7" t="inlineStr">
        <is>
          <t>Contribution · month 50</t>
        </is>
      </c>
      <c r="C170" s="5" t="inlineStr">
        <is>
          <t>₹</t>
        </is>
      </c>
      <c r="D170" s="50">
        <f>D110-(D6*Seasonality!$C$86*D29+D30+D10*D110)-D36</f>
        <v/>
      </c>
      <c r="E170" s="50">
        <f>E110-(E6*Seasonality!$C$86*E29+E30+E10*E110)-E36</f>
        <v/>
      </c>
      <c r="F170" s="50">
        <f>F110-(F6*Seasonality!$C$86*F29+F30+F10*F110)-F36</f>
        <v/>
      </c>
    </row>
    <row r="171" hidden="1" outlineLevel="1">
      <c r="B171" s="7" t="inlineStr">
        <is>
          <t>Contribution · month 51</t>
        </is>
      </c>
      <c r="C171" s="5" t="inlineStr">
        <is>
          <t>₹</t>
        </is>
      </c>
      <c r="D171" s="50">
        <f>D111-(D6*Seasonality!$C$87*D29+D30+D10*D111)-D36</f>
        <v/>
      </c>
      <c r="E171" s="50">
        <f>E111-(E6*Seasonality!$C$87*E29+E30+E10*E111)-E36</f>
        <v/>
      </c>
      <c r="F171" s="50">
        <f>F111-(F6*Seasonality!$C$87*F29+F30+F10*F111)-F36</f>
        <v/>
      </c>
    </row>
    <row r="172" hidden="1" outlineLevel="1">
      <c r="B172" s="7" t="inlineStr">
        <is>
          <t>Contribution · month 52</t>
        </is>
      </c>
      <c r="C172" s="5" t="inlineStr">
        <is>
          <t>₹</t>
        </is>
      </c>
      <c r="D172" s="50">
        <f>D112-(D6*Seasonality!$C$88*D29+D30+D10*D112)-D36</f>
        <v/>
      </c>
      <c r="E172" s="50">
        <f>E112-(E6*Seasonality!$C$88*E29+E30+E10*E112)-E36</f>
        <v/>
      </c>
      <c r="F172" s="50">
        <f>F112-(F6*Seasonality!$C$88*F29+F30+F10*F112)-F36</f>
        <v/>
      </c>
    </row>
    <row r="173" hidden="1" outlineLevel="1">
      <c r="B173" s="7" t="inlineStr">
        <is>
          <t>Contribution · month 53</t>
        </is>
      </c>
      <c r="C173" s="5" t="inlineStr">
        <is>
          <t>₹</t>
        </is>
      </c>
      <c r="D173" s="50">
        <f>D113-(D6*Seasonality!$C$89*D29+D30+D10*D113)-D36</f>
        <v/>
      </c>
      <c r="E173" s="50">
        <f>E113-(E6*Seasonality!$C$89*E29+E30+E10*E113)-E36</f>
        <v/>
      </c>
      <c r="F173" s="50">
        <f>F113-(F6*Seasonality!$C$89*F29+F30+F10*F113)-F36</f>
        <v/>
      </c>
    </row>
    <row r="174" hidden="1" outlineLevel="1">
      <c r="B174" s="7" t="inlineStr">
        <is>
          <t>Contribution · month 54</t>
        </is>
      </c>
      <c r="C174" s="5" t="inlineStr">
        <is>
          <t>₹</t>
        </is>
      </c>
      <c r="D174" s="50">
        <f>D114-(D6*Seasonality!$C$90*D29+D30+D10*D114)-D36</f>
        <v/>
      </c>
      <c r="E174" s="50">
        <f>E114-(E6*Seasonality!$C$90*E29+E30+E10*E114)-E36</f>
        <v/>
      </c>
      <c r="F174" s="50">
        <f>F114-(F6*Seasonality!$C$90*F29+F30+F10*F114)-F36</f>
        <v/>
      </c>
    </row>
    <row r="175" hidden="1" outlineLevel="1">
      <c r="B175" s="7" t="inlineStr">
        <is>
          <t>Contribution · month 55</t>
        </is>
      </c>
      <c r="C175" s="5" t="inlineStr">
        <is>
          <t>₹</t>
        </is>
      </c>
      <c r="D175" s="50">
        <f>D115-(D6*Seasonality!$C$91*D29+D30+D10*D115)-D36</f>
        <v/>
      </c>
      <c r="E175" s="50">
        <f>E115-(E6*Seasonality!$C$91*E29+E30+E10*E115)-E36</f>
        <v/>
      </c>
      <c r="F175" s="50">
        <f>F115-(F6*Seasonality!$C$91*F29+F30+F10*F115)-F36</f>
        <v/>
      </c>
    </row>
    <row r="176" hidden="1" outlineLevel="1">
      <c r="B176" s="7" t="inlineStr">
        <is>
          <t>Contribution · month 56</t>
        </is>
      </c>
      <c r="C176" s="5" t="inlineStr">
        <is>
          <t>₹</t>
        </is>
      </c>
      <c r="D176" s="50">
        <f>D116-(D6*Seasonality!$C$92*D29+D30+D10*D116)-D36</f>
        <v/>
      </c>
      <c r="E176" s="50">
        <f>E116-(E6*Seasonality!$C$92*E29+E30+E10*E116)-E36</f>
        <v/>
      </c>
      <c r="F176" s="50">
        <f>F116-(F6*Seasonality!$C$92*F29+F30+F10*F116)-F36</f>
        <v/>
      </c>
    </row>
    <row r="177" hidden="1" outlineLevel="1">
      <c r="B177" s="7" t="inlineStr">
        <is>
          <t>Contribution · month 57</t>
        </is>
      </c>
      <c r="C177" s="5" t="inlineStr">
        <is>
          <t>₹</t>
        </is>
      </c>
      <c r="D177" s="50">
        <f>D117-(D6*Seasonality!$C$93*D29+D30+D10*D117)-D36</f>
        <v/>
      </c>
      <c r="E177" s="50">
        <f>E117-(E6*Seasonality!$C$93*E29+E30+E10*E117)-E36</f>
        <v/>
      </c>
      <c r="F177" s="50">
        <f>F117-(F6*Seasonality!$C$93*F29+F30+F10*F117)-F36</f>
        <v/>
      </c>
    </row>
    <row r="178" hidden="1" outlineLevel="1">
      <c r="B178" s="7" t="inlineStr">
        <is>
          <t>Contribution · month 58</t>
        </is>
      </c>
      <c r="C178" s="5" t="inlineStr">
        <is>
          <t>₹</t>
        </is>
      </c>
      <c r="D178" s="50">
        <f>D118-(D6*Seasonality!$C$94*D29+D30+D10*D118)-D36</f>
        <v/>
      </c>
      <c r="E178" s="50">
        <f>E118-(E6*Seasonality!$C$94*E29+E30+E10*E118)-E36</f>
        <v/>
      </c>
      <c r="F178" s="50">
        <f>F118-(F6*Seasonality!$C$94*F29+F30+F10*F118)-F36</f>
        <v/>
      </c>
    </row>
    <row r="179" hidden="1" outlineLevel="1">
      <c r="B179" s="7" t="inlineStr">
        <is>
          <t>Contribution · month 59</t>
        </is>
      </c>
      <c r="C179" s="5" t="inlineStr">
        <is>
          <t>₹</t>
        </is>
      </c>
      <c r="D179" s="50">
        <f>D119-(D6*Seasonality!$C$95*D29+D30+D10*D119)-D36</f>
        <v/>
      </c>
      <c r="E179" s="50">
        <f>E119-(E6*Seasonality!$C$95*E29+E30+E10*E119)-E36</f>
        <v/>
      </c>
      <c r="F179" s="50">
        <f>F119-(F6*Seasonality!$C$95*F29+F30+F10*F119)-F36</f>
        <v/>
      </c>
    </row>
    <row r="180" hidden="1" outlineLevel="1">
      <c r="B180" s="7" t="inlineStr">
        <is>
          <t>Contribution · month 60</t>
        </is>
      </c>
      <c r="C180" s="5" t="inlineStr">
        <is>
          <t>₹</t>
        </is>
      </c>
      <c r="D180" s="50">
        <f>D120-(D6*Seasonality!$C$96*D29+D30+D10*D120)-D36</f>
        <v/>
      </c>
      <c r="E180" s="50">
        <f>E120-(E6*Seasonality!$C$96*E29+E30+E10*E120)-E36</f>
        <v/>
      </c>
      <c r="F180" s="50">
        <f>F120-(F6*Seasonality!$C$96*F29+F30+F10*F120)-F36</f>
        <v/>
      </c>
    </row>
    <row r="181" hidden="1" outlineLevel="1">
      <c r="B181" s="7" t="inlineStr">
        <is>
          <t>Share of institutes still paying · month 1</t>
        </is>
      </c>
      <c r="C181" s="5" t="inlineStr">
        <is>
          <t>%</t>
        </is>
      </c>
      <c r="D181" s="39">
        <f>1</f>
        <v/>
      </c>
      <c r="E181" s="39">
        <f>1</f>
        <v/>
      </c>
      <c r="F181" s="39">
        <f>1</f>
        <v/>
      </c>
    </row>
    <row r="182" hidden="1" outlineLevel="1">
      <c r="B182" s="7" t="inlineStr">
        <is>
          <t>Share of institutes still paying · month 2</t>
        </is>
      </c>
      <c r="C182" s="5" t="inlineStr">
        <is>
          <t>%</t>
        </is>
      </c>
      <c r="D182" s="39">
        <f>D181*(1-D46)*(1-IF(1&gt;=D26,Seasonality!$D$37*D47,0))</f>
        <v/>
      </c>
      <c r="E182" s="39">
        <f>E181*(1-E46)*(1-IF(1&gt;=E26,Seasonality!$D$37*E47,0))</f>
        <v/>
      </c>
      <c r="F182" s="39">
        <f>F181*(1-F46)*(1-IF(1&gt;=F26,Seasonality!$D$37*F47,0))</f>
        <v/>
      </c>
    </row>
    <row r="183" hidden="1" outlineLevel="1">
      <c r="B183" s="7" t="inlineStr">
        <is>
          <t>Share of institutes still paying · month 3</t>
        </is>
      </c>
      <c r="C183" s="5" t="inlineStr">
        <is>
          <t>%</t>
        </is>
      </c>
      <c r="D183" s="39">
        <f>D182*(1-D46)*(1-IF(2&gt;=D26,Seasonality!$D$38*D47,0))</f>
        <v/>
      </c>
      <c r="E183" s="39">
        <f>E182*(1-E46)*(1-IF(2&gt;=E26,Seasonality!$D$38*E47,0))</f>
        <v/>
      </c>
      <c r="F183" s="39">
        <f>F182*(1-F46)*(1-IF(2&gt;=F26,Seasonality!$D$38*F47,0))</f>
        <v/>
      </c>
    </row>
    <row r="184" hidden="1" outlineLevel="1">
      <c r="B184" s="7" t="inlineStr">
        <is>
          <t>Share of institutes still paying · month 4</t>
        </is>
      </c>
      <c r="C184" s="5" t="inlineStr">
        <is>
          <t>%</t>
        </is>
      </c>
      <c r="D184" s="39">
        <f>D183*(1-D46)*(1-IF(3&gt;=D26,Seasonality!$D$39*D47,0))</f>
        <v/>
      </c>
      <c r="E184" s="39">
        <f>E183*(1-E46)*(1-IF(3&gt;=E26,Seasonality!$D$39*E47,0))</f>
        <v/>
      </c>
      <c r="F184" s="39">
        <f>F183*(1-F46)*(1-IF(3&gt;=F26,Seasonality!$D$39*F47,0))</f>
        <v/>
      </c>
    </row>
    <row r="185" hidden="1" outlineLevel="1">
      <c r="B185" s="7" t="inlineStr">
        <is>
          <t>Share of institutes still paying · month 5</t>
        </is>
      </c>
      <c r="C185" s="5" t="inlineStr">
        <is>
          <t>%</t>
        </is>
      </c>
      <c r="D185" s="39">
        <f>D184*(1-D46)*(1-IF(4&gt;=D26,Seasonality!$D$40*D47,0))</f>
        <v/>
      </c>
      <c r="E185" s="39">
        <f>E184*(1-E46)*(1-IF(4&gt;=E26,Seasonality!$D$40*E47,0))</f>
        <v/>
      </c>
      <c r="F185" s="39">
        <f>F184*(1-F46)*(1-IF(4&gt;=F26,Seasonality!$D$40*F47,0))</f>
        <v/>
      </c>
    </row>
    <row r="186" hidden="1" outlineLevel="1">
      <c r="B186" s="7" t="inlineStr">
        <is>
          <t>Share of institutes still paying · month 6</t>
        </is>
      </c>
      <c r="C186" s="5" t="inlineStr">
        <is>
          <t>%</t>
        </is>
      </c>
      <c r="D186" s="39">
        <f>D185*(1-D46)*(1-IF(5&gt;=D26,Seasonality!$D$41*D47,0))</f>
        <v/>
      </c>
      <c r="E186" s="39">
        <f>E185*(1-E46)*(1-IF(5&gt;=E26,Seasonality!$D$41*E47,0))</f>
        <v/>
      </c>
      <c r="F186" s="39">
        <f>F185*(1-F46)*(1-IF(5&gt;=F26,Seasonality!$D$41*F47,0))</f>
        <v/>
      </c>
    </row>
    <row r="187" hidden="1" outlineLevel="1">
      <c r="B187" s="7" t="inlineStr">
        <is>
          <t>Share of institutes still paying · month 7</t>
        </is>
      </c>
      <c r="C187" s="5" t="inlineStr">
        <is>
          <t>%</t>
        </is>
      </c>
      <c r="D187" s="39">
        <f>D186*(1-D46)*(1-IF(6&gt;=D26,Seasonality!$D$42*D47,0))</f>
        <v/>
      </c>
      <c r="E187" s="39">
        <f>E186*(1-E46)*(1-IF(6&gt;=E26,Seasonality!$D$42*E47,0))</f>
        <v/>
      </c>
      <c r="F187" s="39">
        <f>F186*(1-F46)*(1-IF(6&gt;=F26,Seasonality!$D$42*F47,0))</f>
        <v/>
      </c>
    </row>
    <row r="188" hidden="1" outlineLevel="1">
      <c r="B188" s="7" t="inlineStr">
        <is>
          <t>Share of institutes still paying · month 8</t>
        </is>
      </c>
      <c r="C188" s="5" t="inlineStr">
        <is>
          <t>%</t>
        </is>
      </c>
      <c r="D188" s="39">
        <f>D187*(1-D46)*(1-IF(7&gt;=D26,Seasonality!$D$43*D47,0))</f>
        <v/>
      </c>
      <c r="E188" s="39">
        <f>E187*(1-E46)*(1-IF(7&gt;=E26,Seasonality!$D$43*E47,0))</f>
        <v/>
      </c>
      <c r="F188" s="39">
        <f>F187*(1-F46)*(1-IF(7&gt;=F26,Seasonality!$D$43*F47,0))</f>
        <v/>
      </c>
    </row>
    <row r="189" hidden="1" outlineLevel="1">
      <c r="B189" s="7" t="inlineStr">
        <is>
          <t>Share of institutes still paying · month 9</t>
        </is>
      </c>
      <c r="C189" s="5" t="inlineStr">
        <is>
          <t>%</t>
        </is>
      </c>
      <c r="D189" s="39">
        <f>D188*(1-D46)*(1-IF(8&gt;=D26,Seasonality!$D$44*D47,0))</f>
        <v/>
      </c>
      <c r="E189" s="39">
        <f>E188*(1-E46)*(1-IF(8&gt;=E26,Seasonality!$D$44*E47,0))</f>
        <v/>
      </c>
      <c r="F189" s="39">
        <f>F188*(1-F46)*(1-IF(8&gt;=F26,Seasonality!$D$44*F47,0))</f>
        <v/>
      </c>
    </row>
    <row r="190" hidden="1" outlineLevel="1">
      <c r="B190" s="7" t="inlineStr">
        <is>
          <t>Share of institutes still paying · month 10</t>
        </is>
      </c>
      <c r="C190" s="5" t="inlineStr">
        <is>
          <t>%</t>
        </is>
      </c>
      <c r="D190" s="39">
        <f>D189*(1-D46)*(1-IF(9&gt;=D26,Seasonality!$D$45*D47,0))</f>
        <v/>
      </c>
      <c r="E190" s="39">
        <f>E189*(1-E46)*(1-IF(9&gt;=E26,Seasonality!$D$45*E47,0))</f>
        <v/>
      </c>
      <c r="F190" s="39">
        <f>F189*(1-F46)*(1-IF(9&gt;=F26,Seasonality!$D$45*F47,0))</f>
        <v/>
      </c>
    </row>
    <row r="191" hidden="1" outlineLevel="1">
      <c r="B191" s="7" t="inlineStr">
        <is>
          <t>Share of institutes still paying · month 11</t>
        </is>
      </c>
      <c r="C191" s="5" t="inlineStr">
        <is>
          <t>%</t>
        </is>
      </c>
      <c r="D191" s="39">
        <f>D190*(1-D46)*(1-IF(10&gt;=D26,Seasonality!$D$46*D47,0))</f>
        <v/>
      </c>
      <c r="E191" s="39">
        <f>E190*(1-E46)*(1-IF(10&gt;=E26,Seasonality!$D$46*E47,0))</f>
        <v/>
      </c>
      <c r="F191" s="39">
        <f>F190*(1-F46)*(1-IF(10&gt;=F26,Seasonality!$D$46*F47,0))</f>
        <v/>
      </c>
    </row>
    <row r="192" hidden="1" outlineLevel="1">
      <c r="B192" s="7" t="inlineStr">
        <is>
          <t>Share of institutes still paying · month 12</t>
        </is>
      </c>
      <c r="C192" s="5" t="inlineStr">
        <is>
          <t>%</t>
        </is>
      </c>
      <c r="D192" s="39">
        <f>D191*(1-D46)*(1-IF(11&gt;=D26,Seasonality!$D$47*D47,0))</f>
        <v/>
      </c>
      <c r="E192" s="39">
        <f>E191*(1-E46)*(1-IF(11&gt;=E26,Seasonality!$D$47*E47,0))</f>
        <v/>
      </c>
      <c r="F192" s="39">
        <f>F191*(1-F46)*(1-IF(11&gt;=F26,Seasonality!$D$47*F47,0))</f>
        <v/>
      </c>
    </row>
    <row r="193" hidden="1" outlineLevel="1">
      <c r="B193" s="7" t="inlineStr">
        <is>
          <t>Share of institutes still paying · month 13</t>
        </is>
      </c>
      <c r="C193" s="5" t="inlineStr">
        <is>
          <t>%</t>
        </is>
      </c>
      <c r="D193" s="39">
        <f>D192*(1-D46)*(1-IF(12&gt;=D26,Seasonality!$D$48*D47,0))</f>
        <v/>
      </c>
      <c r="E193" s="39">
        <f>E192*(1-E46)*(1-IF(12&gt;=E26,Seasonality!$D$48*E47,0))</f>
        <v/>
      </c>
      <c r="F193" s="39">
        <f>F192*(1-F46)*(1-IF(12&gt;=F26,Seasonality!$D$48*F47,0))</f>
        <v/>
      </c>
    </row>
    <row r="194" hidden="1" outlineLevel="1">
      <c r="B194" s="7" t="inlineStr">
        <is>
          <t>Share of institutes still paying · month 14</t>
        </is>
      </c>
      <c r="C194" s="5" t="inlineStr">
        <is>
          <t>%</t>
        </is>
      </c>
      <c r="D194" s="39">
        <f>D193*(1-D46)*(1-IF(13&gt;=D26,Seasonality!$D$49*D47,0))</f>
        <v/>
      </c>
      <c r="E194" s="39">
        <f>E193*(1-E46)*(1-IF(13&gt;=E26,Seasonality!$D$49*E47,0))</f>
        <v/>
      </c>
      <c r="F194" s="39">
        <f>F193*(1-F46)*(1-IF(13&gt;=F26,Seasonality!$D$49*F47,0))</f>
        <v/>
      </c>
    </row>
    <row r="195" hidden="1" outlineLevel="1">
      <c r="B195" s="7" t="inlineStr">
        <is>
          <t>Share of institutes still paying · month 15</t>
        </is>
      </c>
      <c r="C195" s="5" t="inlineStr">
        <is>
          <t>%</t>
        </is>
      </c>
      <c r="D195" s="39">
        <f>D194*(1-D46)*(1-IF(14&gt;=D26,Seasonality!$D$50*D47,0))</f>
        <v/>
      </c>
      <c r="E195" s="39">
        <f>E194*(1-E46)*(1-IF(14&gt;=E26,Seasonality!$D$50*E47,0))</f>
        <v/>
      </c>
      <c r="F195" s="39">
        <f>F194*(1-F46)*(1-IF(14&gt;=F26,Seasonality!$D$50*F47,0))</f>
        <v/>
      </c>
    </row>
    <row r="196" hidden="1" outlineLevel="1">
      <c r="B196" s="7" t="inlineStr">
        <is>
          <t>Share of institutes still paying · month 16</t>
        </is>
      </c>
      <c r="C196" s="5" t="inlineStr">
        <is>
          <t>%</t>
        </is>
      </c>
      <c r="D196" s="39">
        <f>D195*(1-D46)*(1-IF(15&gt;=D26,Seasonality!$D$51*D47,0))</f>
        <v/>
      </c>
      <c r="E196" s="39">
        <f>E195*(1-E46)*(1-IF(15&gt;=E26,Seasonality!$D$51*E47,0))</f>
        <v/>
      </c>
      <c r="F196" s="39">
        <f>F195*(1-F46)*(1-IF(15&gt;=F26,Seasonality!$D$51*F47,0))</f>
        <v/>
      </c>
    </row>
    <row r="197" hidden="1" outlineLevel="1">
      <c r="B197" s="7" t="inlineStr">
        <is>
          <t>Share of institutes still paying · month 17</t>
        </is>
      </c>
      <c r="C197" s="5" t="inlineStr">
        <is>
          <t>%</t>
        </is>
      </c>
      <c r="D197" s="39">
        <f>D196*(1-D46)*(1-IF(16&gt;=D26,Seasonality!$D$52*D47,0))</f>
        <v/>
      </c>
      <c r="E197" s="39">
        <f>E196*(1-E46)*(1-IF(16&gt;=E26,Seasonality!$D$52*E47,0))</f>
        <v/>
      </c>
      <c r="F197" s="39">
        <f>F196*(1-F46)*(1-IF(16&gt;=F26,Seasonality!$D$52*F47,0))</f>
        <v/>
      </c>
    </row>
    <row r="198" hidden="1" outlineLevel="1">
      <c r="B198" s="7" t="inlineStr">
        <is>
          <t>Share of institutes still paying · month 18</t>
        </is>
      </c>
      <c r="C198" s="5" t="inlineStr">
        <is>
          <t>%</t>
        </is>
      </c>
      <c r="D198" s="39">
        <f>D197*(1-D46)*(1-IF(17&gt;=D26,Seasonality!$D$53*D47,0))</f>
        <v/>
      </c>
      <c r="E198" s="39">
        <f>E197*(1-E46)*(1-IF(17&gt;=E26,Seasonality!$D$53*E47,0))</f>
        <v/>
      </c>
      <c r="F198" s="39">
        <f>F197*(1-F46)*(1-IF(17&gt;=F26,Seasonality!$D$53*F47,0))</f>
        <v/>
      </c>
    </row>
    <row r="199" hidden="1" outlineLevel="1">
      <c r="B199" s="7" t="inlineStr">
        <is>
          <t>Share of institutes still paying · month 19</t>
        </is>
      </c>
      <c r="C199" s="5" t="inlineStr">
        <is>
          <t>%</t>
        </is>
      </c>
      <c r="D199" s="39">
        <f>D198*(1-D46)*(1-IF(18&gt;=D26,Seasonality!$D$54*D47,0))</f>
        <v/>
      </c>
      <c r="E199" s="39">
        <f>E198*(1-E46)*(1-IF(18&gt;=E26,Seasonality!$D$54*E47,0))</f>
        <v/>
      </c>
      <c r="F199" s="39">
        <f>F198*(1-F46)*(1-IF(18&gt;=F26,Seasonality!$D$54*F47,0))</f>
        <v/>
      </c>
    </row>
    <row r="200" hidden="1" outlineLevel="1">
      <c r="B200" s="7" t="inlineStr">
        <is>
          <t>Share of institutes still paying · month 20</t>
        </is>
      </c>
      <c r="C200" s="5" t="inlineStr">
        <is>
          <t>%</t>
        </is>
      </c>
      <c r="D200" s="39">
        <f>D199*(1-D46)*(1-IF(19&gt;=D26,Seasonality!$D$55*D47,0))</f>
        <v/>
      </c>
      <c r="E200" s="39">
        <f>E199*(1-E46)*(1-IF(19&gt;=E26,Seasonality!$D$55*E47,0))</f>
        <v/>
      </c>
      <c r="F200" s="39">
        <f>F199*(1-F46)*(1-IF(19&gt;=F26,Seasonality!$D$55*F47,0))</f>
        <v/>
      </c>
    </row>
    <row r="201" hidden="1" outlineLevel="1">
      <c r="B201" s="7" t="inlineStr">
        <is>
          <t>Share of institutes still paying · month 21</t>
        </is>
      </c>
      <c r="C201" s="5" t="inlineStr">
        <is>
          <t>%</t>
        </is>
      </c>
      <c r="D201" s="39">
        <f>D200*(1-D46)*(1-IF(20&gt;=D26,Seasonality!$D$56*D47,0))</f>
        <v/>
      </c>
      <c r="E201" s="39">
        <f>E200*(1-E46)*(1-IF(20&gt;=E26,Seasonality!$D$56*E47,0))</f>
        <v/>
      </c>
      <c r="F201" s="39">
        <f>F200*(1-F46)*(1-IF(20&gt;=F26,Seasonality!$D$56*F47,0))</f>
        <v/>
      </c>
    </row>
    <row r="202" hidden="1" outlineLevel="1">
      <c r="B202" s="7" t="inlineStr">
        <is>
          <t>Share of institutes still paying · month 22</t>
        </is>
      </c>
      <c r="C202" s="5" t="inlineStr">
        <is>
          <t>%</t>
        </is>
      </c>
      <c r="D202" s="39">
        <f>D201*(1-D46)*(1-IF(21&gt;=D26,Seasonality!$D$57*D47,0))</f>
        <v/>
      </c>
      <c r="E202" s="39">
        <f>E201*(1-E46)*(1-IF(21&gt;=E26,Seasonality!$D$57*E47,0))</f>
        <v/>
      </c>
      <c r="F202" s="39">
        <f>F201*(1-F46)*(1-IF(21&gt;=F26,Seasonality!$D$57*F47,0))</f>
        <v/>
      </c>
    </row>
    <row r="203" hidden="1" outlineLevel="1">
      <c r="B203" s="7" t="inlineStr">
        <is>
          <t>Share of institutes still paying · month 23</t>
        </is>
      </c>
      <c r="C203" s="5" t="inlineStr">
        <is>
          <t>%</t>
        </is>
      </c>
      <c r="D203" s="39">
        <f>D202*(1-D46)*(1-IF(22&gt;=D26,Seasonality!$D$58*D47,0))</f>
        <v/>
      </c>
      <c r="E203" s="39">
        <f>E202*(1-E46)*(1-IF(22&gt;=E26,Seasonality!$D$58*E47,0))</f>
        <v/>
      </c>
      <c r="F203" s="39">
        <f>F202*(1-F46)*(1-IF(22&gt;=F26,Seasonality!$D$58*F47,0))</f>
        <v/>
      </c>
    </row>
    <row r="204" hidden="1" outlineLevel="1">
      <c r="B204" s="7" t="inlineStr">
        <is>
          <t>Share of institutes still paying · month 24</t>
        </is>
      </c>
      <c r="C204" s="5" t="inlineStr">
        <is>
          <t>%</t>
        </is>
      </c>
      <c r="D204" s="39">
        <f>D203*(1-D46)*(1-IF(23&gt;=D26,Seasonality!$D$59*D47,0))</f>
        <v/>
      </c>
      <c r="E204" s="39">
        <f>E203*(1-E46)*(1-IF(23&gt;=E26,Seasonality!$D$59*E47,0))</f>
        <v/>
      </c>
      <c r="F204" s="39">
        <f>F203*(1-F46)*(1-IF(23&gt;=F26,Seasonality!$D$59*F47,0))</f>
        <v/>
      </c>
    </row>
    <row r="205" hidden="1" outlineLevel="1">
      <c r="B205" s="7" t="inlineStr">
        <is>
          <t>Share of institutes still paying · month 25</t>
        </is>
      </c>
      <c r="C205" s="5" t="inlineStr">
        <is>
          <t>%</t>
        </is>
      </c>
      <c r="D205" s="39">
        <f>D204*(1-D46)*(1-IF(24&gt;=D26,Seasonality!$D$60*D47,0))</f>
        <v/>
      </c>
      <c r="E205" s="39">
        <f>E204*(1-E46)*(1-IF(24&gt;=E26,Seasonality!$D$60*E47,0))</f>
        <v/>
      </c>
      <c r="F205" s="39">
        <f>F204*(1-F46)*(1-IF(24&gt;=F26,Seasonality!$D$60*F47,0))</f>
        <v/>
      </c>
    </row>
    <row r="206" hidden="1" outlineLevel="1">
      <c r="B206" s="7" t="inlineStr">
        <is>
          <t>Share of institutes still paying · month 26</t>
        </is>
      </c>
      <c r="C206" s="5" t="inlineStr">
        <is>
          <t>%</t>
        </is>
      </c>
      <c r="D206" s="39">
        <f>D205*(1-D46)*(1-IF(25&gt;=D26,Seasonality!$D$61*D47,0))</f>
        <v/>
      </c>
      <c r="E206" s="39">
        <f>E205*(1-E46)*(1-IF(25&gt;=E26,Seasonality!$D$61*E47,0))</f>
        <v/>
      </c>
      <c r="F206" s="39">
        <f>F205*(1-F46)*(1-IF(25&gt;=F26,Seasonality!$D$61*F47,0))</f>
        <v/>
      </c>
    </row>
    <row r="207" hidden="1" outlineLevel="1">
      <c r="B207" s="7" t="inlineStr">
        <is>
          <t>Share of institutes still paying · month 27</t>
        </is>
      </c>
      <c r="C207" s="5" t="inlineStr">
        <is>
          <t>%</t>
        </is>
      </c>
      <c r="D207" s="39">
        <f>D206*(1-D46)*(1-IF(26&gt;=D26,Seasonality!$D$62*D47,0))</f>
        <v/>
      </c>
      <c r="E207" s="39">
        <f>E206*(1-E46)*(1-IF(26&gt;=E26,Seasonality!$D$62*E47,0))</f>
        <v/>
      </c>
      <c r="F207" s="39">
        <f>F206*(1-F46)*(1-IF(26&gt;=F26,Seasonality!$D$62*F47,0))</f>
        <v/>
      </c>
    </row>
    <row r="208" hidden="1" outlineLevel="1">
      <c r="B208" s="7" t="inlineStr">
        <is>
          <t>Share of institutes still paying · month 28</t>
        </is>
      </c>
      <c r="C208" s="5" t="inlineStr">
        <is>
          <t>%</t>
        </is>
      </c>
      <c r="D208" s="39">
        <f>D207*(1-D46)*(1-IF(27&gt;=D26,Seasonality!$D$63*D47,0))</f>
        <v/>
      </c>
      <c r="E208" s="39">
        <f>E207*(1-E46)*(1-IF(27&gt;=E26,Seasonality!$D$63*E47,0))</f>
        <v/>
      </c>
      <c r="F208" s="39">
        <f>F207*(1-F46)*(1-IF(27&gt;=F26,Seasonality!$D$63*F47,0))</f>
        <v/>
      </c>
    </row>
    <row r="209" hidden="1" outlineLevel="1">
      <c r="B209" s="7" t="inlineStr">
        <is>
          <t>Share of institutes still paying · month 29</t>
        </is>
      </c>
      <c r="C209" s="5" t="inlineStr">
        <is>
          <t>%</t>
        </is>
      </c>
      <c r="D209" s="39">
        <f>D208*(1-D46)*(1-IF(28&gt;=D26,Seasonality!$D$64*D47,0))</f>
        <v/>
      </c>
      <c r="E209" s="39">
        <f>E208*(1-E46)*(1-IF(28&gt;=E26,Seasonality!$D$64*E47,0))</f>
        <v/>
      </c>
      <c r="F209" s="39">
        <f>F208*(1-F46)*(1-IF(28&gt;=F26,Seasonality!$D$64*F47,0))</f>
        <v/>
      </c>
    </row>
    <row r="210" hidden="1" outlineLevel="1">
      <c r="B210" s="7" t="inlineStr">
        <is>
          <t>Share of institutes still paying · month 30</t>
        </is>
      </c>
      <c r="C210" s="5" t="inlineStr">
        <is>
          <t>%</t>
        </is>
      </c>
      <c r="D210" s="39">
        <f>D209*(1-D46)*(1-IF(29&gt;=D26,Seasonality!$D$65*D47,0))</f>
        <v/>
      </c>
      <c r="E210" s="39">
        <f>E209*(1-E46)*(1-IF(29&gt;=E26,Seasonality!$D$65*E47,0))</f>
        <v/>
      </c>
      <c r="F210" s="39">
        <f>F209*(1-F46)*(1-IF(29&gt;=F26,Seasonality!$D$65*F47,0))</f>
        <v/>
      </c>
    </row>
    <row r="211" hidden="1" outlineLevel="1">
      <c r="B211" s="7" t="inlineStr">
        <is>
          <t>Share of institutes still paying · month 31</t>
        </is>
      </c>
      <c r="C211" s="5" t="inlineStr">
        <is>
          <t>%</t>
        </is>
      </c>
      <c r="D211" s="39">
        <f>D210*(1-D46)*(1-IF(30&gt;=D26,Seasonality!$D$66*D47,0))</f>
        <v/>
      </c>
      <c r="E211" s="39">
        <f>E210*(1-E46)*(1-IF(30&gt;=E26,Seasonality!$D$66*E47,0))</f>
        <v/>
      </c>
      <c r="F211" s="39">
        <f>F210*(1-F46)*(1-IF(30&gt;=F26,Seasonality!$D$66*F47,0))</f>
        <v/>
      </c>
    </row>
    <row r="212" hidden="1" outlineLevel="1">
      <c r="B212" s="7" t="inlineStr">
        <is>
          <t>Share of institutes still paying · month 32</t>
        </is>
      </c>
      <c r="C212" s="5" t="inlineStr">
        <is>
          <t>%</t>
        </is>
      </c>
      <c r="D212" s="39">
        <f>D211*(1-D46)*(1-IF(31&gt;=D26,Seasonality!$D$67*D47,0))</f>
        <v/>
      </c>
      <c r="E212" s="39">
        <f>E211*(1-E46)*(1-IF(31&gt;=E26,Seasonality!$D$67*E47,0))</f>
        <v/>
      </c>
      <c r="F212" s="39">
        <f>F211*(1-F46)*(1-IF(31&gt;=F26,Seasonality!$D$67*F47,0))</f>
        <v/>
      </c>
    </row>
    <row r="213" hidden="1" outlineLevel="1">
      <c r="B213" s="7" t="inlineStr">
        <is>
          <t>Share of institutes still paying · month 33</t>
        </is>
      </c>
      <c r="C213" s="5" t="inlineStr">
        <is>
          <t>%</t>
        </is>
      </c>
      <c r="D213" s="39">
        <f>D212*(1-D46)*(1-IF(32&gt;=D26,Seasonality!$D$68*D47,0))</f>
        <v/>
      </c>
      <c r="E213" s="39">
        <f>E212*(1-E46)*(1-IF(32&gt;=E26,Seasonality!$D$68*E47,0))</f>
        <v/>
      </c>
      <c r="F213" s="39">
        <f>F212*(1-F46)*(1-IF(32&gt;=F26,Seasonality!$D$68*F47,0))</f>
        <v/>
      </c>
    </row>
    <row r="214" hidden="1" outlineLevel="1">
      <c r="B214" s="7" t="inlineStr">
        <is>
          <t>Share of institutes still paying · month 34</t>
        </is>
      </c>
      <c r="C214" s="5" t="inlineStr">
        <is>
          <t>%</t>
        </is>
      </c>
      <c r="D214" s="39">
        <f>D213*(1-D46)*(1-IF(33&gt;=D26,Seasonality!$D$69*D47,0))</f>
        <v/>
      </c>
      <c r="E214" s="39">
        <f>E213*(1-E46)*(1-IF(33&gt;=E26,Seasonality!$D$69*E47,0))</f>
        <v/>
      </c>
      <c r="F214" s="39">
        <f>F213*(1-F46)*(1-IF(33&gt;=F26,Seasonality!$D$69*F47,0))</f>
        <v/>
      </c>
    </row>
    <row r="215" hidden="1" outlineLevel="1">
      <c r="B215" s="7" t="inlineStr">
        <is>
          <t>Share of institutes still paying · month 35</t>
        </is>
      </c>
      <c r="C215" s="5" t="inlineStr">
        <is>
          <t>%</t>
        </is>
      </c>
      <c r="D215" s="39">
        <f>D214*(1-D46)*(1-IF(34&gt;=D26,Seasonality!$D$70*D47,0))</f>
        <v/>
      </c>
      <c r="E215" s="39">
        <f>E214*(1-E46)*(1-IF(34&gt;=E26,Seasonality!$D$70*E47,0))</f>
        <v/>
      </c>
      <c r="F215" s="39">
        <f>F214*(1-F46)*(1-IF(34&gt;=F26,Seasonality!$D$70*F47,0))</f>
        <v/>
      </c>
    </row>
    <row r="216" hidden="1" outlineLevel="1">
      <c r="B216" s="7" t="inlineStr">
        <is>
          <t>Share of institutes still paying · month 36</t>
        </is>
      </c>
      <c r="C216" s="5" t="inlineStr">
        <is>
          <t>%</t>
        </is>
      </c>
      <c r="D216" s="39">
        <f>D215*(1-D46)*(1-IF(35&gt;=D26,Seasonality!$D$71*D47,0))</f>
        <v/>
      </c>
      <c r="E216" s="39">
        <f>E215*(1-E46)*(1-IF(35&gt;=E26,Seasonality!$D$71*E47,0))</f>
        <v/>
      </c>
      <c r="F216" s="39">
        <f>F215*(1-F46)*(1-IF(35&gt;=F26,Seasonality!$D$71*F47,0))</f>
        <v/>
      </c>
    </row>
    <row r="217" hidden="1" outlineLevel="1">
      <c r="B217" s="7" t="inlineStr">
        <is>
          <t>Share of institutes still paying · month 37</t>
        </is>
      </c>
      <c r="C217" s="5" t="inlineStr">
        <is>
          <t>%</t>
        </is>
      </c>
      <c r="D217" s="39">
        <f>D216*(1-D46)*(1-IF(36&gt;=D26,Seasonality!$D$72*D47,0))</f>
        <v/>
      </c>
      <c r="E217" s="39">
        <f>E216*(1-E46)*(1-IF(36&gt;=E26,Seasonality!$D$72*E47,0))</f>
        <v/>
      </c>
      <c r="F217" s="39">
        <f>F216*(1-F46)*(1-IF(36&gt;=F26,Seasonality!$D$72*F47,0))</f>
        <v/>
      </c>
    </row>
    <row r="218" hidden="1" outlineLevel="1">
      <c r="B218" s="7" t="inlineStr">
        <is>
          <t>Share of institutes still paying · month 38</t>
        </is>
      </c>
      <c r="C218" s="5" t="inlineStr">
        <is>
          <t>%</t>
        </is>
      </c>
      <c r="D218" s="39">
        <f>D217*(1-D46)*(1-IF(37&gt;=D26,Seasonality!$D$73*D47,0))</f>
        <v/>
      </c>
      <c r="E218" s="39">
        <f>E217*(1-E46)*(1-IF(37&gt;=E26,Seasonality!$D$73*E47,0))</f>
        <v/>
      </c>
      <c r="F218" s="39">
        <f>F217*(1-F46)*(1-IF(37&gt;=F26,Seasonality!$D$73*F47,0))</f>
        <v/>
      </c>
    </row>
    <row r="219" hidden="1" outlineLevel="1">
      <c r="B219" s="7" t="inlineStr">
        <is>
          <t>Share of institutes still paying · month 39</t>
        </is>
      </c>
      <c r="C219" s="5" t="inlineStr">
        <is>
          <t>%</t>
        </is>
      </c>
      <c r="D219" s="39">
        <f>D218*(1-D46)*(1-IF(38&gt;=D26,Seasonality!$D$74*D47,0))</f>
        <v/>
      </c>
      <c r="E219" s="39">
        <f>E218*(1-E46)*(1-IF(38&gt;=E26,Seasonality!$D$74*E47,0))</f>
        <v/>
      </c>
      <c r="F219" s="39">
        <f>F218*(1-F46)*(1-IF(38&gt;=F26,Seasonality!$D$74*F47,0))</f>
        <v/>
      </c>
    </row>
    <row r="220" hidden="1" outlineLevel="1">
      <c r="B220" s="7" t="inlineStr">
        <is>
          <t>Share of institutes still paying · month 40</t>
        </is>
      </c>
      <c r="C220" s="5" t="inlineStr">
        <is>
          <t>%</t>
        </is>
      </c>
      <c r="D220" s="39">
        <f>D219*(1-D46)*(1-IF(39&gt;=D26,Seasonality!$D$75*D47,0))</f>
        <v/>
      </c>
      <c r="E220" s="39">
        <f>E219*(1-E46)*(1-IF(39&gt;=E26,Seasonality!$D$75*E47,0))</f>
        <v/>
      </c>
      <c r="F220" s="39">
        <f>F219*(1-F46)*(1-IF(39&gt;=F26,Seasonality!$D$75*F47,0))</f>
        <v/>
      </c>
    </row>
    <row r="221" hidden="1" outlineLevel="1">
      <c r="B221" s="7" t="inlineStr">
        <is>
          <t>Share of institutes still paying · month 41</t>
        </is>
      </c>
      <c r="C221" s="5" t="inlineStr">
        <is>
          <t>%</t>
        </is>
      </c>
      <c r="D221" s="39">
        <f>D220*(1-D46)*(1-IF(40&gt;=D26,Seasonality!$D$76*D47,0))</f>
        <v/>
      </c>
      <c r="E221" s="39">
        <f>E220*(1-E46)*(1-IF(40&gt;=E26,Seasonality!$D$76*E47,0))</f>
        <v/>
      </c>
      <c r="F221" s="39">
        <f>F220*(1-F46)*(1-IF(40&gt;=F26,Seasonality!$D$76*F47,0))</f>
        <v/>
      </c>
    </row>
    <row r="222" hidden="1" outlineLevel="1">
      <c r="B222" s="7" t="inlineStr">
        <is>
          <t>Share of institutes still paying · month 42</t>
        </is>
      </c>
      <c r="C222" s="5" t="inlineStr">
        <is>
          <t>%</t>
        </is>
      </c>
      <c r="D222" s="39">
        <f>D221*(1-D46)*(1-IF(41&gt;=D26,Seasonality!$D$77*D47,0))</f>
        <v/>
      </c>
      <c r="E222" s="39">
        <f>E221*(1-E46)*(1-IF(41&gt;=E26,Seasonality!$D$77*E47,0))</f>
        <v/>
      </c>
      <c r="F222" s="39">
        <f>F221*(1-F46)*(1-IF(41&gt;=F26,Seasonality!$D$77*F47,0))</f>
        <v/>
      </c>
    </row>
    <row r="223" hidden="1" outlineLevel="1">
      <c r="B223" s="7" t="inlineStr">
        <is>
          <t>Share of institutes still paying · month 43</t>
        </is>
      </c>
      <c r="C223" s="5" t="inlineStr">
        <is>
          <t>%</t>
        </is>
      </c>
      <c r="D223" s="39">
        <f>D222*(1-D46)*(1-IF(42&gt;=D26,Seasonality!$D$78*D47,0))</f>
        <v/>
      </c>
      <c r="E223" s="39">
        <f>E222*(1-E46)*(1-IF(42&gt;=E26,Seasonality!$D$78*E47,0))</f>
        <v/>
      </c>
      <c r="F223" s="39">
        <f>F222*(1-F46)*(1-IF(42&gt;=F26,Seasonality!$D$78*F47,0))</f>
        <v/>
      </c>
    </row>
    <row r="224" hidden="1" outlineLevel="1">
      <c r="B224" s="7" t="inlineStr">
        <is>
          <t>Share of institutes still paying · month 44</t>
        </is>
      </c>
      <c r="C224" s="5" t="inlineStr">
        <is>
          <t>%</t>
        </is>
      </c>
      <c r="D224" s="39">
        <f>D223*(1-D46)*(1-IF(43&gt;=D26,Seasonality!$D$79*D47,0))</f>
        <v/>
      </c>
      <c r="E224" s="39">
        <f>E223*(1-E46)*(1-IF(43&gt;=E26,Seasonality!$D$79*E47,0))</f>
        <v/>
      </c>
      <c r="F224" s="39">
        <f>F223*(1-F46)*(1-IF(43&gt;=F26,Seasonality!$D$79*F47,0))</f>
        <v/>
      </c>
    </row>
    <row r="225" hidden="1" outlineLevel="1">
      <c r="B225" s="7" t="inlineStr">
        <is>
          <t>Share of institutes still paying · month 45</t>
        </is>
      </c>
      <c r="C225" s="5" t="inlineStr">
        <is>
          <t>%</t>
        </is>
      </c>
      <c r="D225" s="39">
        <f>D224*(1-D46)*(1-IF(44&gt;=D26,Seasonality!$D$80*D47,0))</f>
        <v/>
      </c>
      <c r="E225" s="39">
        <f>E224*(1-E46)*(1-IF(44&gt;=E26,Seasonality!$D$80*E47,0))</f>
        <v/>
      </c>
      <c r="F225" s="39">
        <f>F224*(1-F46)*(1-IF(44&gt;=F26,Seasonality!$D$80*F47,0))</f>
        <v/>
      </c>
    </row>
    <row r="226" hidden="1" outlineLevel="1">
      <c r="B226" s="7" t="inlineStr">
        <is>
          <t>Share of institutes still paying · month 46</t>
        </is>
      </c>
      <c r="C226" s="5" t="inlineStr">
        <is>
          <t>%</t>
        </is>
      </c>
      <c r="D226" s="39">
        <f>D225*(1-D46)*(1-IF(45&gt;=D26,Seasonality!$D$81*D47,0))</f>
        <v/>
      </c>
      <c r="E226" s="39">
        <f>E225*(1-E46)*(1-IF(45&gt;=E26,Seasonality!$D$81*E47,0))</f>
        <v/>
      </c>
      <c r="F226" s="39">
        <f>F225*(1-F46)*(1-IF(45&gt;=F26,Seasonality!$D$81*F47,0))</f>
        <v/>
      </c>
    </row>
    <row r="227" hidden="1" outlineLevel="1">
      <c r="B227" s="7" t="inlineStr">
        <is>
          <t>Share of institutes still paying · month 47</t>
        </is>
      </c>
      <c r="C227" s="5" t="inlineStr">
        <is>
          <t>%</t>
        </is>
      </c>
      <c r="D227" s="39">
        <f>D226*(1-D46)*(1-IF(46&gt;=D26,Seasonality!$D$82*D47,0))</f>
        <v/>
      </c>
      <c r="E227" s="39">
        <f>E226*(1-E46)*(1-IF(46&gt;=E26,Seasonality!$D$82*E47,0))</f>
        <v/>
      </c>
      <c r="F227" s="39">
        <f>F226*(1-F46)*(1-IF(46&gt;=F26,Seasonality!$D$82*F47,0))</f>
        <v/>
      </c>
    </row>
    <row r="228" hidden="1" outlineLevel="1">
      <c r="B228" s="7" t="inlineStr">
        <is>
          <t>Share of institutes still paying · month 48</t>
        </is>
      </c>
      <c r="C228" s="5" t="inlineStr">
        <is>
          <t>%</t>
        </is>
      </c>
      <c r="D228" s="39">
        <f>D227*(1-D46)*(1-IF(47&gt;=D26,Seasonality!$D$83*D47,0))</f>
        <v/>
      </c>
      <c r="E228" s="39">
        <f>E227*(1-E46)*(1-IF(47&gt;=E26,Seasonality!$D$83*E47,0))</f>
        <v/>
      </c>
      <c r="F228" s="39">
        <f>F227*(1-F46)*(1-IF(47&gt;=F26,Seasonality!$D$83*F47,0))</f>
        <v/>
      </c>
    </row>
    <row r="229" hidden="1" outlineLevel="1">
      <c r="B229" s="7" t="inlineStr">
        <is>
          <t>Share of institutes still paying · month 49</t>
        </is>
      </c>
      <c r="C229" s="5" t="inlineStr">
        <is>
          <t>%</t>
        </is>
      </c>
      <c r="D229" s="39">
        <f>D228*(1-D46)*(1-IF(48&gt;=D26,Seasonality!$D$84*D47,0))</f>
        <v/>
      </c>
      <c r="E229" s="39">
        <f>E228*(1-E46)*(1-IF(48&gt;=E26,Seasonality!$D$84*E47,0))</f>
        <v/>
      </c>
      <c r="F229" s="39">
        <f>F228*(1-F46)*(1-IF(48&gt;=F26,Seasonality!$D$84*F47,0))</f>
        <v/>
      </c>
    </row>
    <row r="230" hidden="1" outlineLevel="1">
      <c r="B230" s="7" t="inlineStr">
        <is>
          <t>Share of institutes still paying · month 50</t>
        </is>
      </c>
      <c r="C230" s="5" t="inlineStr">
        <is>
          <t>%</t>
        </is>
      </c>
      <c r="D230" s="39">
        <f>D229*(1-D46)*(1-IF(49&gt;=D26,Seasonality!$D$85*D47,0))</f>
        <v/>
      </c>
      <c r="E230" s="39">
        <f>E229*(1-E46)*(1-IF(49&gt;=E26,Seasonality!$D$85*E47,0))</f>
        <v/>
      </c>
      <c r="F230" s="39">
        <f>F229*(1-F46)*(1-IF(49&gt;=F26,Seasonality!$D$85*F47,0))</f>
        <v/>
      </c>
    </row>
    <row r="231" hidden="1" outlineLevel="1">
      <c r="B231" s="7" t="inlineStr">
        <is>
          <t>Share of institutes still paying · month 51</t>
        </is>
      </c>
      <c r="C231" s="5" t="inlineStr">
        <is>
          <t>%</t>
        </is>
      </c>
      <c r="D231" s="39">
        <f>D230*(1-D46)*(1-IF(50&gt;=D26,Seasonality!$D$86*D47,0))</f>
        <v/>
      </c>
      <c r="E231" s="39">
        <f>E230*(1-E46)*(1-IF(50&gt;=E26,Seasonality!$D$86*E47,0))</f>
        <v/>
      </c>
      <c r="F231" s="39">
        <f>F230*(1-F46)*(1-IF(50&gt;=F26,Seasonality!$D$86*F47,0))</f>
        <v/>
      </c>
    </row>
    <row r="232" hidden="1" outlineLevel="1">
      <c r="B232" s="7" t="inlineStr">
        <is>
          <t>Share of institutes still paying · month 52</t>
        </is>
      </c>
      <c r="C232" s="5" t="inlineStr">
        <is>
          <t>%</t>
        </is>
      </c>
      <c r="D232" s="39">
        <f>D231*(1-D46)*(1-IF(51&gt;=D26,Seasonality!$D$87*D47,0))</f>
        <v/>
      </c>
      <c r="E232" s="39">
        <f>E231*(1-E46)*(1-IF(51&gt;=E26,Seasonality!$D$87*E47,0))</f>
        <v/>
      </c>
      <c r="F232" s="39">
        <f>F231*(1-F46)*(1-IF(51&gt;=F26,Seasonality!$D$87*F47,0))</f>
        <v/>
      </c>
    </row>
    <row r="233" hidden="1" outlineLevel="1">
      <c r="B233" s="7" t="inlineStr">
        <is>
          <t>Share of institutes still paying · month 53</t>
        </is>
      </c>
      <c r="C233" s="5" t="inlineStr">
        <is>
          <t>%</t>
        </is>
      </c>
      <c r="D233" s="39">
        <f>D232*(1-D46)*(1-IF(52&gt;=D26,Seasonality!$D$88*D47,0))</f>
        <v/>
      </c>
      <c r="E233" s="39">
        <f>E232*(1-E46)*(1-IF(52&gt;=E26,Seasonality!$D$88*E47,0))</f>
        <v/>
      </c>
      <c r="F233" s="39">
        <f>F232*(1-F46)*(1-IF(52&gt;=F26,Seasonality!$D$88*F47,0))</f>
        <v/>
      </c>
    </row>
    <row r="234" hidden="1" outlineLevel="1">
      <c r="B234" s="7" t="inlineStr">
        <is>
          <t>Share of institutes still paying · month 54</t>
        </is>
      </c>
      <c r="C234" s="5" t="inlineStr">
        <is>
          <t>%</t>
        </is>
      </c>
      <c r="D234" s="39">
        <f>D233*(1-D46)*(1-IF(53&gt;=D26,Seasonality!$D$89*D47,0))</f>
        <v/>
      </c>
      <c r="E234" s="39">
        <f>E233*(1-E46)*(1-IF(53&gt;=E26,Seasonality!$D$89*E47,0))</f>
        <v/>
      </c>
      <c r="F234" s="39">
        <f>F233*(1-F46)*(1-IF(53&gt;=F26,Seasonality!$D$89*F47,0))</f>
        <v/>
      </c>
    </row>
    <row r="235" hidden="1" outlineLevel="1">
      <c r="B235" s="7" t="inlineStr">
        <is>
          <t>Share of institutes still paying · month 55</t>
        </is>
      </c>
      <c r="C235" s="5" t="inlineStr">
        <is>
          <t>%</t>
        </is>
      </c>
      <c r="D235" s="39">
        <f>D234*(1-D46)*(1-IF(54&gt;=D26,Seasonality!$D$90*D47,0))</f>
        <v/>
      </c>
      <c r="E235" s="39">
        <f>E234*(1-E46)*(1-IF(54&gt;=E26,Seasonality!$D$90*E47,0))</f>
        <v/>
      </c>
      <c r="F235" s="39">
        <f>F234*(1-F46)*(1-IF(54&gt;=F26,Seasonality!$D$90*F47,0))</f>
        <v/>
      </c>
    </row>
    <row r="236" hidden="1" outlineLevel="1">
      <c r="B236" s="7" t="inlineStr">
        <is>
          <t>Share of institutes still paying · month 56</t>
        </is>
      </c>
      <c r="C236" s="5" t="inlineStr">
        <is>
          <t>%</t>
        </is>
      </c>
      <c r="D236" s="39">
        <f>D235*(1-D46)*(1-IF(55&gt;=D26,Seasonality!$D$91*D47,0))</f>
        <v/>
      </c>
      <c r="E236" s="39">
        <f>E235*(1-E46)*(1-IF(55&gt;=E26,Seasonality!$D$91*E47,0))</f>
        <v/>
      </c>
      <c r="F236" s="39">
        <f>F235*(1-F46)*(1-IF(55&gt;=F26,Seasonality!$D$91*F47,0))</f>
        <v/>
      </c>
    </row>
    <row r="237" hidden="1" outlineLevel="1">
      <c r="B237" s="7" t="inlineStr">
        <is>
          <t>Share of institutes still paying · month 57</t>
        </is>
      </c>
      <c r="C237" s="5" t="inlineStr">
        <is>
          <t>%</t>
        </is>
      </c>
      <c r="D237" s="39">
        <f>D236*(1-D46)*(1-IF(56&gt;=D26,Seasonality!$D$92*D47,0))</f>
        <v/>
      </c>
      <c r="E237" s="39">
        <f>E236*(1-E46)*(1-IF(56&gt;=E26,Seasonality!$D$92*E47,0))</f>
        <v/>
      </c>
      <c r="F237" s="39">
        <f>F236*(1-F46)*(1-IF(56&gt;=F26,Seasonality!$D$92*F47,0))</f>
        <v/>
      </c>
    </row>
    <row r="238" hidden="1" outlineLevel="1">
      <c r="B238" s="7" t="inlineStr">
        <is>
          <t>Share of institutes still paying · month 58</t>
        </is>
      </c>
      <c r="C238" s="5" t="inlineStr">
        <is>
          <t>%</t>
        </is>
      </c>
      <c r="D238" s="39">
        <f>D237*(1-D46)*(1-IF(57&gt;=D26,Seasonality!$D$93*D47,0))</f>
        <v/>
      </c>
      <c r="E238" s="39">
        <f>E237*(1-E46)*(1-IF(57&gt;=E26,Seasonality!$D$93*E47,0))</f>
        <v/>
      </c>
      <c r="F238" s="39">
        <f>F237*(1-F46)*(1-IF(57&gt;=F26,Seasonality!$D$93*F47,0))</f>
        <v/>
      </c>
    </row>
    <row r="239" hidden="1" outlineLevel="1">
      <c r="B239" s="7" t="inlineStr">
        <is>
          <t>Share of institutes still paying · month 59</t>
        </is>
      </c>
      <c r="C239" s="5" t="inlineStr">
        <is>
          <t>%</t>
        </is>
      </c>
      <c r="D239" s="39">
        <f>D238*(1-D46)*(1-IF(58&gt;=D26,Seasonality!$D$94*D47,0))</f>
        <v/>
      </c>
      <c r="E239" s="39">
        <f>E238*(1-E46)*(1-IF(58&gt;=E26,Seasonality!$D$94*E47,0))</f>
        <v/>
      </c>
      <c r="F239" s="39">
        <f>F238*(1-F46)*(1-IF(58&gt;=F26,Seasonality!$D$94*F47,0))</f>
        <v/>
      </c>
    </row>
    <row r="240" hidden="1" outlineLevel="1">
      <c r="B240" s="7" t="inlineStr">
        <is>
          <t>Share of institutes still paying · month 60</t>
        </is>
      </c>
      <c r="C240" s="5" t="inlineStr">
        <is>
          <t>%</t>
        </is>
      </c>
      <c r="D240" s="39">
        <f>D239*(1-D46)*(1-IF(59&gt;=D26,Seasonality!$D$95*D47,0))</f>
        <v/>
      </c>
      <c r="E240" s="39">
        <f>E239*(1-E46)*(1-IF(59&gt;=E26,Seasonality!$D$95*E47,0))</f>
        <v/>
      </c>
      <c r="F240" s="39">
        <f>F239*(1-F46)*(1-IF(59&gt;=F26,Seasonality!$D$95*F47,0))</f>
        <v/>
      </c>
    </row>
    <row r="241" hidden="1" outlineLevel="1">
      <c r="B241" s="7" t="inlineStr">
        <is>
          <t>Cumulative discounted contribution · month 1</t>
        </is>
      </c>
      <c r="C241" s="5" t="inlineStr">
        <is>
          <t>₹</t>
        </is>
      </c>
      <c r="D241" s="50">
        <f>D181*D121*Seasonality!$E$37</f>
        <v/>
      </c>
      <c r="E241" s="50">
        <f>E181*E121*Seasonality!$E$37</f>
        <v/>
      </c>
      <c r="F241" s="50">
        <f>F181*F121*Seasonality!$E$37</f>
        <v/>
      </c>
    </row>
    <row r="242" hidden="1" outlineLevel="1">
      <c r="B242" s="7" t="inlineStr">
        <is>
          <t>Cumulative discounted contribution · month 2</t>
        </is>
      </c>
      <c r="C242" s="5" t="inlineStr">
        <is>
          <t>₹</t>
        </is>
      </c>
      <c r="D242" s="50">
        <f>D241+D182*D122*Seasonality!$E$38</f>
        <v/>
      </c>
      <c r="E242" s="50">
        <f>E241+E182*E122*Seasonality!$E$38</f>
        <v/>
      </c>
      <c r="F242" s="50">
        <f>F241+F182*F122*Seasonality!$E$38</f>
        <v/>
      </c>
    </row>
    <row r="243" hidden="1" outlineLevel="1">
      <c r="B243" s="7" t="inlineStr">
        <is>
          <t>Cumulative discounted contribution · month 3</t>
        </is>
      </c>
      <c r="C243" s="5" t="inlineStr">
        <is>
          <t>₹</t>
        </is>
      </c>
      <c r="D243" s="50">
        <f>D242+D183*D123*Seasonality!$E$39</f>
        <v/>
      </c>
      <c r="E243" s="50">
        <f>E242+E183*E123*Seasonality!$E$39</f>
        <v/>
      </c>
      <c r="F243" s="50">
        <f>F242+F183*F123*Seasonality!$E$39</f>
        <v/>
      </c>
    </row>
    <row r="244" hidden="1" outlineLevel="1">
      <c r="B244" s="7" t="inlineStr">
        <is>
          <t>Cumulative discounted contribution · month 4</t>
        </is>
      </c>
      <c r="C244" s="5" t="inlineStr">
        <is>
          <t>₹</t>
        </is>
      </c>
      <c r="D244" s="50">
        <f>D243+D184*D124*Seasonality!$E$40</f>
        <v/>
      </c>
      <c r="E244" s="50">
        <f>E243+E184*E124*Seasonality!$E$40</f>
        <v/>
      </c>
      <c r="F244" s="50">
        <f>F243+F184*F124*Seasonality!$E$40</f>
        <v/>
      </c>
    </row>
    <row r="245" hidden="1" outlineLevel="1">
      <c r="B245" s="7" t="inlineStr">
        <is>
          <t>Cumulative discounted contribution · month 5</t>
        </is>
      </c>
      <c r="C245" s="5" t="inlineStr">
        <is>
          <t>₹</t>
        </is>
      </c>
      <c r="D245" s="50">
        <f>D244+D185*D125*Seasonality!$E$41</f>
        <v/>
      </c>
      <c r="E245" s="50">
        <f>E244+E185*E125*Seasonality!$E$41</f>
        <v/>
      </c>
      <c r="F245" s="50">
        <f>F244+F185*F125*Seasonality!$E$41</f>
        <v/>
      </c>
    </row>
    <row r="246" hidden="1" outlineLevel="1">
      <c r="B246" s="7" t="inlineStr">
        <is>
          <t>Cumulative discounted contribution · month 6</t>
        </is>
      </c>
      <c r="C246" s="5" t="inlineStr">
        <is>
          <t>₹</t>
        </is>
      </c>
      <c r="D246" s="50">
        <f>D245+D186*D126*Seasonality!$E$42</f>
        <v/>
      </c>
      <c r="E246" s="50">
        <f>E245+E186*E126*Seasonality!$E$42</f>
        <v/>
      </c>
      <c r="F246" s="50">
        <f>F245+F186*F126*Seasonality!$E$42</f>
        <v/>
      </c>
    </row>
    <row r="247" hidden="1" outlineLevel="1">
      <c r="B247" s="7" t="inlineStr">
        <is>
          <t>Cumulative discounted contribution · month 7</t>
        </is>
      </c>
      <c r="C247" s="5" t="inlineStr">
        <is>
          <t>₹</t>
        </is>
      </c>
      <c r="D247" s="50">
        <f>D246+D187*D127*Seasonality!$E$43</f>
        <v/>
      </c>
      <c r="E247" s="50">
        <f>E246+E187*E127*Seasonality!$E$43</f>
        <v/>
      </c>
      <c r="F247" s="50">
        <f>F246+F187*F127*Seasonality!$E$43</f>
        <v/>
      </c>
    </row>
    <row r="248" hidden="1" outlineLevel="1">
      <c r="B248" s="7" t="inlineStr">
        <is>
          <t>Cumulative discounted contribution · month 8</t>
        </is>
      </c>
      <c r="C248" s="5" t="inlineStr">
        <is>
          <t>₹</t>
        </is>
      </c>
      <c r="D248" s="50">
        <f>D247+D188*D128*Seasonality!$E$44</f>
        <v/>
      </c>
      <c r="E248" s="50">
        <f>E247+E188*E128*Seasonality!$E$44</f>
        <v/>
      </c>
      <c r="F248" s="50">
        <f>F247+F188*F128*Seasonality!$E$44</f>
        <v/>
      </c>
    </row>
    <row r="249" hidden="1" outlineLevel="1">
      <c r="B249" s="7" t="inlineStr">
        <is>
          <t>Cumulative discounted contribution · month 9</t>
        </is>
      </c>
      <c r="C249" s="5" t="inlineStr">
        <is>
          <t>₹</t>
        </is>
      </c>
      <c r="D249" s="50">
        <f>D248+D189*D129*Seasonality!$E$45</f>
        <v/>
      </c>
      <c r="E249" s="50">
        <f>E248+E189*E129*Seasonality!$E$45</f>
        <v/>
      </c>
      <c r="F249" s="50">
        <f>F248+F189*F129*Seasonality!$E$45</f>
        <v/>
      </c>
    </row>
    <row r="250" hidden="1" outlineLevel="1">
      <c r="B250" s="7" t="inlineStr">
        <is>
          <t>Cumulative discounted contribution · month 10</t>
        </is>
      </c>
      <c r="C250" s="5" t="inlineStr">
        <is>
          <t>₹</t>
        </is>
      </c>
      <c r="D250" s="50">
        <f>D249+D190*D130*Seasonality!$E$46</f>
        <v/>
      </c>
      <c r="E250" s="50">
        <f>E249+E190*E130*Seasonality!$E$46</f>
        <v/>
      </c>
      <c r="F250" s="50">
        <f>F249+F190*F130*Seasonality!$E$46</f>
        <v/>
      </c>
    </row>
    <row r="251" hidden="1" outlineLevel="1">
      <c r="B251" s="7" t="inlineStr">
        <is>
          <t>Cumulative discounted contribution · month 11</t>
        </is>
      </c>
      <c r="C251" s="5" t="inlineStr">
        <is>
          <t>₹</t>
        </is>
      </c>
      <c r="D251" s="50">
        <f>D250+D191*D131*Seasonality!$E$47</f>
        <v/>
      </c>
      <c r="E251" s="50">
        <f>E250+E191*E131*Seasonality!$E$47</f>
        <v/>
      </c>
      <c r="F251" s="50">
        <f>F250+F191*F131*Seasonality!$E$47</f>
        <v/>
      </c>
    </row>
    <row r="252" hidden="1" outlineLevel="1">
      <c r="B252" s="7" t="inlineStr">
        <is>
          <t>Cumulative discounted contribution · month 12</t>
        </is>
      </c>
      <c r="C252" s="5" t="inlineStr">
        <is>
          <t>₹</t>
        </is>
      </c>
      <c r="D252" s="50">
        <f>D251+D192*D132*Seasonality!$E$48</f>
        <v/>
      </c>
      <c r="E252" s="50">
        <f>E251+E192*E132*Seasonality!$E$48</f>
        <v/>
      </c>
      <c r="F252" s="50">
        <f>F251+F192*F132*Seasonality!$E$48</f>
        <v/>
      </c>
    </row>
    <row r="253" hidden="1" outlineLevel="1">
      <c r="B253" s="7" t="inlineStr">
        <is>
          <t>Cumulative discounted contribution · month 13</t>
        </is>
      </c>
      <c r="C253" s="5" t="inlineStr">
        <is>
          <t>₹</t>
        </is>
      </c>
      <c r="D253" s="50">
        <f>D252+D193*D133*Seasonality!$E$49</f>
        <v/>
      </c>
      <c r="E253" s="50">
        <f>E252+E193*E133*Seasonality!$E$49</f>
        <v/>
      </c>
      <c r="F253" s="50">
        <f>F252+F193*F133*Seasonality!$E$49</f>
        <v/>
      </c>
    </row>
    <row r="254" hidden="1" outlineLevel="1">
      <c r="B254" s="7" t="inlineStr">
        <is>
          <t>Cumulative discounted contribution · month 14</t>
        </is>
      </c>
      <c r="C254" s="5" t="inlineStr">
        <is>
          <t>₹</t>
        </is>
      </c>
      <c r="D254" s="50">
        <f>D253+D194*D134*Seasonality!$E$50</f>
        <v/>
      </c>
      <c r="E254" s="50">
        <f>E253+E194*E134*Seasonality!$E$50</f>
        <v/>
      </c>
      <c r="F254" s="50">
        <f>F253+F194*F134*Seasonality!$E$50</f>
        <v/>
      </c>
    </row>
    <row r="255" hidden="1" outlineLevel="1">
      <c r="B255" s="7" t="inlineStr">
        <is>
          <t>Cumulative discounted contribution · month 15</t>
        </is>
      </c>
      <c r="C255" s="5" t="inlineStr">
        <is>
          <t>₹</t>
        </is>
      </c>
      <c r="D255" s="50">
        <f>D254+D195*D135*Seasonality!$E$51</f>
        <v/>
      </c>
      <c r="E255" s="50">
        <f>E254+E195*E135*Seasonality!$E$51</f>
        <v/>
      </c>
      <c r="F255" s="50">
        <f>F254+F195*F135*Seasonality!$E$51</f>
        <v/>
      </c>
    </row>
    <row r="256" hidden="1" outlineLevel="1">
      <c r="B256" s="7" t="inlineStr">
        <is>
          <t>Cumulative discounted contribution · month 16</t>
        </is>
      </c>
      <c r="C256" s="5" t="inlineStr">
        <is>
          <t>₹</t>
        </is>
      </c>
      <c r="D256" s="50">
        <f>D255+D196*D136*Seasonality!$E$52</f>
        <v/>
      </c>
      <c r="E256" s="50">
        <f>E255+E196*E136*Seasonality!$E$52</f>
        <v/>
      </c>
      <c r="F256" s="50">
        <f>F255+F196*F136*Seasonality!$E$52</f>
        <v/>
      </c>
    </row>
    <row r="257" hidden="1" outlineLevel="1">
      <c r="B257" s="7" t="inlineStr">
        <is>
          <t>Cumulative discounted contribution · month 17</t>
        </is>
      </c>
      <c r="C257" s="5" t="inlineStr">
        <is>
          <t>₹</t>
        </is>
      </c>
      <c r="D257" s="50">
        <f>D256+D197*D137*Seasonality!$E$53</f>
        <v/>
      </c>
      <c r="E257" s="50">
        <f>E256+E197*E137*Seasonality!$E$53</f>
        <v/>
      </c>
      <c r="F257" s="50">
        <f>F256+F197*F137*Seasonality!$E$53</f>
        <v/>
      </c>
    </row>
    <row r="258" hidden="1" outlineLevel="1">
      <c r="B258" s="7" t="inlineStr">
        <is>
          <t>Cumulative discounted contribution · month 18</t>
        </is>
      </c>
      <c r="C258" s="5" t="inlineStr">
        <is>
          <t>₹</t>
        </is>
      </c>
      <c r="D258" s="50">
        <f>D257+D198*D138*Seasonality!$E$54</f>
        <v/>
      </c>
      <c r="E258" s="50">
        <f>E257+E198*E138*Seasonality!$E$54</f>
        <v/>
      </c>
      <c r="F258" s="50">
        <f>F257+F198*F138*Seasonality!$E$54</f>
        <v/>
      </c>
    </row>
    <row r="259" hidden="1" outlineLevel="1">
      <c r="B259" s="7" t="inlineStr">
        <is>
          <t>Cumulative discounted contribution · month 19</t>
        </is>
      </c>
      <c r="C259" s="5" t="inlineStr">
        <is>
          <t>₹</t>
        </is>
      </c>
      <c r="D259" s="50">
        <f>D258+D199*D139*Seasonality!$E$55</f>
        <v/>
      </c>
      <c r="E259" s="50">
        <f>E258+E199*E139*Seasonality!$E$55</f>
        <v/>
      </c>
      <c r="F259" s="50">
        <f>F258+F199*F139*Seasonality!$E$55</f>
        <v/>
      </c>
    </row>
    <row r="260" hidden="1" outlineLevel="1">
      <c r="B260" s="7" t="inlineStr">
        <is>
          <t>Cumulative discounted contribution · month 20</t>
        </is>
      </c>
      <c r="C260" s="5" t="inlineStr">
        <is>
          <t>₹</t>
        </is>
      </c>
      <c r="D260" s="50">
        <f>D259+D200*D140*Seasonality!$E$56</f>
        <v/>
      </c>
      <c r="E260" s="50">
        <f>E259+E200*E140*Seasonality!$E$56</f>
        <v/>
      </c>
      <c r="F260" s="50">
        <f>F259+F200*F140*Seasonality!$E$56</f>
        <v/>
      </c>
    </row>
    <row r="261" hidden="1" outlineLevel="1">
      <c r="B261" s="7" t="inlineStr">
        <is>
          <t>Cumulative discounted contribution · month 21</t>
        </is>
      </c>
      <c r="C261" s="5" t="inlineStr">
        <is>
          <t>₹</t>
        </is>
      </c>
      <c r="D261" s="50">
        <f>D260+D201*D141*Seasonality!$E$57</f>
        <v/>
      </c>
      <c r="E261" s="50">
        <f>E260+E201*E141*Seasonality!$E$57</f>
        <v/>
      </c>
      <c r="F261" s="50">
        <f>F260+F201*F141*Seasonality!$E$57</f>
        <v/>
      </c>
    </row>
    <row r="262" hidden="1" outlineLevel="1">
      <c r="B262" s="7" t="inlineStr">
        <is>
          <t>Cumulative discounted contribution · month 22</t>
        </is>
      </c>
      <c r="C262" s="5" t="inlineStr">
        <is>
          <t>₹</t>
        </is>
      </c>
      <c r="D262" s="50">
        <f>D261+D202*D142*Seasonality!$E$58</f>
        <v/>
      </c>
      <c r="E262" s="50">
        <f>E261+E202*E142*Seasonality!$E$58</f>
        <v/>
      </c>
      <c r="F262" s="50">
        <f>F261+F202*F142*Seasonality!$E$58</f>
        <v/>
      </c>
    </row>
    <row r="263" hidden="1" outlineLevel="1">
      <c r="B263" s="7" t="inlineStr">
        <is>
          <t>Cumulative discounted contribution · month 23</t>
        </is>
      </c>
      <c r="C263" s="5" t="inlineStr">
        <is>
          <t>₹</t>
        </is>
      </c>
      <c r="D263" s="50">
        <f>D262+D203*D143*Seasonality!$E$59</f>
        <v/>
      </c>
      <c r="E263" s="50">
        <f>E262+E203*E143*Seasonality!$E$59</f>
        <v/>
      </c>
      <c r="F263" s="50">
        <f>F262+F203*F143*Seasonality!$E$59</f>
        <v/>
      </c>
    </row>
    <row r="264" hidden="1" outlineLevel="1">
      <c r="B264" s="7" t="inlineStr">
        <is>
          <t>Cumulative discounted contribution · month 24</t>
        </is>
      </c>
      <c r="C264" s="5" t="inlineStr">
        <is>
          <t>₹</t>
        </is>
      </c>
      <c r="D264" s="50">
        <f>D263+D204*D144*Seasonality!$E$60</f>
        <v/>
      </c>
      <c r="E264" s="50">
        <f>E263+E204*E144*Seasonality!$E$60</f>
        <v/>
      </c>
      <c r="F264" s="50">
        <f>F263+F204*F144*Seasonality!$E$60</f>
        <v/>
      </c>
    </row>
    <row r="265" hidden="1" outlineLevel="1">
      <c r="B265" s="7" t="inlineStr">
        <is>
          <t>Cumulative discounted contribution · month 25</t>
        </is>
      </c>
      <c r="C265" s="5" t="inlineStr">
        <is>
          <t>₹</t>
        </is>
      </c>
      <c r="D265" s="50">
        <f>D264+D205*D145*Seasonality!$E$61</f>
        <v/>
      </c>
      <c r="E265" s="50">
        <f>E264+E205*E145*Seasonality!$E$61</f>
        <v/>
      </c>
      <c r="F265" s="50">
        <f>F264+F205*F145*Seasonality!$E$61</f>
        <v/>
      </c>
    </row>
    <row r="266" hidden="1" outlineLevel="1">
      <c r="B266" s="7" t="inlineStr">
        <is>
          <t>Cumulative discounted contribution · month 26</t>
        </is>
      </c>
      <c r="C266" s="5" t="inlineStr">
        <is>
          <t>₹</t>
        </is>
      </c>
      <c r="D266" s="50">
        <f>D265+D206*D146*Seasonality!$E$62</f>
        <v/>
      </c>
      <c r="E266" s="50">
        <f>E265+E206*E146*Seasonality!$E$62</f>
        <v/>
      </c>
      <c r="F266" s="50">
        <f>F265+F206*F146*Seasonality!$E$62</f>
        <v/>
      </c>
    </row>
    <row r="267" hidden="1" outlineLevel="1">
      <c r="B267" s="7" t="inlineStr">
        <is>
          <t>Cumulative discounted contribution · month 27</t>
        </is>
      </c>
      <c r="C267" s="5" t="inlineStr">
        <is>
          <t>₹</t>
        </is>
      </c>
      <c r="D267" s="50">
        <f>D266+D207*D147*Seasonality!$E$63</f>
        <v/>
      </c>
      <c r="E267" s="50">
        <f>E266+E207*E147*Seasonality!$E$63</f>
        <v/>
      </c>
      <c r="F267" s="50">
        <f>F266+F207*F147*Seasonality!$E$63</f>
        <v/>
      </c>
    </row>
    <row r="268" hidden="1" outlineLevel="1">
      <c r="B268" s="7" t="inlineStr">
        <is>
          <t>Cumulative discounted contribution · month 28</t>
        </is>
      </c>
      <c r="C268" s="5" t="inlineStr">
        <is>
          <t>₹</t>
        </is>
      </c>
      <c r="D268" s="50">
        <f>D267+D208*D148*Seasonality!$E$64</f>
        <v/>
      </c>
      <c r="E268" s="50">
        <f>E267+E208*E148*Seasonality!$E$64</f>
        <v/>
      </c>
      <c r="F268" s="50">
        <f>F267+F208*F148*Seasonality!$E$64</f>
        <v/>
      </c>
    </row>
    <row r="269" hidden="1" outlineLevel="1">
      <c r="B269" s="7" t="inlineStr">
        <is>
          <t>Cumulative discounted contribution · month 29</t>
        </is>
      </c>
      <c r="C269" s="5" t="inlineStr">
        <is>
          <t>₹</t>
        </is>
      </c>
      <c r="D269" s="50">
        <f>D268+D209*D149*Seasonality!$E$65</f>
        <v/>
      </c>
      <c r="E269" s="50">
        <f>E268+E209*E149*Seasonality!$E$65</f>
        <v/>
      </c>
      <c r="F269" s="50">
        <f>F268+F209*F149*Seasonality!$E$65</f>
        <v/>
      </c>
    </row>
    <row r="270" hidden="1" outlineLevel="1">
      <c r="B270" s="7" t="inlineStr">
        <is>
          <t>Cumulative discounted contribution · month 30</t>
        </is>
      </c>
      <c r="C270" s="5" t="inlineStr">
        <is>
          <t>₹</t>
        </is>
      </c>
      <c r="D270" s="50">
        <f>D269+D210*D150*Seasonality!$E$66</f>
        <v/>
      </c>
      <c r="E270" s="50">
        <f>E269+E210*E150*Seasonality!$E$66</f>
        <v/>
      </c>
      <c r="F270" s="50">
        <f>F269+F210*F150*Seasonality!$E$66</f>
        <v/>
      </c>
    </row>
    <row r="271" hidden="1" outlineLevel="1">
      <c r="B271" s="7" t="inlineStr">
        <is>
          <t>Cumulative discounted contribution · month 31</t>
        </is>
      </c>
      <c r="C271" s="5" t="inlineStr">
        <is>
          <t>₹</t>
        </is>
      </c>
      <c r="D271" s="50">
        <f>D270+D211*D151*Seasonality!$E$67</f>
        <v/>
      </c>
      <c r="E271" s="50">
        <f>E270+E211*E151*Seasonality!$E$67</f>
        <v/>
      </c>
      <c r="F271" s="50">
        <f>F270+F211*F151*Seasonality!$E$67</f>
        <v/>
      </c>
    </row>
    <row r="272" hidden="1" outlineLevel="1">
      <c r="B272" s="7" t="inlineStr">
        <is>
          <t>Cumulative discounted contribution · month 32</t>
        </is>
      </c>
      <c r="C272" s="5" t="inlineStr">
        <is>
          <t>₹</t>
        </is>
      </c>
      <c r="D272" s="50">
        <f>D271+D212*D152*Seasonality!$E$68</f>
        <v/>
      </c>
      <c r="E272" s="50">
        <f>E271+E212*E152*Seasonality!$E$68</f>
        <v/>
      </c>
      <c r="F272" s="50">
        <f>F271+F212*F152*Seasonality!$E$68</f>
        <v/>
      </c>
    </row>
    <row r="273" hidden="1" outlineLevel="1">
      <c r="B273" s="7" t="inlineStr">
        <is>
          <t>Cumulative discounted contribution · month 33</t>
        </is>
      </c>
      <c r="C273" s="5" t="inlineStr">
        <is>
          <t>₹</t>
        </is>
      </c>
      <c r="D273" s="50">
        <f>D272+D213*D153*Seasonality!$E$69</f>
        <v/>
      </c>
      <c r="E273" s="50">
        <f>E272+E213*E153*Seasonality!$E$69</f>
        <v/>
      </c>
      <c r="F273" s="50">
        <f>F272+F213*F153*Seasonality!$E$69</f>
        <v/>
      </c>
    </row>
    <row r="274" hidden="1" outlineLevel="1">
      <c r="B274" s="7" t="inlineStr">
        <is>
          <t>Cumulative discounted contribution · month 34</t>
        </is>
      </c>
      <c r="C274" s="5" t="inlineStr">
        <is>
          <t>₹</t>
        </is>
      </c>
      <c r="D274" s="50">
        <f>D273+D214*D154*Seasonality!$E$70</f>
        <v/>
      </c>
      <c r="E274" s="50">
        <f>E273+E214*E154*Seasonality!$E$70</f>
        <v/>
      </c>
      <c r="F274" s="50">
        <f>F273+F214*F154*Seasonality!$E$70</f>
        <v/>
      </c>
    </row>
    <row r="275" hidden="1" outlineLevel="1">
      <c r="B275" s="7" t="inlineStr">
        <is>
          <t>Cumulative discounted contribution · month 35</t>
        </is>
      </c>
      <c r="C275" s="5" t="inlineStr">
        <is>
          <t>₹</t>
        </is>
      </c>
      <c r="D275" s="50">
        <f>D274+D215*D155*Seasonality!$E$71</f>
        <v/>
      </c>
      <c r="E275" s="50">
        <f>E274+E215*E155*Seasonality!$E$71</f>
        <v/>
      </c>
      <c r="F275" s="50">
        <f>F274+F215*F155*Seasonality!$E$71</f>
        <v/>
      </c>
    </row>
    <row r="276" hidden="1" outlineLevel="1">
      <c r="B276" s="7" t="inlineStr">
        <is>
          <t>Cumulative discounted contribution · month 36</t>
        </is>
      </c>
      <c r="C276" s="5" t="inlineStr">
        <is>
          <t>₹</t>
        </is>
      </c>
      <c r="D276" s="50">
        <f>D275+D216*D156*Seasonality!$E$72</f>
        <v/>
      </c>
      <c r="E276" s="50">
        <f>E275+E216*E156*Seasonality!$E$72</f>
        <v/>
      </c>
      <c r="F276" s="50">
        <f>F275+F216*F156*Seasonality!$E$72</f>
        <v/>
      </c>
    </row>
    <row r="277" hidden="1" outlineLevel="1">
      <c r="B277" s="7" t="inlineStr">
        <is>
          <t>Cumulative discounted contribution · month 37</t>
        </is>
      </c>
      <c r="C277" s="5" t="inlineStr">
        <is>
          <t>₹</t>
        </is>
      </c>
      <c r="D277" s="50">
        <f>D276+D217*D157*Seasonality!$E$73</f>
        <v/>
      </c>
      <c r="E277" s="50">
        <f>E276+E217*E157*Seasonality!$E$73</f>
        <v/>
      </c>
      <c r="F277" s="50">
        <f>F276+F217*F157*Seasonality!$E$73</f>
        <v/>
      </c>
    </row>
    <row r="278" hidden="1" outlineLevel="1">
      <c r="B278" s="7" t="inlineStr">
        <is>
          <t>Cumulative discounted contribution · month 38</t>
        </is>
      </c>
      <c r="C278" s="5" t="inlineStr">
        <is>
          <t>₹</t>
        </is>
      </c>
      <c r="D278" s="50">
        <f>D277+D218*D158*Seasonality!$E$74</f>
        <v/>
      </c>
      <c r="E278" s="50">
        <f>E277+E218*E158*Seasonality!$E$74</f>
        <v/>
      </c>
      <c r="F278" s="50">
        <f>F277+F218*F158*Seasonality!$E$74</f>
        <v/>
      </c>
    </row>
    <row r="279" hidden="1" outlineLevel="1">
      <c r="B279" s="7" t="inlineStr">
        <is>
          <t>Cumulative discounted contribution · month 39</t>
        </is>
      </c>
      <c r="C279" s="5" t="inlineStr">
        <is>
          <t>₹</t>
        </is>
      </c>
      <c r="D279" s="50">
        <f>D278+D219*D159*Seasonality!$E$75</f>
        <v/>
      </c>
      <c r="E279" s="50">
        <f>E278+E219*E159*Seasonality!$E$75</f>
        <v/>
      </c>
      <c r="F279" s="50">
        <f>F278+F219*F159*Seasonality!$E$75</f>
        <v/>
      </c>
    </row>
    <row r="280" hidden="1" outlineLevel="1">
      <c r="B280" s="7" t="inlineStr">
        <is>
          <t>Cumulative discounted contribution · month 40</t>
        </is>
      </c>
      <c r="C280" s="5" t="inlineStr">
        <is>
          <t>₹</t>
        </is>
      </c>
      <c r="D280" s="50">
        <f>D279+D220*D160*Seasonality!$E$76</f>
        <v/>
      </c>
      <c r="E280" s="50">
        <f>E279+E220*E160*Seasonality!$E$76</f>
        <v/>
      </c>
      <c r="F280" s="50">
        <f>F279+F220*F160*Seasonality!$E$76</f>
        <v/>
      </c>
    </row>
    <row r="281" hidden="1" outlineLevel="1">
      <c r="B281" s="7" t="inlineStr">
        <is>
          <t>Cumulative discounted contribution · month 41</t>
        </is>
      </c>
      <c r="C281" s="5" t="inlineStr">
        <is>
          <t>₹</t>
        </is>
      </c>
      <c r="D281" s="50">
        <f>D280+D221*D161*Seasonality!$E$77</f>
        <v/>
      </c>
      <c r="E281" s="50">
        <f>E280+E221*E161*Seasonality!$E$77</f>
        <v/>
      </c>
      <c r="F281" s="50">
        <f>F280+F221*F161*Seasonality!$E$77</f>
        <v/>
      </c>
    </row>
    <row r="282" hidden="1" outlineLevel="1">
      <c r="B282" s="7" t="inlineStr">
        <is>
          <t>Cumulative discounted contribution · month 42</t>
        </is>
      </c>
      <c r="C282" s="5" t="inlineStr">
        <is>
          <t>₹</t>
        </is>
      </c>
      <c r="D282" s="50">
        <f>D281+D222*D162*Seasonality!$E$78</f>
        <v/>
      </c>
      <c r="E282" s="50">
        <f>E281+E222*E162*Seasonality!$E$78</f>
        <v/>
      </c>
      <c r="F282" s="50">
        <f>F281+F222*F162*Seasonality!$E$78</f>
        <v/>
      </c>
    </row>
    <row r="283" hidden="1" outlineLevel="1">
      <c r="B283" s="7" t="inlineStr">
        <is>
          <t>Cumulative discounted contribution · month 43</t>
        </is>
      </c>
      <c r="C283" s="5" t="inlineStr">
        <is>
          <t>₹</t>
        </is>
      </c>
      <c r="D283" s="50">
        <f>D282+D223*D163*Seasonality!$E$79</f>
        <v/>
      </c>
      <c r="E283" s="50">
        <f>E282+E223*E163*Seasonality!$E$79</f>
        <v/>
      </c>
      <c r="F283" s="50">
        <f>F282+F223*F163*Seasonality!$E$79</f>
        <v/>
      </c>
    </row>
    <row r="284" hidden="1" outlineLevel="1">
      <c r="B284" s="7" t="inlineStr">
        <is>
          <t>Cumulative discounted contribution · month 44</t>
        </is>
      </c>
      <c r="C284" s="5" t="inlineStr">
        <is>
          <t>₹</t>
        </is>
      </c>
      <c r="D284" s="50">
        <f>D283+D224*D164*Seasonality!$E$80</f>
        <v/>
      </c>
      <c r="E284" s="50">
        <f>E283+E224*E164*Seasonality!$E$80</f>
        <v/>
      </c>
      <c r="F284" s="50">
        <f>F283+F224*F164*Seasonality!$E$80</f>
        <v/>
      </c>
    </row>
    <row r="285" hidden="1" outlineLevel="1">
      <c r="B285" s="7" t="inlineStr">
        <is>
          <t>Cumulative discounted contribution · month 45</t>
        </is>
      </c>
      <c r="C285" s="5" t="inlineStr">
        <is>
          <t>₹</t>
        </is>
      </c>
      <c r="D285" s="50">
        <f>D284+D225*D165*Seasonality!$E$81</f>
        <v/>
      </c>
      <c r="E285" s="50">
        <f>E284+E225*E165*Seasonality!$E$81</f>
        <v/>
      </c>
      <c r="F285" s="50">
        <f>F284+F225*F165*Seasonality!$E$81</f>
        <v/>
      </c>
    </row>
    <row r="286" hidden="1" outlineLevel="1">
      <c r="B286" s="7" t="inlineStr">
        <is>
          <t>Cumulative discounted contribution · month 46</t>
        </is>
      </c>
      <c r="C286" s="5" t="inlineStr">
        <is>
          <t>₹</t>
        </is>
      </c>
      <c r="D286" s="50">
        <f>D285+D226*D166*Seasonality!$E$82</f>
        <v/>
      </c>
      <c r="E286" s="50">
        <f>E285+E226*E166*Seasonality!$E$82</f>
        <v/>
      </c>
      <c r="F286" s="50">
        <f>F285+F226*F166*Seasonality!$E$82</f>
        <v/>
      </c>
    </row>
    <row r="287" hidden="1" outlineLevel="1">
      <c r="B287" s="7" t="inlineStr">
        <is>
          <t>Cumulative discounted contribution · month 47</t>
        </is>
      </c>
      <c r="C287" s="5" t="inlineStr">
        <is>
          <t>₹</t>
        </is>
      </c>
      <c r="D287" s="50">
        <f>D286+D227*D167*Seasonality!$E$83</f>
        <v/>
      </c>
      <c r="E287" s="50">
        <f>E286+E227*E167*Seasonality!$E$83</f>
        <v/>
      </c>
      <c r="F287" s="50">
        <f>F286+F227*F167*Seasonality!$E$83</f>
        <v/>
      </c>
    </row>
    <row r="288" hidden="1" outlineLevel="1">
      <c r="B288" s="7" t="inlineStr">
        <is>
          <t>Cumulative discounted contribution · month 48</t>
        </is>
      </c>
      <c r="C288" s="5" t="inlineStr">
        <is>
          <t>₹</t>
        </is>
      </c>
      <c r="D288" s="50">
        <f>D287+D228*D168*Seasonality!$E$84</f>
        <v/>
      </c>
      <c r="E288" s="50">
        <f>E287+E228*E168*Seasonality!$E$84</f>
        <v/>
      </c>
      <c r="F288" s="50">
        <f>F287+F228*F168*Seasonality!$E$84</f>
        <v/>
      </c>
    </row>
    <row r="289" hidden="1" outlineLevel="1">
      <c r="B289" s="7" t="inlineStr">
        <is>
          <t>Cumulative discounted contribution · month 49</t>
        </is>
      </c>
      <c r="C289" s="5" t="inlineStr">
        <is>
          <t>₹</t>
        </is>
      </c>
      <c r="D289" s="50">
        <f>D288+D229*D169*Seasonality!$E$85</f>
        <v/>
      </c>
      <c r="E289" s="50">
        <f>E288+E229*E169*Seasonality!$E$85</f>
        <v/>
      </c>
      <c r="F289" s="50">
        <f>F288+F229*F169*Seasonality!$E$85</f>
        <v/>
      </c>
    </row>
    <row r="290" hidden="1" outlineLevel="1">
      <c r="B290" s="7" t="inlineStr">
        <is>
          <t>Cumulative discounted contribution · month 50</t>
        </is>
      </c>
      <c r="C290" s="5" t="inlineStr">
        <is>
          <t>₹</t>
        </is>
      </c>
      <c r="D290" s="50">
        <f>D289+D230*D170*Seasonality!$E$86</f>
        <v/>
      </c>
      <c r="E290" s="50">
        <f>E289+E230*E170*Seasonality!$E$86</f>
        <v/>
      </c>
      <c r="F290" s="50">
        <f>F289+F230*F170*Seasonality!$E$86</f>
        <v/>
      </c>
    </row>
    <row r="291" hidden="1" outlineLevel="1">
      <c r="B291" s="7" t="inlineStr">
        <is>
          <t>Cumulative discounted contribution · month 51</t>
        </is>
      </c>
      <c r="C291" s="5" t="inlineStr">
        <is>
          <t>₹</t>
        </is>
      </c>
      <c r="D291" s="50">
        <f>D290+D231*D171*Seasonality!$E$87</f>
        <v/>
      </c>
      <c r="E291" s="50">
        <f>E290+E231*E171*Seasonality!$E$87</f>
        <v/>
      </c>
      <c r="F291" s="50">
        <f>F290+F231*F171*Seasonality!$E$87</f>
        <v/>
      </c>
    </row>
    <row r="292" hidden="1" outlineLevel="1">
      <c r="B292" s="7" t="inlineStr">
        <is>
          <t>Cumulative discounted contribution · month 52</t>
        </is>
      </c>
      <c r="C292" s="5" t="inlineStr">
        <is>
          <t>₹</t>
        </is>
      </c>
      <c r="D292" s="50">
        <f>D291+D232*D172*Seasonality!$E$88</f>
        <v/>
      </c>
      <c r="E292" s="50">
        <f>E291+E232*E172*Seasonality!$E$88</f>
        <v/>
      </c>
      <c r="F292" s="50">
        <f>F291+F232*F172*Seasonality!$E$88</f>
        <v/>
      </c>
    </row>
    <row r="293" hidden="1" outlineLevel="1">
      <c r="B293" s="7" t="inlineStr">
        <is>
          <t>Cumulative discounted contribution · month 53</t>
        </is>
      </c>
      <c r="C293" s="5" t="inlineStr">
        <is>
          <t>₹</t>
        </is>
      </c>
      <c r="D293" s="50">
        <f>D292+D233*D173*Seasonality!$E$89</f>
        <v/>
      </c>
      <c r="E293" s="50">
        <f>E292+E233*E173*Seasonality!$E$89</f>
        <v/>
      </c>
      <c r="F293" s="50">
        <f>F292+F233*F173*Seasonality!$E$89</f>
        <v/>
      </c>
    </row>
    <row r="294" hidden="1" outlineLevel="1">
      <c r="B294" s="7" t="inlineStr">
        <is>
          <t>Cumulative discounted contribution · month 54</t>
        </is>
      </c>
      <c r="C294" s="5" t="inlineStr">
        <is>
          <t>₹</t>
        </is>
      </c>
      <c r="D294" s="50">
        <f>D293+D234*D174*Seasonality!$E$90</f>
        <v/>
      </c>
      <c r="E294" s="50">
        <f>E293+E234*E174*Seasonality!$E$90</f>
        <v/>
      </c>
      <c r="F294" s="50">
        <f>F293+F234*F174*Seasonality!$E$90</f>
        <v/>
      </c>
    </row>
    <row r="295" hidden="1" outlineLevel="1">
      <c r="B295" s="7" t="inlineStr">
        <is>
          <t>Cumulative discounted contribution · month 55</t>
        </is>
      </c>
      <c r="C295" s="5" t="inlineStr">
        <is>
          <t>₹</t>
        </is>
      </c>
      <c r="D295" s="50">
        <f>D294+D235*D175*Seasonality!$E$91</f>
        <v/>
      </c>
      <c r="E295" s="50">
        <f>E294+E235*E175*Seasonality!$E$91</f>
        <v/>
      </c>
      <c r="F295" s="50">
        <f>F294+F235*F175*Seasonality!$E$91</f>
        <v/>
      </c>
    </row>
    <row r="296" hidden="1" outlineLevel="1">
      <c r="B296" s="7" t="inlineStr">
        <is>
          <t>Cumulative discounted contribution · month 56</t>
        </is>
      </c>
      <c r="C296" s="5" t="inlineStr">
        <is>
          <t>₹</t>
        </is>
      </c>
      <c r="D296" s="50">
        <f>D295+D236*D176*Seasonality!$E$92</f>
        <v/>
      </c>
      <c r="E296" s="50">
        <f>E295+E236*E176*Seasonality!$E$92</f>
        <v/>
      </c>
      <c r="F296" s="50">
        <f>F295+F236*F176*Seasonality!$E$92</f>
        <v/>
      </c>
    </row>
    <row r="297" hidden="1" outlineLevel="1">
      <c r="B297" s="7" t="inlineStr">
        <is>
          <t>Cumulative discounted contribution · month 57</t>
        </is>
      </c>
      <c r="C297" s="5" t="inlineStr">
        <is>
          <t>₹</t>
        </is>
      </c>
      <c r="D297" s="50">
        <f>D296+D237*D177*Seasonality!$E$93</f>
        <v/>
      </c>
      <c r="E297" s="50">
        <f>E296+E237*E177*Seasonality!$E$93</f>
        <v/>
      </c>
      <c r="F297" s="50">
        <f>F296+F237*F177*Seasonality!$E$93</f>
        <v/>
      </c>
    </row>
    <row r="298" hidden="1" outlineLevel="1">
      <c r="B298" s="7" t="inlineStr">
        <is>
          <t>Cumulative discounted contribution · month 58</t>
        </is>
      </c>
      <c r="C298" s="5" t="inlineStr">
        <is>
          <t>₹</t>
        </is>
      </c>
      <c r="D298" s="50">
        <f>D297+D238*D178*Seasonality!$E$94</f>
        <v/>
      </c>
      <c r="E298" s="50">
        <f>E297+E238*E178*Seasonality!$E$94</f>
        <v/>
      </c>
      <c r="F298" s="50">
        <f>F297+F238*F178*Seasonality!$E$94</f>
        <v/>
      </c>
    </row>
    <row r="299" hidden="1" outlineLevel="1">
      <c r="B299" s="7" t="inlineStr">
        <is>
          <t>Cumulative discounted contribution · month 59</t>
        </is>
      </c>
      <c r="C299" s="5" t="inlineStr">
        <is>
          <t>₹</t>
        </is>
      </c>
      <c r="D299" s="50">
        <f>D298+D239*D179*Seasonality!$E$95</f>
        <v/>
      </c>
      <c r="E299" s="50">
        <f>E298+E239*E179*Seasonality!$E$95</f>
        <v/>
      </c>
      <c r="F299" s="50">
        <f>F298+F239*F179*Seasonality!$E$95</f>
        <v/>
      </c>
    </row>
    <row r="300" hidden="1" outlineLevel="1">
      <c r="B300" s="7" t="inlineStr">
        <is>
          <t>Cumulative discounted contribution · month 60</t>
        </is>
      </c>
      <c r="C300" s="5" t="inlineStr">
        <is>
          <t>₹</t>
        </is>
      </c>
      <c r="D300" s="50">
        <f>D299+D240*D180*Seasonality!$E$96</f>
        <v/>
      </c>
      <c r="E300" s="50">
        <f>E299+E240*E180*Seasonality!$E$96</f>
        <v/>
      </c>
      <c r="F300" s="50">
        <f>F299+F240*F180*Seasonality!$E$96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19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2" customWidth="1" min="2" max="2"/>
    <col width="14" customWidth="1" min="3" max="3"/>
    <col width="1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</cols>
  <sheetData>
    <row r="1">
      <c r="A1" s="1" t="inlineStr">
        <is>
          <t>3-year projection — live scenario: sales capacity → cohorts → P&amp;L → cash → funding ask</t>
        </is>
      </c>
    </row>
    <row r="2">
      <c r="A2" s="2" t="inlineStr">
        <is>
          <t>Months run April to March. Revenue starts after the free pilot. New institutes are capped by the addressable market. Rows 6-80 (inputs and per-institute vectors) are grouped: use the +/- in the left margin.</t>
        </is>
      </c>
    </row>
    <row r="3">
      <c r="B3" s="3" t="inlineStr">
        <is>
          <t>Scenario (1 = Bear, 2 = Base, 3 = Bull)</t>
        </is>
      </c>
      <c r="D3" s="61">
        <f>Scenario</f>
        <v/>
      </c>
    </row>
    <row r="5" hidden="1" outlineLevel="1">
      <c r="A5" s="23" t="n"/>
      <c r="B5" s="22" t="inlineStr">
        <is>
          <t>Inputs used (linked from Assumptions; Bear / Base / Bull chosen by the scenario)</t>
        </is>
      </c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</row>
    <row r="6" hidden="1" outlineLevel="1">
      <c r="B6" s="7" t="inlineStr">
        <is>
          <t>Students per institute - Small</t>
        </is>
      </c>
      <c r="C6" s="5" t="inlineStr">
        <is>
          <t>students</t>
        </is>
      </c>
      <c r="D6" s="51">
        <f>Students_S</f>
        <v/>
      </c>
    </row>
    <row r="7" hidden="1" outlineLevel="1">
      <c r="B7" s="7" t="inlineStr">
        <is>
          <t>Students per institute - Mid</t>
        </is>
      </c>
      <c r="C7" s="5" t="inlineStr">
        <is>
          <t>students</t>
        </is>
      </c>
      <c r="D7" s="51">
        <f>Students_M</f>
        <v/>
      </c>
    </row>
    <row r="8" hidden="1" outlineLevel="1">
      <c r="B8" s="7" t="inlineStr">
        <is>
          <t>Students per institute - Large</t>
        </is>
      </c>
      <c r="C8" s="5" t="inlineStr">
        <is>
          <t>students</t>
        </is>
      </c>
      <c r="D8" s="51">
        <f>Students_L</f>
        <v/>
      </c>
    </row>
    <row r="9" hidden="1" outlineLevel="1">
      <c r="B9" s="7" t="inlineStr">
        <is>
          <t>Onboarding cost multiplier - Small</t>
        </is>
      </c>
      <c r="C9" s="5" t="inlineStr">
        <is>
          <t>x</t>
        </is>
      </c>
      <c r="D9" s="59">
        <f>OnboardMult_S</f>
        <v/>
      </c>
    </row>
    <row r="10" hidden="1" outlineLevel="1">
      <c r="B10" s="7" t="inlineStr">
        <is>
          <t>Onboarding cost multiplier - Mid</t>
        </is>
      </c>
      <c r="C10" s="5" t="inlineStr">
        <is>
          <t>x</t>
        </is>
      </c>
      <c r="D10" s="59">
        <f>OnboardMult_M</f>
        <v/>
      </c>
    </row>
    <row r="11" hidden="1" outlineLevel="1">
      <c r="B11" s="7" t="inlineStr">
        <is>
          <t>Onboarding cost multiplier - Large</t>
        </is>
      </c>
      <c r="C11" s="5" t="inlineStr">
        <is>
          <t>x</t>
        </is>
      </c>
      <c r="D11" s="59">
        <f>OnboardMult_L</f>
        <v/>
      </c>
    </row>
    <row r="12" hidden="1" outlineLevel="1">
      <c r="B12" s="7" t="inlineStr">
        <is>
          <t>Share of new institutes that are Small</t>
        </is>
      </c>
      <c r="C12" s="5" t="inlineStr">
        <is>
          <t>% of new logos</t>
        </is>
      </c>
      <c r="D12" s="45">
        <f>SegMix_S</f>
        <v/>
      </c>
    </row>
    <row r="13" hidden="1" outlineLevel="1">
      <c r="B13" s="7" t="inlineStr">
        <is>
          <t>Share of new institutes that are Mid</t>
        </is>
      </c>
      <c r="C13" s="5" t="inlineStr">
        <is>
          <t>% of new logos</t>
        </is>
      </c>
      <c r="D13" s="45">
        <f>SegMix_M</f>
        <v/>
      </c>
    </row>
    <row r="14" hidden="1" outlineLevel="1">
      <c r="B14" s="7" t="inlineStr">
        <is>
          <t>Share of new institutes that are Large</t>
        </is>
      </c>
      <c r="C14" s="5" t="inlineStr">
        <is>
          <t>% of new logos</t>
        </is>
      </c>
      <c r="D14" s="45">
        <f>SegMix_L</f>
        <v/>
      </c>
    </row>
    <row r="15" hidden="1" outlineLevel="1">
      <c r="B15" s="7" t="inlineStr">
        <is>
          <t>List price per active student per month</t>
        </is>
      </c>
      <c r="C15" s="5" t="inlineStr">
        <is>
          <t>Rs/student/month</t>
        </is>
      </c>
      <c r="D15" s="44">
        <f>ListPrice</f>
        <v/>
      </c>
    </row>
    <row r="16" hidden="1" outlineLevel="1">
      <c r="B16" s="7" t="inlineStr">
        <is>
          <t>Minimum monthly fee per institute</t>
        </is>
      </c>
      <c r="C16" s="5" t="inlineStr">
        <is>
          <t>Rs/month</t>
        </is>
      </c>
      <c r="D16" s="44">
        <f>MinFee</f>
        <v/>
      </c>
    </row>
    <row r="17" hidden="1" outlineLevel="1">
      <c r="B17" s="7" t="inlineStr">
        <is>
          <t>Average negotiated discount off list</t>
        </is>
      </c>
      <c r="C17" s="5" t="inlineStr">
        <is>
          <t>%</t>
        </is>
      </c>
      <c r="D17" s="45">
        <f>NegotiationDisc</f>
        <v/>
      </c>
    </row>
    <row r="18" hidden="1" outlineLevel="1">
      <c r="B18" s="7" t="inlineStr">
        <is>
          <t>Share of institutes choosing annual prepay</t>
        </is>
      </c>
      <c r="C18" s="5" t="inlineStr">
        <is>
          <t>%</t>
        </is>
      </c>
      <c r="D18" s="45">
        <f>PrepayUptake</f>
        <v/>
      </c>
    </row>
    <row r="19" hidden="1" outlineLevel="1">
      <c r="B19" s="7" t="inlineStr">
        <is>
          <t>Annual prepay discount</t>
        </is>
      </c>
      <c r="C19" s="5" t="inlineStr">
        <is>
          <t>%</t>
        </is>
      </c>
      <c r="D19" s="45">
        <f>PrepayDisc</f>
        <v/>
      </c>
    </row>
    <row r="20" hidden="1" outlineLevel="1">
      <c r="B20" s="7" t="inlineStr">
        <is>
          <t>Bad debt / uncollected billing</t>
        </is>
      </c>
      <c r="C20" s="5" t="inlineStr">
        <is>
          <t>%</t>
        </is>
      </c>
      <c r="D20" s="45">
        <f>BadDebt</f>
        <v/>
      </c>
    </row>
    <row r="21" hidden="1" outlineLevel="1">
      <c r="B21" s="7" t="inlineStr">
        <is>
          <t>Payment collection cost (blended)</t>
        </is>
      </c>
      <c r="C21" s="5" t="inlineStr">
        <is>
          <t>% of revenue</t>
        </is>
      </c>
      <c r="D21" s="45">
        <f>GatewayFee</f>
        <v/>
      </c>
    </row>
    <row r="22" hidden="1" outlineLevel="1">
      <c r="B22" s="7" t="inlineStr">
        <is>
          <t>AI parent reports per student per month</t>
        </is>
      </c>
      <c r="C22" s="5" t="inlineStr">
        <is>
          <t>reports</t>
        </is>
      </c>
      <c r="D22" s="51">
        <f>ReportsPerStudentMonth</f>
        <v/>
      </c>
    </row>
    <row r="23" hidden="1" outlineLevel="1">
      <c r="B23" s="7" t="inlineStr">
        <is>
          <t>LLM input tokens per report</t>
        </is>
      </c>
      <c r="C23" s="5" t="inlineStr">
        <is>
          <t>tokens</t>
        </is>
      </c>
      <c r="D23" s="51">
        <f>TokensInPerReport</f>
        <v/>
      </c>
    </row>
    <row r="24" hidden="1" outlineLevel="1">
      <c r="B24" s="7" t="inlineStr">
        <is>
          <t>LLM output tokens per report</t>
        </is>
      </c>
      <c r="C24" s="5" t="inlineStr">
        <is>
          <t>tokens</t>
        </is>
      </c>
      <c r="D24" s="51">
        <f>TokensOutPerReport</f>
        <v/>
      </c>
    </row>
    <row r="25" hidden="1" outlineLevel="1">
      <c r="B25" s="7" t="inlineStr">
        <is>
          <t>LLM input price (hosted)</t>
        </is>
      </c>
      <c r="C25" s="5" t="inlineStr">
        <is>
          <t>Rs per 1M tokens</t>
        </is>
      </c>
      <c r="D25" s="48">
        <f>LLMPriceIn</f>
        <v/>
      </c>
    </row>
    <row r="26" hidden="1" outlineLevel="1">
      <c r="B26" s="7" t="inlineStr">
        <is>
          <t>LLM output price (hosted)</t>
        </is>
      </c>
      <c r="C26" s="5" t="inlineStr">
        <is>
          <t>Rs per 1M tokens</t>
        </is>
      </c>
      <c r="D26" s="48">
        <f>LLMPriceOut</f>
        <v/>
      </c>
    </row>
    <row r="27" hidden="1" outlineLevel="1">
      <c r="B27" s="7" t="inlineStr">
        <is>
          <t>WhatsApp utility messages per student per month</t>
        </is>
      </c>
      <c r="C27" s="5" t="inlineStr">
        <is>
          <t>messages</t>
        </is>
      </c>
      <c r="D27" s="51">
        <f>WAMsgsPerStudentMonth</f>
        <v/>
      </c>
    </row>
    <row r="28" hidden="1" outlineLevel="1">
      <c r="B28" s="7" t="inlineStr">
        <is>
          <t>WhatsApp utility message price (India)</t>
        </is>
      </c>
      <c r="C28" s="5" t="inlineStr">
        <is>
          <t>Rs/message</t>
        </is>
      </c>
      <c r="D28" s="48">
        <f>WAPricePerMsg</f>
        <v/>
      </c>
    </row>
    <row r="29" hidden="1" outlineLevel="1">
      <c r="B29" s="7" t="inlineStr">
        <is>
          <t>Compute + storage + backups per student</t>
        </is>
      </c>
      <c r="C29" s="5" t="inlineStr">
        <is>
          <t>Rs/student/month</t>
        </is>
      </c>
      <c r="D29" s="48">
        <f>ComputePerStudentMonth</f>
        <v/>
      </c>
    </row>
    <row r="30" hidden="1" outlineLevel="1">
      <c r="B30" s="7" t="inlineStr">
        <is>
          <t>Consent OTP + verification per student</t>
        </is>
      </c>
      <c r="C30" s="5" t="inlineStr">
        <is>
          <t>Rs/student/yr</t>
        </is>
      </c>
      <c r="D30" s="48">
        <f>ConsentCostPerStudentYear</f>
        <v/>
      </c>
    </row>
    <row r="31" hidden="1" outlineLevel="1">
      <c r="B31" s="7" t="inlineStr">
        <is>
          <t>App server + managed Postgres + backups per stack</t>
        </is>
      </c>
      <c r="C31" s="5" t="inlineStr">
        <is>
          <t>Rs/month</t>
        </is>
      </c>
      <c r="D31" s="44">
        <f>ServerCostMonth</f>
        <v/>
      </c>
    </row>
    <row r="32" hidden="1" outlineLevel="1">
      <c r="B32" s="7" t="inlineStr">
        <is>
          <t>WhatsApp BSP platform fee per stack</t>
        </is>
      </c>
      <c r="C32" s="5" t="inlineStr">
        <is>
          <t>Rs/month</t>
        </is>
      </c>
      <c r="D32" s="44">
        <f>BSPFeeMonth</f>
        <v/>
      </c>
    </row>
    <row r="33" hidden="1" outlineLevel="1">
      <c r="B33" s="7" t="inlineStr">
        <is>
          <t>Institutes sharing one server stack</t>
        </is>
      </c>
      <c r="C33" s="5" t="inlineStr">
        <is>
          <t>institutes</t>
        </is>
      </c>
      <c r="D33" s="51">
        <f>InstPerStack</f>
        <v/>
      </c>
    </row>
    <row r="34" hidden="1" outlineLevel="1">
      <c r="B34" s="7" t="inlineStr">
        <is>
          <t>DPDP compliance cost per institute</t>
        </is>
      </c>
      <c r="C34" s="5" t="inlineStr">
        <is>
          <t>Rs/month</t>
        </is>
      </c>
      <c r="D34" s="44">
        <f>CompliancePerInstMonth</f>
        <v/>
      </c>
    </row>
    <row r="35" hidden="1" outlineLevel="1">
      <c r="B35" s="7" t="inlineStr">
        <is>
          <t>Customer-success / onboarding exec monthly CTC</t>
        </is>
      </c>
      <c r="C35" s="5" t="inlineStr">
        <is>
          <t>Rs/month</t>
        </is>
      </c>
      <c r="D35" s="44">
        <f>CSM_CTC</f>
        <v/>
      </c>
    </row>
    <row r="36" hidden="1" outlineLevel="1">
      <c r="B36" s="7" t="inlineStr">
        <is>
          <t>Institutes per CSM</t>
        </is>
      </c>
      <c r="C36" s="5" t="inlineStr">
        <is>
          <t>institutes</t>
        </is>
      </c>
      <c r="D36" s="51">
        <f>InstPerCSM</f>
        <v/>
      </c>
    </row>
    <row r="37" hidden="1" outlineLevel="1">
      <c r="B37" s="7" t="inlineStr">
        <is>
          <t>Field sales rep monthly CTC (incl. fuel)</t>
        </is>
      </c>
      <c r="C37" s="5" t="inlineStr">
        <is>
          <t>Rs/month</t>
        </is>
      </c>
      <c r="D37" s="44">
        <f>RepCTC</f>
        <v/>
      </c>
    </row>
    <row r="38" hidden="1" outlineLevel="1">
      <c r="B38" s="7" t="inlineStr">
        <is>
          <t>Rep intercity travel + demo material per month</t>
        </is>
      </c>
      <c r="C38" s="5" t="inlineStr">
        <is>
          <t>Rs/month</t>
        </is>
      </c>
      <c r="D38" s="44">
        <f>RepTravel</f>
        <v/>
      </c>
    </row>
    <row r="39" hidden="1" outlineLevel="1">
      <c r="B39" s="7" t="inlineStr">
        <is>
          <t>Sales overhead loading on rep cost (manager, incentives, recruiting, tools)</t>
        </is>
      </c>
      <c r="C39" s="5" t="inlineStr">
        <is>
          <t>% of rep cost</t>
        </is>
      </c>
      <c r="D39" s="45">
        <f>SalesOverheadPct</f>
        <v/>
      </c>
    </row>
    <row r="40" hidden="1" outlineLevel="1">
      <c r="B40" s="7" t="inlineStr">
        <is>
          <t>Pilots started per rep per month (yearly avg)</t>
        </is>
      </c>
      <c r="C40" s="5" t="inlineStr">
        <is>
          <t>pilots</t>
        </is>
      </c>
      <c r="D40" s="58">
        <f>PilotsPerRepMonth</f>
        <v/>
      </c>
    </row>
    <row r="41" hidden="1" outlineLevel="1">
      <c r="B41" s="7" t="inlineStr">
        <is>
          <t>Pilot-to-paid conversion</t>
        </is>
      </c>
      <c r="C41" s="5" t="inlineStr">
        <is>
          <t>%</t>
        </is>
      </c>
      <c r="D41" s="45">
        <f>PilotConv</f>
        <v/>
      </c>
    </row>
    <row r="42" hidden="1" outlineLevel="1">
      <c r="B42" s="7" t="inlineStr">
        <is>
          <t>Free pilot length</t>
        </is>
      </c>
      <c r="C42" s="5" t="inlineStr">
        <is>
          <t>months</t>
        </is>
      </c>
      <c r="D42" s="51">
        <f>PilotMonths</f>
        <v/>
      </c>
    </row>
    <row r="43" hidden="1" outlineLevel="1">
      <c r="B43" s="7" t="inlineStr">
        <is>
          <t>Retro-pilot setup (import last year's Excel; show who left)</t>
        </is>
      </c>
      <c r="C43" s="5" t="inlineStr">
        <is>
          <t>Rs per pilot</t>
        </is>
      </c>
      <c r="D43" s="44">
        <f>PilotSetupCost</f>
        <v/>
      </c>
    </row>
    <row r="44" hidden="1" outlineLevel="1">
      <c r="B44" s="7" t="inlineStr">
        <is>
          <t>Onboarding cost per institute (mid)</t>
        </is>
      </c>
      <c r="C44" s="5" t="inlineStr">
        <is>
          <t>Rs</t>
        </is>
      </c>
      <c r="D44" s="44">
        <f>OnboardBase</f>
        <v/>
      </c>
    </row>
    <row r="45" hidden="1" outlineLevel="1">
      <c r="B45" s="7" t="inlineStr">
        <is>
          <t>Marketing spend per paid institute</t>
        </is>
      </c>
      <c r="C45" s="5" t="inlineStr">
        <is>
          <t>Rs</t>
        </is>
      </c>
      <c r="D45" s="44">
        <f>MarketingPerPaid</f>
        <v/>
      </c>
    </row>
    <row r="46" hidden="1" outlineLevel="1">
      <c r="B46" s="7" t="inlineStr">
        <is>
          <t>Monthly logo churn for monthly payers</t>
        </is>
      </c>
      <c r="C46" s="5" t="inlineStr">
        <is>
          <t>%/month</t>
        </is>
      </c>
      <c r="D46" s="45">
        <f>ChurnInSeason</f>
        <v/>
      </c>
    </row>
    <row r="47" hidden="1" outlineLevel="1">
      <c r="B47" s="7" t="inlineStr">
        <is>
          <t>Non-renewal at session end (annual)</t>
        </is>
      </c>
      <c r="C47" s="5" t="inlineStr">
        <is>
          <t>% of logos</t>
        </is>
      </c>
      <c r="D47" s="45">
        <f>RenewalSpike</f>
        <v/>
      </c>
    </row>
    <row r="48" hidden="1" outlineLevel="1">
      <c r="B48" s="7" t="inlineStr">
        <is>
          <t>Months a customer must have paid before the first renewal decision</t>
        </is>
      </c>
      <c r="C48" s="5" t="inlineStr">
        <is>
          <t>months</t>
        </is>
      </c>
      <c r="D48" s="51">
        <f>MinRenewTenure</f>
        <v/>
      </c>
    </row>
    <row r="49" hidden="1" outlineLevel="1">
      <c r="B49" s="7" t="inlineStr">
        <is>
          <t>Founders drawing a stipend</t>
        </is>
      </c>
      <c r="C49" s="5" t="inlineStr">
        <is>
          <t>people</t>
        </is>
      </c>
      <c r="D49" s="51">
        <f>Founders</f>
        <v/>
      </c>
    </row>
    <row r="50" hidden="1" outlineLevel="1">
      <c r="B50" s="7" t="inlineStr">
        <is>
          <t>Founder stipend per month</t>
        </is>
      </c>
      <c r="C50" s="5" t="inlineStr">
        <is>
          <t>Rs/month</t>
        </is>
      </c>
      <c r="D50" s="44">
        <f>FounderStipend</f>
        <v/>
      </c>
    </row>
    <row r="51" hidden="1" outlineLevel="1">
      <c r="B51" s="7" t="inlineStr">
        <is>
          <t>Engineers in year 1</t>
        </is>
      </c>
      <c r="C51" s="5" t="inlineStr">
        <is>
          <t>people</t>
        </is>
      </c>
      <c r="D51" s="51">
        <f>EngineersY1</f>
        <v/>
      </c>
    </row>
    <row r="52" hidden="1" outlineLevel="1">
      <c r="B52" s="7" t="inlineStr">
        <is>
          <t>Engineers in year 2</t>
        </is>
      </c>
      <c r="C52" s="5" t="inlineStr">
        <is>
          <t>people</t>
        </is>
      </c>
      <c r="D52" s="51">
        <f>EngineersY2</f>
        <v/>
      </c>
    </row>
    <row r="53" hidden="1" outlineLevel="1">
      <c r="B53" s="7" t="inlineStr">
        <is>
          <t>Engineers in year 3</t>
        </is>
      </c>
      <c r="C53" s="5" t="inlineStr">
        <is>
          <t>people</t>
        </is>
      </c>
      <c r="D53" s="51">
        <f>EngineersY3</f>
        <v/>
      </c>
    </row>
    <row r="54" hidden="1" outlineLevel="1">
      <c r="B54" s="7" t="inlineStr">
        <is>
          <t>Engineer monthly CTC</t>
        </is>
      </c>
      <c r="C54" s="5" t="inlineStr">
        <is>
          <t>Rs/month</t>
        </is>
      </c>
      <c r="D54" s="44">
        <f>EngineerCTC</f>
        <v/>
      </c>
    </row>
    <row r="55" hidden="1" outlineLevel="1">
      <c r="B55" s="7" t="inlineStr">
        <is>
          <t>Tools / office / legal per month</t>
        </is>
      </c>
      <c r="C55" s="5" t="inlineStr">
        <is>
          <t>Rs/month</t>
        </is>
      </c>
      <c r="D55" s="44">
        <f>ToolsOpex</f>
        <v/>
      </c>
    </row>
    <row r="56" hidden="1" outlineLevel="1">
      <c r="B56" s="7" t="inlineStr">
        <is>
          <t>Field sales reps in year 1</t>
        </is>
      </c>
      <c r="C56" s="5" t="inlineStr">
        <is>
          <t>people</t>
        </is>
      </c>
      <c r="D56" s="51">
        <f>RepsY1</f>
        <v/>
      </c>
    </row>
    <row r="57" hidden="1" outlineLevel="1">
      <c r="B57" s="7" t="inlineStr">
        <is>
          <t>Field sales reps in year 2</t>
        </is>
      </c>
      <c r="C57" s="5" t="inlineStr">
        <is>
          <t>people</t>
        </is>
      </c>
      <c r="D57" s="51">
        <f>RepsY2</f>
        <v/>
      </c>
    </row>
    <row r="58" hidden="1" outlineLevel="1">
      <c r="B58" s="7" t="inlineStr">
        <is>
          <t>Field sales reps in year 3</t>
        </is>
      </c>
      <c r="C58" s="5" t="inlineStr">
        <is>
          <t>people</t>
        </is>
      </c>
      <c r="D58" s="51">
        <f>RepsY3</f>
        <v/>
      </c>
    </row>
    <row r="59" hidden="1" outlineLevel="1">
      <c r="B59" s="7" t="inlineStr">
        <is>
          <t>Minimum product and engineering spend as a share of revenue</t>
        </is>
      </c>
      <c r="C59" s="5" t="inlineStr">
        <is>
          <t>% of revenue</t>
        </is>
      </c>
      <c r="D59" s="45">
        <f>RDFloorPct</f>
        <v/>
      </c>
    </row>
    <row r="60" hidden="1" outlineLevel="1">
      <c r="B60" s="7" t="inlineStr">
        <is>
          <t>Minimum founders' and general costs as a share of revenue</t>
        </is>
      </c>
      <c r="C60" s="5" t="inlineStr">
        <is>
          <t>% of revenue</t>
        </is>
      </c>
      <c r="D60" s="45">
        <f>GAFloorPct</f>
        <v/>
      </c>
    </row>
    <row r="61" hidden="1" outlineLevel="1">
      <c r="B61" s="7" t="inlineStr">
        <is>
          <t>Annual salary and cost inflation</t>
        </is>
      </c>
      <c r="C61" s="5" t="inlineStr">
        <is>
          <t>%/yr</t>
        </is>
      </c>
      <c r="D61" s="45">
        <f>SalaryInflation</f>
        <v/>
      </c>
    </row>
    <row r="62" hidden="1" outlineLevel="1">
      <c r="B62" s="7" t="inlineStr">
        <is>
          <t>Days to collect an invoice (receivables)</t>
        </is>
      </c>
      <c r="C62" s="5" t="inlineStr">
        <is>
          <t>days</t>
        </is>
      </c>
      <c r="D62" s="51">
        <f>DaysToCollect</f>
        <v/>
      </c>
    </row>
    <row r="63" hidden="1" outlineLevel="1">
      <c r="B63" s="7" t="inlineStr">
        <is>
          <t>Laptop and set-up cost per new hire</t>
        </is>
      </c>
      <c r="C63" s="5" t="inlineStr">
        <is>
          <t>Rs/hire</t>
        </is>
      </c>
      <c r="D63" s="44">
        <f>HireEquipment</f>
        <v/>
      </c>
    </row>
    <row r="64" hidden="1" outlineLevel="1">
      <c r="B64" s="7" t="inlineStr">
        <is>
          <t>Minimum cash buffer, in months of costs</t>
        </is>
      </c>
      <c r="C64" s="5" t="inlineStr">
        <is>
          <t>months</t>
        </is>
      </c>
      <c r="D64" s="51">
        <f>CashBufferMonths</f>
        <v/>
      </c>
    </row>
    <row r="65" hidden="1" outlineLevel="1">
      <c r="B65" s="7" t="inlineStr">
        <is>
          <t>Addressable institutes (SAM): independent, 150-2,000 students, five states</t>
        </is>
      </c>
      <c r="C65" s="5" t="inlineStr">
        <is>
          <t>institutes</t>
        </is>
      </c>
      <c r="D65" s="51">
        <f>AddressableInstitutes</f>
        <v/>
      </c>
    </row>
    <row r="66" hidden="1" outlineLevel="1">
      <c r="B66" s="7" t="inlineStr">
        <is>
          <t>Maximum share of SAM won in 3 years (cumulative new logos)</t>
        </is>
      </c>
      <c r="C66" s="5" t="inlineStr">
        <is>
          <t>% of SAM</t>
        </is>
      </c>
      <c r="D66" s="45">
        <f>MaxPenetration</f>
        <v/>
      </c>
    </row>
    <row r="67" hidden="1" outlineLevel="1">
      <c r="A67" s="23" t="n"/>
      <c r="B67" s="22" t="inlineStr">
        <is>
          <t>Derived values</t>
        </is>
      </c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  <c r="AF67" s="23" t="n"/>
      <c r="AG67" s="23" t="n"/>
      <c r="AH67" s="23" t="n"/>
      <c r="AI67" s="23" t="n"/>
      <c r="AJ67" s="23" t="n"/>
      <c r="AK67" s="23" t="n"/>
      <c r="AL67" s="23" t="n"/>
      <c r="AM67" s="23" t="n"/>
      <c r="AN67" s="23" t="n"/>
    </row>
    <row r="68" hidden="1" outlineLevel="1">
      <c r="B68" s="7" t="inlineStr">
        <is>
          <t>Effective discount (negotiation + prepay uptake × prepay discount)</t>
        </is>
      </c>
      <c r="C68" s="5" t="inlineStr">
        <is>
          <t>%</t>
        </is>
      </c>
      <c r="D68" s="39">
        <f>$D$17+$D$18*$D$19</f>
        <v/>
      </c>
    </row>
    <row r="69" hidden="1" outlineLevel="1">
      <c r="B69" s="7" t="inlineStr">
        <is>
          <t>Variable cost per active student per month</t>
        </is>
      </c>
      <c r="C69" s="5" t="inlineStr">
        <is>
          <t>₹/student/month</t>
        </is>
      </c>
      <c r="D69" s="47">
        <f>$D$22*($D$23*$D$25+$D$24*$D$26)/1000000+$D$27*$D$28+$D$29+$D$30/12</f>
        <v/>
      </c>
    </row>
    <row r="70" hidden="1" outlineLevel="1">
      <c r="B70" s="7" t="inlineStr">
        <is>
          <t>In-season churn, monthly payers only</t>
        </is>
      </c>
      <c r="C70" s="5" t="inlineStr">
        <is>
          <t>%/month</t>
        </is>
      </c>
      <c r="D70" s="39">
        <f>$D$46*(1-$D$18)</f>
        <v/>
      </c>
    </row>
    <row r="71" hidden="1" outlineLevel="1">
      <c r="B71" s="7" t="inlineStr">
        <is>
          <t>Extra churn per renewal month</t>
        </is>
      </c>
      <c r="C71" s="5" t="inlineStr">
        <is>
          <t>%/month</t>
        </is>
      </c>
      <c r="D71" s="39">
        <f>1-(1-$D$47)^(1/NRenew)</f>
        <v/>
      </c>
    </row>
    <row r="72" hidden="1" outlineLevel="1">
      <c r="B72" s="7" t="inlineStr">
        <is>
          <t>Average students per new institute (customer mix)</t>
        </is>
      </c>
      <c r="C72" s="5" t="inlineStr">
        <is>
          <t>students</t>
        </is>
      </c>
      <c r="D72" s="53">
        <f>$D$12*$D$6+$D$13*$D$7+$D$14*$D$8</f>
        <v/>
      </c>
    </row>
    <row r="73" hidden="1" outlineLevel="1">
      <c r="B73" s="7" t="inlineStr">
        <is>
          <t>Average onboarding-cost multiplier (customer mix)</t>
        </is>
      </c>
      <c r="C73" s="5" t="inlineStr">
        <is>
          <t>x</t>
        </is>
      </c>
      <c r="D73" s="41">
        <f>$D$12*$D$9+$D$13*$D$10+$D$14*$D$11</f>
        <v/>
      </c>
    </row>
    <row r="74" hidden="1" outlineLevel="1">
      <c r="B74" s="7" t="inlineStr">
        <is>
          <t>Cost of one free pilot (setup + serving the free months)</t>
        </is>
      </c>
      <c r="C74" s="5" t="inlineStr">
        <is>
          <t>₹</t>
        </is>
      </c>
      <c r="D74" s="50">
        <f>$D$43+$D$42*($D$72*$D$69+$D$34)</f>
        <v/>
      </c>
    </row>
    <row r="75" hidden="1" outlineLevel="1">
      <c r="B75" s="7" t="inlineStr">
        <is>
          <t>Market cap: addressable institutes × max penetration</t>
        </is>
      </c>
      <c r="C75" s="5" t="inlineStr">
        <is>
          <t>institutes</t>
        </is>
      </c>
      <c r="D75" s="53">
        <f>$D$65*$D$66</f>
        <v/>
      </c>
    </row>
    <row r="76" hidden="1" outlineLevel="1">
      <c r="B76" s="7" t="inlineStr">
        <is>
          <t>Average monthly revenue per institute over a year</t>
        </is>
      </c>
      <c r="C76" s="5" t="inlineStr">
        <is>
          <t>₹</t>
        </is>
      </c>
      <c r="D76" s="50">
        <f>AVERAGE(E82:P82)</f>
        <v/>
      </c>
    </row>
    <row r="77" hidden="1" outlineLevel="1">
      <c r="A77" s="23" t="n"/>
      <c r="B77" s="22" t="inlineStr">
        <is>
          <t>Per-institute revenue and cost by calendar month (April = 1), same formulas as Unit_Econ</t>
        </is>
      </c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23" t="n"/>
      <c r="AH77" s="23" t="n"/>
      <c r="AI77" s="23" t="n"/>
      <c r="AJ77" s="23" t="n"/>
      <c r="AK77" s="23" t="n"/>
      <c r="AL77" s="23" t="n"/>
      <c r="AM77" s="23" t="n"/>
      <c r="AN77" s="23" t="n"/>
    </row>
    <row r="78" hidden="1" outlineLevel="1">
      <c r="B78" s="36" t="inlineStr">
        <is>
          <t>Calendar month number</t>
        </is>
      </c>
      <c r="E78" s="62" t="n">
        <v>1</v>
      </c>
      <c r="F78" s="62" t="n">
        <v>2</v>
      </c>
      <c r="G78" s="62" t="n">
        <v>3</v>
      </c>
      <c r="H78" s="62" t="n">
        <v>4</v>
      </c>
      <c r="I78" s="62" t="n">
        <v>5</v>
      </c>
      <c r="J78" s="62" t="n">
        <v>6</v>
      </c>
      <c r="K78" s="62" t="n">
        <v>7</v>
      </c>
      <c r="L78" s="62" t="n">
        <v>8</v>
      </c>
      <c r="M78" s="62" t="n">
        <v>9</v>
      </c>
      <c r="N78" s="62" t="n">
        <v>10</v>
      </c>
      <c r="O78" s="62" t="n">
        <v>11</v>
      </c>
      <c r="P78" s="62" t="n">
        <v>12</v>
      </c>
    </row>
    <row r="79" hidden="1" outlineLevel="1">
      <c r="B79" s="7" t="inlineStr">
        <is>
          <t>Revenue per Small institute (ex-GST, after discounts and bad debt)</t>
        </is>
      </c>
      <c r="C79" s="5" t="inlineStr">
        <is>
          <t>₹</t>
        </is>
      </c>
      <c r="E79" s="50">
        <f>MAX($D$16,$D$6*INDEX(Season_Idx,E$78)*$D$15)*(1-$D$68)*(1-$D$20)</f>
        <v/>
      </c>
      <c r="F79" s="50">
        <f>MAX($D$16,$D$6*INDEX(Season_Idx,F$78)*$D$15)*(1-$D$68)*(1-$D$20)</f>
        <v/>
      </c>
      <c r="G79" s="50">
        <f>MAX($D$16,$D$6*INDEX(Season_Idx,G$78)*$D$15)*(1-$D$68)*(1-$D$20)</f>
        <v/>
      </c>
      <c r="H79" s="50">
        <f>MAX($D$16,$D$6*INDEX(Season_Idx,H$78)*$D$15)*(1-$D$68)*(1-$D$20)</f>
        <v/>
      </c>
      <c r="I79" s="50">
        <f>MAX($D$16,$D$6*INDEX(Season_Idx,I$78)*$D$15)*(1-$D$68)*(1-$D$20)</f>
        <v/>
      </c>
      <c r="J79" s="50">
        <f>MAX($D$16,$D$6*INDEX(Season_Idx,J$78)*$D$15)*(1-$D$68)*(1-$D$20)</f>
        <v/>
      </c>
      <c r="K79" s="50">
        <f>MAX($D$16,$D$6*INDEX(Season_Idx,K$78)*$D$15)*(1-$D$68)*(1-$D$20)</f>
        <v/>
      </c>
      <c r="L79" s="50">
        <f>MAX($D$16,$D$6*INDEX(Season_Idx,L$78)*$D$15)*(1-$D$68)*(1-$D$20)</f>
        <v/>
      </c>
      <c r="M79" s="50">
        <f>MAX($D$16,$D$6*INDEX(Season_Idx,M$78)*$D$15)*(1-$D$68)*(1-$D$20)</f>
        <v/>
      </c>
      <c r="N79" s="50">
        <f>MAX($D$16,$D$6*INDEX(Season_Idx,N$78)*$D$15)*(1-$D$68)*(1-$D$20)</f>
        <v/>
      </c>
      <c r="O79" s="50">
        <f>MAX($D$16,$D$6*INDEX(Season_Idx,O$78)*$D$15)*(1-$D$68)*(1-$D$20)</f>
        <v/>
      </c>
      <c r="P79" s="50">
        <f>MAX($D$16,$D$6*INDEX(Season_Idx,P$78)*$D$15)*(1-$D$68)*(1-$D$20)</f>
        <v/>
      </c>
    </row>
    <row r="80" hidden="1" outlineLevel="1">
      <c r="B80" s="7" t="inlineStr">
        <is>
          <t>Revenue per Mid institute (ex-GST, after discounts and bad debt)</t>
        </is>
      </c>
      <c r="C80" s="5" t="inlineStr">
        <is>
          <t>₹</t>
        </is>
      </c>
      <c r="E80" s="50">
        <f>MAX($D$16,$D$7*INDEX(Season_Idx,E$78)*$D$15)*(1-$D$68)*(1-$D$20)</f>
        <v/>
      </c>
      <c r="F80" s="50">
        <f>MAX($D$16,$D$7*INDEX(Season_Idx,F$78)*$D$15)*(1-$D$68)*(1-$D$20)</f>
        <v/>
      </c>
      <c r="G80" s="50">
        <f>MAX($D$16,$D$7*INDEX(Season_Idx,G$78)*$D$15)*(1-$D$68)*(1-$D$20)</f>
        <v/>
      </c>
      <c r="H80" s="50">
        <f>MAX($D$16,$D$7*INDEX(Season_Idx,H$78)*$D$15)*(1-$D$68)*(1-$D$20)</f>
        <v/>
      </c>
      <c r="I80" s="50">
        <f>MAX($D$16,$D$7*INDEX(Season_Idx,I$78)*$D$15)*(1-$D$68)*(1-$D$20)</f>
        <v/>
      </c>
      <c r="J80" s="50">
        <f>MAX($D$16,$D$7*INDEX(Season_Idx,J$78)*$D$15)*(1-$D$68)*(1-$D$20)</f>
        <v/>
      </c>
      <c r="K80" s="50">
        <f>MAX($D$16,$D$7*INDEX(Season_Idx,K$78)*$D$15)*(1-$D$68)*(1-$D$20)</f>
        <v/>
      </c>
      <c r="L80" s="50">
        <f>MAX($D$16,$D$7*INDEX(Season_Idx,L$78)*$D$15)*(1-$D$68)*(1-$D$20)</f>
        <v/>
      </c>
      <c r="M80" s="50">
        <f>MAX($D$16,$D$7*INDEX(Season_Idx,M$78)*$D$15)*(1-$D$68)*(1-$D$20)</f>
        <v/>
      </c>
      <c r="N80" s="50">
        <f>MAX($D$16,$D$7*INDEX(Season_Idx,N$78)*$D$15)*(1-$D$68)*(1-$D$20)</f>
        <v/>
      </c>
      <c r="O80" s="50">
        <f>MAX($D$16,$D$7*INDEX(Season_Idx,O$78)*$D$15)*(1-$D$68)*(1-$D$20)</f>
        <v/>
      </c>
      <c r="P80" s="50">
        <f>MAX($D$16,$D$7*INDEX(Season_Idx,P$78)*$D$15)*(1-$D$68)*(1-$D$20)</f>
        <v/>
      </c>
    </row>
    <row r="81" hidden="1" outlineLevel="1">
      <c r="B81" s="7" t="inlineStr">
        <is>
          <t>Revenue per Large institute (ex-GST, after discounts and bad debt)</t>
        </is>
      </c>
      <c r="C81" s="5" t="inlineStr">
        <is>
          <t>₹</t>
        </is>
      </c>
      <c r="E81" s="50">
        <f>MAX($D$16,$D$8*INDEX(Season_Idx,E$78)*$D$15)*(1-$D$68)*(1-$D$20)</f>
        <v/>
      </c>
      <c r="F81" s="50">
        <f>MAX($D$16,$D$8*INDEX(Season_Idx,F$78)*$D$15)*(1-$D$68)*(1-$D$20)</f>
        <v/>
      </c>
      <c r="G81" s="50">
        <f>MAX($D$16,$D$8*INDEX(Season_Idx,G$78)*$D$15)*(1-$D$68)*(1-$D$20)</f>
        <v/>
      </c>
      <c r="H81" s="50">
        <f>MAX($D$16,$D$8*INDEX(Season_Idx,H$78)*$D$15)*(1-$D$68)*(1-$D$20)</f>
        <v/>
      </c>
      <c r="I81" s="50">
        <f>MAX($D$16,$D$8*INDEX(Season_Idx,I$78)*$D$15)*(1-$D$68)*(1-$D$20)</f>
        <v/>
      </c>
      <c r="J81" s="50">
        <f>MAX($D$16,$D$8*INDEX(Season_Idx,J$78)*$D$15)*(1-$D$68)*(1-$D$20)</f>
        <v/>
      </c>
      <c r="K81" s="50">
        <f>MAX($D$16,$D$8*INDEX(Season_Idx,K$78)*$D$15)*(1-$D$68)*(1-$D$20)</f>
        <v/>
      </c>
      <c r="L81" s="50">
        <f>MAX($D$16,$D$8*INDEX(Season_Idx,L$78)*$D$15)*(1-$D$68)*(1-$D$20)</f>
        <v/>
      </c>
      <c r="M81" s="50">
        <f>MAX($D$16,$D$8*INDEX(Season_Idx,M$78)*$D$15)*(1-$D$68)*(1-$D$20)</f>
        <v/>
      </c>
      <c r="N81" s="50">
        <f>MAX($D$16,$D$8*INDEX(Season_Idx,N$78)*$D$15)*(1-$D$68)*(1-$D$20)</f>
        <v/>
      </c>
      <c r="O81" s="50">
        <f>MAX($D$16,$D$8*INDEX(Season_Idx,O$78)*$D$15)*(1-$D$68)*(1-$D$20)</f>
        <v/>
      </c>
      <c r="P81" s="50">
        <f>MAX($D$16,$D$8*INDEX(Season_Idx,P$78)*$D$15)*(1-$D$68)*(1-$D$20)</f>
        <v/>
      </c>
    </row>
    <row r="82" hidden="1" outlineLevel="1">
      <c r="B82" s="3" t="inlineStr">
        <is>
          <t>Revenue per institute, weighted by customer mix</t>
        </is>
      </c>
      <c r="C82" s="5" t="inlineStr">
        <is>
          <t>₹</t>
        </is>
      </c>
      <c r="E82" s="50">
        <f>$D$12*E79+$D$13*E80+$D$14*E81</f>
        <v/>
      </c>
      <c r="F82" s="50">
        <f>$D$12*F79+$D$13*F80+$D$14*F81</f>
        <v/>
      </c>
      <c r="G82" s="50">
        <f>$D$12*G79+$D$13*G80+$D$14*G81</f>
        <v/>
      </c>
      <c r="H82" s="50">
        <f>$D$12*H79+$D$13*H80+$D$14*H81</f>
        <v/>
      </c>
      <c r="I82" s="50">
        <f>$D$12*I79+$D$13*I80+$D$14*I81</f>
        <v/>
      </c>
      <c r="J82" s="50">
        <f>$D$12*J79+$D$13*J80+$D$14*J81</f>
        <v/>
      </c>
      <c r="K82" s="50">
        <f>$D$12*K79+$D$13*K80+$D$14*K81</f>
        <v/>
      </c>
      <c r="L82" s="50">
        <f>$D$12*L79+$D$13*L80+$D$14*L81</f>
        <v/>
      </c>
      <c r="M82" s="50">
        <f>$D$12*M79+$D$13*M80+$D$14*M81</f>
        <v/>
      </c>
      <c r="N82" s="50">
        <f>$D$12*N79+$D$13*N80+$D$14*N81</f>
        <v/>
      </c>
      <c r="O82" s="50">
        <f>$D$12*O79+$D$13*O80+$D$14*O81</f>
        <v/>
      </c>
      <c r="P82" s="50">
        <f>$D$12*P79+$D$13*P80+$D$14*P81</f>
        <v/>
      </c>
    </row>
    <row r="83" hidden="1" outlineLevel="1">
      <c r="B83" s="3" t="inlineStr">
        <is>
          <t>Variable cost per institute, weighted by customer mix</t>
        </is>
      </c>
      <c r="C83" s="5" t="inlineStr">
        <is>
          <t>₹</t>
        </is>
      </c>
      <c r="E83" s="50">
        <f>$D$69*$D$72*INDEX(Season_Idx,E$78)+$D$21*E82+$D$34</f>
        <v/>
      </c>
      <c r="F83" s="50">
        <f>$D$69*$D$72*INDEX(Season_Idx,F$78)+$D$21*F82+$D$34</f>
        <v/>
      </c>
      <c r="G83" s="50">
        <f>$D$69*$D$72*INDEX(Season_Idx,G$78)+$D$21*G82+$D$34</f>
        <v/>
      </c>
      <c r="H83" s="50">
        <f>$D$69*$D$72*INDEX(Season_Idx,H$78)+$D$21*H82+$D$34</f>
        <v/>
      </c>
      <c r="I83" s="50">
        <f>$D$69*$D$72*INDEX(Season_Idx,I$78)+$D$21*I82+$D$34</f>
        <v/>
      </c>
      <c r="J83" s="50">
        <f>$D$69*$D$72*INDEX(Season_Idx,J$78)+$D$21*J82+$D$34</f>
        <v/>
      </c>
      <c r="K83" s="50">
        <f>$D$69*$D$72*INDEX(Season_Idx,K$78)+$D$21*K82+$D$34</f>
        <v/>
      </c>
      <c r="L83" s="50">
        <f>$D$69*$D$72*INDEX(Season_Idx,L$78)+$D$21*L82+$D$34</f>
        <v/>
      </c>
      <c r="M83" s="50">
        <f>$D$69*$D$72*INDEX(Season_Idx,M$78)+$D$21*M82+$D$34</f>
        <v/>
      </c>
      <c r="N83" s="50">
        <f>$D$69*$D$72*INDEX(Season_Idx,N$78)+$D$21*N82+$D$34</f>
        <v/>
      </c>
      <c r="O83" s="50">
        <f>$D$69*$D$72*INDEX(Season_Idx,O$78)+$D$21*O82+$D$34</f>
        <v/>
      </c>
      <c r="P83" s="50">
        <f>$D$69*$D$72*INDEX(Season_Idx,P$78)+$D$21*P82+$D$34</f>
        <v/>
      </c>
    </row>
    <row r="85">
      <c r="A85" s="23" t="n"/>
      <c r="B85" s="22" t="inlineStr">
        <is>
          <t>Annual summary</t>
        </is>
      </c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23" t="n"/>
      <c r="AD85" s="23" t="n"/>
      <c r="AE85" s="23" t="n"/>
      <c r="AF85" s="23" t="n"/>
      <c r="AG85" s="23" t="n"/>
      <c r="AH85" s="23" t="n"/>
      <c r="AI85" s="23" t="n"/>
      <c r="AJ85" s="23" t="n"/>
      <c r="AK85" s="23" t="n"/>
      <c r="AL85" s="23" t="n"/>
      <c r="AM85" s="23" t="n"/>
      <c r="AN85" s="23" t="n"/>
    </row>
    <row r="86">
      <c r="B86" s="56" t="inlineStr">
        <is>
          <t>Financial year (April to March)</t>
        </is>
      </c>
      <c r="D86" s="63" t="n">
        <v>1</v>
      </c>
      <c r="E86" s="63" t="n">
        <v>2</v>
      </c>
      <c r="F86" s="63" t="n">
        <v>3</v>
      </c>
      <c r="G86" s="56" t="inlineStr">
        <is>
          <t>3-year total</t>
        </is>
      </c>
    </row>
    <row r="87">
      <c r="B87" s="7" t="inlineStr">
        <is>
          <t>Revenue</t>
        </is>
      </c>
      <c r="D87" s="52">
        <f>SUMIF($E$114:$AN$114,D$86,$E$128:$AN$128)</f>
        <v/>
      </c>
      <c r="E87" s="52">
        <f>SUMIF($E$114:$AN$114,E$86,$E$128:$AN$128)</f>
        <v/>
      </c>
      <c r="F87" s="52">
        <f>SUMIF($E$114:$AN$114,F$86,$E$128:$AN$128)</f>
        <v/>
      </c>
      <c r="G87" s="50">
        <f>SUM(D87:F87)</f>
        <v/>
      </c>
    </row>
    <row r="88">
      <c r="B88" s="7" t="inlineStr">
        <is>
          <t>Gross profit (after support)</t>
        </is>
      </c>
      <c r="D88" s="50">
        <f>SUMIF($E$114:$AN$114,D$86,$E$135:$AN$135)</f>
        <v/>
      </c>
      <c r="E88" s="50">
        <f>SUMIF($E$114:$AN$114,E$86,$E$135:$AN$135)</f>
        <v/>
      </c>
      <c r="F88" s="50">
        <f>SUMIF($E$114:$AN$114,F$86,$E$135:$AN$135)</f>
        <v/>
      </c>
      <c r="G88" s="50">
        <f>SUM(D88:F88)</f>
        <v/>
      </c>
    </row>
    <row r="89">
      <c r="B89" s="7" t="inlineStr">
        <is>
          <t>Gross margin</t>
        </is>
      </c>
      <c r="D89" s="39">
        <f>IF(D87&lt;&gt;0,D88/D87,0)</f>
        <v/>
      </c>
      <c r="E89" s="39">
        <f>IF(E87&lt;&gt;0,E88/E87,0)</f>
        <v/>
      </c>
      <c r="F89" s="39">
        <f>IF(F87&lt;&gt;0,F88/F87,0)</f>
        <v/>
      </c>
      <c r="G89" s="39">
        <f>IF(G87&lt;&gt;0,G88/G87,0)</f>
        <v/>
      </c>
    </row>
    <row r="90">
      <c r="B90" s="7" t="inlineStr">
        <is>
          <t>Sales and marketing</t>
        </is>
      </c>
      <c r="D90" s="50">
        <f>SUMIF($E$114:$AN$114,D$86,$E$141:$AN$141)</f>
        <v/>
      </c>
      <c r="E90" s="50">
        <f>SUMIF($E$114:$AN$114,E$86,$E$141:$AN$141)</f>
        <v/>
      </c>
      <c r="F90" s="50">
        <f>SUMIF($E$114:$AN$114,F$86,$E$141:$AN$141)</f>
        <v/>
      </c>
      <c r="G90" s="50">
        <f>SUM(D90:F90)</f>
        <v/>
      </c>
    </row>
    <row r="91">
      <c r="B91" s="7" t="inlineStr">
        <is>
          <t>Product and engineering</t>
        </is>
      </c>
      <c r="D91" s="50">
        <f>SUMIF($E$114:$AN$114,D$86,$E$143:$AN$143)</f>
        <v/>
      </c>
      <c r="E91" s="50">
        <f>SUMIF($E$114:$AN$114,E$86,$E$143:$AN$143)</f>
        <v/>
      </c>
      <c r="F91" s="50">
        <f>SUMIF($E$114:$AN$114,F$86,$E$143:$AN$143)</f>
        <v/>
      </c>
      <c r="G91" s="50">
        <f>SUM(D91:F91)</f>
        <v/>
      </c>
    </row>
    <row r="92">
      <c r="B92" s="7" t="inlineStr">
        <is>
          <t>Founders' stipends and general costs</t>
        </is>
      </c>
      <c r="D92" s="50">
        <f>SUMIF($E$114:$AN$114,D$86,$E$144:$AN$144)</f>
        <v/>
      </c>
      <c r="E92" s="50">
        <f>SUMIF($E$114:$AN$114,E$86,$E$144:$AN$144)</f>
        <v/>
      </c>
      <c r="F92" s="50">
        <f>SUMIF($E$114:$AN$114,F$86,$E$144:$AN$144)</f>
        <v/>
      </c>
      <c r="G92" s="50">
        <f>SUM(D92:F92)</f>
        <v/>
      </c>
    </row>
    <row r="93">
      <c r="B93" s="7" t="inlineStr">
        <is>
          <t>EBITDA</t>
        </is>
      </c>
      <c r="D93" s="52">
        <f>SUMIF($E$114:$AN$114,D$86,$E$146:$AN$146)</f>
        <v/>
      </c>
      <c r="E93" s="52">
        <f>SUMIF($E$114:$AN$114,E$86,$E$146:$AN$146)</f>
        <v/>
      </c>
      <c r="F93" s="52">
        <f>SUMIF($E$114:$AN$114,F$86,$E$146:$AN$146)</f>
        <v/>
      </c>
      <c r="G93" s="50">
        <f>SUM(D93:F93)</f>
        <v/>
      </c>
    </row>
    <row r="94">
      <c r="B94" s="7" t="inlineStr">
        <is>
          <t>EBITDA margin</t>
        </is>
      </c>
      <c r="D94" s="39">
        <f>IF(D87&lt;&gt;0,D93/D87,0)</f>
        <v/>
      </c>
      <c r="E94" s="39">
        <f>IF(E87&lt;&gt;0,E93/E87,0)</f>
        <v/>
      </c>
      <c r="F94" s="39">
        <f>IF(F87&lt;&gt;0,F93/F87,0)</f>
        <v/>
      </c>
      <c r="G94" s="39">
        <f>IF(G87&lt;&gt;0,G93/G87,0)</f>
        <v/>
      </c>
    </row>
    <row r="95">
      <c r="B95" s="7" t="inlineStr">
        <is>
          <t>New paying institutes</t>
        </is>
      </c>
      <c r="D95" s="53">
        <f>SUMIF($E$114:$AN$114,D$86,$E$123:$AN$123)</f>
        <v/>
      </c>
      <c r="E95" s="53">
        <f>SUMIF($E$114:$AN$114,E$86,$E$123:$AN$123)</f>
        <v/>
      </c>
      <c r="F95" s="53">
        <f>SUMIF($E$114:$AN$114,F$86,$E$123:$AN$123)</f>
        <v/>
      </c>
      <c r="G95" s="53">
        <f>SUM(D95:F95)</f>
        <v/>
      </c>
    </row>
    <row r="96">
      <c r="B96" s="7" t="inlineStr">
        <is>
          <t>Paying institutes at year end</t>
        </is>
      </c>
      <c r="D96" s="53">
        <f>INDEX($E$126:$AN$126,1,12*D$86)</f>
        <v/>
      </c>
      <c r="E96" s="53">
        <f>INDEX($E$126:$AN$126,1,12*E$86)</f>
        <v/>
      </c>
      <c r="F96" s="53">
        <f>INDEX($E$126:$AN$126,1,12*F$86)</f>
        <v/>
      </c>
    </row>
    <row r="97">
      <c r="B97" s="7" t="inlineStr">
        <is>
          <t>Run-rate annual revenue at year end (institutes × average yearly revenue per institute)</t>
        </is>
      </c>
      <c r="D97" s="52">
        <f>D96*$D$76*12</f>
        <v/>
      </c>
      <c r="E97" s="52">
        <f>E96*$D$76*12</f>
        <v/>
      </c>
      <c r="F97" s="52">
        <f>F96*$D$76*12</f>
        <v/>
      </c>
    </row>
    <row r="98">
      <c r="B98" s="7" t="inlineStr">
        <is>
          <t>Headcount at year end</t>
        </is>
      </c>
      <c r="D98" s="57">
        <f>INDEX($E$150:$AN$150,1,12*D$86)</f>
        <v/>
      </c>
      <c r="E98" s="57">
        <f>INDEX($E$150:$AN$150,1,12*E$86)</f>
        <v/>
      </c>
      <c r="F98" s="57">
        <f>INDEX($E$150:$AN$150,1,12*F$86)</f>
        <v/>
      </c>
    </row>
    <row r="100">
      <c r="A100" s="23" t="n"/>
      <c r="B100" s="22" t="inlineStr">
        <is>
          <t>Funding, break-even and market checks</t>
        </is>
      </c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  <c r="AA100" s="23" t="n"/>
      <c r="AB100" s="23" t="n"/>
      <c r="AC100" s="23" t="n"/>
      <c r="AD100" s="23" t="n"/>
      <c r="AE100" s="23" t="n"/>
      <c r="AF100" s="23" t="n"/>
      <c r="AG100" s="23" t="n"/>
      <c r="AH100" s="23" t="n"/>
      <c r="AI100" s="23" t="n"/>
      <c r="AJ100" s="23" t="n"/>
      <c r="AK100" s="23" t="n"/>
      <c r="AL100" s="23" t="n"/>
      <c r="AM100" s="23" t="n"/>
      <c r="AN100" s="23" t="n"/>
    </row>
    <row r="101">
      <c r="B101" s="7" t="inlineStr">
        <is>
          <t>Peak cash deficit before any funding</t>
        </is>
      </c>
      <c r="C101" s="5" t="inlineStr">
        <is>
          <t>₹</t>
        </is>
      </c>
      <c r="D101" s="52">
        <f>-MIN(0,MIN($E$154:$AN$154))</f>
        <v/>
      </c>
    </row>
    <row r="102">
      <c r="B102" s="7" t="inlineStr">
        <is>
          <t>Cash buffer: months of costs at the point of the deepest deficit</t>
        </is>
      </c>
      <c r="C102" s="5" t="inlineStr">
        <is>
          <t>₹</t>
        </is>
      </c>
      <c r="D102" s="52">
        <f>$D$64*INDEX($E$155:$AN$155,1,MATCH(MIN($E$154:$AN$154),$E$154:$AN$154,0))</f>
        <v/>
      </c>
    </row>
    <row r="103">
      <c r="B103" s="3" t="inlineStr">
        <is>
          <t>FUNDING THE MODEL SAYS WE NEED (peak deficit + buffer, rounded up to ₹5 lakh)</t>
        </is>
      </c>
      <c r="C103" s="5" t="inlineStr">
        <is>
          <t>₹</t>
        </is>
      </c>
      <c r="D103" s="64">
        <f>CEILING($D$101+$D$102,500000)</f>
        <v/>
      </c>
    </row>
    <row r="104">
      <c r="B104" s="7" t="inlineStr">
        <is>
          <t>Cash left at the end of month 36 if that funding arrives in month 1</t>
        </is>
      </c>
      <c r="C104" s="5" t="inlineStr">
        <is>
          <t>₹</t>
        </is>
      </c>
      <c r="D104" s="52">
        <f>$D$103+AN154</f>
        <v/>
      </c>
    </row>
    <row r="105">
      <c r="B105" s="7" t="inlineStr">
        <is>
          <t>Break-even month: first month of 3 in a row with EBITDA ≥ 0</t>
        </is>
      </c>
      <c r="C105" s="5" t="inlineStr">
        <is>
          <t>month #</t>
        </is>
      </c>
      <c r="D105" s="60">
        <f>IFERROR(MATCH(1,$E$158:$AN$158,0),"after month 36")</f>
        <v/>
      </c>
    </row>
    <row r="106">
      <c r="B106" s="7" t="inlineStr">
        <is>
          <t>Break-even month on a trailing-12-month basis (seasonality-proof)</t>
        </is>
      </c>
      <c r="C106" s="5" t="inlineStr">
        <is>
          <t>month #</t>
        </is>
      </c>
      <c r="D106" s="60">
        <f>IFERROR(MATCH(1,$E$159:$AN$159,0),"after month 36")</f>
        <v/>
      </c>
    </row>
    <row r="107">
      <c r="B107" s="7" t="inlineStr">
        <is>
          <t>Share of the addressable market paying us at month 36</t>
        </is>
      </c>
      <c r="C107" s="5" t="inlineStr">
        <is>
          <t>%</t>
        </is>
      </c>
      <c r="D107" s="40">
        <f>IF($D$65&gt;0,AN126/$D$65,0)</f>
        <v/>
      </c>
    </row>
    <row r="108">
      <c r="B108" s="7" t="inlineStr">
        <is>
          <t>Blended CAC realised (sales and marketing ÷ new paying institutes, 36 months)</t>
        </is>
      </c>
      <c r="C108" s="5" t="inlineStr">
        <is>
          <t>₹</t>
        </is>
      </c>
      <c r="D108" s="52">
        <f>IF(SUM($E$123:$AN$123)&gt;0,SUM($E$141:$AN$141)/SUM($E$123:$AN$123),0)</f>
        <v/>
      </c>
    </row>
    <row r="109">
      <c r="B109" s="7" t="inlineStr">
        <is>
          <t>Months in which the market cap limited sales</t>
        </is>
      </c>
      <c r="C109" s="5" t="inlineStr">
        <is>
          <t>months</t>
        </is>
      </c>
      <c r="D109" s="60">
        <f>SUMPRODUCT(($E$123:$AN$123&lt;$E$121:$AN$121-0.000001)*1)</f>
        <v/>
      </c>
    </row>
    <row r="111">
      <c r="A111" s="23" t="n"/>
      <c r="B111" s="22" t="inlineStr">
        <is>
          <t>Monthly model (36 months)</t>
        </is>
      </c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  <c r="AA111" s="23" t="n"/>
      <c r="AB111" s="23" t="n"/>
      <c r="AC111" s="23" t="n"/>
      <c r="AD111" s="23" t="n"/>
      <c r="AE111" s="23" t="n"/>
      <c r="AF111" s="23" t="n"/>
      <c r="AG111" s="23" t="n"/>
      <c r="AH111" s="23" t="n"/>
      <c r="AI111" s="23" t="n"/>
      <c r="AJ111" s="23" t="n"/>
      <c r="AK111" s="23" t="n"/>
      <c r="AL111" s="23" t="n"/>
      <c r="AM111" s="23" t="n"/>
      <c r="AN111" s="23" t="n"/>
    </row>
    <row r="112">
      <c r="B112" s="7" t="inlineStr">
        <is>
          <t>Month number</t>
        </is>
      </c>
      <c r="C112" s="5" t="inlineStr">
        <is>
          <t>no.</t>
        </is>
      </c>
      <c r="E112" s="65" t="n">
        <v>1</v>
      </c>
      <c r="F112" s="65">
        <f>E112+1</f>
        <v/>
      </c>
      <c r="G112" s="65">
        <f>F112+1</f>
        <v/>
      </c>
      <c r="H112" s="65">
        <f>G112+1</f>
        <v/>
      </c>
      <c r="I112" s="65">
        <f>H112+1</f>
        <v/>
      </c>
      <c r="J112" s="65">
        <f>I112+1</f>
        <v/>
      </c>
      <c r="K112" s="65">
        <f>J112+1</f>
        <v/>
      </c>
      <c r="L112" s="65">
        <f>K112+1</f>
        <v/>
      </c>
      <c r="M112" s="65">
        <f>L112+1</f>
        <v/>
      </c>
      <c r="N112" s="65">
        <f>M112+1</f>
        <v/>
      </c>
      <c r="O112" s="65">
        <f>N112+1</f>
        <v/>
      </c>
      <c r="P112" s="65">
        <f>O112+1</f>
        <v/>
      </c>
      <c r="Q112" s="65">
        <f>P112+1</f>
        <v/>
      </c>
      <c r="R112" s="65">
        <f>Q112+1</f>
        <v/>
      </c>
      <c r="S112" s="65">
        <f>R112+1</f>
        <v/>
      </c>
      <c r="T112" s="65">
        <f>S112+1</f>
        <v/>
      </c>
      <c r="U112" s="65">
        <f>T112+1</f>
        <v/>
      </c>
      <c r="V112" s="65">
        <f>U112+1</f>
        <v/>
      </c>
      <c r="W112" s="65">
        <f>V112+1</f>
        <v/>
      </c>
      <c r="X112" s="65">
        <f>W112+1</f>
        <v/>
      </c>
      <c r="Y112" s="65">
        <f>X112+1</f>
        <v/>
      </c>
      <c r="Z112" s="65">
        <f>Y112+1</f>
        <v/>
      </c>
      <c r="AA112" s="65">
        <f>Z112+1</f>
        <v/>
      </c>
      <c r="AB112" s="65">
        <f>AA112+1</f>
        <v/>
      </c>
      <c r="AC112" s="65">
        <f>AB112+1</f>
        <v/>
      </c>
      <c r="AD112" s="65">
        <f>AC112+1</f>
        <v/>
      </c>
      <c r="AE112" s="65">
        <f>AD112+1</f>
        <v/>
      </c>
      <c r="AF112" s="65">
        <f>AE112+1</f>
        <v/>
      </c>
      <c r="AG112" s="65">
        <f>AF112+1</f>
        <v/>
      </c>
      <c r="AH112" s="65">
        <f>AG112+1</f>
        <v/>
      </c>
      <c r="AI112" s="65">
        <f>AH112+1</f>
        <v/>
      </c>
      <c r="AJ112" s="65">
        <f>AI112+1</f>
        <v/>
      </c>
      <c r="AK112" s="65">
        <f>AJ112+1</f>
        <v/>
      </c>
      <c r="AL112" s="65">
        <f>AK112+1</f>
        <v/>
      </c>
      <c r="AM112" s="65">
        <f>AL112+1</f>
        <v/>
      </c>
      <c r="AN112" s="65">
        <f>AM112+1</f>
        <v/>
      </c>
    </row>
    <row r="113">
      <c r="B113" s="7" t="inlineStr">
        <is>
          <t>Calendar month (1 = April)</t>
        </is>
      </c>
      <c r="C113" s="5" t="inlineStr">
        <is>
          <t>no.</t>
        </is>
      </c>
      <c r="E113" s="57">
        <f>MOD(E112-1,12)+1</f>
        <v/>
      </c>
      <c r="F113" s="57">
        <f>MOD(F112-1,12)+1</f>
        <v/>
      </c>
      <c r="G113" s="57">
        <f>MOD(G112-1,12)+1</f>
        <v/>
      </c>
      <c r="H113" s="57">
        <f>MOD(H112-1,12)+1</f>
        <v/>
      </c>
      <c r="I113" s="57">
        <f>MOD(I112-1,12)+1</f>
        <v/>
      </c>
      <c r="J113" s="57">
        <f>MOD(J112-1,12)+1</f>
        <v/>
      </c>
      <c r="K113" s="57">
        <f>MOD(K112-1,12)+1</f>
        <v/>
      </c>
      <c r="L113" s="57">
        <f>MOD(L112-1,12)+1</f>
        <v/>
      </c>
      <c r="M113" s="57">
        <f>MOD(M112-1,12)+1</f>
        <v/>
      </c>
      <c r="N113" s="57">
        <f>MOD(N112-1,12)+1</f>
        <v/>
      </c>
      <c r="O113" s="57">
        <f>MOD(O112-1,12)+1</f>
        <v/>
      </c>
      <c r="P113" s="57">
        <f>MOD(P112-1,12)+1</f>
        <v/>
      </c>
      <c r="Q113" s="57">
        <f>MOD(Q112-1,12)+1</f>
        <v/>
      </c>
      <c r="R113" s="57">
        <f>MOD(R112-1,12)+1</f>
        <v/>
      </c>
      <c r="S113" s="57">
        <f>MOD(S112-1,12)+1</f>
        <v/>
      </c>
      <c r="T113" s="57">
        <f>MOD(T112-1,12)+1</f>
        <v/>
      </c>
      <c r="U113" s="57">
        <f>MOD(U112-1,12)+1</f>
        <v/>
      </c>
      <c r="V113" s="57">
        <f>MOD(V112-1,12)+1</f>
        <v/>
      </c>
      <c r="W113" s="57">
        <f>MOD(W112-1,12)+1</f>
        <v/>
      </c>
      <c r="X113" s="57">
        <f>MOD(X112-1,12)+1</f>
        <v/>
      </c>
      <c r="Y113" s="57">
        <f>MOD(Y112-1,12)+1</f>
        <v/>
      </c>
      <c r="Z113" s="57">
        <f>MOD(Z112-1,12)+1</f>
        <v/>
      </c>
      <c r="AA113" s="57">
        <f>MOD(AA112-1,12)+1</f>
        <v/>
      </c>
      <c r="AB113" s="57">
        <f>MOD(AB112-1,12)+1</f>
        <v/>
      </c>
      <c r="AC113" s="57">
        <f>MOD(AC112-1,12)+1</f>
        <v/>
      </c>
      <c r="AD113" s="57">
        <f>MOD(AD112-1,12)+1</f>
        <v/>
      </c>
      <c r="AE113" s="57">
        <f>MOD(AE112-1,12)+1</f>
        <v/>
      </c>
      <c r="AF113" s="57">
        <f>MOD(AF112-1,12)+1</f>
        <v/>
      </c>
      <c r="AG113" s="57">
        <f>MOD(AG112-1,12)+1</f>
        <v/>
      </c>
      <c r="AH113" s="57">
        <f>MOD(AH112-1,12)+1</f>
        <v/>
      </c>
      <c r="AI113" s="57">
        <f>MOD(AI112-1,12)+1</f>
        <v/>
      </c>
      <c r="AJ113" s="57">
        <f>MOD(AJ112-1,12)+1</f>
        <v/>
      </c>
      <c r="AK113" s="57">
        <f>MOD(AK112-1,12)+1</f>
        <v/>
      </c>
      <c r="AL113" s="57">
        <f>MOD(AL112-1,12)+1</f>
        <v/>
      </c>
      <c r="AM113" s="57">
        <f>MOD(AM112-1,12)+1</f>
        <v/>
      </c>
      <c r="AN113" s="57">
        <f>MOD(AN112-1,12)+1</f>
        <v/>
      </c>
    </row>
    <row r="114">
      <c r="B114" s="7" t="inlineStr">
        <is>
          <t>Financial year</t>
        </is>
      </c>
      <c r="C114" s="5" t="inlineStr">
        <is>
          <t>no.</t>
        </is>
      </c>
      <c r="E114" s="57">
        <f>INT((E112-1)/12)+1</f>
        <v/>
      </c>
      <c r="F114" s="57">
        <f>INT((F112-1)/12)+1</f>
        <v/>
      </c>
      <c r="G114" s="57">
        <f>INT((G112-1)/12)+1</f>
        <v/>
      </c>
      <c r="H114" s="57">
        <f>INT((H112-1)/12)+1</f>
        <v/>
      </c>
      <c r="I114" s="57">
        <f>INT((I112-1)/12)+1</f>
        <v/>
      </c>
      <c r="J114" s="57">
        <f>INT((J112-1)/12)+1</f>
        <v/>
      </c>
      <c r="K114" s="57">
        <f>INT((K112-1)/12)+1</f>
        <v/>
      </c>
      <c r="L114" s="57">
        <f>INT((L112-1)/12)+1</f>
        <v/>
      </c>
      <c r="M114" s="57">
        <f>INT((M112-1)/12)+1</f>
        <v/>
      </c>
      <c r="N114" s="57">
        <f>INT((N112-1)/12)+1</f>
        <v/>
      </c>
      <c r="O114" s="57">
        <f>INT((O112-1)/12)+1</f>
        <v/>
      </c>
      <c r="P114" s="57">
        <f>INT((P112-1)/12)+1</f>
        <v/>
      </c>
      <c r="Q114" s="57">
        <f>INT((Q112-1)/12)+1</f>
        <v/>
      </c>
      <c r="R114" s="57">
        <f>INT((R112-1)/12)+1</f>
        <v/>
      </c>
      <c r="S114" s="57">
        <f>INT((S112-1)/12)+1</f>
        <v/>
      </c>
      <c r="T114" s="57">
        <f>INT((T112-1)/12)+1</f>
        <v/>
      </c>
      <c r="U114" s="57">
        <f>INT((U112-1)/12)+1</f>
        <v/>
      </c>
      <c r="V114" s="57">
        <f>INT((V112-1)/12)+1</f>
        <v/>
      </c>
      <c r="W114" s="57">
        <f>INT((W112-1)/12)+1</f>
        <v/>
      </c>
      <c r="X114" s="57">
        <f>INT((X112-1)/12)+1</f>
        <v/>
      </c>
      <c r="Y114" s="57">
        <f>INT((Y112-1)/12)+1</f>
        <v/>
      </c>
      <c r="Z114" s="57">
        <f>INT((Z112-1)/12)+1</f>
        <v/>
      </c>
      <c r="AA114" s="57">
        <f>INT((AA112-1)/12)+1</f>
        <v/>
      </c>
      <c r="AB114" s="57">
        <f>INT((AB112-1)/12)+1</f>
        <v/>
      </c>
      <c r="AC114" s="57">
        <f>INT((AC112-1)/12)+1</f>
        <v/>
      </c>
      <c r="AD114" s="57">
        <f>INT((AD112-1)/12)+1</f>
        <v/>
      </c>
      <c r="AE114" s="57">
        <f>INT((AE112-1)/12)+1</f>
        <v/>
      </c>
      <c r="AF114" s="57">
        <f>INT((AF112-1)/12)+1</f>
        <v/>
      </c>
      <c r="AG114" s="57">
        <f>INT((AG112-1)/12)+1</f>
        <v/>
      </c>
      <c r="AH114" s="57">
        <f>INT((AH112-1)/12)+1</f>
        <v/>
      </c>
      <c r="AI114" s="57">
        <f>INT((AI112-1)/12)+1</f>
        <v/>
      </c>
      <c r="AJ114" s="57">
        <f>INT((AJ112-1)/12)+1</f>
        <v/>
      </c>
      <c r="AK114" s="57">
        <f>INT((AK112-1)/12)+1</f>
        <v/>
      </c>
      <c r="AL114" s="57">
        <f>INT((AL112-1)/12)+1</f>
        <v/>
      </c>
      <c r="AM114" s="57">
        <f>INT((AM112-1)/12)+1</f>
        <v/>
      </c>
      <c r="AN114" s="57">
        <f>INT((AN112-1)/12)+1</f>
        <v/>
      </c>
    </row>
    <row r="115">
      <c r="B115" s="7" t="inlineStr">
        <is>
          <t>Month</t>
        </is>
      </c>
      <c r="C115" s="5" t="inlineStr"/>
      <c r="E115" s="66">
        <f>INDEX(Seasonality!$B$5:$B$16,E113)&amp;" Y"&amp;E114</f>
        <v/>
      </c>
      <c r="F115" s="66">
        <f>INDEX(Seasonality!$B$5:$B$16,F113)&amp;" Y"&amp;F114</f>
        <v/>
      </c>
      <c r="G115" s="66">
        <f>INDEX(Seasonality!$B$5:$B$16,G113)&amp;" Y"&amp;G114</f>
        <v/>
      </c>
      <c r="H115" s="66">
        <f>INDEX(Seasonality!$B$5:$B$16,H113)&amp;" Y"&amp;H114</f>
        <v/>
      </c>
      <c r="I115" s="66">
        <f>INDEX(Seasonality!$B$5:$B$16,I113)&amp;" Y"&amp;I114</f>
        <v/>
      </c>
      <c r="J115" s="66">
        <f>INDEX(Seasonality!$B$5:$B$16,J113)&amp;" Y"&amp;J114</f>
        <v/>
      </c>
      <c r="K115" s="66">
        <f>INDEX(Seasonality!$B$5:$B$16,K113)&amp;" Y"&amp;K114</f>
        <v/>
      </c>
      <c r="L115" s="66">
        <f>INDEX(Seasonality!$B$5:$B$16,L113)&amp;" Y"&amp;L114</f>
        <v/>
      </c>
      <c r="M115" s="66">
        <f>INDEX(Seasonality!$B$5:$B$16,M113)&amp;" Y"&amp;M114</f>
        <v/>
      </c>
      <c r="N115" s="66">
        <f>INDEX(Seasonality!$B$5:$B$16,N113)&amp;" Y"&amp;N114</f>
        <v/>
      </c>
      <c r="O115" s="66">
        <f>INDEX(Seasonality!$B$5:$B$16,O113)&amp;" Y"&amp;O114</f>
        <v/>
      </c>
      <c r="P115" s="66">
        <f>INDEX(Seasonality!$B$5:$B$16,P113)&amp;" Y"&amp;P114</f>
        <v/>
      </c>
      <c r="Q115" s="66">
        <f>INDEX(Seasonality!$B$5:$B$16,Q113)&amp;" Y"&amp;Q114</f>
        <v/>
      </c>
      <c r="R115" s="66">
        <f>INDEX(Seasonality!$B$5:$B$16,R113)&amp;" Y"&amp;R114</f>
        <v/>
      </c>
      <c r="S115" s="66">
        <f>INDEX(Seasonality!$B$5:$B$16,S113)&amp;" Y"&amp;S114</f>
        <v/>
      </c>
      <c r="T115" s="66">
        <f>INDEX(Seasonality!$B$5:$B$16,T113)&amp;" Y"&amp;T114</f>
        <v/>
      </c>
      <c r="U115" s="66">
        <f>INDEX(Seasonality!$B$5:$B$16,U113)&amp;" Y"&amp;U114</f>
        <v/>
      </c>
      <c r="V115" s="66">
        <f>INDEX(Seasonality!$B$5:$B$16,V113)&amp;" Y"&amp;V114</f>
        <v/>
      </c>
      <c r="W115" s="66">
        <f>INDEX(Seasonality!$B$5:$B$16,W113)&amp;" Y"&amp;W114</f>
        <v/>
      </c>
      <c r="X115" s="66">
        <f>INDEX(Seasonality!$B$5:$B$16,X113)&amp;" Y"&amp;X114</f>
        <v/>
      </c>
      <c r="Y115" s="66">
        <f>INDEX(Seasonality!$B$5:$B$16,Y113)&amp;" Y"&amp;Y114</f>
        <v/>
      </c>
      <c r="Z115" s="66">
        <f>INDEX(Seasonality!$B$5:$B$16,Z113)&amp;" Y"&amp;Z114</f>
        <v/>
      </c>
      <c r="AA115" s="66">
        <f>INDEX(Seasonality!$B$5:$B$16,AA113)&amp;" Y"&amp;AA114</f>
        <v/>
      </c>
      <c r="AB115" s="66">
        <f>INDEX(Seasonality!$B$5:$B$16,AB113)&amp;" Y"&amp;AB114</f>
        <v/>
      </c>
      <c r="AC115" s="66">
        <f>INDEX(Seasonality!$B$5:$B$16,AC113)&amp;" Y"&amp;AC114</f>
        <v/>
      </c>
      <c r="AD115" s="66">
        <f>INDEX(Seasonality!$B$5:$B$16,AD113)&amp;" Y"&amp;AD114</f>
        <v/>
      </c>
      <c r="AE115" s="66">
        <f>INDEX(Seasonality!$B$5:$B$16,AE113)&amp;" Y"&amp;AE114</f>
        <v/>
      </c>
      <c r="AF115" s="66">
        <f>INDEX(Seasonality!$B$5:$B$16,AF113)&amp;" Y"&amp;AF114</f>
        <v/>
      </c>
      <c r="AG115" s="66">
        <f>INDEX(Seasonality!$B$5:$B$16,AG113)&amp;" Y"&amp;AG114</f>
        <v/>
      </c>
      <c r="AH115" s="66">
        <f>INDEX(Seasonality!$B$5:$B$16,AH113)&amp;" Y"&amp;AH114</f>
        <v/>
      </c>
      <c r="AI115" s="66">
        <f>INDEX(Seasonality!$B$5:$B$16,AI113)&amp;" Y"&amp;AI114</f>
        <v/>
      </c>
      <c r="AJ115" s="66">
        <f>INDEX(Seasonality!$B$5:$B$16,AJ113)&amp;" Y"&amp;AJ114</f>
        <v/>
      </c>
      <c r="AK115" s="66">
        <f>INDEX(Seasonality!$B$5:$B$16,AK113)&amp;" Y"&amp;AK114</f>
        <v/>
      </c>
      <c r="AL115" s="66">
        <f>INDEX(Seasonality!$B$5:$B$16,AL113)&amp;" Y"&amp;AL114</f>
        <v/>
      </c>
      <c r="AM115" s="66">
        <f>INDEX(Seasonality!$B$5:$B$16,AM113)&amp;" Y"&amp;AM114</f>
        <v/>
      </c>
      <c r="AN115" s="66">
        <f>INDEX(Seasonality!$B$5:$B$16,AN113)&amp;" Y"&amp;AN114</f>
        <v/>
      </c>
    </row>
    <row r="116">
      <c r="A116" s="23" t="n"/>
      <c r="B116" s="22" t="inlineStr">
        <is>
          <t>A. Sales engine</t>
        </is>
      </c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  <c r="AA116" s="23" t="n"/>
      <c r="AB116" s="23" t="n"/>
      <c r="AC116" s="23" t="n"/>
      <c r="AD116" s="23" t="n"/>
      <c r="AE116" s="23" t="n"/>
      <c r="AF116" s="23" t="n"/>
      <c r="AG116" s="23" t="n"/>
      <c r="AH116" s="23" t="n"/>
      <c r="AI116" s="23" t="n"/>
      <c r="AJ116" s="23" t="n"/>
      <c r="AK116" s="23" t="n"/>
      <c r="AL116" s="23" t="n"/>
      <c r="AM116" s="23" t="n"/>
      <c r="AN116" s="23" t="n"/>
    </row>
    <row r="117">
      <c r="B117" s="7" t="inlineStr">
        <is>
          <t>Cost inflation factor</t>
        </is>
      </c>
      <c r="C117" s="5" t="inlineStr">
        <is>
          <t>x</t>
        </is>
      </c>
      <c r="E117" s="41">
        <f>(1+$D$61)^(E114-1)</f>
        <v/>
      </c>
      <c r="F117" s="41">
        <f>(1+$D$61)^(F114-1)</f>
        <v/>
      </c>
      <c r="G117" s="41">
        <f>(1+$D$61)^(G114-1)</f>
        <v/>
      </c>
      <c r="H117" s="41">
        <f>(1+$D$61)^(H114-1)</f>
        <v/>
      </c>
      <c r="I117" s="41">
        <f>(1+$D$61)^(I114-1)</f>
        <v/>
      </c>
      <c r="J117" s="41">
        <f>(1+$D$61)^(J114-1)</f>
        <v/>
      </c>
      <c r="K117" s="41">
        <f>(1+$D$61)^(K114-1)</f>
        <v/>
      </c>
      <c r="L117" s="41">
        <f>(1+$D$61)^(L114-1)</f>
        <v/>
      </c>
      <c r="M117" s="41">
        <f>(1+$D$61)^(M114-1)</f>
        <v/>
      </c>
      <c r="N117" s="41">
        <f>(1+$D$61)^(N114-1)</f>
        <v/>
      </c>
      <c r="O117" s="41">
        <f>(1+$D$61)^(O114-1)</f>
        <v/>
      </c>
      <c r="P117" s="41">
        <f>(1+$D$61)^(P114-1)</f>
        <v/>
      </c>
      <c r="Q117" s="41">
        <f>(1+$D$61)^(Q114-1)</f>
        <v/>
      </c>
      <c r="R117" s="41">
        <f>(1+$D$61)^(R114-1)</f>
        <v/>
      </c>
      <c r="S117" s="41">
        <f>(1+$D$61)^(S114-1)</f>
        <v/>
      </c>
      <c r="T117" s="41">
        <f>(1+$D$61)^(T114-1)</f>
        <v/>
      </c>
      <c r="U117" s="41">
        <f>(1+$D$61)^(U114-1)</f>
        <v/>
      </c>
      <c r="V117" s="41">
        <f>(1+$D$61)^(V114-1)</f>
        <v/>
      </c>
      <c r="W117" s="41">
        <f>(1+$D$61)^(W114-1)</f>
        <v/>
      </c>
      <c r="X117" s="41">
        <f>(1+$D$61)^(X114-1)</f>
        <v/>
      </c>
      <c r="Y117" s="41">
        <f>(1+$D$61)^(Y114-1)</f>
        <v/>
      </c>
      <c r="Z117" s="41">
        <f>(1+$D$61)^(Z114-1)</f>
        <v/>
      </c>
      <c r="AA117" s="41">
        <f>(1+$D$61)^(AA114-1)</f>
        <v/>
      </c>
      <c r="AB117" s="41">
        <f>(1+$D$61)^(AB114-1)</f>
        <v/>
      </c>
      <c r="AC117" s="41">
        <f>(1+$D$61)^(AC114-1)</f>
        <v/>
      </c>
      <c r="AD117" s="41">
        <f>(1+$D$61)^(AD114-1)</f>
        <v/>
      </c>
      <c r="AE117" s="41">
        <f>(1+$D$61)^(AE114-1)</f>
        <v/>
      </c>
      <c r="AF117" s="41">
        <f>(1+$D$61)^(AF114-1)</f>
        <v/>
      </c>
      <c r="AG117" s="41">
        <f>(1+$D$61)^(AG114-1)</f>
        <v/>
      </c>
      <c r="AH117" s="41">
        <f>(1+$D$61)^(AH114-1)</f>
        <v/>
      </c>
      <c r="AI117" s="41">
        <f>(1+$D$61)^(AI114-1)</f>
        <v/>
      </c>
      <c r="AJ117" s="41">
        <f>(1+$D$61)^(AJ114-1)</f>
        <v/>
      </c>
      <c r="AK117" s="41">
        <f>(1+$D$61)^(AK114-1)</f>
        <v/>
      </c>
      <c r="AL117" s="41">
        <f>(1+$D$61)^(AL114-1)</f>
        <v/>
      </c>
      <c r="AM117" s="41">
        <f>(1+$D$61)^(AM114-1)</f>
        <v/>
      </c>
      <c r="AN117" s="41">
        <f>(1+$D$61)^(AN114-1)</f>
        <v/>
      </c>
    </row>
    <row r="118">
      <c r="B118" s="7" t="inlineStr">
        <is>
          <t>Sales intensity index</t>
        </is>
      </c>
      <c r="C118" s="5" t="inlineStr">
        <is>
          <t>x</t>
        </is>
      </c>
      <c r="E118" s="41">
        <f>INDEX(Sales_Idx,E113)</f>
        <v/>
      </c>
      <c r="F118" s="41">
        <f>INDEX(Sales_Idx,F113)</f>
        <v/>
      </c>
      <c r="G118" s="41">
        <f>INDEX(Sales_Idx,G113)</f>
        <v/>
      </c>
      <c r="H118" s="41">
        <f>INDEX(Sales_Idx,H113)</f>
        <v/>
      </c>
      <c r="I118" s="41">
        <f>INDEX(Sales_Idx,I113)</f>
        <v/>
      </c>
      <c r="J118" s="41">
        <f>INDEX(Sales_Idx,J113)</f>
        <v/>
      </c>
      <c r="K118" s="41">
        <f>INDEX(Sales_Idx,K113)</f>
        <v/>
      </c>
      <c r="L118" s="41">
        <f>INDEX(Sales_Idx,L113)</f>
        <v/>
      </c>
      <c r="M118" s="41">
        <f>INDEX(Sales_Idx,M113)</f>
        <v/>
      </c>
      <c r="N118" s="41">
        <f>INDEX(Sales_Idx,N113)</f>
        <v/>
      </c>
      <c r="O118" s="41">
        <f>INDEX(Sales_Idx,O113)</f>
        <v/>
      </c>
      <c r="P118" s="41">
        <f>INDEX(Sales_Idx,P113)</f>
        <v/>
      </c>
      <c r="Q118" s="41">
        <f>INDEX(Sales_Idx,Q113)</f>
        <v/>
      </c>
      <c r="R118" s="41">
        <f>INDEX(Sales_Idx,R113)</f>
        <v/>
      </c>
      <c r="S118" s="41">
        <f>INDEX(Sales_Idx,S113)</f>
        <v/>
      </c>
      <c r="T118" s="41">
        <f>INDEX(Sales_Idx,T113)</f>
        <v/>
      </c>
      <c r="U118" s="41">
        <f>INDEX(Sales_Idx,U113)</f>
        <v/>
      </c>
      <c r="V118" s="41">
        <f>INDEX(Sales_Idx,V113)</f>
        <v/>
      </c>
      <c r="W118" s="41">
        <f>INDEX(Sales_Idx,W113)</f>
        <v/>
      </c>
      <c r="X118" s="41">
        <f>INDEX(Sales_Idx,X113)</f>
        <v/>
      </c>
      <c r="Y118" s="41">
        <f>INDEX(Sales_Idx,Y113)</f>
        <v/>
      </c>
      <c r="Z118" s="41">
        <f>INDEX(Sales_Idx,Z113)</f>
        <v/>
      </c>
      <c r="AA118" s="41">
        <f>INDEX(Sales_Idx,AA113)</f>
        <v/>
      </c>
      <c r="AB118" s="41">
        <f>INDEX(Sales_Idx,AB113)</f>
        <v/>
      </c>
      <c r="AC118" s="41">
        <f>INDEX(Sales_Idx,AC113)</f>
        <v/>
      </c>
      <c r="AD118" s="41">
        <f>INDEX(Sales_Idx,AD113)</f>
        <v/>
      </c>
      <c r="AE118" s="41">
        <f>INDEX(Sales_Idx,AE113)</f>
        <v/>
      </c>
      <c r="AF118" s="41">
        <f>INDEX(Sales_Idx,AF113)</f>
        <v/>
      </c>
      <c r="AG118" s="41">
        <f>INDEX(Sales_Idx,AG113)</f>
        <v/>
      </c>
      <c r="AH118" s="41">
        <f>INDEX(Sales_Idx,AH113)</f>
        <v/>
      </c>
      <c r="AI118" s="41">
        <f>INDEX(Sales_Idx,AI113)</f>
        <v/>
      </c>
      <c r="AJ118" s="41">
        <f>INDEX(Sales_Idx,AJ113)</f>
        <v/>
      </c>
      <c r="AK118" s="41">
        <f>INDEX(Sales_Idx,AK113)</f>
        <v/>
      </c>
      <c r="AL118" s="41">
        <f>INDEX(Sales_Idx,AL113)</f>
        <v/>
      </c>
      <c r="AM118" s="41">
        <f>INDEX(Sales_Idx,AM113)</f>
        <v/>
      </c>
      <c r="AN118" s="41">
        <f>INDEX(Sales_Idx,AN113)</f>
        <v/>
      </c>
    </row>
    <row r="119">
      <c r="B119" s="7" t="inlineStr">
        <is>
          <t>Field sales reps</t>
        </is>
      </c>
      <c r="C119" s="5" t="inlineStr">
        <is>
          <t>people</t>
        </is>
      </c>
      <c r="E119" s="57">
        <f>CHOOSE(E114,$D$56,$D$57,$D$58)</f>
        <v/>
      </c>
      <c r="F119" s="57">
        <f>CHOOSE(F114,$D$56,$D$57,$D$58)</f>
        <v/>
      </c>
      <c r="G119" s="57">
        <f>CHOOSE(G114,$D$56,$D$57,$D$58)</f>
        <v/>
      </c>
      <c r="H119" s="57">
        <f>CHOOSE(H114,$D$56,$D$57,$D$58)</f>
        <v/>
      </c>
      <c r="I119" s="57">
        <f>CHOOSE(I114,$D$56,$D$57,$D$58)</f>
        <v/>
      </c>
      <c r="J119" s="57">
        <f>CHOOSE(J114,$D$56,$D$57,$D$58)</f>
        <v/>
      </c>
      <c r="K119" s="57">
        <f>CHOOSE(K114,$D$56,$D$57,$D$58)</f>
        <v/>
      </c>
      <c r="L119" s="57">
        <f>CHOOSE(L114,$D$56,$D$57,$D$58)</f>
        <v/>
      </c>
      <c r="M119" s="57">
        <f>CHOOSE(M114,$D$56,$D$57,$D$58)</f>
        <v/>
      </c>
      <c r="N119" s="57">
        <f>CHOOSE(N114,$D$56,$D$57,$D$58)</f>
        <v/>
      </c>
      <c r="O119" s="57">
        <f>CHOOSE(O114,$D$56,$D$57,$D$58)</f>
        <v/>
      </c>
      <c r="P119" s="57">
        <f>CHOOSE(P114,$D$56,$D$57,$D$58)</f>
        <v/>
      </c>
      <c r="Q119" s="57">
        <f>CHOOSE(Q114,$D$56,$D$57,$D$58)</f>
        <v/>
      </c>
      <c r="R119" s="57">
        <f>CHOOSE(R114,$D$56,$D$57,$D$58)</f>
        <v/>
      </c>
      <c r="S119" s="57">
        <f>CHOOSE(S114,$D$56,$D$57,$D$58)</f>
        <v/>
      </c>
      <c r="T119" s="57">
        <f>CHOOSE(T114,$D$56,$D$57,$D$58)</f>
        <v/>
      </c>
      <c r="U119" s="57">
        <f>CHOOSE(U114,$D$56,$D$57,$D$58)</f>
        <v/>
      </c>
      <c r="V119" s="57">
        <f>CHOOSE(V114,$D$56,$D$57,$D$58)</f>
        <v/>
      </c>
      <c r="W119" s="57">
        <f>CHOOSE(W114,$D$56,$D$57,$D$58)</f>
        <v/>
      </c>
      <c r="X119" s="57">
        <f>CHOOSE(X114,$D$56,$D$57,$D$58)</f>
        <v/>
      </c>
      <c r="Y119" s="57">
        <f>CHOOSE(Y114,$D$56,$D$57,$D$58)</f>
        <v/>
      </c>
      <c r="Z119" s="57">
        <f>CHOOSE(Z114,$D$56,$D$57,$D$58)</f>
        <v/>
      </c>
      <c r="AA119" s="57">
        <f>CHOOSE(AA114,$D$56,$D$57,$D$58)</f>
        <v/>
      </c>
      <c r="AB119" s="57">
        <f>CHOOSE(AB114,$D$56,$D$57,$D$58)</f>
        <v/>
      </c>
      <c r="AC119" s="57">
        <f>CHOOSE(AC114,$D$56,$D$57,$D$58)</f>
        <v/>
      </c>
      <c r="AD119" s="57">
        <f>CHOOSE(AD114,$D$56,$D$57,$D$58)</f>
        <v/>
      </c>
      <c r="AE119" s="57">
        <f>CHOOSE(AE114,$D$56,$D$57,$D$58)</f>
        <v/>
      </c>
      <c r="AF119" s="57">
        <f>CHOOSE(AF114,$D$56,$D$57,$D$58)</f>
        <v/>
      </c>
      <c r="AG119" s="57">
        <f>CHOOSE(AG114,$D$56,$D$57,$D$58)</f>
        <v/>
      </c>
      <c r="AH119" s="57">
        <f>CHOOSE(AH114,$D$56,$D$57,$D$58)</f>
        <v/>
      </c>
      <c r="AI119" s="57">
        <f>CHOOSE(AI114,$D$56,$D$57,$D$58)</f>
        <v/>
      </c>
      <c r="AJ119" s="57">
        <f>CHOOSE(AJ114,$D$56,$D$57,$D$58)</f>
        <v/>
      </c>
      <c r="AK119" s="57">
        <f>CHOOSE(AK114,$D$56,$D$57,$D$58)</f>
        <v/>
      </c>
      <c r="AL119" s="57">
        <f>CHOOSE(AL114,$D$56,$D$57,$D$58)</f>
        <v/>
      </c>
      <c r="AM119" s="57">
        <f>CHOOSE(AM114,$D$56,$D$57,$D$58)</f>
        <v/>
      </c>
      <c r="AN119" s="57">
        <f>CHOOSE(AN114,$D$56,$D$57,$D$58)</f>
        <v/>
      </c>
    </row>
    <row r="120">
      <c r="B120" s="7" t="inlineStr">
        <is>
          <t>Free pilots started</t>
        </is>
      </c>
      <c r="C120" s="5" t="inlineStr">
        <is>
          <t>pilots</t>
        </is>
      </c>
      <c r="E120" s="53">
        <f>E119*$D$40*E118</f>
        <v/>
      </c>
      <c r="F120" s="53">
        <f>F119*$D$40*F118</f>
        <v/>
      </c>
      <c r="G120" s="53">
        <f>G119*$D$40*G118</f>
        <v/>
      </c>
      <c r="H120" s="53">
        <f>H119*$D$40*H118</f>
        <v/>
      </c>
      <c r="I120" s="53">
        <f>I119*$D$40*I118</f>
        <v/>
      </c>
      <c r="J120" s="53">
        <f>J119*$D$40*J118</f>
        <v/>
      </c>
      <c r="K120" s="53">
        <f>K119*$D$40*K118</f>
        <v/>
      </c>
      <c r="L120" s="53">
        <f>L119*$D$40*L118</f>
        <v/>
      </c>
      <c r="M120" s="53">
        <f>M119*$D$40*M118</f>
        <v/>
      </c>
      <c r="N120" s="53">
        <f>N119*$D$40*N118</f>
        <v/>
      </c>
      <c r="O120" s="53">
        <f>O119*$D$40*O118</f>
        <v/>
      </c>
      <c r="P120" s="53">
        <f>P119*$D$40*P118</f>
        <v/>
      </c>
      <c r="Q120" s="53">
        <f>Q119*$D$40*Q118</f>
        <v/>
      </c>
      <c r="R120" s="53">
        <f>R119*$D$40*R118</f>
        <v/>
      </c>
      <c r="S120" s="53">
        <f>S119*$D$40*S118</f>
        <v/>
      </c>
      <c r="T120" s="53">
        <f>T119*$D$40*T118</f>
        <v/>
      </c>
      <c r="U120" s="53">
        <f>U119*$D$40*U118</f>
        <v/>
      </c>
      <c r="V120" s="53">
        <f>V119*$D$40*V118</f>
        <v/>
      </c>
      <c r="W120" s="53">
        <f>W119*$D$40*W118</f>
        <v/>
      </c>
      <c r="X120" s="53">
        <f>X119*$D$40*X118</f>
        <v/>
      </c>
      <c r="Y120" s="53">
        <f>Y119*$D$40*Y118</f>
        <v/>
      </c>
      <c r="Z120" s="53">
        <f>Z119*$D$40*Z118</f>
        <v/>
      </c>
      <c r="AA120" s="53">
        <f>AA119*$D$40*AA118</f>
        <v/>
      </c>
      <c r="AB120" s="53">
        <f>AB119*$D$40*AB118</f>
        <v/>
      </c>
      <c r="AC120" s="53">
        <f>AC119*$D$40*AC118</f>
        <v/>
      </c>
      <c r="AD120" s="53">
        <f>AD119*$D$40*AD118</f>
        <v/>
      </c>
      <c r="AE120" s="53">
        <f>AE119*$D$40*AE118</f>
        <v/>
      </c>
      <c r="AF120" s="53">
        <f>AF119*$D$40*AF118</f>
        <v/>
      </c>
      <c r="AG120" s="53">
        <f>AG119*$D$40*AG118</f>
        <v/>
      </c>
      <c r="AH120" s="53">
        <f>AH119*$D$40*AH118</f>
        <v/>
      </c>
      <c r="AI120" s="53">
        <f>AI119*$D$40*AI118</f>
        <v/>
      </c>
      <c r="AJ120" s="53">
        <f>AJ119*$D$40*AJ118</f>
        <v/>
      </c>
      <c r="AK120" s="53">
        <f>AK119*$D$40*AK118</f>
        <v/>
      </c>
      <c r="AL120" s="53">
        <f>AL119*$D$40*AL118</f>
        <v/>
      </c>
      <c r="AM120" s="53">
        <f>AM119*$D$40*AM118</f>
        <v/>
      </c>
      <c r="AN120" s="53">
        <f>AN119*$D$40*AN118</f>
        <v/>
      </c>
    </row>
    <row r="121">
      <c r="B121" s="7" t="inlineStr">
        <is>
          <t>New paying institutes before the market cap</t>
        </is>
      </c>
      <c r="C121" s="5" t="inlineStr">
        <is>
          <t>institutes</t>
        </is>
      </c>
      <c r="E121" s="53">
        <f>IF(E112&gt;$D$42,INDEX($E$120:$AN$120,1,E112-$D$42),0)*$D$41</f>
        <v/>
      </c>
      <c r="F121" s="53">
        <f>IF(F112&gt;$D$42,INDEX($E$120:$AN$120,1,F112-$D$42),0)*$D$41</f>
        <v/>
      </c>
      <c r="G121" s="53">
        <f>IF(G112&gt;$D$42,INDEX($E$120:$AN$120,1,G112-$D$42),0)*$D$41</f>
        <v/>
      </c>
      <c r="H121" s="53">
        <f>IF(H112&gt;$D$42,INDEX($E$120:$AN$120,1,H112-$D$42),0)*$D$41</f>
        <v/>
      </c>
      <c r="I121" s="53">
        <f>IF(I112&gt;$D$42,INDEX($E$120:$AN$120,1,I112-$D$42),0)*$D$41</f>
        <v/>
      </c>
      <c r="J121" s="53">
        <f>IF(J112&gt;$D$42,INDEX($E$120:$AN$120,1,J112-$D$42),0)*$D$41</f>
        <v/>
      </c>
      <c r="K121" s="53">
        <f>IF(K112&gt;$D$42,INDEX($E$120:$AN$120,1,K112-$D$42),0)*$D$41</f>
        <v/>
      </c>
      <c r="L121" s="53">
        <f>IF(L112&gt;$D$42,INDEX($E$120:$AN$120,1,L112-$D$42),0)*$D$41</f>
        <v/>
      </c>
      <c r="M121" s="53">
        <f>IF(M112&gt;$D$42,INDEX($E$120:$AN$120,1,M112-$D$42),0)*$D$41</f>
        <v/>
      </c>
      <c r="N121" s="53">
        <f>IF(N112&gt;$D$42,INDEX($E$120:$AN$120,1,N112-$D$42),0)*$D$41</f>
        <v/>
      </c>
      <c r="O121" s="53">
        <f>IF(O112&gt;$D$42,INDEX($E$120:$AN$120,1,O112-$D$42),0)*$D$41</f>
        <v/>
      </c>
      <c r="P121" s="53">
        <f>IF(P112&gt;$D$42,INDEX($E$120:$AN$120,1,P112-$D$42),0)*$D$41</f>
        <v/>
      </c>
      <c r="Q121" s="53">
        <f>IF(Q112&gt;$D$42,INDEX($E$120:$AN$120,1,Q112-$D$42),0)*$D$41</f>
        <v/>
      </c>
      <c r="R121" s="53">
        <f>IF(R112&gt;$D$42,INDEX($E$120:$AN$120,1,R112-$D$42),0)*$D$41</f>
        <v/>
      </c>
      <c r="S121" s="53">
        <f>IF(S112&gt;$D$42,INDEX($E$120:$AN$120,1,S112-$D$42),0)*$D$41</f>
        <v/>
      </c>
      <c r="T121" s="53">
        <f>IF(T112&gt;$D$42,INDEX($E$120:$AN$120,1,T112-$D$42),0)*$D$41</f>
        <v/>
      </c>
      <c r="U121" s="53">
        <f>IF(U112&gt;$D$42,INDEX($E$120:$AN$120,1,U112-$D$42),0)*$D$41</f>
        <v/>
      </c>
      <c r="V121" s="53">
        <f>IF(V112&gt;$D$42,INDEX($E$120:$AN$120,1,V112-$D$42),0)*$D$41</f>
        <v/>
      </c>
      <c r="W121" s="53">
        <f>IF(W112&gt;$D$42,INDEX($E$120:$AN$120,1,W112-$D$42),0)*$D$41</f>
        <v/>
      </c>
      <c r="X121" s="53">
        <f>IF(X112&gt;$D$42,INDEX($E$120:$AN$120,1,X112-$D$42),0)*$D$41</f>
        <v/>
      </c>
      <c r="Y121" s="53">
        <f>IF(Y112&gt;$D$42,INDEX($E$120:$AN$120,1,Y112-$D$42),0)*$D$41</f>
        <v/>
      </c>
      <c r="Z121" s="53">
        <f>IF(Z112&gt;$D$42,INDEX($E$120:$AN$120,1,Z112-$D$42),0)*$D$41</f>
        <v/>
      </c>
      <c r="AA121" s="53">
        <f>IF(AA112&gt;$D$42,INDEX($E$120:$AN$120,1,AA112-$D$42),0)*$D$41</f>
        <v/>
      </c>
      <c r="AB121" s="53">
        <f>IF(AB112&gt;$D$42,INDEX($E$120:$AN$120,1,AB112-$D$42),0)*$D$41</f>
        <v/>
      </c>
      <c r="AC121" s="53">
        <f>IF(AC112&gt;$D$42,INDEX($E$120:$AN$120,1,AC112-$D$42),0)*$D$41</f>
        <v/>
      </c>
      <c r="AD121" s="53">
        <f>IF(AD112&gt;$D$42,INDEX($E$120:$AN$120,1,AD112-$D$42),0)*$D$41</f>
        <v/>
      </c>
      <c r="AE121" s="53">
        <f>IF(AE112&gt;$D$42,INDEX($E$120:$AN$120,1,AE112-$D$42),0)*$D$41</f>
        <v/>
      </c>
      <c r="AF121" s="53">
        <f>IF(AF112&gt;$D$42,INDEX($E$120:$AN$120,1,AF112-$D$42),0)*$D$41</f>
        <v/>
      </c>
      <c r="AG121" s="53">
        <f>IF(AG112&gt;$D$42,INDEX($E$120:$AN$120,1,AG112-$D$42),0)*$D$41</f>
        <v/>
      </c>
      <c r="AH121" s="53">
        <f>IF(AH112&gt;$D$42,INDEX($E$120:$AN$120,1,AH112-$D$42),0)*$D$41</f>
        <v/>
      </c>
      <c r="AI121" s="53">
        <f>IF(AI112&gt;$D$42,INDEX($E$120:$AN$120,1,AI112-$D$42),0)*$D$41</f>
        <v/>
      </c>
      <c r="AJ121" s="53">
        <f>IF(AJ112&gt;$D$42,INDEX($E$120:$AN$120,1,AJ112-$D$42),0)*$D$41</f>
        <v/>
      </c>
      <c r="AK121" s="53">
        <f>IF(AK112&gt;$D$42,INDEX($E$120:$AN$120,1,AK112-$D$42),0)*$D$41</f>
        <v/>
      </c>
      <c r="AL121" s="53">
        <f>IF(AL112&gt;$D$42,INDEX($E$120:$AN$120,1,AL112-$D$42),0)*$D$41</f>
        <v/>
      </c>
      <c r="AM121" s="53">
        <f>IF(AM112&gt;$D$42,INDEX($E$120:$AN$120,1,AM112-$D$42),0)*$D$41</f>
        <v/>
      </c>
      <c r="AN121" s="53">
        <f>IF(AN112&gt;$D$42,INDEX($E$120:$AN$120,1,AN112-$D$42),0)*$D$41</f>
        <v/>
      </c>
    </row>
    <row r="122">
      <c r="B122" s="7" t="inlineStr">
        <is>
          <t>Market headroom left (SAM × max penetration − institutes won so far)</t>
        </is>
      </c>
      <c r="C122" s="5" t="inlineStr">
        <is>
          <t>institutes</t>
        </is>
      </c>
      <c r="E122" s="53">
        <f>MAX(0,$D$75)</f>
        <v/>
      </c>
      <c r="F122" s="53">
        <f>MAX(0,$D$75-E124)</f>
        <v/>
      </c>
      <c r="G122" s="53">
        <f>MAX(0,$D$75-F124)</f>
        <v/>
      </c>
      <c r="H122" s="53">
        <f>MAX(0,$D$75-G124)</f>
        <v/>
      </c>
      <c r="I122" s="53">
        <f>MAX(0,$D$75-H124)</f>
        <v/>
      </c>
      <c r="J122" s="53">
        <f>MAX(0,$D$75-I124)</f>
        <v/>
      </c>
      <c r="K122" s="53">
        <f>MAX(0,$D$75-J124)</f>
        <v/>
      </c>
      <c r="L122" s="53">
        <f>MAX(0,$D$75-K124)</f>
        <v/>
      </c>
      <c r="M122" s="53">
        <f>MAX(0,$D$75-L124)</f>
        <v/>
      </c>
      <c r="N122" s="53">
        <f>MAX(0,$D$75-M124)</f>
        <v/>
      </c>
      <c r="O122" s="53">
        <f>MAX(0,$D$75-N124)</f>
        <v/>
      </c>
      <c r="P122" s="53">
        <f>MAX(0,$D$75-O124)</f>
        <v/>
      </c>
      <c r="Q122" s="53">
        <f>MAX(0,$D$75-P124)</f>
        <v/>
      </c>
      <c r="R122" s="53">
        <f>MAX(0,$D$75-Q124)</f>
        <v/>
      </c>
      <c r="S122" s="53">
        <f>MAX(0,$D$75-R124)</f>
        <v/>
      </c>
      <c r="T122" s="53">
        <f>MAX(0,$D$75-S124)</f>
        <v/>
      </c>
      <c r="U122" s="53">
        <f>MAX(0,$D$75-T124)</f>
        <v/>
      </c>
      <c r="V122" s="53">
        <f>MAX(0,$D$75-U124)</f>
        <v/>
      </c>
      <c r="W122" s="53">
        <f>MAX(0,$D$75-V124)</f>
        <v/>
      </c>
      <c r="X122" s="53">
        <f>MAX(0,$D$75-W124)</f>
        <v/>
      </c>
      <c r="Y122" s="53">
        <f>MAX(0,$D$75-X124)</f>
        <v/>
      </c>
      <c r="Z122" s="53">
        <f>MAX(0,$D$75-Y124)</f>
        <v/>
      </c>
      <c r="AA122" s="53">
        <f>MAX(0,$D$75-Z124)</f>
        <v/>
      </c>
      <c r="AB122" s="53">
        <f>MAX(0,$D$75-AA124)</f>
        <v/>
      </c>
      <c r="AC122" s="53">
        <f>MAX(0,$D$75-AB124)</f>
        <v/>
      </c>
      <c r="AD122" s="53">
        <f>MAX(0,$D$75-AC124)</f>
        <v/>
      </c>
      <c r="AE122" s="53">
        <f>MAX(0,$D$75-AD124)</f>
        <v/>
      </c>
      <c r="AF122" s="53">
        <f>MAX(0,$D$75-AE124)</f>
        <v/>
      </c>
      <c r="AG122" s="53">
        <f>MAX(0,$D$75-AF124)</f>
        <v/>
      </c>
      <c r="AH122" s="53">
        <f>MAX(0,$D$75-AG124)</f>
        <v/>
      </c>
      <c r="AI122" s="53">
        <f>MAX(0,$D$75-AH124)</f>
        <v/>
      </c>
      <c r="AJ122" s="53">
        <f>MAX(0,$D$75-AI124)</f>
        <v/>
      </c>
      <c r="AK122" s="53">
        <f>MAX(0,$D$75-AJ124)</f>
        <v/>
      </c>
      <c r="AL122" s="53">
        <f>MAX(0,$D$75-AK124)</f>
        <v/>
      </c>
      <c r="AM122" s="53">
        <f>MAX(0,$D$75-AL124)</f>
        <v/>
      </c>
      <c r="AN122" s="53">
        <f>MAX(0,$D$75-AM124)</f>
        <v/>
      </c>
    </row>
    <row r="123">
      <c r="B123" s="7" t="inlineStr">
        <is>
          <t>New paying institutes</t>
        </is>
      </c>
      <c r="C123" s="5" t="inlineStr">
        <is>
          <t>institutes</t>
        </is>
      </c>
      <c r="E123" s="53">
        <f>MIN(E121,E122)</f>
        <v/>
      </c>
      <c r="F123" s="53">
        <f>MIN(F121,F122)</f>
        <v/>
      </c>
      <c r="G123" s="53">
        <f>MIN(G121,G122)</f>
        <v/>
      </c>
      <c r="H123" s="53">
        <f>MIN(H121,H122)</f>
        <v/>
      </c>
      <c r="I123" s="53">
        <f>MIN(I121,I122)</f>
        <v/>
      </c>
      <c r="J123" s="53">
        <f>MIN(J121,J122)</f>
        <v/>
      </c>
      <c r="K123" s="53">
        <f>MIN(K121,K122)</f>
        <v/>
      </c>
      <c r="L123" s="53">
        <f>MIN(L121,L122)</f>
        <v/>
      </c>
      <c r="M123" s="53">
        <f>MIN(M121,M122)</f>
        <v/>
      </c>
      <c r="N123" s="53">
        <f>MIN(N121,N122)</f>
        <v/>
      </c>
      <c r="O123" s="53">
        <f>MIN(O121,O122)</f>
        <v/>
      </c>
      <c r="P123" s="53">
        <f>MIN(P121,P122)</f>
        <v/>
      </c>
      <c r="Q123" s="53">
        <f>MIN(Q121,Q122)</f>
        <v/>
      </c>
      <c r="R123" s="53">
        <f>MIN(R121,R122)</f>
        <v/>
      </c>
      <c r="S123" s="53">
        <f>MIN(S121,S122)</f>
        <v/>
      </c>
      <c r="T123" s="53">
        <f>MIN(T121,T122)</f>
        <v/>
      </c>
      <c r="U123" s="53">
        <f>MIN(U121,U122)</f>
        <v/>
      </c>
      <c r="V123" s="53">
        <f>MIN(V121,V122)</f>
        <v/>
      </c>
      <c r="W123" s="53">
        <f>MIN(W121,W122)</f>
        <v/>
      </c>
      <c r="X123" s="53">
        <f>MIN(X121,X122)</f>
        <v/>
      </c>
      <c r="Y123" s="53">
        <f>MIN(Y121,Y122)</f>
        <v/>
      </c>
      <c r="Z123" s="53">
        <f>MIN(Z121,Z122)</f>
        <v/>
      </c>
      <c r="AA123" s="53">
        <f>MIN(AA121,AA122)</f>
        <v/>
      </c>
      <c r="AB123" s="53">
        <f>MIN(AB121,AB122)</f>
        <v/>
      </c>
      <c r="AC123" s="53">
        <f>MIN(AC121,AC122)</f>
        <v/>
      </c>
      <c r="AD123" s="53">
        <f>MIN(AD121,AD122)</f>
        <v/>
      </c>
      <c r="AE123" s="53">
        <f>MIN(AE121,AE122)</f>
        <v/>
      </c>
      <c r="AF123" s="53">
        <f>MIN(AF121,AF122)</f>
        <v/>
      </c>
      <c r="AG123" s="53">
        <f>MIN(AG121,AG122)</f>
        <v/>
      </c>
      <c r="AH123" s="53">
        <f>MIN(AH121,AH122)</f>
        <v/>
      </c>
      <c r="AI123" s="53">
        <f>MIN(AI121,AI122)</f>
        <v/>
      </c>
      <c r="AJ123" s="53">
        <f>MIN(AJ121,AJ122)</f>
        <v/>
      </c>
      <c r="AK123" s="53">
        <f>MIN(AK121,AK122)</f>
        <v/>
      </c>
      <c r="AL123" s="53">
        <f>MIN(AL121,AL122)</f>
        <v/>
      </c>
      <c r="AM123" s="53">
        <f>MIN(AM121,AM122)</f>
        <v/>
      </c>
      <c r="AN123" s="53">
        <f>MIN(AN121,AN122)</f>
        <v/>
      </c>
    </row>
    <row r="124">
      <c r="B124" s="7" t="inlineStr">
        <is>
          <t>Cumulative institutes won</t>
        </is>
      </c>
      <c r="C124" s="5" t="inlineStr">
        <is>
          <t>institutes</t>
        </is>
      </c>
      <c r="E124" s="53">
        <f>E123</f>
        <v/>
      </c>
      <c r="F124" s="53">
        <f>E124+F123</f>
        <v/>
      </c>
      <c r="G124" s="53">
        <f>F124+G123</f>
        <v/>
      </c>
      <c r="H124" s="53">
        <f>G124+H123</f>
        <v/>
      </c>
      <c r="I124" s="53">
        <f>H124+I123</f>
        <v/>
      </c>
      <c r="J124" s="53">
        <f>I124+J123</f>
        <v/>
      </c>
      <c r="K124" s="53">
        <f>J124+K123</f>
        <v/>
      </c>
      <c r="L124" s="53">
        <f>K124+L123</f>
        <v/>
      </c>
      <c r="M124" s="53">
        <f>L124+M123</f>
        <v/>
      </c>
      <c r="N124" s="53">
        <f>M124+N123</f>
        <v/>
      </c>
      <c r="O124" s="53">
        <f>N124+O123</f>
        <v/>
      </c>
      <c r="P124" s="53">
        <f>O124+P123</f>
        <v/>
      </c>
      <c r="Q124" s="53">
        <f>P124+Q123</f>
        <v/>
      </c>
      <c r="R124" s="53">
        <f>Q124+R123</f>
        <v/>
      </c>
      <c r="S124" s="53">
        <f>R124+S123</f>
        <v/>
      </c>
      <c r="T124" s="53">
        <f>S124+T123</f>
        <v/>
      </c>
      <c r="U124" s="53">
        <f>T124+U123</f>
        <v/>
      </c>
      <c r="V124" s="53">
        <f>U124+V123</f>
        <v/>
      </c>
      <c r="W124" s="53">
        <f>V124+W123</f>
        <v/>
      </c>
      <c r="X124" s="53">
        <f>W124+X123</f>
        <v/>
      </c>
      <c r="Y124" s="53">
        <f>X124+Y123</f>
        <v/>
      </c>
      <c r="Z124" s="53">
        <f>Y124+Z123</f>
        <v/>
      </c>
      <c r="AA124" s="53">
        <f>Z124+AA123</f>
        <v/>
      </c>
      <c r="AB124" s="53">
        <f>AA124+AB123</f>
        <v/>
      </c>
      <c r="AC124" s="53">
        <f>AB124+AC123</f>
        <v/>
      </c>
      <c r="AD124" s="53">
        <f>AC124+AD123</f>
        <v/>
      </c>
      <c r="AE124" s="53">
        <f>AD124+AE123</f>
        <v/>
      </c>
      <c r="AF124" s="53">
        <f>AE124+AF123</f>
        <v/>
      </c>
      <c r="AG124" s="53">
        <f>AF124+AG123</f>
        <v/>
      </c>
      <c r="AH124" s="53">
        <f>AG124+AH123</f>
        <v/>
      </c>
      <c r="AI124" s="53">
        <f>AH124+AI123</f>
        <v/>
      </c>
      <c r="AJ124" s="53">
        <f>AI124+AJ123</f>
        <v/>
      </c>
      <c r="AK124" s="53">
        <f>AJ124+AK123</f>
        <v/>
      </c>
      <c r="AL124" s="53">
        <f>AK124+AL123</f>
        <v/>
      </c>
      <c r="AM124" s="53">
        <f>AL124+AM123</f>
        <v/>
      </c>
      <c r="AN124" s="53">
        <f>AM124+AN123</f>
        <v/>
      </c>
    </row>
    <row r="125">
      <c r="A125" s="23" t="n"/>
      <c r="B125" s="22" t="inlineStr">
        <is>
          <t>B. Customers and revenue</t>
        </is>
      </c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  <c r="AA125" s="23" t="n"/>
      <c r="AB125" s="23" t="n"/>
      <c r="AC125" s="23" t="n"/>
      <c r="AD125" s="23" t="n"/>
      <c r="AE125" s="23" t="n"/>
      <c r="AF125" s="23" t="n"/>
      <c r="AG125" s="23" t="n"/>
      <c r="AH125" s="23" t="n"/>
      <c r="AI125" s="23" t="n"/>
      <c r="AJ125" s="23" t="n"/>
      <c r="AK125" s="23" t="n"/>
      <c r="AL125" s="23" t="n"/>
      <c r="AM125" s="23" t="n"/>
      <c r="AN125" s="23" t="n"/>
    </row>
    <row r="126">
      <c r="B126" s="3" t="inlineStr">
        <is>
          <t>Paying institutes (end of month)</t>
        </is>
      </c>
      <c r="C126" s="5" t="inlineStr">
        <is>
          <t>institutes</t>
        </is>
      </c>
      <c r="E126" s="53">
        <f>SUM(E161:E196)</f>
        <v/>
      </c>
      <c r="F126" s="53">
        <f>SUM(F161:F196)</f>
        <v/>
      </c>
      <c r="G126" s="53">
        <f>SUM(G161:G196)</f>
        <v/>
      </c>
      <c r="H126" s="53">
        <f>SUM(H161:H196)</f>
        <v/>
      </c>
      <c r="I126" s="53">
        <f>SUM(I161:I196)</f>
        <v/>
      </c>
      <c r="J126" s="53">
        <f>SUM(J161:J196)</f>
        <v/>
      </c>
      <c r="K126" s="53">
        <f>SUM(K161:K196)</f>
        <v/>
      </c>
      <c r="L126" s="53">
        <f>SUM(L161:L196)</f>
        <v/>
      </c>
      <c r="M126" s="53">
        <f>SUM(M161:M196)</f>
        <v/>
      </c>
      <c r="N126" s="53">
        <f>SUM(N161:N196)</f>
        <v/>
      </c>
      <c r="O126" s="53">
        <f>SUM(O161:O196)</f>
        <v/>
      </c>
      <c r="P126" s="53">
        <f>SUM(P161:P196)</f>
        <v/>
      </c>
      <c r="Q126" s="53">
        <f>SUM(Q161:Q196)</f>
        <v/>
      </c>
      <c r="R126" s="53">
        <f>SUM(R161:R196)</f>
        <v/>
      </c>
      <c r="S126" s="53">
        <f>SUM(S161:S196)</f>
        <v/>
      </c>
      <c r="T126" s="53">
        <f>SUM(T161:T196)</f>
        <v/>
      </c>
      <c r="U126" s="53">
        <f>SUM(U161:U196)</f>
        <v/>
      </c>
      <c r="V126" s="53">
        <f>SUM(V161:V196)</f>
        <v/>
      </c>
      <c r="W126" s="53">
        <f>SUM(W161:W196)</f>
        <v/>
      </c>
      <c r="X126" s="53">
        <f>SUM(X161:X196)</f>
        <v/>
      </c>
      <c r="Y126" s="53">
        <f>SUM(Y161:Y196)</f>
        <v/>
      </c>
      <c r="Z126" s="53">
        <f>SUM(Z161:Z196)</f>
        <v/>
      </c>
      <c r="AA126" s="53">
        <f>SUM(AA161:AA196)</f>
        <v/>
      </c>
      <c r="AB126" s="53">
        <f>SUM(AB161:AB196)</f>
        <v/>
      </c>
      <c r="AC126" s="53">
        <f>SUM(AC161:AC196)</f>
        <v/>
      </c>
      <c r="AD126" s="53">
        <f>SUM(AD161:AD196)</f>
        <v/>
      </c>
      <c r="AE126" s="53">
        <f>SUM(AE161:AE196)</f>
        <v/>
      </c>
      <c r="AF126" s="53">
        <f>SUM(AF161:AF196)</f>
        <v/>
      </c>
      <c r="AG126" s="53">
        <f>SUM(AG161:AG196)</f>
        <v/>
      </c>
      <c r="AH126" s="53">
        <f>SUM(AH161:AH196)</f>
        <v/>
      </c>
      <c r="AI126" s="53">
        <f>SUM(AI161:AI196)</f>
        <v/>
      </c>
      <c r="AJ126" s="53">
        <f>SUM(AJ161:AJ196)</f>
        <v/>
      </c>
      <c r="AK126" s="53">
        <f>SUM(AK161:AK196)</f>
        <v/>
      </c>
      <c r="AL126" s="53">
        <f>SUM(AL161:AL196)</f>
        <v/>
      </c>
      <c r="AM126" s="53">
        <f>SUM(AM161:AM196)</f>
        <v/>
      </c>
      <c r="AN126" s="53">
        <f>SUM(AN161:AN196)</f>
        <v/>
      </c>
    </row>
    <row r="127">
      <c r="B127" s="7" t="inlineStr">
        <is>
          <t>Revenue per paying institute this month</t>
        </is>
      </c>
      <c r="C127" s="5" t="inlineStr">
        <is>
          <t>₹</t>
        </is>
      </c>
      <c r="E127" s="50">
        <f>INDEX($E$82:$P$82,1,E113)</f>
        <v/>
      </c>
      <c r="F127" s="50">
        <f>INDEX($E$82:$P$82,1,F113)</f>
        <v/>
      </c>
      <c r="G127" s="50">
        <f>INDEX($E$82:$P$82,1,G113)</f>
        <v/>
      </c>
      <c r="H127" s="50">
        <f>INDEX($E$82:$P$82,1,H113)</f>
        <v/>
      </c>
      <c r="I127" s="50">
        <f>INDEX($E$82:$P$82,1,I113)</f>
        <v/>
      </c>
      <c r="J127" s="50">
        <f>INDEX($E$82:$P$82,1,J113)</f>
        <v/>
      </c>
      <c r="K127" s="50">
        <f>INDEX($E$82:$P$82,1,K113)</f>
        <v/>
      </c>
      <c r="L127" s="50">
        <f>INDEX($E$82:$P$82,1,L113)</f>
        <v/>
      </c>
      <c r="M127" s="50">
        <f>INDEX($E$82:$P$82,1,M113)</f>
        <v/>
      </c>
      <c r="N127" s="50">
        <f>INDEX($E$82:$P$82,1,N113)</f>
        <v/>
      </c>
      <c r="O127" s="50">
        <f>INDEX($E$82:$P$82,1,O113)</f>
        <v/>
      </c>
      <c r="P127" s="50">
        <f>INDEX($E$82:$P$82,1,P113)</f>
        <v/>
      </c>
      <c r="Q127" s="50">
        <f>INDEX($E$82:$P$82,1,Q113)</f>
        <v/>
      </c>
      <c r="R127" s="50">
        <f>INDEX($E$82:$P$82,1,R113)</f>
        <v/>
      </c>
      <c r="S127" s="50">
        <f>INDEX($E$82:$P$82,1,S113)</f>
        <v/>
      </c>
      <c r="T127" s="50">
        <f>INDEX($E$82:$P$82,1,T113)</f>
        <v/>
      </c>
      <c r="U127" s="50">
        <f>INDEX($E$82:$P$82,1,U113)</f>
        <v/>
      </c>
      <c r="V127" s="50">
        <f>INDEX($E$82:$P$82,1,V113)</f>
        <v/>
      </c>
      <c r="W127" s="50">
        <f>INDEX($E$82:$P$82,1,W113)</f>
        <v/>
      </c>
      <c r="X127" s="50">
        <f>INDEX($E$82:$P$82,1,X113)</f>
        <v/>
      </c>
      <c r="Y127" s="50">
        <f>INDEX($E$82:$P$82,1,Y113)</f>
        <v/>
      </c>
      <c r="Z127" s="50">
        <f>INDEX($E$82:$P$82,1,Z113)</f>
        <v/>
      </c>
      <c r="AA127" s="50">
        <f>INDEX($E$82:$P$82,1,AA113)</f>
        <v/>
      </c>
      <c r="AB127" s="50">
        <f>INDEX($E$82:$P$82,1,AB113)</f>
        <v/>
      </c>
      <c r="AC127" s="50">
        <f>INDEX($E$82:$P$82,1,AC113)</f>
        <v/>
      </c>
      <c r="AD127" s="50">
        <f>INDEX($E$82:$P$82,1,AD113)</f>
        <v/>
      </c>
      <c r="AE127" s="50">
        <f>INDEX($E$82:$P$82,1,AE113)</f>
        <v/>
      </c>
      <c r="AF127" s="50">
        <f>INDEX($E$82:$P$82,1,AF113)</f>
        <v/>
      </c>
      <c r="AG127" s="50">
        <f>INDEX($E$82:$P$82,1,AG113)</f>
        <v/>
      </c>
      <c r="AH127" s="50">
        <f>INDEX($E$82:$P$82,1,AH113)</f>
        <v/>
      </c>
      <c r="AI127" s="50">
        <f>INDEX($E$82:$P$82,1,AI113)</f>
        <v/>
      </c>
      <c r="AJ127" s="50">
        <f>INDEX($E$82:$P$82,1,AJ113)</f>
        <v/>
      </c>
      <c r="AK127" s="50">
        <f>INDEX($E$82:$P$82,1,AK113)</f>
        <v/>
      </c>
      <c r="AL127" s="50">
        <f>INDEX($E$82:$P$82,1,AL113)</f>
        <v/>
      </c>
      <c r="AM127" s="50">
        <f>INDEX($E$82:$P$82,1,AM113)</f>
        <v/>
      </c>
      <c r="AN127" s="50">
        <f>INDEX($E$82:$P$82,1,AN113)</f>
        <v/>
      </c>
    </row>
    <row r="128">
      <c r="B128" s="3" t="inlineStr">
        <is>
          <t>Revenue (ex-GST)</t>
        </is>
      </c>
      <c r="C128" s="5" t="inlineStr">
        <is>
          <t>₹</t>
        </is>
      </c>
      <c r="E128" s="52">
        <f>E126*E127</f>
        <v/>
      </c>
      <c r="F128" s="52">
        <f>F126*F127</f>
        <v/>
      </c>
      <c r="G128" s="52">
        <f>G126*G127</f>
        <v/>
      </c>
      <c r="H128" s="52">
        <f>H126*H127</f>
        <v/>
      </c>
      <c r="I128" s="52">
        <f>I126*I127</f>
        <v/>
      </c>
      <c r="J128" s="52">
        <f>J126*J127</f>
        <v/>
      </c>
      <c r="K128" s="52">
        <f>K126*K127</f>
        <v/>
      </c>
      <c r="L128" s="52">
        <f>L126*L127</f>
        <v/>
      </c>
      <c r="M128" s="52">
        <f>M126*M127</f>
        <v/>
      </c>
      <c r="N128" s="52">
        <f>N126*N127</f>
        <v/>
      </c>
      <c r="O128" s="52">
        <f>O126*O127</f>
        <v/>
      </c>
      <c r="P128" s="52">
        <f>P126*P127</f>
        <v/>
      </c>
      <c r="Q128" s="52">
        <f>Q126*Q127</f>
        <v/>
      </c>
      <c r="R128" s="52">
        <f>R126*R127</f>
        <v/>
      </c>
      <c r="S128" s="52">
        <f>S126*S127</f>
        <v/>
      </c>
      <c r="T128" s="52">
        <f>T126*T127</f>
        <v/>
      </c>
      <c r="U128" s="52">
        <f>U126*U127</f>
        <v/>
      </c>
      <c r="V128" s="52">
        <f>V126*V127</f>
        <v/>
      </c>
      <c r="W128" s="52">
        <f>W126*W127</f>
        <v/>
      </c>
      <c r="X128" s="52">
        <f>X126*X127</f>
        <v/>
      </c>
      <c r="Y128" s="52">
        <f>Y126*Y127</f>
        <v/>
      </c>
      <c r="Z128" s="52">
        <f>Z126*Z127</f>
        <v/>
      </c>
      <c r="AA128" s="52">
        <f>AA126*AA127</f>
        <v/>
      </c>
      <c r="AB128" s="52">
        <f>AB126*AB127</f>
        <v/>
      </c>
      <c r="AC128" s="52">
        <f>AC126*AC127</f>
        <v/>
      </c>
      <c r="AD128" s="52">
        <f>AD126*AD127</f>
        <v/>
      </c>
      <c r="AE128" s="52">
        <f>AE126*AE127</f>
        <v/>
      </c>
      <c r="AF128" s="52">
        <f>AF126*AF127</f>
        <v/>
      </c>
      <c r="AG128" s="52">
        <f>AG126*AG127</f>
        <v/>
      </c>
      <c r="AH128" s="52">
        <f>AH126*AH127</f>
        <v/>
      </c>
      <c r="AI128" s="52">
        <f>AI126*AI127</f>
        <v/>
      </c>
      <c r="AJ128" s="52">
        <f>AJ126*AJ127</f>
        <v/>
      </c>
      <c r="AK128" s="52">
        <f>AK126*AK127</f>
        <v/>
      </c>
      <c r="AL128" s="52">
        <f>AL126*AL127</f>
        <v/>
      </c>
      <c r="AM128" s="52">
        <f>AM126*AM127</f>
        <v/>
      </c>
      <c r="AN128" s="52">
        <f>AN126*AN127</f>
        <v/>
      </c>
    </row>
    <row r="129">
      <c r="A129" s="23" t="n"/>
      <c r="B129" s="22" t="inlineStr">
        <is>
          <t>C. Cost of serving customers</t>
        </is>
      </c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  <c r="AA129" s="23" t="n"/>
      <c r="AB129" s="23" t="n"/>
      <c r="AC129" s="23" t="n"/>
      <c r="AD129" s="23" t="n"/>
      <c r="AE129" s="23" t="n"/>
      <c r="AF129" s="23" t="n"/>
      <c r="AG129" s="23" t="n"/>
      <c r="AH129" s="23" t="n"/>
      <c r="AI129" s="23" t="n"/>
      <c r="AJ129" s="23" t="n"/>
      <c r="AK129" s="23" t="n"/>
      <c r="AL129" s="23" t="n"/>
      <c r="AM129" s="23" t="n"/>
      <c r="AN129" s="23" t="n"/>
    </row>
    <row r="130">
      <c r="B130" s="7" t="inlineStr">
        <is>
          <t>Variable cost of serving (AI, WhatsApp, compute, consent, payment fees, compliance)</t>
        </is>
      </c>
      <c r="C130" s="5" t="inlineStr">
        <is>
          <t>₹</t>
        </is>
      </c>
      <c r="E130" s="50">
        <f>E126*INDEX($E$83:$P$83,1,E113)</f>
        <v/>
      </c>
      <c r="F130" s="50">
        <f>F126*INDEX($E$83:$P$83,1,F113)</f>
        <v/>
      </c>
      <c r="G130" s="50">
        <f>G126*INDEX($E$83:$P$83,1,G113)</f>
        <v/>
      </c>
      <c r="H130" s="50">
        <f>H126*INDEX($E$83:$P$83,1,H113)</f>
        <v/>
      </c>
      <c r="I130" s="50">
        <f>I126*INDEX($E$83:$P$83,1,I113)</f>
        <v/>
      </c>
      <c r="J130" s="50">
        <f>J126*INDEX($E$83:$P$83,1,J113)</f>
        <v/>
      </c>
      <c r="K130" s="50">
        <f>K126*INDEX($E$83:$P$83,1,K113)</f>
        <v/>
      </c>
      <c r="L130" s="50">
        <f>L126*INDEX($E$83:$P$83,1,L113)</f>
        <v/>
      </c>
      <c r="M130" s="50">
        <f>M126*INDEX($E$83:$P$83,1,M113)</f>
        <v/>
      </c>
      <c r="N130" s="50">
        <f>N126*INDEX($E$83:$P$83,1,N113)</f>
        <v/>
      </c>
      <c r="O130" s="50">
        <f>O126*INDEX($E$83:$P$83,1,O113)</f>
        <v/>
      </c>
      <c r="P130" s="50">
        <f>P126*INDEX($E$83:$P$83,1,P113)</f>
        <v/>
      </c>
      <c r="Q130" s="50">
        <f>Q126*INDEX($E$83:$P$83,1,Q113)</f>
        <v/>
      </c>
      <c r="R130" s="50">
        <f>R126*INDEX($E$83:$P$83,1,R113)</f>
        <v/>
      </c>
      <c r="S130" s="50">
        <f>S126*INDEX($E$83:$P$83,1,S113)</f>
        <v/>
      </c>
      <c r="T130" s="50">
        <f>T126*INDEX($E$83:$P$83,1,T113)</f>
        <v/>
      </c>
      <c r="U130" s="50">
        <f>U126*INDEX($E$83:$P$83,1,U113)</f>
        <v/>
      </c>
      <c r="V130" s="50">
        <f>V126*INDEX($E$83:$P$83,1,V113)</f>
        <v/>
      </c>
      <c r="W130" s="50">
        <f>W126*INDEX($E$83:$P$83,1,W113)</f>
        <v/>
      </c>
      <c r="X130" s="50">
        <f>X126*INDEX($E$83:$P$83,1,X113)</f>
        <v/>
      </c>
      <c r="Y130" s="50">
        <f>Y126*INDEX($E$83:$P$83,1,Y113)</f>
        <v/>
      </c>
      <c r="Z130" s="50">
        <f>Z126*INDEX($E$83:$P$83,1,Z113)</f>
        <v/>
      </c>
      <c r="AA130" s="50">
        <f>AA126*INDEX($E$83:$P$83,1,AA113)</f>
        <v/>
      </c>
      <c r="AB130" s="50">
        <f>AB126*INDEX($E$83:$P$83,1,AB113)</f>
        <v/>
      </c>
      <c r="AC130" s="50">
        <f>AC126*INDEX($E$83:$P$83,1,AC113)</f>
        <v/>
      </c>
      <c r="AD130" s="50">
        <f>AD126*INDEX($E$83:$P$83,1,AD113)</f>
        <v/>
      </c>
      <c r="AE130" s="50">
        <f>AE126*INDEX($E$83:$P$83,1,AE113)</f>
        <v/>
      </c>
      <c r="AF130" s="50">
        <f>AF126*INDEX($E$83:$P$83,1,AF113)</f>
        <v/>
      </c>
      <c r="AG130" s="50">
        <f>AG126*INDEX($E$83:$P$83,1,AG113)</f>
        <v/>
      </c>
      <c r="AH130" s="50">
        <f>AH126*INDEX($E$83:$P$83,1,AH113)</f>
        <v/>
      </c>
      <c r="AI130" s="50">
        <f>AI126*INDEX($E$83:$P$83,1,AI113)</f>
        <v/>
      </c>
      <c r="AJ130" s="50">
        <f>AJ126*INDEX($E$83:$P$83,1,AJ113)</f>
        <v/>
      </c>
      <c r="AK130" s="50">
        <f>AK126*INDEX($E$83:$P$83,1,AK113)</f>
        <v/>
      </c>
      <c r="AL130" s="50">
        <f>AL126*INDEX($E$83:$P$83,1,AL113)</f>
        <v/>
      </c>
      <c r="AM130" s="50">
        <f>AM126*INDEX($E$83:$P$83,1,AM113)</f>
        <v/>
      </c>
      <c r="AN130" s="50">
        <f>AN126*INDEX($E$83:$P$83,1,AN113)</f>
        <v/>
      </c>
    </row>
    <row r="131">
      <c r="B131" s="7" t="inlineStr">
        <is>
          <t>Server stacks needed</t>
        </is>
      </c>
      <c r="C131" s="5" t="inlineStr">
        <is>
          <t>stacks</t>
        </is>
      </c>
      <c r="E131" s="57">
        <f>IF(E126&gt;0,CEILING(E126/$D$33,1),0)</f>
        <v/>
      </c>
      <c r="F131" s="57">
        <f>IF(F126&gt;0,CEILING(F126/$D$33,1),0)</f>
        <v/>
      </c>
      <c r="G131" s="57">
        <f>IF(G126&gt;0,CEILING(G126/$D$33,1),0)</f>
        <v/>
      </c>
      <c r="H131" s="57">
        <f>IF(H126&gt;0,CEILING(H126/$D$33,1),0)</f>
        <v/>
      </c>
      <c r="I131" s="57">
        <f>IF(I126&gt;0,CEILING(I126/$D$33,1),0)</f>
        <v/>
      </c>
      <c r="J131" s="57">
        <f>IF(J126&gt;0,CEILING(J126/$D$33,1),0)</f>
        <v/>
      </c>
      <c r="K131" s="57">
        <f>IF(K126&gt;0,CEILING(K126/$D$33,1),0)</f>
        <v/>
      </c>
      <c r="L131" s="57">
        <f>IF(L126&gt;0,CEILING(L126/$D$33,1),0)</f>
        <v/>
      </c>
      <c r="M131" s="57">
        <f>IF(M126&gt;0,CEILING(M126/$D$33,1),0)</f>
        <v/>
      </c>
      <c r="N131" s="57">
        <f>IF(N126&gt;0,CEILING(N126/$D$33,1),0)</f>
        <v/>
      </c>
      <c r="O131" s="57">
        <f>IF(O126&gt;0,CEILING(O126/$D$33,1),0)</f>
        <v/>
      </c>
      <c r="P131" s="57">
        <f>IF(P126&gt;0,CEILING(P126/$D$33,1),0)</f>
        <v/>
      </c>
      <c r="Q131" s="57">
        <f>IF(Q126&gt;0,CEILING(Q126/$D$33,1),0)</f>
        <v/>
      </c>
      <c r="R131" s="57">
        <f>IF(R126&gt;0,CEILING(R126/$D$33,1),0)</f>
        <v/>
      </c>
      <c r="S131" s="57">
        <f>IF(S126&gt;0,CEILING(S126/$D$33,1),0)</f>
        <v/>
      </c>
      <c r="T131" s="57">
        <f>IF(T126&gt;0,CEILING(T126/$D$33,1),0)</f>
        <v/>
      </c>
      <c r="U131" s="57">
        <f>IF(U126&gt;0,CEILING(U126/$D$33,1),0)</f>
        <v/>
      </c>
      <c r="V131" s="57">
        <f>IF(V126&gt;0,CEILING(V126/$D$33,1),0)</f>
        <v/>
      </c>
      <c r="W131" s="57">
        <f>IF(W126&gt;0,CEILING(W126/$D$33,1),0)</f>
        <v/>
      </c>
      <c r="X131" s="57">
        <f>IF(X126&gt;0,CEILING(X126/$D$33,1),0)</f>
        <v/>
      </c>
      <c r="Y131" s="57">
        <f>IF(Y126&gt;0,CEILING(Y126/$D$33,1),0)</f>
        <v/>
      </c>
      <c r="Z131" s="57">
        <f>IF(Z126&gt;0,CEILING(Z126/$D$33,1),0)</f>
        <v/>
      </c>
      <c r="AA131" s="57">
        <f>IF(AA126&gt;0,CEILING(AA126/$D$33,1),0)</f>
        <v/>
      </c>
      <c r="AB131" s="57">
        <f>IF(AB126&gt;0,CEILING(AB126/$D$33,1),0)</f>
        <v/>
      </c>
      <c r="AC131" s="57">
        <f>IF(AC126&gt;0,CEILING(AC126/$D$33,1),0)</f>
        <v/>
      </c>
      <c r="AD131" s="57">
        <f>IF(AD126&gt;0,CEILING(AD126/$D$33,1),0)</f>
        <v/>
      </c>
      <c r="AE131" s="57">
        <f>IF(AE126&gt;0,CEILING(AE126/$D$33,1),0)</f>
        <v/>
      </c>
      <c r="AF131" s="57">
        <f>IF(AF126&gt;0,CEILING(AF126/$D$33,1),0)</f>
        <v/>
      </c>
      <c r="AG131" s="57">
        <f>IF(AG126&gt;0,CEILING(AG126/$D$33,1),0)</f>
        <v/>
      </c>
      <c r="AH131" s="57">
        <f>IF(AH126&gt;0,CEILING(AH126/$D$33,1),0)</f>
        <v/>
      </c>
      <c r="AI131" s="57">
        <f>IF(AI126&gt;0,CEILING(AI126/$D$33,1),0)</f>
        <v/>
      </c>
      <c r="AJ131" s="57">
        <f>IF(AJ126&gt;0,CEILING(AJ126/$D$33,1),0)</f>
        <v/>
      </c>
      <c r="AK131" s="57">
        <f>IF(AK126&gt;0,CEILING(AK126/$D$33,1),0)</f>
        <v/>
      </c>
      <c r="AL131" s="57">
        <f>IF(AL126&gt;0,CEILING(AL126/$D$33,1),0)</f>
        <v/>
      </c>
      <c r="AM131" s="57">
        <f>IF(AM126&gt;0,CEILING(AM126/$D$33,1),0)</f>
        <v/>
      </c>
      <c r="AN131" s="57">
        <f>IF(AN126&gt;0,CEILING(AN126/$D$33,1),0)</f>
        <v/>
      </c>
    </row>
    <row r="132">
      <c r="B132" s="7" t="inlineStr">
        <is>
          <t>Hosting and WhatsApp provider fee</t>
        </is>
      </c>
      <c r="C132" s="5" t="inlineStr">
        <is>
          <t>₹</t>
        </is>
      </c>
      <c r="E132" s="50">
        <f>E131*($D$31+$D$32)</f>
        <v/>
      </c>
      <c r="F132" s="50">
        <f>F131*($D$31+$D$32)</f>
        <v/>
      </c>
      <c r="G132" s="50">
        <f>G131*($D$31+$D$32)</f>
        <v/>
      </c>
      <c r="H132" s="50">
        <f>H131*($D$31+$D$32)</f>
        <v/>
      </c>
      <c r="I132" s="50">
        <f>I131*($D$31+$D$32)</f>
        <v/>
      </c>
      <c r="J132" s="50">
        <f>J131*($D$31+$D$32)</f>
        <v/>
      </c>
      <c r="K132" s="50">
        <f>K131*($D$31+$D$32)</f>
        <v/>
      </c>
      <c r="L132" s="50">
        <f>L131*($D$31+$D$32)</f>
        <v/>
      </c>
      <c r="M132" s="50">
        <f>M131*($D$31+$D$32)</f>
        <v/>
      </c>
      <c r="N132" s="50">
        <f>N131*($D$31+$D$32)</f>
        <v/>
      </c>
      <c r="O132" s="50">
        <f>O131*($D$31+$D$32)</f>
        <v/>
      </c>
      <c r="P132" s="50">
        <f>P131*($D$31+$D$32)</f>
        <v/>
      </c>
      <c r="Q132" s="50">
        <f>Q131*($D$31+$D$32)</f>
        <v/>
      </c>
      <c r="R132" s="50">
        <f>R131*($D$31+$D$32)</f>
        <v/>
      </c>
      <c r="S132" s="50">
        <f>S131*($D$31+$D$32)</f>
        <v/>
      </c>
      <c r="T132" s="50">
        <f>T131*($D$31+$D$32)</f>
        <v/>
      </c>
      <c r="U132" s="50">
        <f>U131*($D$31+$D$32)</f>
        <v/>
      </c>
      <c r="V132" s="50">
        <f>V131*($D$31+$D$32)</f>
        <v/>
      </c>
      <c r="W132" s="50">
        <f>W131*($D$31+$D$32)</f>
        <v/>
      </c>
      <c r="X132" s="50">
        <f>X131*($D$31+$D$32)</f>
        <v/>
      </c>
      <c r="Y132" s="50">
        <f>Y131*($D$31+$D$32)</f>
        <v/>
      </c>
      <c r="Z132" s="50">
        <f>Z131*($D$31+$D$32)</f>
        <v/>
      </c>
      <c r="AA132" s="50">
        <f>AA131*($D$31+$D$32)</f>
        <v/>
      </c>
      <c r="AB132" s="50">
        <f>AB131*($D$31+$D$32)</f>
        <v/>
      </c>
      <c r="AC132" s="50">
        <f>AC131*($D$31+$D$32)</f>
        <v/>
      </c>
      <c r="AD132" s="50">
        <f>AD131*($D$31+$D$32)</f>
        <v/>
      </c>
      <c r="AE132" s="50">
        <f>AE131*($D$31+$D$32)</f>
        <v/>
      </c>
      <c r="AF132" s="50">
        <f>AF131*($D$31+$D$32)</f>
        <v/>
      </c>
      <c r="AG132" s="50">
        <f>AG131*($D$31+$D$32)</f>
        <v/>
      </c>
      <c r="AH132" s="50">
        <f>AH131*($D$31+$D$32)</f>
        <v/>
      </c>
      <c r="AI132" s="50">
        <f>AI131*($D$31+$D$32)</f>
        <v/>
      </c>
      <c r="AJ132" s="50">
        <f>AJ131*($D$31+$D$32)</f>
        <v/>
      </c>
      <c r="AK132" s="50">
        <f>AK131*($D$31+$D$32)</f>
        <v/>
      </c>
      <c r="AL132" s="50">
        <f>AL131*($D$31+$D$32)</f>
        <v/>
      </c>
      <c r="AM132" s="50">
        <f>AM131*($D$31+$D$32)</f>
        <v/>
      </c>
      <c r="AN132" s="50">
        <f>AN131*($D$31+$D$32)</f>
        <v/>
      </c>
    </row>
    <row r="133">
      <c r="B133" s="7" t="inlineStr">
        <is>
          <t>Customer-success staff</t>
        </is>
      </c>
      <c r="C133" s="5" t="inlineStr">
        <is>
          <t>people</t>
        </is>
      </c>
      <c r="E133" s="57">
        <f>IF(E126&gt;0,CEILING(E126/$D$36,1),0)</f>
        <v/>
      </c>
      <c r="F133" s="57">
        <f>IF(F126&gt;0,CEILING(F126/$D$36,1),0)</f>
        <v/>
      </c>
      <c r="G133" s="57">
        <f>IF(G126&gt;0,CEILING(G126/$D$36,1),0)</f>
        <v/>
      </c>
      <c r="H133" s="57">
        <f>IF(H126&gt;0,CEILING(H126/$D$36,1),0)</f>
        <v/>
      </c>
      <c r="I133" s="57">
        <f>IF(I126&gt;0,CEILING(I126/$D$36,1),0)</f>
        <v/>
      </c>
      <c r="J133" s="57">
        <f>IF(J126&gt;0,CEILING(J126/$D$36,1),0)</f>
        <v/>
      </c>
      <c r="K133" s="57">
        <f>IF(K126&gt;0,CEILING(K126/$D$36,1),0)</f>
        <v/>
      </c>
      <c r="L133" s="57">
        <f>IF(L126&gt;0,CEILING(L126/$D$36,1),0)</f>
        <v/>
      </c>
      <c r="M133" s="57">
        <f>IF(M126&gt;0,CEILING(M126/$D$36,1),0)</f>
        <v/>
      </c>
      <c r="N133" s="57">
        <f>IF(N126&gt;0,CEILING(N126/$D$36,1),0)</f>
        <v/>
      </c>
      <c r="O133" s="57">
        <f>IF(O126&gt;0,CEILING(O126/$D$36,1),0)</f>
        <v/>
      </c>
      <c r="P133" s="57">
        <f>IF(P126&gt;0,CEILING(P126/$D$36,1),0)</f>
        <v/>
      </c>
      <c r="Q133" s="57">
        <f>IF(Q126&gt;0,CEILING(Q126/$D$36,1),0)</f>
        <v/>
      </c>
      <c r="R133" s="57">
        <f>IF(R126&gt;0,CEILING(R126/$D$36,1),0)</f>
        <v/>
      </c>
      <c r="S133" s="57">
        <f>IF(S126&gt;0,CEILING(S126/$D$36,1),0)</f>
        <v/>
      </c>
      <c r="T133" s="57">
        <f>IF(T126&gt;0,CEILING(T126/$D$36,1),0)</f>
        <v/>
      </c>
      <c r="U133" s="57">
        <f>IF(U126&gt;0,CEILING(U126/$D$36,1),0)</f>
        <v/>
      </c>
      <c r="V133" s="57">
        <f>IF(V126&gt;0,CEILING(V126/$D$36,1),0)</f>
        <v/>
      </c>
      <c r="W133" s="57">
        <f>IF(W126&gt;0,CEILING(W126/$D$36,1),0)</f>
        <v/>
      </c>
      <c r="X133" s="57">
        <f>IF(X126&gt;0,CEILING(X126/$D$36,1),0)</f>
        <v/>
      </c>
      <c r="Y133" s="57">
        <f>IF(Y126&gt;0,CEILING(Y126/$D$36,1),0)</f>
        <v/>
      </c>
      <c r="Z133" s="57">
        <f>IF(Z126&gt;0,CEILING(Z126/$D$36,1),0)</f>
        <v/>
      </c>
      <c r="AA133" s="57">
        <f>IF(AA126&gt;0,CEILING(AA126/$D$36,1),0)</f>
        <v/>
      </c>
      <c r="AB133" s="57">
        <f>IF(AB126&gt;0,CEILING(AB126/$D$36,1),0)</f>
        <v/>
      </c>
      <c r="AC133" s="57">
        <f>IF(AC126&gt;0,CEILING(AC126/$D$36,1),0)</f>
        <v/>
      </c>
      <c r="AD133" s="57">
        <f>IF(AD126&gt;0,CEILING(AD126/$D$36,1),0)</f>
        <v/>
      </c>
      <c r="AE133" s="57">
        <f>IF(AE126&gt;0,CEILING(AE126/$D$36,1),0)</f>
        <v/>
      </c>
      <c r="AF133" s="57">
        <f>IF(AF126&gt;0,CEILING(AF126/$D$36,1),0)</f>
        <v/>
      </c>
      <c r="AG133" s="57">
        <f>IF(AG126&gt;0,CEILING(AG126/$D$36,1),0)</f>
        <v/>
      </c>
      <c r="AH133" s="57">
        <f>IF(AH126&gt;0,CEILING(AH126/$D$36,1),0)</f>
        <v/>
      </c>
      <c r="AI133" s="57">
        <f>IF(AI126&gt;0,CEILING(AI126/$D$36,1),0)</f>
        <v/>
      </c>
      <c r="AJ133" s="57">
        <f>IF(AJ126&gt;0,CEILING(AJ126/$D$36,1),0)</f>
        <v/>
      </c>
      <c r="AK133" s="57">
        <f>IF(AK126&gt;0,CEILING(AK126/$D$36,1),0)</f>
        <v/>
      </c>
      <c r="AL133" s="57">
        <f>IF(AL126&gt;0,CEILING(AL126/$D$36,1),0)</f>
        <v/>
      </c>
      <c r="AM133" s="57">
        <f>IF(AM126&gt;0,CEILING(AM126/$D$36,1),0)</f>
        <v/>
      </c>
      <c r="AN133" s="57">
        <f>IF(AN126&gt;0,CEILING(AN126/$D$36,1),0)</f>
        <v/>
      </c>
    </row>
    <row r="134">
      <c r="B134" s="7" t="inlineStr">
        <is>
          <t>Customer-success cost</t>
        </is>
      </c>
      <c r="C134" s="5" t="inlineStr">
        <is>
          <t>₹</t>
        </is>
      </c>
      <c r="E134" s="50">
        <f>E133*$D$35*E117</f>
        <v/>
      </c>
      <c r="F134" s="50">
        <f>F133*$D$35*F117</f>
        <v/>
      </c>
      <c r="G134" s="50">
        <f>G133*$D$35*G117</f>
        <v/>
      </c>
      <c r="H134" s="50">
        <f>H133*$D$35*H117</f>
        <v/>
      </c>
      <c r="I134" s="50">
        <f>I133*$D$35*I117</f>
        <v/>
      </c>
      <c r="J134" s="50">
        <f>J133*$D$35*J117</f>
        <v/>
      </c>
      <c r="K134" s="50">
        <f>K133*$D$35*K117</f>
        <v/>
      </c>
      <c r="L134" s="50">
        <f>L133*$D$35*L117</f>
        <v/>
      </c>
      <c r="M134" s="50">
        <f>M133*$D$35*M117</f>
        <v/>
      </c>
      <c r="N134" s="50">
        <f>N133*$D$35*N117</f>
        <v/>
      </c>
      <c r="O134" s="50">
        <f>O133*$D$35*O117</f>
        <v/>
      </c>
      <c r="P134" s="50">
        <f>P133*$D$35*P117</f>
        <v/>
      </c>
      <c r="Q134" s="50">
        <f>Q133*$D$35*Q117</f>
        <v/>
      </c>
      <c r="R134" s="50">
        <f>R133*$D$35*R117</f>
        <v/>
      </c>
      <c r="S134" s="50">
        <f>S133*$D$35*S117</f>
        <v/>
      </c>
      <c r="T134" s="50">
        <f>T133*$D$35*T117</f>
        <v/>
      </c>
      <c r="U134" s="50">
        <f>U133*$D$35*U117</f>
        <v/>
      </c>
      <c r="V134" s="50">
        <f>V133*$D$35*V117</f>
        <v/>
      </c>
      <c r="W134" s="50">
        <f>W133*$D$35*W117</f>
        <v/>
      </c>
      <c r="X134" s="50">
        <f>X133*$D$35*X117</f>
        <v/>
      </c>
      <c r="Y134" s="50">
        <f>Y133*$D$35*Y117</f>
        <v/>
      </c>
      <c r="Z134" s="50">
        <f>Z133*$D$35*Z117</f>
        <v/>
      </c>
      <c r="AA134" s="50">
        <f>AA133*$D$35*AA117</f>
        <v/>
      </c>
      <c r="AB134" s="50">
        <f>AB133*$D$35*AB117</f>
        <v/>
      </c>
      <c r="AC134" s="50">
        <f>AC133*$D$35*AC117</f>
        <v/>
      </c>
      <c r="AD134" s="50">
        <f>AD133*$D$35*AD117</f>
        <v/>
      </c>
      <c r="AE134" s="50">
        <f>AE133*$D$35*AE117</f>
        <v/>
      </c>
      <c r="AF134" s="50">
        <f>AF133*$D$35*AF117</f>
        <v/>
      </c>
      <c r="AG134" s="50">
        <f>AG133*$D$35*AG117</f>
        <v/>
      </c>
      <c r="AH134" s="50">
        <f>AH133*$D$35*AH117</f>
        <v/>
      </c>
      <c r="AI134" s="50">
        <f>AI133*$D$35*AI117</f>
        <v/>
      </c>
      <c r="AJ134" s="50">
        <f>AJ133*$D$35*AJ117</f>
        <v/>
      </c>
      <c r="AK134" s="50">
        <f>AK133*$D$35*AK117</f>
        <v/>
      </c>
      <c r="AL134" s="50">
        <f>AL133*$D$35*AL117</f>
        <v/>
      </c>
      <c r="AM134" s="50">
        <f>AM133*$D$35*AM117</f>
        <v/>
      </c>
      <c r="AN134" s="50">
        <f>AN133*$D$35*AN117</f>
        <v/>
      </c>
    </row>
    <row r="135">
      <c r="B135" s="3" t="inlineStr">
        <is>
          <t>Gross profit (SaaS convention: after support)</t>
        </is>
      </c>
      <c r="C135" s="5" t="inlineStr">
        <is>
          <t>₹</t>
        </is>
      </c>
      <c r="E135" s="50">
        <f>E128-E130-E132-E134</f>
        <v/>
      </c>
      <c r="F135" s="50">
        <f>F128-F130-F132-F134</f>
        <v/>
      </c>
      <c r="G135" s="50">
        <f>G128-G130-G132-G134</f>
        <v/>
      </c>
      <c r="H135" s="50">
        <f>H128-H130-H132-H134</f>
        <v/>
      </c>
      <c r="I135" s="50">
        <f>I128-I130-I132-I134</f>
        <v/>
      </c>
      <c r="J135" s="50">
        <f>J128-J130-J132-J134</f>
        <v/>
      </c>
      <c r="K135" s="50">
        <f>K128-K130-K132-K134</f>
        <v/>
      </c>
      <c r="L135" s="50">
        <f>L128-L130-L132-L134</f>
        <v/>
      </c>
      <c r="M135" s="50">
        <f>M128-M130-M132-M134</f>
        <v/>
      </c>
      <c r="N135" s="50">
        <f>N128-N130-N132-N134</f>
        <v/>
      </c>
      <c r="O135" s="50">
        <f>O128-O130-O132-O134</f>
        <v/>
      </c>
      <c r="P135" s="50">
        <f>P128-P130-P132-P134</f>
        <v/>
      </c>
      <c r="Q135" s="50">
        <f>Q128-Q130-Q132-Q134</f>
        <v/>
      </c>
      <c r="R135" s="50">
        <f>R128-R130-R132-R134</f>
        <v/>
      </c>
      <c r="S135" s="50">
        <f>S128-S130-S132-S134</f>
        <v/>
      </c>
      <c r="T135" s="50">
        <f>T128-T130-T132-T134</f>
        <v/>
      </c>
      <c r="U135" s="50">
        <f>U128-U130-U132-U134</f>
        <v/>
      </c>
      <c r="V135" s="50">
        <f>V128-V130-V132-V134</f>
        <v/>
      </c>
      <c r="W135" s="50">
        <f>W128-W130-W132-W134</f>
        <v/>
      </c>
      <c r="X135" s="50">
        <f>X128-X130-X132-X134</f>
        <v/>
      </c>
      <c r="Y135" s="50">
        <f>Y128-Y130-Y132-Y134</f>
        <v/>
      </c>
      <c r="Z135" s="50">
        <f>Z128-Z130-Z132-Z134</f>
        <v/>
      </c>
      <c r="AA135" s="50">
        <f>AA128-AA130-AA132-AA134</f>
        <v/>
      </c>
      <c r="AB135" s="50">
        <f>AB128-AB130-AB132-AB134</f>
        <v/>
      </c>
      <c r="AC135" s="50">
        <f>AC128-AC130-AC132-AC134</f>
        <v/>
      </c>
      <c r="AD135" s="50">
        <f>AD128-AD130-AD132-AD134</f>
        <v/>
      </c>
      <c r="AE135" s="50">
        <f>AE128-AE130-AE132-AE134</f>
        <v/>
      </c>
      <c r="AF135" s="50">
        <f>AF128-AF130-AF132-AF134</f>
        <v/>
      </c>
      <c r="AG135" s="50">
        <f>AG128-AG130-AG132-AG134</f>
        <v/>
      </c>
      <c r="AH135" s="50">
        <f>AH128-AH130-AH132-AH134</f>
        <v/>
      </c>
      <c r="AI135" s="50">
        <f>AI128-AI130-AI132-AI134</f>
        <v/>
      </c>
      <c r="AJ135" s="50">
        <f>AJ128-AJ130-AJ132-AJ134</f>
        <v/>
      </c>
      <c r="AK135" s="50">
        <f>AK128-AK130-AK132-AK134</f>
        <v/>
      </c>
      <c r="AL135" s="50">
        <f>AL128-AL130-AL132-AL134</f>
        <v/>
      </c>
      <c r="AM135" s="50">
        <f>AM128-AM130-AM132-AM134</f>
        <v/>
      </c>
      <c r="AN135" s="50">
        <f>AN128-AN130-AN132-AN134</f>
        <v/>
      </c>
    </row>
    <row r="136">
      <c r="A136" s="23" t="n"/>
      <c r="B136" s="22" t="inlineStr">
        <is>
          <t>D. Operating costs</t>
        </is>
      </c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  <c r="AA136" s="23" t="n"/>
      <c r="AB136" s="23" t="n"/>
      <c r="AC136" s="23" t="n"/>
      <c r="AD136" s="23" t="n"/>
      <c r="AE136" s="23" t="n"/>
      <c r="AF136" s="23" t="n"/>
      <c r="AG136" s="23" t="n"/>
      <c r="AH136" s="23" t="n"/>
      <c r="AI136" s="23" t="n"/>
      <c r="AJ136" s="23" t="n"/>
      <c r="AK136" s="23" t="n"/>
      <c r="AL136" s="23" t="n"/>
      <c r="AM136" s="23" t="n"/>
      <c r="AN136" s="23" t="n"/>
    </row>
    <row r="137">
      <c r="B137" s="7" t="inlineStr">
        <is>
          <t>Sales team (rep cost + travel, with overhead loading)</t>
        </is>
      </c>
      <c r="C137" s="5" t="inlineStr">
        <is>
          <t>₹</t>
        </is>
      </c>
      <c r="E137" s="50">
        <f>E119*($D$37+$D$38)*E117*(1+$D$39)</f>
        <v/>
      </c>
      <c r="F137" s="50">
        <f>F119*($D$37+$D$38)*F117*(1+$D$39)</f>
        <v/>
      </c>
      <c r="G137" s="50">
        <f>G119*($D$37+$D$38)*G117*(1+$D$39)</f>
        <v/>
      </c>
      <c r="H137" s="50">
        <f>H119*($D$37+$D$38)*H117*(1+$D$39)</f>
        <v/>
      </c>
      <c r="I137" s="50">
        <f>I119*($D$37+$D$38)*I117*(1+$D$39)</f>
        <v/>
      </c>
      <c r="J137" s="50">
        <f>J119*($D$37+$D$38)*J117*(1+$D$39)</f>
        <v/>
      </c>
      <c r="K137" s="50">
        <f>K119*($D$37+$D$38)*K117*(1+$D$39)</f>
        <v/>
      </c>
      <c r="L137" s="50">
        <f>L119*($D$37+$D$38)*L117*(1+$D$39)</f>
        <v/>
      </c>
      <c r="M137" s="50">
        <f>M119*($D$37+$D$38)*M117*(1+$D$39)</f>
        <v/>
      </c>
      <c r="N137" s="50">
        <f>N119*($D$37+$D$38)*N117*(1+$D$39)</f>
        <v/>
      </c>
      <c r="O137" s="50">
        <f>O119*($D$37+$D$38)*O117*(1+$D$39)</f>
        <v/>
      </c>
      <c r="P137" s="50">
        <f>P119*($D$37+$D$38)*P117*(1+$D$39)</f>
        <v/>
      </c>
      <c r="Q137" s="50">
        <f>Q119*($D$37+$D$38)*Q117*(1+$D$39)</f>
        <v/>
      </c>
      <c r="R137" s="50">
        <f>R119*($D$37+$D$38)*R117*(1+$D$39)</f>
        <v/>
      </c>
      <c r="S137" s="50">
        <f>S119*($D$37+$D$38)*S117*(1+$D$39)</f>
        <v/>
      </c>
      <c r="T137" s="50">
        <f>T119*($D$37+$D$38)*T117*(1+$D$39)</f>
        <v/>
      </c>
      <c r="U137" s="50">
        <f>U119*($D$37+$D$38)*U117*(1+$D$39)</f>
        <v/>
      </c>
      <c r="V137" s="50">
        <f>V119*($D$37+$D$38)*V117*(1+$D$39)</f>
        <v/>
      </c>
      <c r="W137" s="50">
        <f>W119*($D$37+$D$38)*W117*(1+$D$39)</f>
        <v/>
      </c>
      <c r="X137" s="50">
        <f>X119*($D$37+$D$38)*X117*(1+$D$39)</f>
        <v/>
      </c>
      <c r="Y137" s="50">
        <f>Y119*($D$37+$D$38)*Y117*(1+$D$39)</f>
        <v/>
      </c>
      <c r="Z137" s="50">
        <f>Z119*($D$37+$D$38)*Z117*(1+$D$39)</f>
        <v/>
      </c>
      <c r="AA137" s="50">
        <f>AA119*($D$37+$D$38)*AA117*(1+$D$39)</f>
        <v/>
      </c>
      <c r="AB137" s="50">
        <f>AB119*($D$37+$D$38)*AB117*(1+$D$39)</f>
        <v/>
      </c>
      <c r="AC137" s="50">
        <f>AC119*($D$37+$D$38)*AC117*(1+$D$39)</f>
        <v/>
      </c>
      <c r="AD137" s="50">
        <f>AD119*($D$37+$D$38)*AD117*(1+$D$39)</f>
        <v/>
      </c>
      <c r="AE137" s="50">
        <f>AE119*($D$37+$D$38)*AE117*(1+$D$39)</f>
        <v/>
      </c>
      <c r="AF137" s="50">
        <f>AF119*($D$37+$D$38)*AF117*(1+$D$39)</f>
        <v/>
      </c>
      <c r="AG137" s="50">
        <f>AG119*($D$37+$D$38)*AG117*(1+$D$39)</f>
        <v/>
      </c>
      <c r="AH137" s="50">
        <f>AH119*($D$37+$D$38)*AH117*(1+$D$39)</f>
        <v/>
      </c>
      <c r="AI137" s="50">
        <f>AI119*($D$37+$D$38)*AI117*(1+$D$39)</f>
        <v/>
      </c>
      <c r="AJ137" s="50">
        <f>AJ119*($D$37+$D$38)*AJ117*(1+$D$39)</f>
        <v/>
      </c>
      <c r="AK137" s="50">
        <f>AK119*($D$37+$D$38)*AK117*(1+$D$39)</f>
        <v/>
      </c>
      <c r="AL137" s="50">
        <f>AL119*($D$37+$D$38)*AL117*(1+$D$39)</f>
        <v/>
      </c>
      <c r="AM137" s="50">
        <f>AM119*($D$37+$D$38)*AM117*(1+$D$39)</f>
        <v/>
      </c>
      <c r="AN137" s="50">
        <f>AN119*($D$37+$D$38)*AN117*(1+$D$39)</f>
        <v/>
      </c>
    </row>
    <row r="138">
      <c r="B138" s="7" t="inlineStr">
        <is>
          <t>Marketing</t>
        </is>
      </c>
      <c r="C138" s="5" t="inlineStr">
        <is>
          <t>₹</t>
        </is>
      </c>
      <c r="E138" s="50">
        <f>E123*$D$45</f>
        <v/>
      </c>
      <c r="F138" s="50">
        <f>F123*$D$45</f>
        <v/>
      </c>
      <c r="G138" s="50">
        <f>G123*$D$45</f>
        <v/>
      </c>
      <c r="H138" s="50">
        <f>H123*$D$45</f>
        <v/>
      </c>
      <c r="I138" s="50">
        <f>I123*$D$45</f>
        <v/>
      </c>
      <c r="J138" s="50">
        <f>J123*$D$45</f>
        <v/>
      </c>
      <c r="K138" s="50">
        <f>K123*$D$45</f>
        <v/>
      </c>
      <c r="L138" s="50">
        <f>L123*$D$45</f>
        <v/>
      </c>
      <c r="M138" s="50">
        <f>M123*$D$45</f>
        <v/>
      </c>
      <c r="N138" s="50">
        <f>N123*$D$45</f>
        <v/>
      </c>
      <c r="O138" s="50">
        <f>O123*$D$45</f>
        <v/>
      </c>
      <c r="P138" s="50">
        <f>P123*$D$45</f>
        <v/>
      </c>
      <c r="Q138" s="50">
        <f>Q123*$D$45</f>
        <v/>
      </c>
      <c r="R138" s="50">
        <f>R123*$D$45</f>
        <v/>
      </c>
      <c r="S138" s="50">
        <f>S123*$D$45</f>
        <v/>
      </c>
      <c r="T138" s="50">
        <f>T123*$D$45</f>
        <v/>
      </c>
      <c r="U138" s="50">
        <f>U123*$D$45</f>
        <v/>
      </c>
      <c r="V138" s="50">
        <f>V123*$D$45</f>
        <v/>
      </c>
      <c r="W138" s="50">
        <f>W123*$D$45</f>
        <v/>
      </c>
      <c r="X138" s="50">
        <f>X123*$D$45</f>
        <v/>
      </c>
      <c r="Y138" s="50">
        <f>Y123*$D$45</f>
        <v/>
      </c>
      <c r="Z138" s="50">
        <f>Z123*$D$45</f>
        <v/>
      </c>
      <c r="AA138" s="50">
        <f>AA123*$D$45</f>
        <v/>
      </c>
      <c r="AB138" s="50">
        <f>AB123*$D$45</f>
        <v/>
      </c>
      <c r="AC138" s="50">
        <f>AC123*$D$45</f>
        <v/>
      </c>
      <c r="AD138" s="50">
        <f>AD123*$D$45</f>
        <v/>
      </c>
      <c r="AE138" s="50">
        <f>AE123*$D$45</f>
        <v/>
      </c>
      <c r="AF138" s="50">
        <f>AF123*$D$45</f>
        <v/>
      </c>
      <c r="AG138" s="50">
        <f>AG123*$D$45</f>
        <v/>
      </c>
      <c r="AH138" s="50">
        <f>AH123*$D$45</f>
        <v/>
      </c>
      <c r="AI138" s="50">
        <f>AI123*$D$45</f>
        <v/>
      </c>
      <c r="AJ138" s="50">
        <f>AJ123*$D$45</f>
        <v/>
      </c>
      <c r="AK138" s="50">
        <f>AK123*$D$45</f>
        <v/>
      </c>
      <c r="AL138" s="50">
        <f>AL123*$D$45</f>
        <v/>
      </c>
      <c r="AM138" s="50">
        <f>AM123*$D$45</f>
        <v/>
      </c>
      <c r="AN138" s="50">
        <f>AN123*$D$45</f>
        <v/>
      </c>
    </row>
    <row r="139">
      <c r="B139" s="7" t="inlineStr">
        <is>
          <t>Free pilots (setup + serving)</t>
        </is>
      </c>
      <c r="C139" s="5" t="inlineStr">
        <is>
          <t>₹</t>
        </is>
      </c>
      <c r="E139" s="50">
        <f>E120*$D$74</f>
        <v/>
      </c>
      <c r="F139" s="50">
        <f>F120*$D$74</f>
        <v/>
      </c>
      <c r="G139" s="50">
        <f>G120*$D$74</f>
        <v/>
      </c>
      <c r="H139" s="50">
        <f>H120*$D$74</f>
        <v/>
      </c>
      <c r="I139" s="50">
        <f>I120*$D$74</f>
        <v/>
      </c>
      <c r="J139" s="50">
        <f>J120*$D$74</f>
        <v/>
      </c>
      <c r="K139" s="50">
        <f>K120*$D$74</f>
        <v/>
      </c>
      <c r="L139" s="50">
        <f>L120*$D$74</f>
        <v/>
      </c>
      <c r="M139" s="50">
        <f>M120*$D$74</f>
        <v/>
      </c>
      <c r="N139" s="50">
        <f>N120*$D$74</f>
        <v/>
      </c>
      <c r="O139" s="50">
        <f>O120*$D$74</f>
        <v/>
      </c>
      <c r="P139" s="50">
        <f>P120*$D$74</f>
        <v/>
      </c>
      <c r="Q139" s="50">
        <f>Q120*$D$74</f>
        <v/>
      </c>
      <c r="R139" s="50">
        <f>R120*$D$74</f>
        <v/>
      </c>
      <c r="S139" s="50">
        <f>S120*$D$74</f>
        <v/>
      </c>
      <c r="T139" s="50">
        <f>T120*$D$74</f>
        <v/>
      </c>
      <c r="U139" s="50">
        <f>U120*$D$74</f>
        <v/>
      </c>
      <c r="V139" s="50">
        <f>V120*$D$74</f>
        <v/>
      </c>
      <c r="W139" s="50">
        <f>W120*$D$74</f>
        <v/>
      </c>
      <c r="X139" s="50">
        <f>X120*$D$74</f>
        <v/>
      </c>
      <c r="Y139" s="50">
        <f>Y120*$D$74</f>
        <v/>
      </c>
      <c r="Z139" s="50">
        <f>Z120*$D$74</f>
        <v/>
      </c>
      <c r="AA139" s="50">
        <f>AA120*$D$74</f>
        <v/>
      </c>
      <c r="AB139" s="50">
        <f>AB120*$D$74</f>
        <v/>
      </c>
      <c r="AC139" s="50">
        <f>AC120*$D$74</f>
        <v/>
      </c>
      <c r="AD139" s="50">
        <f>AD120*$D$74</f>
        <v/>
      </c>
      <c r="AE139" s="50">
        <f>AE120*$D$74</f>
        <v/>
      </c>
      <c r="AF139" s="50">
        <f>AF120*$D$74</f>
        <v/>
      </c>
      <c r="AG139" s="50">
        <f>AG120*$D$74</f>
        <v/>
      </c>
      <c r="AH139" s="50">
        <f>AH120*$D$74</f>
        <v/>
      </c>
      <c r="AI139" s="50">
        <f>AI120*$D$74</f>
        <v/>
      </c>
      <c r="AJ139" s="50">
        <f>AJ120*$D$74</f>
        <v/>
      </c>
      <c r="AK139" s="50">
        <f>AK120*$D$74</f>
        <v/>
      </c>
      <c r="AL139" s="50">
        <f>AL120*$D$74</f>
        <v/>
      </c>
      <c r="AM139" s="50">
        <f>AM120*$D$74</f>
        <v/>
      </c>
      <c r="AN139" s="50">
        <f>AN120*$D$74</f>
        <v/>
      </c>
    </row>
    <row r="140">
      <c r="B140" s="7" t="inlineStr">
        <is>
          <t>Onboarding of new paying institutes</t>
        </is>
      </c>
      <c r="C140" s="5" t="inlineStr">
        <is>
          <t>₹</t>
        </is>
      </c>
      <c r="E140" s="50">
        <f>E123*$D$44*$D$73</f>
        <v/>
      </c>
      <c r="F140" s="50">
        <f>F123*$D$44*$D$73</f>
        <v/>
      </c>
      <c r="G140" s="50">
        <f>G123*$D$44*$D$73</f>
        <v/>
      </c>
      <c r="H140" s="50">
        <f>H123*$D$44*$D$73</f>
        <v/>
      </c>
      <c r="I140" s="50">
        <f>I123*$D$44*$D$73</f>
        <v/>
      </c>
      <c r="J140" s="50">
        <f>J123*$D$44*$D$73</f>
        <v/>
      </c>
      <c r="K140" s="50">
        <f>K123*$D$44*$D$73</f>
        <v/>
      </c>
      <c r="L140" s="50">
        <f>L123*$D$44*$D$73</f>
        <v/>
      </c>
      <c r="M140" s="50">
        <f>M123*$D$44*$D$73</f>
        <v/>
      </c>
      <c r="N140" s="50">
        <f>N123*$D$44*$D$73</f>
        <v/>
      </c>
      <c r="O140" s="50">
        <f>O123*$D$44*$D$73</f>
        <v/>
      </c>
      <c r="P140" s="50">
        <f>P123*$D$44*$D$73</f>
        <v/>
      </c>
      <c r="Q140" s="50">
        <f>Q123*$D$44*$D$73</f>
        <v/>
      </c>
      <c r="R140" s="50">
        <f>R123*$D$44*$D$73</f>
        <v/>
      </c>
      <c r="S140" s="50">
        <f>S123*$D$44*$D$73</f>
        <v/>
      </c>
      <c r="T140" s="50">
        <f>T123*$D$44*$D$73</f>
        <v/>
      </c>
      <c r="U140" s="50">
        <f>U123*$D$44*$D$73</f>
        <v/>
      </c>
      <c r="V140" s="50">
        <f>V123*$D$44*$D$73</f>
        <v/>
      </c>
      <c r="W140" s="50">
        <f>W123*$D$44*$D$73</f>
        <v/>
      </c>
      <c r="X140" s="50">
        <f>X123*$D$44*$D$73</f>
        <v/>
      </c>
      <c r="Y140" s="50">
        <f>Y123*$D$44*$D$73</f>
        <v/>
      </c>
      <c r="Z140" s="50">
        <f>Z123*$D$44*$D$73</f>
        <v/>
      </c>
      <c r="AA140" s="50">
        <f>AA123*$D$44*$D$73</f>
        <v/>
      </c>
      <c r="AB140" s="50">
        <f>AB123*$D$44*$D$73</f>
        <v/>
      </c>
      <c r="AC140" s="50">
        <f>AC123*$D$44*$D$73</f>
        <v/>
      </c>
      <c r="AD140" s="50">
        <f>AD123*$D$44*$D$73</f>
        <v/>
      </c>
      <c r="AE140" s="50">
        <f>AE123*$D$44*$D$73</f>
        <v/>
      </c>
      <c r="AF140" s="50">
        <f>AF123*$D$44*$D$73</f>
        <v/>
      </c>
      <c r="AG140" s="50">
        <f>AG123*$D$44*$D$73</f>
        <v/>
      </c>
      <c r="AH140" s="50">
        <f>AH123*$D$44*$D$73</f>
        <v/>
      </c>
      <c r="AI140" s="50">
        <f>AI123*$D$44*$D$73</f>
        <v/>
      </c>
      <c r="AJ140" s="50">
        <f>AJ123*$D$44*$D$73</f>
        <v/>
      </c>
      <c r="AK140" s="50">
        <f>AK123*$D$44*$D$73</f>
        <v/>
      </c>
      <c r="AL140" s="50">
        <f>AL123*$D$44*$D$73</f>
        <v/>
      </c>
      <c r="AM140" s="50">
        <f>AM123*$D$44*$D$73</f>
        <v/>
      </c>
      <c r="AN140" s="50">
        <f>AN123*$D$44*$D$73</f>
        <v/>
      </c>
    </row>
    <row r="141">
      <c r="B141" s="7" t="inlineStr">
        <is>
          <t>Sales and marketing, total</t>
        </is>
      </c>
      <c r="C141" s="5" t="inlineStr">
        <is>
          <t>₹</t>
        </is>
      </c>
      <c r="E141" s="50">
        <f>E137+E138+E139+E140</f>
        <v/>
      </c>
      <c r="F141" s="50">
        <f>F137+F138+F139+F140</f>
        <v/>
      </c>
      <c r="G141" s="50">
        <f>G137+G138+G139+G140</f>
        <v/>
      </c>
      <c r="H141" s="50">
        <f>H137+H138+H139+H140</f>
        <v/>
      </c>
      <c r="I141" s="50">
        <f>I137+I138+I139+I140</f>
        <v/>
      </c>
      <c r="J141" s="50">
        <f>J137+J138+J139+J140</f>
        <v/>
      </c>
      <c r="K141" s="50">
        <f>K137+K138+K139+K140</f>
        <v/>
      </c>
      <c r="L141" s="50">
        <f>L137+L138+L139+L140</f>
        <v/>
      </c>
      <c r="M141" s="50">
        <f>M137+M138+M139+M140</f>
        <v/>
      </c>
      <c r="N141" s="50">
        <f>N137+N138+N139+N140</f>
        <v/>
      </c>
      <c r="O141" s="50">
        <f>O137+O138+O139+O140</f>
        <v/>
      </c>
      <c r="P141" s="50">
        <f>P137+P138+P139+P140</f>
        <v/>
      </c>
      <c r="Q141" s="50">
        <f>Q137+Q138+Q139+Q140</f>
        <v/>
      </c>
      <c r="R141" s="50">
        <f>R137+R138+R139+R140</f>
        <v/>
      </c>
      <c r="S141" s="50">
        <f>S137+S138+S139+S140</f>
        <v/>
      </c>
      <c r="T141" s="50">
        <f>T137+T138+T139+T140</f>
        <v/>
      </c>
      <c r="U141" s="50">
        <f>U137+U138+U139+U140</f>
        <v/>
      </c>
      <c r="V141" s="50">
        <f>V137+V138+V139+V140</f>
        <v/>
      </c>
      <c r="W141" s="50">
        <f>W137+W138+W139+W140</f>
        <v/>
      </c>
      <c r="X141" s="50">
        <f>X137+X138+X139+X140</f>
        <v/>
      </c>
      <c r="Y141" s="50">
        <f>Y137+Y138+Y139+Y140</f>
        <v/>
      </c>
      <c r="Z141" s="50">
        <f>Z137+Z138+Z139+Z140</f>
        <v/>
      </c>
      <c r="AA141" s="50">
        <f>AA137+AA138+AA139+AA140</f>
        <v/>
      </c>
      <c r="AB141" s="50">
        <f>AB137+AB138+AB139+AB140</f>
        <v/>
      </c>
      <c r="AC141" s="50">
        <f>AC137+AC138+AC139+AC140</f>
        <v/>
      </c>
      <c r="AD141" s="50">
        <f>AD137+AD138+AD139+AD140</f>
        <v/>
      </c>
      <c r="AE141" s="50">
        <f>AE137+AE138+AE139+AE140</f>
        <v/>
      </c>
      <c r="AF141" s="50">
        <f>AF137+AF138+AF139+AF140</f>
        <v/>
      </c>
      <c r="AG141" s="50">
        <f>AG137+AG138+AG139+AG140</f>
        <v/>
      </c>
      <c r="AH141" s="50">
        <f>AH137+AH138+AH139+AH140</f>
        <v/>
      </c>
      <c r="AI141" s="50">
        <f>AI137+AI138+AI139+AI140</f>
        <v/>
      </c>
      <c r="AJ141" s="50">
        <f>AJ137+AJ138+AJ139+AJ140</f>
        <v/>
      </c>
      <c r="AK141" s="50">
        <f>AK137+AK138+AK139+AK140</f>
        <v/>
      </c>
      <c r="AL141" s="50">
        <f>AL137+AL138+AL139+AL140</f>
        <v/>
      </c>
      <c r="AM141" s="50">
        <f>AM137+AM138+AM139+AM140</f>
        <v/>
      </c>
      <c r="AN141" s="50">
        <f>AN137+AN138+AN139+AN140</f>
        <v/>
      </c>
    </row>
    <row r="142">
      <c r="B142" s="7" t="inlineStr">
        <is>
          <t>Engineers</t>
        </is>
      </c>
      <c r="C142" s="5" t="inlineStr">
        <is>
          <t>people</t>
        </is>
      </c>
      <c r="E142" s="57">
        <f>CHOOSE(E114,$D$51,$D$52,$D$53)</f>
        <v/>
      </c>
      <c r="F142" s="57">
        <f>CHOOSE(F114,$D$51,$D$52,$D$53)</f>
        <v/>
      </c>
      <c r="G142" s="57">
        <f>CHOOSE(G114,$D$51,$D$52,$D$53)</f>
        <v/>
      </c>
      <c r="H142" s="57">
        <f>CHOOSE(H114,$D$51,$D$52,$D$53)</f>
        <v/>
      </c>
      <c r="I142" s="57">
        <f>CHOOSE(I114,$D$51,$D$52,$D$53)</f>
        <v/>
      </c>
      <c r="J142" s="57">
        <f>CHOOSE(J114,$D$51,$D$52,$D$53)</f>
        <v/>
      </c>
      <c r="K142" s="57">
        <f>CHOOSE(K114,$D$51,$D$52,$D$53)</f>
        <v/>
      </c>
      <c r="L142" s="57">
        <f>CHOOSE(L114,$D$51,$D$52,$D$53)</f>
        <v/>
      </c>
      <c r="M142" s="57">
        <f>CHOOSE(M114,$D$51,$D$52,$D$53)</f>
        <v/>
      </c>
      <c r="N142" s="57">
        <f>CHOOSE(N114,$D$51,$D$52,$D$53)</f>
        <v/>
      </c>
      <c r="O142" s="57">
        <f>CHOOSE(O114,$D$51,$D$52,$D$53)</f>
        <v/>
      </c>
      <c r="P142" s="57">
        <f>CHOOSE(P114,$D$51,$D$52,$D$53)</f>
        <v/>
      </c>
      <c r="Q142" s="57">
        <f>CHOOSE(Q114,$D$51,$D$52,$D$53)</f>
        <v/>
      </c>
      <c r="R142" s="57">
        <f>CHOOSE(R114,$D$51,$D$52,$D$53)</f>
        <v/>
      </c>
      <c r="S142" s="57">
        <f>CHOOSE(S114,$D$51,$D$52,$D$53)</f>
        <v/>
      </c>
      <c r="T142" s="57">
        <f>CHOOSE(T114,$D$51,$D$52,$D$53)</f>
        <v/>
      </c>
      <c r="U142" s="57">
        <f>CHOOSE(U114,$D$51,$D$52,$D$53)</f>
        <v/>
      </c>
      <c r="V142" s="57">
        <f>CHOOSE(V114,$D$51,$D$52,$D$53)</f>
        <v/>
      </c>
      <c r="W142" s="57">
        <f>CHOOSE(W114,$D$51,$D$52,$D$53)</f>
        <v/>
      </c>
      <c r="X142" s="57">
        <f>CHOOSE(X114,$D$51,$D$52,$D$53)</f>
        <v/>
      </c>
      <c r="Y142" s="57">
        <f>CHOOSE(Y114,$D$51,$D$52,$D$53)</f>
        <v/>
      </c>
      <c r="Z142" s="57">
        <f>CHOOSE(Z114,$D$51,$D$52,$D$53)</f>
        <v/>
      </c>
      <c r="AA142" s="57">
        <f>CHOOSE(AA114,$D$51,$D$52,$D$53)</f>
        <v/>
      </c>
      <c r="AB142" s="57">
        <f>CHOOSE(AB114,$D$51,$D$52,$D$53)</f>
        <v/>
      </c>
      <c r="AC142" s="57">
        <f>CHOOSE(AC114,$D$51,$D$52,$D$53)</f>
        <v/>
      </c>
      <c r="AD142" s="57">
        <f>CHOOSE(AD114,$D$51,$D$52,$D$53)</f>
        <v/>
      </c>
      <c r="AE142" s="57">
        <f>CHOOSE(AE114,$D$51,$D$52,$D$53)</f>
        <v/>
      </c>
      <c r="AF142" s="57">
        <f>CHOOSE(AF114,$D$51,$D$52,$D$53)</f>
        <v/>
      </c>
      <c r="AG142" s="57">
        <f>CHOOSE(AG114,$D$51,$D$52,$D$53)</f>
        <v/>
      </c>
      <c r="AH142" s="57">
        <f>CHOOSE(AH114,$D$51,$D$52,$D$53)</f>
        <v/>
      </c>
      <c r="AI142" s="57">
        <f>CHOOSE(AI114,$D$51,$D$52,$D$53)</f>
        <v/>
      </c>
      <c r="AJ142" s="57">
        <f>CHOOSE(AJ114,$D$51,$D$52,$D$53)</f>
        <v/>
      </c>
      <c r="AK142" s="57">
        <f>CHOOSE(AK114,$D$51,$D$52,$D$53)</f>
        <v/>
      </c>
      <c r="AL142" s="57">
        <f>CHOOSE(AL114,$D$51,$D$52,$D$53)</f>
        <v/>
      </c>
      <c r="AM142" s="57">
        <f>CHOOSE(AM114,$D$51,$D$52,$D$53)</f>
        <v/>
      </c>
      <c r="AN142" s="57">
        <f>CHOOSE(AN114,$D$51,$D$52,$D$53)</f>
        <v/>
      </c>
    </row>
    <row r="143">
      <c r="B143" s="7" t="inlineStr">
        <is>
          <t>Product and engineering (the larger of the planned engineers and a share of revenue)</t>
        </is>
      </c>
      <c r="C143" s="5" t="inlineStr">
        <is>
          <t>₹</t>
        </is>
      </c>
      <c r="E143" s="50">
        <f>MAX(E142*$D$54*E117,$D$59*E128)</f>
        <v/>
      </c>
      <c r="F143" s="50">
        <f>MAX(F142*$D$54*F117,$D$59*F128)</f>
        <v/>
      </c>
      <c r="G143" s="50">
        <f>MAX(G142*$D$54*G117,$D$59*G128)</f>
        <v/>
      </c>
      <c r="H143" s="50">
        <f>MAX(H142*$D$54*H117,$D$59*H128)</f>
        <v/>
      </c>
      <c r="I143" s="50">
        <f>MAX(I142*$D$54*I117,$D$59*I128)</f>
        <v/>
      </c>
      <c r="J143" s="50">
        <f>MAX(J142*$D$54*J117,$D$59*J128)</f>
        <v/>
      </c>
      <c r="K143" s="50">
        <f>MAX(K142*$D$54*K117,$D$59*K128)</f>
        <v/>
      </c>
      <c r="L143" s="50">
        <f>MAX(L142*$D$54*L117,$D$59*L128)</f>
        <v/>
      </c>
      <c r="M143" s="50">
        <f>MAX(M142*$D$54*M117,$D$59*M128)</f>
        <v/>
      </c>
      <c r="N143" s="50">
        <f>MAX(N142*$D$54*N117,$D$59*N128)</f>
        <v/>
      </c>
      <c r="O143" s="50">
        <f>MAX(O142*$D$54*O117,$D$59*O128)</f>
        <v/>
      </c>
      <c r="P143" s="50">
        <f>MAX(P142*$D$54*P117,$D$59*P128)</f>
        <v/>
      </c>
      <c r="Q143" s="50">
        <f>MAX(Q142*$D$54*Q117,$D$59*Q128)</f>
        <v/>
      </c>
      <c r="R143" s="50">
        <f>MAX(R142*$D$54*R117,$D$59*R128)</f>
        <v/>
      </c>
      <c r="S143" s="50">
        <f>MAX(S142*$D$54*S117,$D$59*S128)</f>
        <v/>
      </c>
      <c r="T143" s="50">
        <f>MAX(T142*$D$54*T117,$D$59*T128)</f>
        <v/>
      </c>
      <c r="U143" s="50">
        <f>MAX(U142*$D$54*U117,$D$59*U128)</f>
        <v/>
      </c>
      <c r="V143" s="50">
        <f>MAX(V142*$D$54*V117,$D$59*V128)</f>
        <v/>
      </c>
      <c r="W143" s="50">
        <f>MAX(W142*$D$54*W117,$D$59*W128)</f>
        <v/>
      </c>
      <c r="X143" s="50">
        <f>MAX(X142*$D$54*X117,$D$59*X128)</f>
        <v/>
      </c>
      <c r="Y143" s="50">
        <f>MAX(Y142*$D$54*Y117,$D$59*Y128)</f>
        <v/>
      </c>
      <c r="Z143" s="50">
        <f>MAX(Z142*$D$54*Z117,$D$59*Z128)</f>
        <v/>
      </c>
      <c r="AA143" s="50">
        <f>MAX(AA142*$D$54*AA117,$D$59*AA128)</f>
        <v/>
      </c>
      <c r="AB143" s="50">
        <f>MAX(AB142*$D$54*AB117,$D$59*AB128)</f>
        <v/>
      </c>
      <c r="AC143" s="50">
        <f>MAX(AC142*$D$54*AC117,$D$59*AC128)</f>
        <v/>
      </c>
      <c r="AD143" s="50">
        <f>MAX(AD142*$D$54*AD117,$D$59*AD128)</f>
        <v/>
      </c>
      <c r="AE143" s="50">
        <f>MAX(AE142*$D$54*AE117,$D$59*AE128)</f>
        <v/>
      </c>
      <c r="AF143" s="50">
        <f>MAX(AF142*$D$54*AF117,$D$59*AF128)</f>
        <v/>
      </c>
      <c r="AG143" s="50">
        <f>MAX(AG142*$D$54*AG117,$D$59*AG128)</f>
        <v/>
      </c>
      <c r="AH143" s="50">
        <f>MAX(AH142*$D$54*AH117,$D$59*AH128)</f>
        <v/>
      </c>
      <c r="AI143" s="50">
        <f>MAX(AI142*$D$54*AI117,$D$59*AI128)</f>
        <v/>
      </c>
      <c r="AJ143" s="50">
        <f>MAX(AJ142*$D$54*AJ117,$D$59*AJ128)</f>
        <v/>
      </c>
      <c r="AK143" s="50">
        <f>MAX(AK142*$D$54*AK117,$D$59*AK128)</f>
        <v/>
      </c>
      <c r="AL143" s="50">
        <f>MAX(AL142*$D$54*AL117,$D$59*AL128)</f>
        <v/>
      </c>
      <c r="AM143" s="50">
        <f>MAX(AM142*$D$54*AM117,$D$59*AM128)</f>
        <v/>
      </c>
      <c r="AN143" s="50">
        <f>MAX(AN142*$D$54*AN117,$D$59*AN128)</f>
        <v/>
      </c>
    </row>
    <row r="144">
      <c r="B144" s="7" t="inlineStr">
        <is>
          <t>Founders' stipends and general costs (the larger of the plan and a share of revenue)</t>
        </is>
      </c>
      <c r="C144" s="5" t="inlineStr">
        <is>
          <t>₹</t>
        </is>
      </c>
      <c r="E144" s="50">
        <f>MAX(($D$49*$D$50+$D$55)*E117,$D$60*E128)</f>
        <v/>
      </c>
      <c r="F144" s="50">
        <f>MAX(($D$49*$D$50+$D$55)*F117,$D$60*F128)</f>
        <v/>
      </c>
      <c r="G144" s="50">
        <f>MAX(($D$49*$D$50+$D$55)*G117,$D$60*G128)</f>
        <v/>
      </c>
      <c r="H144" s="50">
        <f>MAX(($D$49*$D$50+$D$55)*H117,$D$60*H128)</f>
        <v/>
      </c>
      <c r="I144" s="50">
        <f>MAX(($D$49*$D$50+$D$55)*I117,$D$60*I128)</f>
        <v/>
      </c>
      <c r="J144" s="50">
        <f>MAX(($D$49*$D$50+$D$55)*J117,$D$60*J128)</f>
        <v/>
      </c>
      <c r="K144" s="50">
        <f>MAX(($D$49*$D$50+$D$55)*K117,$D$60*K128)</f>
        <v/>
      </c>
      <c r="L144" s="50">
        <f>MAX(($D$49*$D$50+$D$55)*L117,$D$60*L128)</f>
        <v/>
      </c>
      <c r="M144" s="50">
        <f>MAX(($D$49*$D$50+$D$55)*M117,$D$60*M128)</f>
        <v/>
      </c>
      <c r="N144" s="50">
        <f>MAX(($D$49*$D$50+$D$55)*N117,$D$60*N128)</f>
        <v/>
      </c>
      <c r="O144" s="50">
        <f>MAX(($D$49*$D$50+$D$55)*O117,$D$60*O128)</f>
        <v/>
      </c>
      <c r="P144" s="50">
        <f>MAX(($D$49*$D$50+$D$55)*P117,$D$60*P128)</f>
        <v/>
      </c>
      <c r="Q144" s="50">
        <f>MAX(($D$49*$D$50+$D$55)*Q117,$D$60*Q128)</f>
        <v/>
      </c>
      <c r="R144" s="50">
        <f>MAX(($D$49*$D$50+$D$55)*R117,$D$60*R128)</f>
        <v/>
      </c>
      <c r="S144" s="50">
        <f>MAX(($D$49*$D$50+$D$55)*S117,$D$60*S128)</f>
        <v/>
      </c>
      <c r="T144" s="50">
        <f>MAX(($D$49*$D$50+$D$55)*T117,$D$60*T128)</f>
        <v/>
      </c>
      <c r="U144" s="50">
        <f>MAX(($D$49*$D$50+$D$55)*U117,$D$60*U128)</f>
        <v/>
      </c>
      <c r="V144" s="50">
        <f>MAX(($D$49*$D$50+$D$55)*V117,$D$60*V128)</f>
        <v/>
      </c>
      <c r="W144" s="50">
        <f>MAX(($D$49*$D$50+$D$55)*W117,$D$60*W128)</f>
        <v/>
      </c>
      <c r="X144" s="50">
        <f>MAX(($D$49*$D$50+$D$55)*X117,$D$60*X128)</f>
        <v/>
      </c>
      <c r="Y144" s="50">
        <f>MAX(($D$49*$D$50+$D$55)*Y117,$D$60*Y128)</f>
        <v/>
      </c>
      <c r="Z144" s="50">
        <f>MAX(($D$49*$D$50+$D$55)*Z117,$D$60*Z128)</f>
        <v/>
      </c>
      <c r="AA144" s="50">
        <f>MAX(($D$49*$D$50+$D$55)*AA117,$D$60*AA128)</f>
        <v/>
      </c>
      <c r="AB144" s="50">
        <f>MAX(($D$49*$D$50+$D$55)*AB117,$D$60*AB128)</f>
        <v/>
      </c>
      <c r="AC144" s="50">
        <f>MAX(($D$49*$D$50+$D$55)*AC117,$D$60*AC128)</f>
        <v/>
      </c>
      <c r="AD144" s="50">
        <f>MAX(($D$49*$D$50+$D$55)*AD117,$D$60*AD128)</f>
        <v/>
      </c>
      <c r="AE144" s="50">
        <f>MAX(($D$49*$D$50+$D$55)*AE117,$D$60*AE128)</f>
        <v/>
      </c>
      <c r="AF144" s="50">
        <f>MAX(($D$49*$D$50+$D$55)*AF117,$D$60*AF128)</f>
        <v/>
      </c>
      <c r="AG144" s="50">
        <f>MAX(($D$49*$D$50+$D$55)*AG117,$D$60*AG128)</f>
        <v/>
      </c>
      <c r="AH144" s="50">
        <f>MAX(($D$49*$D$50+$D$55)*AH117,$D$60*AH128)</f>
        <v/>
      </c>
      <c r="AI144" s="50">
        <f>MAX(($D$49*$D$50+$D$55)*AI117,$D$60*AI128)</f>
        <v/>
      </c>
      <c r="AJ144" s="50">
        <f>MAX(($D$49*$D$50+$D$55)*AJ117,$D$60*AJ128)</f>
        <v/>
      </c>
      <c r="AK144" s="50">
        <f>MAX(($D$49*$D$50+$D$55)*AK117,$D$60*AK128)</f>
        <v/>
      </c>
      <c r="AL144" s="50">
        <f>MAX(($D$49*$D$50+$D$55)*AL117,$D$60*AL128)</f>
        <v/>
      </c>
      <c r="AM144" s="50">
        <f>MAX(($D$49*$D$50+$D$55)*AM117,$D$60*AM128)</f>
        <v/>
      </c>
      <c r="AN144" s="50">
        <f>MAX(($D$49*$D$50+$D$55)*AN117,$D$60*AN128)</f>
        <v/>
      </c>
    </row>
    <row r="145">
      <c r="B145" s="7" t="inlineStr">
        <is>
          <t>Total operating costs</t>
        </is>
      </c>
      <c r="C145" s="5" t="inlineStr">
        <is>
          <t>₹</t>
        </is>
      </c>
      <c r="E145" s="50">
        <f>E141+E143+E144</f>
        <v/>
      </c>
      <c r="F145" s="50">
        <f>F141+F143+F144</f>
        <v/>
      </c>
      <c r="G145" s="50">
        <f>G141+G143+G144</f>
        <v/>
      </c>
      <c r="H145" s="50">
        <f>H141+H143+H144</f>
        <v/>
      </c>
      <c r="I145" s="50">
        <f>I141+I143+I144</f>
        <v/>
      </c>
      <c r="J145" s="50">
        <f>J141+J143+J144</f>
        <v/>
      </c>
      <c r="K145" s="50">
        <f>K141+K143+K144</f>
        <v/>
      </c>
      <c r="L145" s="50">
        <f>L141+L143+L144</f>
        <v/>
      </c>
      <c r="M145" s="50">
        <f>M141+M143+M144</f>
        <v/>
      </c>
      <c r="N145" s="50">
        <f>N141+N143+N144</f>
        <v/>
      </c>
      <c r="O145" s="50">
        <f>O141+O143+O144</f>
        <v/>
      </c>
      <c r="P145" s="50">
        <f>P141+P143+P144</f>
        <v/>
      </c>
      <c r="Q145" s="50">
        <f>Q141+Q143+Q144</f>
        <v/>
      </c>
      <c r="R145" s="50">
        <f>R141+R143+R144</f>
        <v/>
      </c>
      <c r="S145" s="50">
        <f>S141+S143+S144</f>
        <v/>
      </c>
      <c r="T145" s="50">
        <f>T141+T143+T144</f>
        <v/>
      </c>
      <c r="U145" s="50">
        <f>U141+U143+U144</f>
        <v/>
      </c>
      <c r="V145" s="50">
        <f>V141+V143+V144</f>
        <v/>
      </c>
      <c r="W145" s="50">
        <f>W141+W143+W144</f>
        <v/>
      </c>
      <c r="X145" s="50">
        <f>X141+X143+X144</f>
        <v/>
      </c>
      <c r="Y145" s="50">
        <f>Y141+Y143+Y144</f>
        <v/>
      </c>
      <c r="Z145" s="50">
        <f>Z141+Z143+Z144</f>
        <v/>
      </c>
      <c r="AA145" s="50">
        <f>AA141+AA143+AA144</f>
        <v/>
      </c>
      <c r="AB145" s="50">
        <f>AB141+AB143+AB144</f>
        <v/>
      </c>
      <c r="AC145" s="50">
        <f>AC141+AC143+AC144</f>
        <v/>
      </c>
      <c r="AD145" s="50">
        <f>AD141+AD143+AD144</f>
        <v/>
      </c>
      <c r="AE145" s="50">
        <f>AE141+AE143+AE144</f>
        <v/>
      </c>
      <c r="AF145" s="50">
        <f>AF141+AF143+AF144</f>
        <v/>
      </c>
      <c r="AG145" s="50">
        <f>AG141+AG143+AG144</f>
        <v/>
      </c>
      <c r="AH145" s="50">
        <f>AH141+AH143+AH144</f>
        <v/>
      </c>
      <c r="AI145" s="50">
        <f>AI141+AI143+AI144</f>
        <v/>
      </c>
      <c r="AJ145" s="50">
        <f>AJ141+AJ143+AJ144</f>
        <v/>
      </c>
      <c r="AK145" s="50">
        <f>AK141+AK143+AK144</f>
        <v/>
      </c>
      <c r="AL145" s="50">
        <f>AL141+AL143+AL144</f>
        <v/>
      </c>
      <c r="AM145" s="50">
        <f>AM141+AM143+AM144</f>
        <v/>
      </c>
      <c r="AN145" s="50">
        <f>AN141+AN143+AN144</f>
        <v/>
      </c>
    </row>
    <row r="146">
      <c r="B146" s="3" t="inlineStr">
        <is>
          <t>EBITDA</t>
        </is>
      </c>
      <c r="C146" s="5" t="inlineStr">
        <is>
          <t>₹</t>
        </is>
      </c>
      <c r="E146" s="52">
        <f>E135-E145</f>
        <v/>
      </c>
      <c r="F146" s="52">
        <f>F135-F145</f>
        <v/>
      </c>
      <c r="G146" s="52">
        <f>G135-G145</f>
        <v/>
      </c>
      <c r="H146" s="52">
        <f>H135-H145</f>
        <v/>
      </c>
      <c r="I146" s="52">
        <f>I135-I145</f>
        <v/>
      </c>
      <c r="J146" s="52">
        <f>J135-J145</f>
        <v/>
      </c>
      <c r="K146" s="52">
        <f>K135-K145</f>
        <v/>
      </c>
      <c r="L146" s="52">
        <f>L135-L145</f>
        <v/>
      </c>
      <c r="M146" s="52">
        <f>M135-M145</f>
        <v/>
      </c>
      <c r="N146" s="52">
        <f>N135-N145</f>
        <v/>
      </c>
      <c r="O146" s="52">
        <f>O135-O145</f>
        <v/>
      </c>
      <c r="P146" s="52">
        <f>P135-P145</f>
        <v/>
      </c>
      <c r="Q146" s="52">
        <f>Q135-Q145</f>
        <v/>
      </c>
      <c r="R146" s="52">
        <f>R135-R145</f>
        <v/>
      </c>
      <c r="S146" s="52">
        <f>S135-S145</f>
        <v/>
      </c>
      <c r="T146" s="52">
        <f>T135-T145</f>
        <v/>
      </c>
      <c r="U146" s="52">
        <f>U135-U145</f>
        <v/>
      </c>
      <c r="V146" s="52">
        <f>V135-V145</f>
        <v/>
      </c>
      <c r="W146" s="52">
        <f>W135-W145</f>
        <v/>
      </c>
      <c r="X146" s="52">
        <f>X135-X145</f>
        <v/>
      </c>
      <c r="Y146" s="52">
        <f>Y135-Y145</f>
        <v/>
      </c>
      <c r="Z146" s="52">
        <f>Z135-Z145</f>
        <v/>
      </c>
      <c r="AA146" s="52">
        <f>AA135-AA145</f>
        <v/>
      </c>
      <c r="AB146" s="52">
        <f>AB135-AB145</f>
        <v/>
      </c>
      <c r="AC146" s="52">
        <f>AC135-AC145</f>
        <v/>
      </c>
      <c r="AD146" s="52">
        <f>AD135-AD145</f>
        <v/>
      </c>
      <c r="AE146" s="52">
        <f>AE135-AE145</f>
        <v/>
      </c>
      <c r="AF146" s="52">
        <f>AF135-AF145</f>
        <v/>
      </c>
      <c r="AG146" s="52">
        <f>AG135-AG145</f>
        <v/>
      </c>
      <c r="AH146" s="52">
        <f>AH135-AH145</f>
        <v/>
      </c>
      <c r="AI146" s="52">
        <f>AI135-AI145</f>
        <v/>
      </c>
      <c r="AJ146" s="52">
        <f>AJ135-AJ145</f>
        <v/>
      </c>
      <c r="AK146" s="52">
        <f>AK135-AK145</f>
        <v/>
      </c>
      <c r="AL146" s="52">
        <f>AL135-AL145</f>
        <v/>
      </c>
      <c r="AM146" s="52">
        <f>AM135-AM145</f>
        <v/>
      </c>
      <c r="AN146" s="52">
        <f>AN135-AN145</f>
        <v/>
      </c>
    </row>
    <row r="147">
      <c r="A147" s="23" t="n"/>
      <c r="B147" s="22" t="inlineStr">
        <is>
          <t>E. Cash and funding</t>
        </is>
      </c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  <c r="AA147" s="23" t="n"/>
      <c r="AB147" s="23" t="n"/>
      <c r="AC147" s="23" t="n"/>
      <c r="AD147" s="23" t="n"/>
      <c r="AE147" s="23" t="n"/>
      <c r="AF147" s="23" t="n"/>
      <c r="AG147" s="23" t="n"/>
      <c r="AH147" s="23" t="n"/>
      <c r="AI147" s="23" t="n"/>
      <c r="AJ147" s="23" t="n"/>
      <c r="AK147" s="23" t="n"/>
      <c r="AL147" s="23" t="n"/>
      <c r="AM147" s="23" t="n"/>
      <c r="AN147" s="23" t="n"/>
    </row>
    <row r="148">
      <c r="B148" s="7" t="inlineStr">
        <is>
          <t>Receivables outstanding</t>
        </is>
      </c>
      <c r="C148" s="5" t="inlineStr">
        <is>
          <t>₹</t>
        </is>
      </c>
      <c r="E148" s="50">
        <f>E128*$D$62/30</f>
        <v/>
      </c>
      <c r="F148" s="50">
        <f>F128*$D$62/30</f>
        <v/>
      </c>
      <c r="G148" s="50">
        <f>G128*$D$62/30</f>
        <v/>
      </c>
      <c r="H148" s="50">
        <f>H128*$D$62/30</f>
        <v/>
      </c>
      <c r="I148" s="50">
        <f>I128*$D$62/30</f>
        <v/>
      </c>
      <c r="J148" s="50">
        <f>J128*$D$62/30</f>
        <v/>
      </c>
      <c r="K148" s="50">
        <f>K128*$D$62/30</f>
        <v/>
      </c>
      <c r="L148" s="50">
        <f>L128*$D$62/30</f>
        <v/>
      </c>
      <c r="M148" s="50">
        <f>M128*$D$62/30</f>
        <v/>
      </c>
      <c r="N148" s="50">
        <f>N128*$D$62/30</f>
        <v/>
      </c>
      <c r="O148" s="50">
        <f>O128*$D$62/30</f>
        <v/>
      </c>
      <c r="P148" s="50">
        <f>P128*$D$62/30</f>
        <v/>
      </c>
      <c r="Q148" s="50">
        <f>Q128*$D$62/30</f>
        <v/>
      </c>
      <c r="R148" s="50">
        <f>R128*$D$62/30</f>
        <v/>
      </c>
      <c r="S148" s="50">
        <f>S128*$D$62/30</f>
        <v/>
      </c>
      <c r="T148" s="50">
        <f>T128*$D$62/30</f>
        <v/>
      </c>
      <c r="U148" s="50">
        <f>U128*$D$62/30</f>
        <v/>
      </c>
      <c r="V148" s="50">
        <f>V128*$D$62/30</f>
        <v/>
      </c>
      <c r="W148" s="50">
        <f>W128*$D$62/30</f>
        <v/>
      </c>
      <c r="X148" s="50">
        <f>X128*$D$62/30</f>
        <v/>
      </c>
      <c r="Y148" s="50">
        <f>Y128*$D$62/30</f>
        <v/>
      </c>
      <c r="Z148" s="50">
        <f>Z128*$D$62/30</f>
        <v/>
      </c>
      <c r="AA148" s="50">
        <f>AA128*$D$62/30</f>
        <v/>
      </c>
      <c r="AB148" s="50">
        <f>AB128*$D$62/30</f>
        <v/>
      </c>
      <c r="AC148" s="50">
        <f>AC128*$D$62/30</f>
        <v/>
      </c>
      <c r="AD148" s="50">
        <f>AD128*$D$62/30</f>
        <v/>
      </c>
      <c r="AE148" s="50">
        <f>AE128*$D$62/30</f>
        <v/>
      </c>
      <c r="AF148" s="50">
        <f>AF128*$D$62/30</f>
        <v/>
      </c>
      <c r="AG148" s="50">
        <f>AG128*$D$62/30</f>
        <v/>
      </c>
      <c r="AH148" s="50">
        <f>AH128*$D$62/30</f>
        <v/>
      </c>
      <c r="AI148" s="50">
        <f>AI128*$D$62/30</f>
        <v/>
      </c>
      <c r="AJ148" s="50">
        <f>AJ128*$D$62/30</f>
        <v/>
      </c>
      <c r="AK148" s="50">
        <f>AK128*$D$62/30</f>
        <v/>
      </c>
      <c r="AL148" s="50">
        <f>AL128*$D$62/30</f>
        <v/>
      </c>
      <c r="AM148" s="50">
        <f>AM128*$D$62/30</f>
        <v/>
      </c>
      <c r="AN148" s="50">
        <f>AN128*$D$62/30</f>
        <v/>
      </c>
    </row>
    <row r="149">
      <c r="B149" s="7" t="inlineStr">
        <is>
          <t>Increase in receivables</t>
        </is>
      </c>
      <c r="C149" s="5" t="inlineStr">
        <is>
          <t>₹</t>
        </is>
      </c>
      <c r="E149" s="50">
        <f>E148</f>
        <v/>
      </c>
      <c r="F149" s="50">
        <f>F148-E148</f>
        <v/>
      </c>
      <c r="G149" s="50">
        <f>G148-F148</f>
        <v/>
      </c>
      <c r="H149" s="50">
        <f>H148-G148</f>
        <v/>
      </c>
      <c r="I149" s="50">
        <f>I148-H148</f>
        <v/>
      </c>
      <c r="J149" s="50">
        <f>J148-I148</f>
        <v/>
      </c>
      <c r="K149" s="50">
        <f>K148-J148</f>
        <v/>
      </c>
      <c r="L149" s="50">
        <f>L148-K148</f>
        <v/>
      </c>
      <c r="M149" s="50">
        <f>M148-L148</f>
        <v/>
      </c>
      <c r="N149" s="50">
        <f>N148-M148</f>
        <v/>
      </c>
      <c r="O149" s="50">
        <f>O148-N148</f>
        <v/>
      </c>
      <c r="P149" s="50">
        <f>P148-O148</f>
        <v/>
      </c>
      <c r="Q149" s="50">
        <f>Q148-P148</f>
        <v/>
      </c>
      <c r="R149" s="50">
        <f>R148-Q148</f>
        <v/>
      </c>
      <c r="S149" s="50">
        <f>S148-R148</f>
        <v/>
      </c>
      <c r="T149" s="50">
        <f>T148-S148</f>
        <v/>
      </c>
      <c r="U149" s="50">
        <f>U148-T148</f>
        <v/>
      </c>
      <c r="V149" s="50">
        <f>V148-U148</f>
        <v/>
      </c>
      <c r="W149" s="50">
        <f>W148-V148</f>
        <v/>
      </c>
      <c r="X149" s="50">
        <f>X148-W148</f>
        <v/>
      </c>
      <c r="Y149" s="50">
        <f>Y148-X148</f>
        <v/>
      </c>
      <c r="Z149" s="50">
        <f>Z148-Y148</f>
        <v/>
      </c>
      <c r="AA149" s="50">
        <f>AA148-Z148</f>
        <v/>
      </c>
      <c r="AB149" s="50">
        <f>AB148-AA148</f>
        <v/>
      </c>
      <c r="AC149" s="50">
        <f>AC148-AB148</f>
        <v/>
      </c>
      <c r="AD149" s="50">
        <f>AD148-AC148</f>
        <v/>
      </c>
      <c r="AE149" s="50">
        <f>AE148-AD148</f>
        <v/>
      </c>
      <c r="AF149" s="50">
        <f>AF148-AE148</f>
        <v/>
      </c>
      <c r="AG149" s="50">
        <f>AG148-AF148</f>
        <v/>
      </c>
      <c r="AH149" s="50">
        <f>AH148-AG148</f>
        <v/>
      </c>
      <c r="AI149" s="50">
        <f>AI148-AH148</f>
        <v/>
      </c>
      <c r="AJ149" s="50">
        <f>AJ148-AI148</f>
        <v/>
      </c>
      <c r="AK149" s="50">
        <f>AK148-AJ148</f>
        <v/>
      </c>
      <c r="AL149" s="50">
        <f>AL148-AK148</f>
        <v/>
      </c>
      <c r="AM149" s="50">
        <f>AM148-AL148</f>
        <v/>
      </c>
      <c r="AN149" s="50">
        <f>AN148-AM148</f>
        <v/>
      </c>
    </row>
    <row r="150">
      <c r="B150" s="7" t="inlineStr">
        <is>
          <t>Headcount (founders + reps + engineers + customer success)</t>
        </is>
      </c>
      <c r="C150" s="5" t="inlineStr">
        <is>
          <t>people</t>
        </is>
      </c>
      <c r="E150" s="57">
        <f>$D$49+E119+E142+E133</f>
        <v/>
      </c>
      <c r="F150" s="57">
        <f>$D$49+F119+F142+F133</f>
        <v/>
      </c>
      <c r="G150" s="57">
        <f>$D$49+G119+G142+G133</f>
        <v/>
      </c>
      <c r="H150" s="57">
        <f>$D$49+H119+H142+H133</f>
        <v/>
      </c>
      <c r="I150" s="57">
        <f>$D$49+I119+I142+I133</f>
        <v/>
      </c>
      <c r="J150" s="57">
        <f>$D$49+J119+J142+J133</f>
        <v/>
      </c>
      <c r="K150" s="57">
        <f>$D$49+K119+K142+K133</f>
        <v/>
      </c>
      <c r="L150" s="57">
        <f>$D$49+L119+L142+L133</f>
        <v/>
      </c>
      <c r="M150" s="57">
        <f>$D$49+M119+M142+M133</f>
        <v/>
      </c>
      <c r="N150" s="57">
        <f>$D$49+N119+N142+N133</f>
        <v/>
      </c>
      <c r="O150" s="57">
        <f>$D$49+O119+O142+O133</f>
        <v/>
      </c>
      <c r="P150" s="57">
        <f>$D$49+P119+P142+P133</f>
        <v/>
      </c>
      <c r="Q150" s="57">
        <f>$D$49+Q119+Q142+Q133</f>
        <v/>
      </c>
      <c r="R150" s="57">
        <f>$D$49+R119+R142+R133</f>
        <v/>
      </c>
      <c r="S150" s="57">
        <f>$D$49+S119+S142+S133</f>
        <v/>
      </c>
      <c r="T150" s="57">
        <f>$D$49+T119+T142+T133</f>
        <v/>
      </c>
      <c r="U150" s="57">
        <f>$D$49+U119+U142+U133</f>
        <v/>
      </c>
      <c r="V150" s="57">
        <f>$D$49+V119+V142+V133</f>
        <v/>
      </c>
      <c r="W150" s="57">
        <f>$D$49+W119+W142+W133</f>
        <v/>
      </c>
      <c r="X150" s="57">
        <f>$D$49+X119+X142+X133</f>
        <v/>
      </c>
      <c r="Y150" s="57">
        <f>$D$49+Y119+Y142+Y133</f>
        <v/>
      </c>
      <c r="Z150" s="57">
        <f>$D$49+Z119+Z142+Z133</f>
        <v/>
      </c>
      <c r="AA150" s="57">
        <f>$D$49+AA119+AA142+AA133</f>
        <v/>
      </c>
      <c r="AB150" s="57">
        <f>$D$49+AB119+AB142+AB133</f>
        <v/>
      </c>
      <c r="AC150" s="57">
        <f>$D$49+AC119+AC142+AC133</f>
        <v/>
      </c>
      <c r="AD150" s="57">
        <f>$D$49+AD119+AD142+AD133</f>
        <v/>
      </c>
      <c r="AE150" s="57">
        <f>$D$49+AE119+AE142+AE133</f>
        <v/>
      </c>
      <c r="AF150" s="57">
        <f>$D$49+AF119+AF142+AF133</f>
        <v/>
      </c>
      <c r="AG150" s="57">
        <f>$D$49+AG119+AG142+AG133</f>
        <v/>
      </c>
      <c r="AH150" s="57">
        <f>$D$49+AH119+AH142+AH133</f>
        <v/>
      </c>
      <c r="AI150" s="57">
        <f>$D$49+AI119+AI142+AI133</f>
        <v/>
      </c>
      <c r="AJ150" s="57">
        <f>$D$49+AJ119+AJ142+AJ133</f>
        <v/>
      </c>
      <c r="AK150" s="57">
        <f>$D$49+AK119+AK142+AK133</f>
        <v/>
      </c>
      <c r="AL150" s="57">
        <f>$D$49+AL119+AL142+AL133</f>
        <v/>
      </c>
      <c r="AM150" s="57">
        <f>$D$49+AM119+AM142+AM133</f>
        <v/>
      </c>
      <c r="AN150" s="57">
        <f>$D$49+AN119+AN142+AN133</f>
        <v/>
      </c>
    </row>
    <row r="151">
      <c r="B151" s="7" t="inlineStr">
        <is>
          <t>New hires</t>
        </is>
      </c>
      <c r="C151" s="5" t="inlineStr">
        <is>
          <t>people</t>
        </is>
      </c>
      <c r="E151" s="57">
        <f>E150</f>
        <v/>
      </c>
      <c r="F151" s="57">
        <f>MAX(0,F150-E150)</f>
        <v/>
      </c>
      <c r="G151" s="57">
        <f>MAX(0,G150-F150)</f>
        <v/>
      </c>
      <c r="H151" s="57">
        <f>MAX(0,H150-G150)</f>
        <v/>
      </c>
      <c r="I151" s="57">
        <f>MAX(0,I150-H150)</f>
        <v/>
      </c>
      <c r="J151" s="57">
        <f>MAX(0,J150-I150)</f>
        <v/>
      </c>
      <c r="K151" s="57">
        <f>MAX(0,K150-J150)</f>
        <v/>
      </c>
      <c r="L151" s="57">
        <f>MAX(0,L150-K150)</f>
        <v/>
      </c>
      <c r="M151" s="57">
        <f>MAX(0,M150-L150)</f>
        <v/>
      </c>
      <c r="N151" s="57">
        <f>MAX(0,N150-M150)</f>
        <v/>
      </c>
      <c r="O151" s="57">
        <f>MAX(0,O150-N150)</f>
        <v/>
      </c>
      <c r="P151" s="57">
        <f>MAX(0,P150-O150)</f>
        <v/>
      </c>
      <c r="Q151" s="57">
        <f>MAX(0,Q150-P150)</f>
        <v/>
      </c>
      <c r="R151" s="57">
        <f>MAX(0,R150-Q150)</f>
        <v/>
      </c>
      <c r="S151" s="57">
        <f>MAX(0,S150-R150)</f>
        <v/>
      </c>
      <c r="T151" s="57">
        <f>MAX(0,T150-S150)</f>
        <v/>
      </c>
      <c r="U151" s="57">
        <f>MAX(0,U150-T150)</f>
        <v/>
      </c>
      <c r="V151" s="57">
        <f>MAX(0,V150-U150)</f>
        <v/>
      </c>
      <c r="W151" s="57">
        <f>MAX(0,W150-V150)</f>
        <v/>
      </c>
      <c r="X151" s="57">
        <f>MAX(0,X150-W150)</f>
        <v/>
      </c>
      <c r="Y151" s="57">
        <f>MAX(0,Y150-X150)</f>
        <v/>
      </c>
      <c r="Z151" s="57">
        <f>MAX(0,Z150-Y150)</f>
        <v/>
      </c>
      <c r="AA151" s="57">
        <f>MAX(0,AA150-Z150)</f>
        <v/>
      </c>
      <c r="AB151" s="57">
        <f>MAX(0,AB150-AA150)</f>
        <v/>
      </c>
      <c r="AC151" s="57">
        <f>MAX(0,AC150-AB150)</f>
        <v/>
      </c>
      <c r="AD151" s="57">
        <f>MAX(0,AD150-AC150)</f>
        <v/>
      </c>
      <c r="AE151" s="57">
        <f>MAX(0,AE150-AD150)</f>
        <v/>
      </c>
      <c r="AF151" s="57">
        <f>MAX(0,AF150-AE150)</f>
        <v/>
      </c>
      <c r="AG151" s="57">
        <f>MAX(0,AG150-AF150)</f>
        <v/>
      </c>
      <c r="AH151" s="57">
        <f>MAX(0,AH150-AG150)</f>
        <v/>
      </c>
      <c r="AI151" s="57">
        <f>MAX(0,AI150-AH150)</f>
        <v/>
      </c>
      <c r="AJ151" s="57">
        <f>MAX(0,AJ150-AI150)</f>
        <v/>
      </c>
      <c r="AK151" s="57">
        <f>MAX(0,AK150-AJ150)</f>
        <v/>
      </c>
      <c r="AL151" s="57">
        <f>MAX(0,AL150-AK150)</f>
        <v/>
      </c>
      <c r="AM151" s="57">
        <f>MAX(0,AM150-AL150)</f>
        <v/>
      </c>
      <c r="AN151" s="57">
        <f>MAX(0,AN150-AM150)</f>
        <v/>
      </c>
    </row>
    <row r="152">
      <c r="B152" s="7" t="inlineStr">
        <is>
          <t>Equipment for new hires</t>
        </is>
      </c>
      <c r="C152" s="5" t="inlineStr">
        <is>
          <t>₹</t>
        </is>
      </c>
      <c r="E152" s="50">
        <f>E151*$D$63</f>
        <v/>
      </c>
      <c r="F152" s="50">
        <f>F151*$D$63</f>
        <v/>
      </c>
      <c r="G152" s="50">
        <f>G151*$D$63</f>
        <v/>
      </c>
      <c r="H152" s="50">
        <f>H151*$D$63</f>
        <v/>
      </c>
      <c r="I152" s="50">
        <f>I151*$D$63</f>
        <v/>
      </c>
      <c r="J152" s="50">
        <f>J151*$D$63</f>
        <v/>
      </c>
      <c r="K152" s="50">
        <f>K151*$D$63</f>
        <v/>
      </c>
      <c r="L152" s="50">
        <f>L151*$D$63</f>
        <v/>
      </c>
      <c r="M152" s="50">
        <f>M151*$D$63</f>
        <v/>
      </c>
      <c r="N152" s="50">
        <f>N151*$D$63</f>
        <v/>
      </c>
      <c r="O152" s="50">
        <f>O151*$D$63</f>
        <v/>
      </c>
      <c r="P152" s="50">
        <f>P151*$D$63</f>
        <v/>
      </c>
      <c r="Q152" s="50">
        <f>Q151*$D$63</f>
        <v/>
      </c>
      <c r="R152" s="50">
        <f>R151*$D$63</f>
        <v/>
      </c>
      <c r="S152" s="50">
        <f>S151*$D$63</f>
        <v/>
      </c>
      <c r="T152" s="50">
        <f>T151*$D$63</f>
        <v/>
      </c>
      <c r="U152" s="50">
        <f>U151*$D$63</f>
        <v/>
      </c>
      <c r="V152" s="50">
        <f>V151*$D$63</f>
        <v/>
      </c>
      <c r="W152" s="50">
        <f>W151*$D$63</f>
        <v/>
      </c>
      <c r="X152" s="50">
        <f>X151*$D$63</f>
        <v/>
      </c>
      <c r="Y152" s="50">
        <f>Y151*$D$63</f>
        <v/>
      </c>
      <c r="Z152" s="50">
        <f>Z151*$D$63</f>
        <v/>
      </c>
      <c r="AA152" s="50">
        <f>AA151*$D$63</f>
        <v/>
      </c>
      <c r="AB152" s="50">
        <f>AB151*$D$63</f>
        <v/>
      </c>
      <c r="AC152" s="50">
        <f>AC151*$D$63</f>
        <v/>
      </c>
      <c r="AD152" s="50">
        <f>AD151*$D$63</f>
        <v/>
      </c>
      <c r="AE152" s="50">
        <f>AE151*$D$63</f>
        <v/>
      </c>
      <c r="AF152" s="50">
        <f>AF151*$D$63</f>
        <v/>
      </c>
      <c r="AG152" s="50">
        <f>AG151*$D$63</f>
        <v/>
      </c>
      <c r="AH152" s="50">
        <f>AH151*$D$63</f>
        <v/>
      </c>
      <c r="AI152" s="50">
        <f>AI151*$D$63</f>
        <v/>
      </c>
      <c r="AJ152" s="50">
        <f>AJ151*$D$63</f>
        <v/>
      </c>
      <c r="AK152" s="50">
        <f>AK151*$D$63</f>
        <v/>
      </c>
      <c r="AL152" s="50">
        <f>AL151*$D$63</f>
        <v/>
      </c>
      <c r="AM152" s="50">
        <f>AM151*$D$63</f>
        <v/>
      </c>
      <c r="AN152" s="50">
        <f>AN151*$D$63</f>
        <v/>
      </c>
    </row>
    <row r="153">
      <c r="B153" s="7" t="inlineStr">
        <is>
          <t>Net cash flow before any funding</t>
        </is>
      </c>
      <c r="C153" s="5" t="inlineStr">
        <is>
          <t>₹</t>
        </is>
      </c>
      <c r="E153" s="50">
        <f>E146-E149-E152</f>
        <v/>
      </c>
      <c r="F153" s="50">
        <f>F146-F149-F152</f>
        <v/>
      </c>
      <c r="G153" s="50">
        <f>G146-G149-G152</f>
        <v/>
      </c>
      <c r="H153" s="50">
        <f>H146-H149-H152</f>
        <v/>
      </c>
      <c r="I153" s="50">
        <f>I146-I149-I152</f>
        <v/>
      </c>
      <c r="J153" s="50">
        <f>J146-J149-J152</f>
        <v/>
      </c>
      <c r="K153" s="50">
        <f>K146-K149-K152</f>
        <v/>
      </c>
      <c r="L153" s="50">
        <f>L146-L149-L152</f>
        <v/>
      </c>
      <c r="M153" s="50">
        <f>M146-M149-M152</f>
        <v/>
      </c>
      <c r="N153" s="50">
        <f>N146-N149-N152</f>
        <v/>
      </c>
      <c r="O153" s="50">
        <f>O146-O149-O152</f>
        <v/>
      </c>
      <c r="P153" s="50">
        <f>P146-P149-P152</f>
        <v/>
      </c>
      <c r="Q153" s="50">
        <f>Q146-Q149-Q152</f>
        <v/>
      </c>
      <c r="R153" s="50">
        <f>R146-R149-R152</f>
        <v/>
      </c>
      <c r="S153" s="50">
        <f>S146-S149-S152</f>
        <v/>
      </c>
      <c r="T153" s="50">
        <f>T146-T149-T152</f>
        <v/>
      </c>
      <c r="U153" s="50">
        <f>U146-U149-U152</f>
        <v/>
      </c>
      <c r="V153" s="50">
        <f>V146-V149-V152</f>
        <v/>
      </c>
      <c r="W153" s="50">
        <f>W146-W149-W152</f>
        <v/>
      </c>
      <c r="X153" s="50">
        <f>X146-X149-X152</f>
        <v/>
      </c>
      <c r="Y153" s="50">
        <f>Y146-Y149-Y152</f>
        <v/>
      </c>
      <c r="Z153" s="50">
        <f>Z146-Z149-Z152</f>
        <v/>
      </c>
      <c r="AA153" s="50">
        <f>AA146-AA149-AA152</f>
        <v/>
      </c>
      <c r="AB153" s="50">
        <f>AB146-AB149-AB152</f>
        <v/>
      </c>
      <c r="AC153" s="50">
        <f>AC146-AC149-AC152</f>
        <v/>
      </c>
      <c r="AD153" s="50">
        <f>AD146-AD149-AD152</f>
        <v/>
      </c>
      <c r="AE153" s="50">
        <f>AE146-AE149-AE152</f>
        <v/>
      </c>
      <c r="AF153" s="50">
        <f>AF146-AF149-AF152</f>
        <v/>
      </c>
      <c r="AG153" s="50">
        <f>AG146-AG149-AG152</f>
        <v/>
      </c>
      <c r="AH153" s="50">
        <f>AH146-AH149-AH152</f>
        <v/>
      </c>
      <c r="AI153" s="50">
        <f>AI146-AI149-AI152</f>
        <v/>
      </c>
      <c r="AJ153" s="50">
        <f>AJ146-AJ149-AJ152</f>
        <v/>
      </c>
      <c r="AK153" s="50">
        <f>AK146-AK149-AK152</f>
        <v/>
      </c>
      <c r="AL153" s="50">
        <f>AL146-AL149-AL152</f>
        <v/>
      </c>
      <c r="AM153" s="50">
        <f>AM146-AM149-AM152</f>
        <v/>
      </c>
      <c r="AN153" s="50">
        <f>AN146-AN149-AN152</f>
        <v/>
      </c>
    </row>
    <row r="154">
      <c r="B154" s="7" t="inlineStr">
        <is>
          <t>Cumulative cash before funding</t>
        </is>
      </c>
      <c r="C154" s="5" t="inlineStr">
        <is>
          <t>₹</t>
        </is>
      </c>
      <c r="E154" s="50">
        <f>E153</f>
        <v/>
      </c>
      <c r="F154" s="50">
        <f>E154+F153</f>
        <v/>
      </c>
      <c r="G154" s="50">
        <f>F154+G153</f>
        <v/>
      </c>
      <c r="H154" s="50">
        <f>G154+H153</f>
        <v/>
      </c>
      <c r="I154" s="50">
        <f>H154+I153</f>
        <v/>
      </c>
      <c r="J154" s="50">
        <f>I154+J153</f>
        <v/>
      </c>
      <c r="K154" s="50">
        <f>J154+K153</f>
        <v/>
      </c>
      <c r="L154" s="50">
        <f>K154+L153</f>
        <v/>
      </c>
      <c r="M154" s="50">
        <f>L154+M153</f>
        <v/>
      </c>
      <c r="N154" s="50">
        <f>M154+N153</f>
        <v/>
      </c>
      <c r="O154" s="50">
        <f>N154+O153</f>
        <v/>
      </c>
      <c r="P154" s="50">
        <f>O154+P153</f>
        <v/>
      </c>
      <c r="Q154" s="50">
        <f>P154+Q153</f>
        <v/>
      </c>
      <c r="R154" s="50">
        <f>Q154+R153</f>
        <v/>
      </c>
      <c r="S154" s="50">
        <f>R154+S153</f>
        <v/>
      </c>
      <c r="T154" s="50">
        <f>S154+T153</f>
        <v/>
      </c>
      <c r="U154" s="50">
        <f>T154+U153</f>
        <v/>
      </c>
      <c r="V154" s="50">
        <f>U154+V153</f>
        <v/>
      </c>
      <c r="W154" s="50">
        <f>V154+W153</f>
        <v/>
      </c>
      <c r="X154" s="50">
        <f>W154+X153</f>
        <v/>
      </c>
      <c r="Y154" s="50">
        <f>X154+Y153</f>
        <v/>
      </c>
      <c r="Z154" s="50">
        <f>Y154+Z153</f>
        <v/>
      </c>
      <c r="AA154" s="50">
        <f>Z154+AA153</f>
        <v/>
      </c>
      <c r="AB154" s="50">
        <f>AA154+AB153</f>
        <v/>
      </c>
      <c r="AC154" s="50">
        <f>AB154+AC153</f>
        <v/>
      </c>
      <c r="AD154" s="50">
        <f>AC154+AD153</f>
        <v/>
      </c>
      <c r="AE154" s="50">
        <f>AD154+AE153</f>
        <v/>
      </c>
      <c r="AF154" s="50">
        <f>AE154+AF153</f>
        <v/>
      </c>
      <c r="AG154" s="50">
        <f>AF154+AG153</f>
        <v/>
      </c>
      <c r="AH154" s="50">
        <f>AG154+AH153</f>
        <v/>
      </c>
      <c r="AI154" s="50">
        <f>AH154+AI153</f>
        <v/>
      </c>
      <c r="AJ154" s="50">
        <f>AI154+AJ153</f>
        <v/>
      </c>
      <c r="AK154" s="50">
        <f>AJ154+AK153</f>
        <v/>
      </c>
      <c r="AL154" s="50">
        <f>AK154+AL153</f>
        <v/>
      </c>
      <c r="AM154" s="50">
        <f>AL154+AM153</f>
        <v/>
      </c>
      <c r="AN154" s="50">
        <f>AM154+AN153</f>
        <v/>
      </c>
    </row>
    <row r="155">
      <c r="B155" s="7" t="inlineStr">
        <is>
          <t>Total cash costs this month (used for the buffer)</t>
        </is>
      </c>
      <c r="C155" s="5" t="inlineStr">
        <is>
          <t>₹</t>
        </is>
      </c>
      <c r="E155" s="50">
        <f>E130+E132+E134+E145</f>
        <v/>
      </c>
      <c r="F155" s="50">
        <f>F130+F132+F134+F145</f>
        <v/>
      </c>
      <c r="G155" s="50">
        <f>G130+G132+G134+G145</f>
        <v/>
      </c>
      <c r="H155" s="50">
        <f>H130+H132+H134+H145</f>
        <v/>
      </c>
      <c r="I155" s="50">
        <f>I130+I132+I134+I145</f>
        <v/>
      </c>
      <c r="J155" s="50">
        <f>J130+J132+J134+J145</f>
        <v/>
      </c>
      <c r="K155" s="50">
        <f>K130+K132+K134+K145</f>
        <v/>
      </c>
      <c r="L155" s="50">
        <f>L130+L132+L134+L145</f>
        <v/>
      </c>
      <c r="M155" s="50">
        <f>M130+M132+M134+M145</f>
        <v/>
      </c>
      <c r="N155" s="50">
        <f>N130+N132+N134+N145</f>
        <v/>
      </c>
      <c r="O155" s="50">
        <f>O130+O132+O134+O145</f>
        <v/>
      </c>
      <c r="P155" s="50">
        <f>P130+P132+P134+P145</f>
        <v/>
      </c>
      <c r="Q155" s="50">
        <f>Q130+Q132+Q134+Q145</f>
        <v/>
      </c>
      <c r="R155" s="50">
        <f>R130+R132+R134+R145</f>
        <v/>
      </c>
      <c r="S155" s="50">
        <f>S130+S132+S134+S145</f>
        <v/>
      </c>
      <c r="T155" s="50">
        <f>T130+T132+T134+T145</f>
        <v/>
      </c>
      <c r="U155" s="50">
        <f>U130+U132+U134+U145</f>
        <v/>
      </c>
      <c r="V155" s="50">
        <f>V130+V132+V134+V145</f>
        <v/>
      </c>
      <c r="W155" s="50">
        <f>W130+W132+W134+W145</f>
        <v/>
      </c>
      <c r="X155" s="50">
        <f>X130+X132+X134+X145</f>
        <v/>
      </c>
      <c r="Y155" s="50">
        <f>Y130+Y132+Y134+Y145</f>
        <v/>
      </c>
      <c r="Z155" s="50">
        <f>Z130+Z132+Z134+Z145</f>
        <v/>
      </c>
      <c r="AA155" s="50">
        <f>AA130+AA132+AA134+AA145</f>
        <v/>
      </c>
      <c r="AB155" s="50">
        <f>AB130+AB132+AB134+AB145</f>
        <v/>
      </c>
      <c r="AC155" s="50">
        <f>AC130+AC132+AC134+AC145</f>
        <v/>
      </c>
      <c r="AD155" s="50">
        <f>AD130+AD132+AD134+AD145</f>
        <v/>
      </c>
      <c r="AE155" s="50">
        <f>AE130+AE132+AE134+AE145</f>
        <v/>
      </c>
      <c r="AF155" s="50">
        <f>AF130+AF132+AF134+AF145</f>
        <v/>
      </c>
      <c r="AG155" s="50">
        <f>AG130+AG132+AG134+AG145</f>
        <v/>
      </c>
      <c r="AH155" s="50">
        <f>AH130+AH132+AH134+AH145</f>
        <v/>
      </c>
      <c r="AI155" s="50">
        <f>AI130+AI132+AI134+AI145</f>
        <v/>
      </c>
      <c r="AJ155" s="50">
        <f>AJ130+AJ132+AJ134+AJ145</f>
        <v/>
      </c>
      <c r="AK155" s="50">
        <f>AK130+AK132+AK134+AK145</f>
        <v/>
      </c>
      <c r="AL155" s="50">
        <f>AL130+AL132+AL134+AL145</f>
        <v/>
      </c>
      <c r="AM155" s="50">
        <f>AM130+AM132+AM134+AM145</f>
        <v/>
      </c>
      <c r="AN155" s="50">
        <f>AN130+AN132+AN134+AN145</f>
        <v/>
      </c>
    </row>
    <row r="156">
      <c r="B156" s="3" t="inlineStr">
        <is>
          <t>Cash balance with the funding ask received in month 1</t>
        </is>
      </c>
      <c r="C156" s="5" t="inlineStr">
        <is>
          <t>₹</t>
        </is>
      </c>
      <c r="E156" s="52">
        <f>$D$103+E154</f>
        <v/>
      </c>
      <c r="F156" s="52">
        <f>$D$103+F154</f>
        <v/>
      </c>
      <c r="G156" s="52">
        <f>$D$103+G154</f>
        <v/>
      </c>
      <c r="H156" s="52">
        <f>$D$103+H154</f>
        <v/>
      </c>
      <c r="I156" s="52">
        <f>$D$103+I154</f>
        <v/>
      </c>
      <c r="J156" s="52">
        <f>$D$103+J154</f>
        <v/>
      </c>
      <c r="K156" s="52">
        <f>$D$103+K154</f>
        <v/>
      </c>
      <c r="L156" s="52">
        <f>$D$103+L154</f>
        <v/>
      </c>
      <c r="M156" s="52">
        <f>$D$103+M154</f>
        <v/>
      </c>
      <c r="N156" s="52">
        <f>$D$103+N154</f>
        <v/>
      </c>
      <c r="O156" s="52">
        <f>$D$103+O154</f>
        <v/>
      </c>
      <c r="P156" s="52">
        <f>$D$103+P154</f>
        <v/>
      </c>
      <c r="Q156" s="52">
        <f>$D$103+Q154</f>
        <v/>
      </c>
      <c r="R156" s="52">
        <f>$D$103+R154</f>
        <v/>
      </c>
      <c r="S156" s="52">
        <f>$D$103+S154</f>
        <v/>
      </c>
      <c r="T156" s="52">
        <f>$D$103+T154</f>
        <v/>
      </c>
      <c r="U156" s="52">
        <f>$D$103+U154</f>
        <v/>
      </c>
      <c r="V156" s="52">
        <f>$D$103+V154</f>
        <v/>
      </c>
      <c r="W156" s="52">
        <f>$D$103+W154</f>
        <v/>
      </c>
      <c r="X156" s="52">
        <f>$D$103+X154</f>
        <v/>
      </c>
      <c r="Y156" s="52">
        <f>$D$103+Y154</f>
        <v/>
      </c>
      <c r="Z156" s="52">
        <f>$D$103+Z154</f>
        <v/>
      </c>
      <c r="AA156" s="52">
        <f>$D$103+AA154</f>
        <v/>
      </c>
      <c r="AB156" s="52">
        <f>$D$103+AB154</f>
        <v/>
      </c>
      <c r="AC156" s="52">
        <f>$D$103+AC154</f>
        <v/>
      </c>
      <c r="AD156" s="52">
        <f>$D$103+AD154</f>
        <v/>
      </c>
      <c r="AE156" s="52">
        <f>$D$103+AE154</f>
        <v/>
      </c>
      <c r="AF156" s="52">
        <f>$D$103+AF154</f>
        <v/>
      </c>
      <c r="AG156" s="52">
        <f>$D$103+AG154</f>
        <v/>
      </c>
      <c r="AH156" s="52">
        <f>$D$103+AH154</f>
        <v/>
      </c>
      <c r="AI156" s="52">
        <f>$D$103+AI154</f>
        <v/>
      </c>
      <c r="AJ156" s="52">
        <f>$D$103+AJ154</f>
        <v/>
      </c>
      <c r="AK156" s="52">
        <f>$D$103+AK154</f>
        <v/>
      </c>
      <c r="AL156" s="52">
        <f>$D$103+AL154</f>
        <v/>
      </c>
      <c r="AM156" s="52">
        <f>$D$103+AM154</f>
        <v/>
      </c>
      <c r="AN156" s="52">
        <f>$D$103+AN154</f>
        <v/>
      </c>
    </row>
    <row r="157">
      <c r="B157" s="7" t="inlineStr">
        <is>
          <t>Trailing-12-month EBITDA</t>
        </is>
      </c>
      <c r="C157" s="5" t="inlineStr">
        <is>
          <t>₹</t>
        </is>
      </c>
      <c r="E157" s="50">
        <f>""</f>
        <v/>
      </c>
      <c r="F157" s="50">
        <f>""</f>
        <v/>
      </c>
      <c r="G157" s="50">
        <f>""</f>
        <v/>
      </c>
      <c r="H157" s="50">
        <f>""</f>
        <v/>
      </c>
      <c r="I157" s="50">
        <f>""</f>
        <v/>
      </c>
      <c r="J157" s="50">
        <f>""</f>
        <v/>
      </c>
      <c r="K157" s="50">
        <f>""</f>
        <v/>
      </c>
      <c r="L157" s="50">
        <f>""</f>
        <v/>
      </c>
      <c r="M157" s="50">
        <f>""</f>
        <v/>
      </c>
      <c r="N157" s="50">
        <f>""</f>
        <v/>
      </c>
      <c r="O157" s="50">
        <f>""</f>
        <v/>
      </c>
      <c r="P157" s="50">
        <f>SUM(E146:P146)</f>
        <v/>
      </c>
      <c r="Q157" s="50">
        <f>SUM(F146:Q146)</f>
        <v/>
      </c>
      <c r="R157" s="50">
        <f>SUM(G146:R146)</f>
        <v/>
      </c>
      <c r="S157" s="50">
        <f>SUM(H146:S146)</f>
        <v/>
      </c>
      <c r="T157" s="50">
        <f>SUM(I146:T146)</f>
        <v/>
      </c>
      <c r="U157" s="50">
        <f>SUM(J146:U146)</f>
        <v/>
      </c>
      <c r="V157" s="50">
        <f>SUM(K146:V146)</f>
        <v/>
      </c>
      <c r="W157" s="50">
        <f>SUM(L146:W146)</f>
        <v/>
      </c>
      <c r="X157" s="50">
        <f>SUM(M146:X146)</f>
        <v/>
      </c>
      <c r="Y157" s="50">
        <f>SUM(N146:Y146)</f>
        <v/>
      </c>
      <c r="Z157" s="50">
        <f>SUM(O146:Z146)</f>
        <v/>
      </c>
      <c r="AA157" s="50">
        <f>SUM(P146:AA146)</f>
        <v/>
      </c>
      <c r="AB157" s="50">
        <f>SUM(Q146:AB146)</f>
        <v/>
      </c>
      <c r="AC157" s="50">
        <f>SUM(R146:AC146)</f>
        <v/>
      </c>
      <c r="AD157" s="50">
        <f>SUM(S146:AD146)</f>
        <v/>
      </c>
      <c r="AE157" s="50">
        <f>SUM(T146:AE146)</f>
        <v/>
      </c>
      <c r="AF157" s="50">
        <f>SUM(U146:AF146)</f>
        <v/>
      </c>
      <c r="AG157" s="50">
        <f>SUM(V146:AG146)</f>
        <v/>
      </c>
      <c r="AH157" s="50">
        <f>SUM(W146:AH146)</f>
        <v/>
      </c>
      <c r="AI157" s="50">
        <f>SUM(X146:AI146)</f>
        <v/>
      </c>
      <c r="AJ157" s="50">
        <f>SUM(Y146:AJ146)</f>
        <v/>
      </c>
      <c r="AK157" s="50">
        <f>SUM(Z146:AK146)</f>
        <v/>
      </c>
      <c r="AL157" s="50">
        <f>SUM(AA146:AL146)</f>
        <v/>
      </c>
      <c r="AM157" s="50">
        <f>SUM(AB146:AM146)</f>
        <v/>
      </c>
      <c r="AN157" s="50">
        <f>SUM(AC146:AN146)</f>
        <v/>
      </c>
    </row>
    <row r="158">
      <c r="B158" s="7" t="inlineStr">
        <is>
          <t>Flag: EBITDA ≥ 0 for 3 months in a row</t>
        </is>
      </c>
      <c r="C158" s="5" t="inlineStr">
        <is>
          <t>1/0</t>
        </is>
      </c>
      <c r="E158" s="57">
        <f>IF(AND(E146&gt;=0,F146&gt;=0,G146&gt;=0),1,0)</f>
        <v/>
      </c>
      <c r="F158" s="57">
        <f>IF(AND(F146&gt;=0,G146&gt;=0,H146&gt;=0),1,0)</f>
        <v/>
      </c>
      <c r="G158" s="57">
        <f>IF(AND(G146&gt;=0,H146&gt;=0,I146&gt;=0),1,0)</f>
        <v/>
      </c>
      <c r="H158" s="57">
        <f>IF(AND(H146&gt;=0,I146&gt;=0,J146&gt;=0),1,0)</f>
        <v/>
      </c>
      <c r="I158" s="57">
        <f>IF(AND(I146&gt;=0,J146&gt;=0,K146&gt;=0),1,0)</f>
        <v/>
      </c>
      <c r="J158" s="57">
        <f>IF(AND(J146&gt;=0,K146&gt;=0,L146&gt;=0),1,0)</f>
        <v/>
      </c>
      <c r="K158" s="57">
        <f>IF(AND(K146&gt;=0,L146&gt;=0,M146&gt;=0),1,0)</f>
        <v/>
      </c>
      <c r="L158" s="57">
        <f>IF(AND(L146&gt;=0,M146&gt;=0,N146&gt;=0),1,0)</f>
        <v/>
      </c>
      <c r="M158" s="57">
        <f>IF(AND(M146&gt;=0,N146&gt;=0,O146&gt;=0),1,0)</f>
        <v/>
      </c>
      <c r="N158" s="57">
        <f>IF(AND(N146&gt;=0,O146&gt;=0,P146&gt;=0),1,0)</f>
        <v/>
      </c>
      <c r="O158" s="57">
        <f>IF(AND(O146&gt;=0,P146&gt;=0,Q146&gt;=0),1,0)</f>
        <v/>
      </c>
      <c r="P158" s="57">
        <f>IF(AND(P146&gt;=0,Q146&gt;=0,R146&gt;=0),1,0)</f>
        <v/>
      </c>
      <c r="Q158" s="57">
        <f>IF(AND(Q146&gt;=0,R146&gt;=0,S146&gt;=0),1,0)</f>
        <v/>
      </c>
      <c r="R158" s="57">
        <f>IF(AND(R146&gt;=0,S146&gt;=0,T146&gt;=0),1,0)</f>
        <v/>
      </c>
      <c r="S158" s="57">
        <f>IF(AND(S146&gt;=0,T146&gt;=0,U146&gt;=0),1,0)</f>
        <v/>
      </c>
      <c r="T158" s="57">
        <f>IF(AND(T146&gt;=0,U146&gt;=0,V146&gt;=0),1,0)</f>
        <v/>
      </c>
      <c r="U158" s="57">
        <f>IF(AND(U146&gt;=0,V146&gt;=0,W146&gt;=0),1,0)</f>
        <v/>
      </c>
      <c r="V158" s="57">
        <f>IF(AND(V146&gt;=0,W146&gt;=0,X146&gt;=0),1,0)</f>
        <v/>
      </c>
      <c r="W158" s="57">
        <f>IF(AND(W146&gt;=0,X146&gt;=0,Y146&gt;=0),1,0)</f>
        <v/>
      </c>
      <c r="X158" s="57">
        <f>IF(AND(X146&gt;=0,Y146&gt;=0,Z146&gt;=0),1,0)</f>
        <v/>
      </c>
      <c r="Y158" s="57">
        <f>IF(AND(Y146&gt;=0,Z146&gt;=0,AA146&gt;=0),1,0)</f>
        <v/>
      </c>
      <c r="Z158" s="57">
        <f>IF(AND(Z146&gt;=0,AA146&gt;=0,AB146&gt;=0),1,0)</f>
        <v/>
      </c>
      <c r="AA158" s="57">
        <f>IF(AND(AA146&gt;=0,AB146&gt;=0,AC146&gt;=0),1,0)</f>
        <v/>
      </c>
      <c r="AB158" s="57">
        <f>IF(AND(AB146&gt;=0,AC146&gt;=0,AD146&gt;=0),1,0)</f>
        <v/>
      </c>
      <c r="AC158" s="57">
        <f>IF(AND(AC146&gt;=0,AD146&gt;=0,AE146&gt;=0),1,0)</f>
        <v/>
      </c>
      <c r="AD158" s="57">
        <f>IF(AND(AD146&gt;=0,AE146&gt;=0,AF146&gt;=0),1,0)</f>
        <v/>
      </c>
      <c r="AE158" s="57">
        <f>IF(AND(AE146&gt;=0,AF146&gt;=0,AG146&gt;=0),1,0)</f>
        <v/>
      </c>
      <c r="AF158" s="57">
        <f>IF(AND(AF146&gt;=0,AG146&gt;=0,AH146&gt;=0),1,0)</f>
        <v/>
      </c>
      <c r="AG158" s="57">
        <f>IF(AND(AG146&gt;=0,AH146&gt;=0,AI146&gt;=0),1,0)</f>
        <v/>
      </c>
      <c r="AH158" s="57">
        <f>IF(AND(AH146&gt;=0,AI146&gt;=0,AJ146&gt;=0),1,0)</f>
        <v/>
      </c>
      <c r="AI158" s="57">
        <f>IF(AND(AI146&gt;=0,AJ146&gt;=0,AK146&gt;=0),1,0)</f>
        <v/>
      </c>
      <c r="AJ158" s="57">
        <f>IF(AND(AJ146&gt;=0,AK146&gt;=0,AL146&gt;=0),1,0)</f>
        <v/>
      </c>
      <c r="AK158" s="57">
        <f>IF(AND(AK146&gt;=0,AL146&gt;=0,AM146&gt;=0),1,0)</f>
        <v/>
      </c>
      <c r="AL158" s="57">
        <f>IF(AND(AL146&gt;=0,AM146&gt;=0,AN146&gt;=0),1,0)</f>
        <v/>
      </c>
      <c r="AM158" s="57">
        <f>0</f>
        <v/>
      </c>
      <c r="AN158" s="57">
        <f>0</f>
        <v/>
      </c>
    </row>
    <row r="159">
      <c r="B159" s="7" t="inlineStr">
        <is>
          <t>Flag: trailing-12-month EBITDA ≥ 0</t>
        </is>
      </c>
      <c r="C159" s="5" t="inlineStr">
        <is>
          <t>1/0</t>
        </is>
      </c>
      <c r="E159" s="57">
        <f>0</f>
        <v/>
      </c>
      <c r="F159" s="57">
        <f>0</f>
        <v/>
      </c>
      <c r="G159" s="57">
        <f>0</f>
        <v/>
      </c>
      <c r="H159" s="57">
        <f>0</f>
        <v/>
      </c>
      <c r="I159" s="57">
        <f>0</f>
        <v/>
      </c>
      <c r="J159" s="57">
        <f>0</f>
        <v/>
      </c>
      <c r="K159" s="57">
        <f>0</f>
        <v/>
      </c>
      <c r="L159" s="57">
        <f>0</f>
        <v/>
      </c>
      <c r="M159" s="57">
        <f>0</f>
        <v/>
      </c>
      <c r="N159" s="57">
        <f>0</f>
        <v/>
      </c>
      <c r="O159" s="57">
        <f>0</f>
        <v/>
      </c>
      <c r="P159" s="57">
        <f>IF(P157&gt;=0,1,0)</f>
        <v/>
      </c>
      <c r="Q159" s="57">
        <f>IF(Q157&gt;=0,1,0)</f>
        <v/>
      </c>
      <c r="R159" s="57">
        <f>IF(R157&gt;=0,1,0)</f>
        <v/>
      </c>
      <c r="S159" s="57">
        <f>IF(S157&gt;=0,1,0)</f>
        <v/>
      </c>
      <c r="T159" s="57">
        <f>IF(T157&gt;=0,1,0)</f>
        <v/>
      </c>
      <c r="U159" s="57">
        <f>IF(U157&gt;=0,1,0)</f>
        <v/>
      </c>
      <c r="V159" s="57">
        <f>IF(V157&gt;=0,1,0)</f>
        <v/>
      </c>
      <c r="W159" s="57">
        <f>IF(W157&gt;=0,1,0)</f>
        <v/>
      </c>
      <c r="X159" s="57">
        <f>IF(X157&gt;=0,1,0)</f>
        <v/>
      </c>
      <c r="Y159" s="57">
        <f>IF(Y157&gt;=0,1,0)</f>
        <v/>
      </c>
      <c r="Z159" s="57">
        <f>IF(Z157&gt;=0,1,0)</f>
        <v/>
      </c>
      <c r="AA159" s="57">
        <f>IF(AA157&gt;=0,1,0)</f>
        <v/>
      </c>
      <c r="AB159" s="57">
        <f>IF(AB157&gt;=0,1,0)</f>
        <v/>
      </c>
      <c r="AC159" s="57">
        <f>IF(AC157&gt;=0,1,0)</f>
        <v/>
      </c>
      <c r="AD159" s="57">
        <f>IF(AD157&gt;=0,1,0)</f>
        <v/>
      </c>
      <c r="AE159" s="57">
        <f>IF(AE157&gt;=0,1,0)</f>
        <v/>
      </c>
      <c r="AF159" s="57">
        <f>IF(AF157&gt;=0,1,0)</f>
        <v/>
      </c>
      <c r="AG159" s="57">
        <f>IF(AG157&gt;=0,1,0)</f>
        <v/>
      </c>
      <c r="AH159" s="57">
        <f>IF(AH157&gt;=0,1,0)</f>
        <v/>
      </c>
      <c r="AI159" s="57">
        <f>IF(AI157&gt;=0,1,0)</f>
        <v/>
      </c>
      <c r="AJ159" s="57">
        <f>IF(AJ157&gt;=0,1,0)</f>
        <v/>
      </c>
      <c r="AK159" s="57">
        <f>IF(AK157&gt;=0,1,0)</f>
        <v/>
      </c>
      <c r="AL159" s="57">
        <f>IF(AL157&gt;=0,1,0)</f>
        <v/>
      </c>
      <c r="AM159" s="57">
        <f>IF(AM157&gt;=0,1,0)</f>
        <v/>
      </c>
      <c r="AN159" s="57">
        <f>IF(AN157&gt;=0,1,0)</f>
        <v/>
      </c>
    </row>
    <row r="160">
      <c r="A160" s="23" t="n"/>
      <c r="B160" s="22" t="inlineStr">
        <is>
          <t>F. Cohorts: institutes still paying, by month they signed (rows) and calendar month (columns)</t>
        </is>
      </c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  <c r="AA160" s="23" t="n"/>
      <c r="AB160" s="23" t="n"/>
      <c r="AC160" s="23" t="n"/>
      <c r="AD160" s="23" t="n"/>
      <c r="AE160" s="23" t="n"/>
      <c r="AF160" s="23" t="n"/>
      <c r="AG160" s="23" t="n"/>
      <c r="AH160" s="23" t="n"/>
      <c r="AI160" s="23" t="n"/>
      <c r="AJ160" s="23" t="n"/>
      <c r="AK160" s="23" t="n"/>
      <c r="AL160" s="23" t="n"/>
      <c r="AM160" s="23" t="n"/>
      <c r="AN160" s="23" t="n"/>
    </row>
    <row r="161">
      <c r="B161" s="7" t="inlineStr">
        <is>
          <t>Cohort signed in month 1</t>
        </is>
      </c>
      <c r="C161" s="5" t="inlineStr">
        <is>
          <t>institutes</t>
        </is>
      </c>
      <c r="E161" s="53">
        <f>E123</f>
        <v/>
      </c>
      <c r="F161" s="53">
        <f>E161*(1-$D$70)*(1-IF(AND(1&gt;=$D$48,INDEX(Season_Flag,E$113)=1),$D$71,0))</f>
        <v/>
      </c>
      <c r="G161" s="53">
        <f>F161*(1-$D$70)*(1-IF(AND(2&gt;=$D$48,INDEX(Season_Flag,F$113)=1),$D$71,0))</f>
        <v/>
      </c>
      <c r="H161" s="53">
        <f>G161*(1-$D$70)*(1-IF(AND(3&gt;=$D$48,INDEX(Season_Flag,G$113)=1),$D$71,0))</f>
        <v/>
      </c>
      <c r="I161" s="53">
        <f>H161*(1-$D$70)*(1-IF(AND(4&gt;=$D$48,INDEX(Season_Flag,H$113)=1),$D$71,0))</f>
        <v/>
      </c>
      <c r="J161" s="53">
        <f>I161*(1-$D$70)*(1-IF(AND(5&gt;=$D$48,INDEX(Season_Flag,I$113)=1),$D$71,0))</f>
        <v/>
      </c>
      <c r="K161" s="53">
        <f>J161*(1-$D$70)*(1-IF(AND(6&gt;=$D$48,INDEX(Season_Flag,J$113)=1),$D$71,0))</f>
        <v/>
      </c>
      <c r="L161" s="53">
        <f>K161*(1-$D$70)*(1-IF(AND(7&gt;=$D$48,INDEX(Season_Flag,K$113)=1),$D$71,0))</f>
        <v/>
      </c>
      <c r="M161" s="53">
        <f>L161*(1-$D$70)*(1-IF(AND(8&gt;=$D$48,INDEX(Season_Flag,L$113)=1),$D$71,0))</f>
        <v/>
      </c>
      <c r="N161" s="53">
        <f>M161*(1-$D$70)*(1-IF(AND(9&gt;=$D$48,INDEX(Season_Flag,M$113)=1),$D$71,0))</f>
        <v/>
      </c>
      <c r="O161" s="53">
        <f>N161*(1-$D$70)*(1-IF(AND(10&gt;=$D$48,INDEX(Season_Flag,N$113)=1),$D$71,0))</f>
        <v/>
      </c>
      <c r="P161" s="53">
        <f>O161*(1-$D$70)*(1-IF(AND(11&gt;=$D$48,INDEX(Season_Flag,O$113)=1),$D$71,0))</f>
        <v/>
      </c>
      <c r="Q161" s="53">
        <f>P161*(1-$D$70)*(1-IF(AND(12&gt;=$D$48,INDEX(Season_Flag,P$113)=1),$D$71,0))</f>
        <v/>
      </c>
      <c r="R161" s="53">
        <f>Q161*(1-$D$70)*(1-IF(AND(13&gt;=$D$48,INDEX(Season_Flag,Q$113)=1),$D$71,0))</f>
        <v/>
      </c>
      <c r="S161" s="53">
        <f>R161*(1-$D$70)*(1-IF(AND(14&gt;=$D$48,INDEX(Season_Flag,R$113)=1),$D$71,0))</f>
        <v/>
      </c>
      <c r="T161" s="53">
        <f>S161*(1-$D$70)*(1-IF(AND(15&gt;=$D$48,INDEX(Season_Flag,S$113)=1),$D$71,0))</f>
        <v/>
      </c>
      <c r="U161" s="53">
        <f>T161*(1-$D$70)*(1-IF(AND(16&gt;=$D$48,INDEX(Season_Flag,T$113)=1),$D$71,0))</f>
        <v/>
      </c>
      <c r="V161" s="53">
        <f>U161*(1-$D$70)*(1-IF(AND(17&gt;=$D$48,INDEX(Season_Flag,U$113)=1),$D$71,0))</f>
        <v/>
      </c>
      <c r="W161" s="53">
        <f>V161*(1-$D$70)*(1-IF(AND(18&gt;=$D$48,INDEX(Season_Flag,V$113)=1),$D$71,0))</f>
        <v/>
      </c>
      <c r="X161" s="53">
        <f>W161*(1-$D$70)*(1-IF(AND(19&gt;=$D$48,INDEX(Season_Flag,W$113)=1),$D$71,0))</f>
        <v/>
      </c>
      <c r="Y161" s="53">
        <f>X161*(1-$D$70)*(1-IF(AND(20&gt;=$D$48,INDEX(Season_Flag,X$113)=1),$D$71,0))</f>
        <v/>
      </c>
      <c r="Z161" s="53">
        <f>Y161*(1-$D$70)*(1-IF(AND(21&gt;=$D$48,INDEX(Season_Flag,Y$113)=1),$D$71,0))</f>
        <v/>
      </c>
      <c r="AA161" s="53">
        <f>Z161*(1-$D$70)*(1-IF(AND(22&gt;=$D$48,INDEX(Season_Flag,Z$113)=1),$D$71,0))</f>
        <v/>
      </c>
      <c r="AB161" s="53">
        <f>AA161*(1-$D$70)*(1-IF(AND(23&gt;=$D$48,INDEX(Season_Flag,AA$113)=1),$D$71,0))</f>
        <v/>
      </c>
      <c r="AC161" s="53">
        <f>AB161*(1-$D$70)*(1-IF(AND(24&gt;=$D$48,INDEX(Season_Flag,AB$113)=1),$D$71,0))</f>
        <v/>
      </c>
      <c r="AD161" s="53">
        <f>AC161*(1-$D$70)*(1-IF(AND(25&gt;=$D$48,INDEX(Season_Flag,AC$113)=1),$D$71,0))</f>
        <v/>
      </c>
      <c r="AE161" s="53">
        <f>AD161*(1-$D$70)*(1-IF(AND(26&gt;=$D$48,INDEX(Season_Flag,AD$113)=1),$D$71,0))</f>
        <v/>
      </c>
      <c r="AF161" s="53">
        <f>AE161*(1-$D$70)*(1-IF(AND(27&gt;=$D$48,INDEX(Season_Flag,AE$113)=1),$D$71,0))</f>
        <v/>
      </c>
      <c r="AG161" s="53">
        <f>AF161*(1-$D$70)*(1-IF(AND(28&gt;=$D$48,INDEX(Season_Flag,AF$113)=1),$D$71,0))</f>
        <v/>
      </c>
      <c r="AH161" s="53">
        <f>AG161*(1-$D$70)*(1-IF(AND(29&gt;=$D$48,INDEX(Season_Flag,AG$113)=1),$D$71,0))</f>
        <v/>
      </c>
      <c r="AI161" s="53">
        <f>AH161*(1-$D$70)*(1-IF(AND(30&gt;=$D$48,INDEX(Season_Flag,AH$113)=1),$D$71,0))</f>
        <v/>
      </c>
      <c r="AJ161" s="53">
        <f>AI161*(1-$D$70)*(1-IF(AND(31&gt;=$D$48,INDEX(Season_Flag,AI$113)=1),$D$71,0))</f>
        <v/>
      </c>
      <c r="AK161" s="53">
        <f>AJ161*(1-$D$70)*(1-IF(AND(32&gt;=$D$48,INDEX(Season_Flag,AJ$113)=1),$D$71,0))</f>
        <v/>
      </c>
      <c r="AL161" s="53">
        <f>AK161*(1-$D$70)*(1-IF(AND(33&gt;=$D$48,INDEX(Season_Flag,AK$113)=1),$D$71,0))</f>
        <v/>
      </c>
      <c r="AM161" s="53">
        <f>AL161*(1-$D$70)*(1-IF(AND(34&gt;=$D$48,INDEX(Season_Flag,AL$113)=1),$D$71,0))</f>
        <v/>
      </c>
      <c r="AN161" s="53">
        <f>AM161*(1-$D$70)*(1-IF(AND(35&gt;=$D$48,INDEX(Season_Flag,AM$113)=1),$D$71,0))</f>
        <v/>
      </c>
    </row>
    <row r="162">
      <c r="B162" s="7" t="inlineStr">
        <is>
          <t>Cohort signed in month 2</t>
        </is>
      </c>
      <c r="C162" s="5" t="inlineStr">
        <is>
          <t>institutes</t>
        </is>
      </c>
      <c r="F162" s="53">
        <f>F123</f>
        <v/>
      </c>
      <c r="G162" s="53">
        <f>F162*(1-$D$70)*(1-IF(AND(1&gt;=$D$48,INDEX(Season_Flag,F$113)=1),$D$71,0))</f>
        <v/>
      </c>
      <c r="H162" s="53">
        <f>G162*(1-$D$70)*(1-IF(AND(2&gt;=$D$48,INDEX(Season_Flag,G$113)=1),$D$71,0))</f>
        <v/>
      </c>
      <c r="I162" s="53">
        <f>H162*(1-$D$70)*(1-IF(AND(3&gt;=$D$48,INDEX(Season_Flag,H$113)=1),$D$71,0))</f>
        <v/>
      </c>
      <c r="J162" s="53">
        <f>I162*(1-$D$70)*(1-IF(AND(4&gt;=$D$48,INDEX(Season_Flag,I$113)=1),$D$71,0))</f>
        <v/>
      </c>
      <c r="K162" s="53">
        <f>J162*(1-$D$70)*(1-IF(AND(5&gt;=$D$48,INDEX(Season_Flag,J$113)=1),$D$71,0))</f>
        <v/>
      </c>
      <c r="L162" s="53">
        <f>K162*(1-$D$70)*(1-IF(AND(6&gt;=$D$48,INDEX(Season_Flag,K$113)=1),$D$71,0))</f>
        <v/>
      </c>
      <c r="M162" s="53">
        <f>L162*(1-$D$70)*(1-IF(AND(7&gt;=$D$48,INDEX(Season_Flag,L$113)=1),$D$71,0))</f>
        <v/>
      </c>
      <c r="N162" s="53">
        <f>M162*(1-$D$70)*(1-IF(AND(8&gt;=$D$48,INDEX(Season_Flag,M$113)=1),$D$71,0))</f>
        <v/>
      </c>
      <c r="O162" s="53">
        <f>N162*(1-$D$70)*(1-IF(AND(9&gt;=$D$48,INDEX(Season_Flag,N$113)=1),$D$71,0))</f>
        <v/>
      </c>
      <c r="P162" s="53">
        <f>O162*(1-$D$70)*(1-IF(AND(10&gt;=$D$48,INDEX(Season_Flag,O$113)=1),$D$71,0))</f>
        <v/>
      </c>
      <c r="Q162" s="53">
        <f>P162*(1-$D$70)*(1-IF(AND(11&gt;=$D$48,INDEX(Season_Flag,P$113)=1),$D$71,0))</f>
        <v/>
      </c>
      <c r="R162" s="53">
        <f>Q162*(1-$D$70)*(1-IF(AND(12&gt;=$D$48,INDEX(Season_Flag,Q$113)=1),$D$71,0))</f>
        <v/>
      </c>
      <c r="S162" s="53">
        <f>R162*(1-$D$70)*(1-IF(AND(13&gt;=$D$48,INDEX(Season_Flag,R$113)=1),$D$71,0))</f>
        <v/>
      </c>
      <c r="T162" s="53">
        <f>S162*(1-$D$70)*(1-IF(AND(14&gt;=$D$48,INDEX(Season_Flag,S$113)=1),$D$71,0))</f>
        <v/>
      </c>
      <c r="U162" s="53">
        <f>T162*(1-$D$70)*(1-IF(AND(15&gt;=$D$48,INDEX(Season_Flag,T$113)=1),$D$71,0))</f>
        <v/>
      </c>
      <c r="V162" s="53">
        <f>U162*(1-$D$70)*(1-IF(AND(16&gt;=$D$48,INDEX(Season_Flag,U$113)=1),$D$71,0))</f>
        <v/>
      </c>
      <c r="W162" s="53">
        <f>V162*(1-$D$70)*(1-IF(AND(17&gt;=$D$48,INDEX(Season_Flag,V$113)=1),$D$71,0))</f>
        <v/>
      </c>
      <c r="X162" s="53">
        <f>W162*(1-$D$70)*(1-IF(AND(18&gt;=$D$48,INDEX(Season_Flag,W$113)=1),$D$71,0))</f>
        <v/>
      </c>
      <c r="Y162" s="53">
        <f>X162*(1-$D$70)*(1-IF(AND(19&gt;=$D$48,INDEX(Season_Flag,X$113)=1),$D$71,0))</f>
        <v/>
      </c>
      <c r="Z162" s="53">
        <f>Y162*(1-$D$70)*(1-IF(AND(20&gt;=$D$48,INDEX(Season_Flag,Y$113)=1),$D$71,0))</f>
        <v/>
      </c>
      <c r="AA162" s="53">
        <f>Z162*(1-$D$70)*(1-IF(AND(21&gt;=$D$48,INDEX(Season_Flag,Z$113)=1),$D$71,0))</f>
        <v/>
      </c>
      <c r="AB162" s="53">
        <f>AA162*(1-$D$70)*(1-IF(AND(22&gt;=$D$48,INDEX(Season_Flag,AA$113)=1),$D$71,0))</f>
        <v/>
      </c>
      <c r="AC162" s="53">
        <f>AB162*(1-$D$70)*(1-IF(AND(23&gt;=$D$48,INDEX(Season_Flag,AB$113)=1),$D$71,0))</f>
        <v/>
      </c>
      <c r="AD162" s="53">
        <f>AC162*(1-$D$70)*(1-IF(AND(24&gt;=$D$48,INDEX(Season_Flag,AC$113)=1),$D$71,0))</f>
        <v/>
      </c>
      <c r="AE162" s="53">
        <f>AD162*(1-$D$70)*(1-IF(AND(25&gt;=$D$48,INDEX(Season_Flag,AD$113)=1),$D$71,0))</f>
        <v/>
      </c>
      <c r="AF162" s="53">
        <f>AE162*(1-$D$70)*(1-IF(AND(26&gt;=$D$48,INDEX(Season_Flag,AE$113)=1),$D$71,0))</f>
        <v/>
      </c>
      <c r="AG162" s="53">
        <f>AF162*(1-$D$70)*(1-IF(AND(27&gt;=$D$48,INDEX(Season_Flag,AF$113)=1),$D$71,0))</f>
        <v/>
      </c>
      <c r="AH162" s="53">
        <f>AG162*(1-$D$70)*(1-IF(AND(28&gt;=$D$48,INDEX(Season_Flag,AG$113)=1),$D$71,0))</f>
        <v/>
      </c>
      <c r="AI162" s="53">
        <f>AH162*(1-$D$70)*(1-IF(AND(29&gt;=$D$48,INDEX(Season_Flag,AH$113)=1),$D$71,0))</f>
        <v/>
      </c>
      <c r="AJ162" s="53">
        <f>AI162*(1-$D$70)*(1-IF(AND(30&gt;=$D$48,INDEX(Season_Flag,AI$113)=1),$D$71,0))</f>
        <v/>
      </c>
      <c r="AK162" s="53">
        <f>AJ162*(1-$D$70)*(1-IF(AND(31&gt;=$D$48,INDEX(Season_Flag,AJ$113)=1),$D$71,0))</f>
        <v/>
      </c>
      <c r="AL162" s="53">
        <f>AK162*(1-$D$70)*(1-IF(AND(32&gt;=$D$48,INDEX(Season_Flag,AK$113)=1),$D$71,0))</f>
        <v/>
      </c>
      <c r="AM162" s="53">
        <f>AL162*(1-$D$70)*(1-IF(AND(33&gt;=$D$48,INDEX(Season_Flag,AL$113)=1),$D$71,0))</f>
        <v/>
      </c>
      <c r="AN162" s="53">
        <f>AM162*(1-$D$70)*(1-IF(AND(34&gt;=$D$48,INDEX(Season_Flag,AM$113)=1),$D$71,0))</f>
        <v/>
      </c>
    </row>
    <row r="163">
      <c r="B163" s="7" t="inlineStr">
        <is>
          <t>Cohort signed in month 3</t>
        </is>
      </c>
      <c r="C163" s="5" t="inlineStr">
        <is>
          <t>institutes</t>
        </is>
      </c>
      <c r="G163" s="53">
        <f>G123</f>
        <v/>
      </c>
      <c r="H163" s="53">
        <f>G163*(1-$D$70)*(1-IF(AND(1&gt;=$D$48,INDEX(Season_Flag,G$113)=1),$D$71,0))</f>
        <v/>
      </c>
      <c r="I163" s="53">
        <f>H163*(1-$D$70)*(1-IF(AND(2&gt;=$D$48,INDEX(Season_Flag,H$113)=1),$D$71,0))</f>
        <v/>
      </c>
      <c r="J163" s="53">
        <f>I163*(1-$D$70)*(1-IF(AND(3&gt;=$D$48,INDEX(Season_Flag,I$113)=1),$D$71,0))</f>
        <v/>
      </c>
      <c r="K163" s="53">
        <f>J163*(1-$D$70)*(1-IF(AND(4&gt;=$D$48,INDEX(Season_Flag,J$113)=1),$D$71,0))</f>
        <v/>
      </c>
      <c r="L163" s="53">
        <f>K163*(1-$D$70)*(1-IF(AND(5&gt;=$D$48,INDEX(Season_Flag,K$113)=1),$D$71,0))</f>
        <v/>
      </c>
      <c r="M163" s="53">
        <f>L163*(1-$D$70)*(1-IF(AND(6&gt;=$D$48,INDEX(Season_Flag,L$113)=1),$D$71,0))</f>
        <v/>
      </c>
      <c r="N163" s="53">
        <f>M163*(1-$D$70)*(1-IF(AND(7&gt;=$D$48,INDEX(Season_Flag,M$113)=1),$D$71,0))</f>
        <v/>
      </c>
      <c r="O163" s="53">
        <f>N163*(1-$D$70)*(1-IF(AND(8&gt;=$D$48,INDEX(Season_Flag,N$113)=1),$D$71,0))</f>
        <v/>
      </c>
      <c r="P163" s="53">
        <f>O163*(1-$D$70)*(1-IF(AND(9&gt;=$D$48,INDEX(Season_Flag,O$113)=1),$D$71,0))</f>
        <v/>
      </c>
      <c r="Q163" s="53">
        <f>P163*(1-$D$70)*(1-IF(AND(10&gt;=$D$48,INDEX(Season_Flag,P$113)=1),$D$71,0))</f>
        <v/>
      </c>
      <c r="R163" s="53">
        <f>Q163*(1-$D$70)*(1-IF(AND(11&gt;=$D$48,INDEX(Season_Flag,Q$113)=1),$D$71,0))</f>
        <v/>
      </c>
      <c r="S163" s="53">
        <f>R163*(1-$D$70)*(1-IF(AND(12&gt;=$D$48,INDEX(Season_Flag,R$113)=1),$D$71,0))</f>
        <v/>
      </c>
      <c r="T163" s="53">
        <f>S163*(1-$D$70)*(1-IF(AND(13&gt;=$D$48,INDEX(Season_Flag,S$113)=1),$D$71,0))</f>
        <v/>
      </c>
      <c r="U163" s="53">
        <f>T163*(1-$D$70)*(1-IF(AND(14&gt;=$D$48,INDEX(Season_Flag,T$113)=1),$D$71,0))</f>
        <v/>
      </c>
      <c r="V163" s="53">
        <f>U163*(1-$D$70)*(1-IF(AND(15&gt;=$D$48,INDEX(Season_Flag,U$113)=1),$D$71,0))</f>
        <v/>
      </c>
      <c r="W163" s="53">
        <f>V163*(1-$D$70)*(1-IF(AND(16&gt;=$D$48,INDEX(Season_Flag,V$113)=1),$D$71,0))</f>
        <v/>
      </c>
      <c r="X163" s="53">
        <f>W163*(1-$D$70)*(1-IF(AND(17&gt;=$D$48,INDEX(Season_Flag,W$113)=1),$D$71,0))</f>
        <v/>
      </c>
      <c r="Y163" s="53">
        <f>X163*(1-$D$70)*(1-IF(AND(18&gt;=$D$48,INDEX(Season_Flag,X$113)=1),$D$71,0))</f>
        <v/>
      </c>
      <c r="Z163" s="53">
        <f>Y163*(1-$D$70)*(1-IF(AND(19&gt;=$D$48,INDEX(Season_Flag,Y$113)=1),$D$71,0))</f>
        <v/>
      </c>
      <c r="AA163" s="53">
        <f>Z163*(1-$D$70)*(1-IF(AND(20&gt;=$D$48,INDEX(Season_Flag,Z$113)=1),$D$71,0))</f>
        <v/>
      </c>
      <c r="AB163" s="53">
        <f>AA163*(1-$D$70)*(1-IF(AND(21&gt;=$D$48,INDEX(Season_Flag,AA$113)=1),$D$71,0))</f>
        <v/>
      </c>
      <c r="AC163" s="53">
        <f>AB163*(1-$D$70)*(1-IF(AND(22&gt;=$D$48,INDEX(Season_Flag,AB$113)=1),$D$71,0))</f>
        <v/>
      </c>
      <c r="AD163" s="53">
        <f>AC163*(1-$D$70)*(1-IF(AND(23&gt;=$D$48,INDEX(Season_Flag,AC$113)=1),$D$71,0))</f>
        <v/>
      </c>
      <c r="AE163" s="53">
        <f>AD163*(1-$D$70)*(1-IF(AND(24&gt;=$D$48,INDEX(Season_Flag,AD$113)=1),$D$71,0))</f>
        <v/>
      </c>
      <c r="AF163" s="53">
        <f>AE163*(1-$D$70)*(1-IF(AND(25&gt;=$D$48,INDEX(Season_Flag,AE$113)=1),$D$71,0))</f>
        <v/>
      </c>
      <c r="AG163" s="53">
        <f>AF163*(1-$D$70)*(1-IF(AND(26&gt;=$D$48,INDEX(Season_Flag,AF$113)=1),$D$71,0))</f>
        <v/>
      </c>
      <c r="AH163" s="53">
        <f>AG163*(1-$D$70)*(1-IF(AND(27&gt;=$D$48,INDEX(Season_Flag,AG$113)=1),$D$71,0))</f>
        <v/>
      </c>
      <c r="AI163" s="53">
        <f>AH163*(1-$D$70)*(1-IF(AND(28&gt;=$D$48,INDEX(Season_Flag,AH$113)=1),$D$71,0))</f>
        <v/>
      </c>
      <c r="AJ163" s="53">
        <f>AI163*(1-$D$70)*(1-IF(AND(29&gt;=$D$48,INDEX(Season_Flag,AI$113)=1),$D$71,0))</f>
        <v/>
      </c>
      <c r="AK163" s="53">
        <f>AJ163*(1-$D$70)*(1-IF(AND(30&gt;=$D$48,INDEX(Season_Flag,AJ$113)=1),$D$71,0))</f>
        <v/>
      </c>
      <c r="AL163" s="53">
        <f>AK163*(1-$D$70)*(1-IF(AND(31&gt;=$D$48,INDEX(Season_Flag,AK$113)=1),$D$71,0))</f>
        <v/>
      </c>
      <c r="AM163" s="53">
        <f>AL163*(1-$D$70)*(1-IF(AND(32&gt;=$D$48,INDEX(Season_Flag,AL$113)=1),$D$71,0))</f>
        <v/>
      </c>
      <c r="AN163" s="53">
        <f>AM163*(1-$D$70)*(1-IF(AND(33&gt;=$D$48,INDEX(Season_Flag,AM$113)=1),$D$71,0))</f>
        <v/>
      </c>
    </row>
    <row r="164">
      <c r="B164" s="7" t="inlineStr">
        <is>
          <t>Cohort signed in month 4</t>
        </is>
      </c>
      <c r="C164" s="5" t="inlineStr">
        <is>
          <t>institutes</t>
        </is>
      </c>
      <c r="H164" s="53">
        <f>H123</f>
        <v/>
      </c>
      <c r="I164" s="53">
        <f>H164*(1-$D$70)*(1-IF(AND(1&gt;=$D$48,INDEX(Season_Flag,H$113)=1),$D$71,0))</f>
        <v/>
      </c>
      <c r="J164" s="53">
        <f>I164*(1-$D$70)*(1-IF(AND(2&gt;=$D$48,INDEX(Season_Flag,I$113)=1),$D$71,0))</f>
        <v/>
      </c>
      <c r="K164" s="53">
        <f>J164*(1-$D$70)*(1-IF(AND(3&gt;=$D$48,INDEX(Season_Flag,J$113)=1),$D$71,0))</f>
        <v/>
      </c>
      <c r="L164" s="53">
        <f>K164*(1-$D$70)*(1-IF(AND(4&gt;=$D$48,INDEX(Season_Flag,K$113)=1),$D$71,0))</f>
        <v/>
      </c>
      <c r="M164" s="53">
        <f>L164*(1-$D$70)*(1-IF(AND(5&gt;=$D$48,INDEX(Season_Flag,L$113)=1),$D$71,0))</f>
        <v/>
      </c>
      <c r="N164" s="53">
        <f>M164*(1-$D$70)*(1-IF(AND(6&gt;=$D$48,INDEX(Season_Flag,M$113)=1),$D$71,0))</f>
        <v/>
      </c>
      <c r="O164" s="53">
        <f>N164*(1-$D$70)*(1-IF(AND(7&gt;=$D$48,INDEX(Season_Flag,N$113)=1),$D$71,0))</f>
        <v/>
      </c>
      <c r="P164" s="53">
        <f>O164*(1-$D$70)*(1-IF(AND(8&gt;=$D$48,INDEX(Season_Flag,O$113)=1),$D$71,0))</f>
        <v/>
      </c>
      <c r="Q164" s="53">
        <f>P164*(1-$D$70)*(1-IF(AND(9&gt;=$D$48,INDEX(Season_Flag,P$113)=1),$D$71,0))</f>
        <v/>
      </c>
      <c r="R164" s="53">
        <f>Q164*(1-$D$70)*(1-IF(AND(10&gt;=$D$48,INDEX(Season_Flag,Q$113)=1),$D$71,0))</f>
        <v/>
      </c>
      <c r="S164" s="53">
        <f>R164*(1-$D$70)*(1-IF(AND(11&gt;=$D$48,INDEX(Season_Flag,R$113)=1),$D$71,0))</f>
        <v/>
      </c>
      <c r="T164" s="53">
        <f>S164*(1-$D$70)*(1-IF(AND(12&gt;=$D$48,INDEX(Season_Flag,S$113)=1),$D$71,0))</f>
        <v/>
      </c>
      <c r="U164" s="53">
        <f>T164*(1-$D$70)*(1-IF(AND(13&gt;=$D$48,INDEX(Season_Flag,T$113)=1),$D$71,0))</f>
        <v/>
      </c>
      <c r="V164" s="53">
        <f>U164*(1-$D$70)*(1-IF(AND(14&gt;=$D$48,INDEX(Season_Flag,U$113)=1),$D$71,0))</f>
        <v/>
      </c>
      <c r="W164" s="53">
        <f>V164*(1-$D$70)*(1-IF(AND(15&gt;=$D$48,INDEX(Season_Flag,V$113)=1),$D$71,0))</f>
        <v/>
      </c>
      <c r="X164" s="53">
        <f>W164*(1-$D$70)*(1-IF(AND(16&gt;=$D$48,INDEX(Season_Flag,W$113)=1),$D$71,0))</f>
        <v/>
      </c>
      <c r="Y164" s="53">
        <f>X164*(1-$D$70)*(1-IF(AND(17&gt;=$D$48,INDEX(Season_Flag,X$113)=1),$D$71,0))</f>
        <v/>
      </c>
      <c r="Z164" s="53">
        <f>Y164*(1-$D$70)*(1-IF(AND(18&gt;=$D$48,INDEX(Season_Flag,Y$113)=1),$D$71,0))</f>
        <v/>
      </c>
      <c r="AA164" s="53">
        <f>Z164*(1-$D$70)*(1-IF(AND(19&gt;=$D$48,INDEX(Season_Flag,Z$113)=1),$D$71,0))</f>
        <v/>
      </c>
      <c r="AB164" s="53">
        <f>AA164*(1-$D$70)*(1-IF(AND(20&gt;=$D$48,INDEX(Season_Flag,AA$113)=1),$D$71,0))</f>
        <v/>
      </c>
      <c r="AC164" s="53">
        <f>AB164*(1-$D$70)*(1-IF(AND(21&gt;=$D$48,INDEX(Season_Flag,AB$113)=1),$D$71,0))</f>
        <v/>
      </c>
      <c r="AD164" s="53">
        <f>AC164*(1-$D$70)*(1-IF(AND(22&gt;=$D$48,INDEX(Season_Flag,AC$113)=1),$D$71,0))</f>
        <v/>
      </c>
      <c r="AE164" s="53">
        <f>AD164*(1-$D$70)*(1-IF(AND(23&gt;=$D$48,INDEX(Season_Flag,AD$113)=1),$D$71,0))</f>
        <v/>
      </c>
      <c r="AF164" s="53">
        <f>AE164*(1-$D$70)*(1-IF(AND(24&gt;=$D$48,INDEX(Season_Flag,AE$113)=1),$D$71,0))</f>
        <v/>
      </c>
      <c r="AG164" s="53">
        <f>AF164*(1-$D$70)*(1-IF(AND(25&gt;=$D$48,INDEX(Season_Flag,AF$113)=1),$D$71,0))</f>
        <v/>
      </c>
      <c r="AH164" s="53">
        <f>AG164*(1-$D$70)*(1-IF(AND(26&gt;=$D$48,INDEX(Season_Flag,AG$113)=1),$D$71,0))</f>
        <v/>
      </c>
      <c r="AI164" s="53">
        <f>AH164*(1-$D$70)*(1-IF(AND(27&gt;=$D$48,INDEX(Season_Flag,AH$113)=1),$D$71,0))</f>
        <v/>
      </c>
      <c r="AJ164" s="53">
        <f>AI164*(1-$D$70)*(1-IF(AND(28&gt;=$D$48,INDEX(Season_Flag,AI$113)=1),$D$71,0))</f>
        <v/>
      </c>
      <c r="AK164" s="53">
        <f>AJ164*(1-$D$70)*(1-IF(AND(29&gt;=$D$48,INDEX(Season_Flag,AJ$113)=1),$D$71,0))</f>
        <v/>
      </c>
      <c r="AL164" s="53">
        <f>AK164*(1-$D$70)*(1-IF(AND(30&gt;=$D$48,INDEX(Season_Flag,AK$113)=1),$D$71,0))</f>
        <v/>
      </c>
      <c r="AM164" s="53">
        <f>AL164*(1-$D$70)*(1-IF(AND(31&gt;=$D$48,INDEX(Season_Flag,AL$113)=1),$D$71,0))</f>
        <v/>
      </c>
      <c r="AN164" s="53">
        <f>AM164*(1-$D$70)*(1-IF(AND(32&gt;=$D$48,INDEX(Season_Flag,AM$113)=1),$D$71,0))</f>
        <v/>
      </c>
    </row>
    <row r="165">
      <c r="B165" s="7" t="inlineStr">
        <is>
          <t>Cohort signed in month 5</t>
        </is>
      </c>
      <c r="C165" s="5" t="inlineStr">
        <is>
          <t>institutes</t>
        </is>
      </c>
      <c r="I165" s="53">
        <f>I123</f>
        <v/>
      </c>
      <c r="J165" s="53">
        <f>I165*(1-$D$70)*(1-IF(AND(1&gt;=$D$48,INDEX(Season_Flag,I$113)=1),$D$71,0))</f>
        <v/>
      </c>
      <c r="K165" s="53">
        <f>J165*(1-$D$70)*(1-IF(AND(2&gt;=$D$48,INDEX(Season_Flag,J$113)=1),$D$71,0))</f>
        <v/>
      </c>
      <c r="L165" s="53">
        <f>K165*(1-$D$70)*(1-IF(AND(3&gt;=$D$48,INDEX(Season_Flag,K$113)=1),$D$71,0))</f>
        <v/>
      </c>
      <c r="M165" s="53">
        <f>L165*(1-$D$70)*(1-IF(AND(4&gt;=$D$48,INDEX(Season_Flag,L$113)=1),$D$71,0))</f>
        <v/>
      </c>
      <c r="N165" s="53">
        <f>M165*(1-$D$70)*(1-IF(AND(5&gt;=$D$48,INDEX(Season_Flag,M$113)=1),$D$71,0))</f>
        <v/>
      </c>
      <c r="O165" s="53">
        <f>N165*(1-$D$70)*(1-IF(AND(6&gt;=$D$48,INDEX(Season_Flag,N$113)=1),$D$71,0))</f>
        <v/>
      </c>
      <c r="P165" s="53">
        <f>O165*(1-$D$70)*(1-IF(AND(7&gt;=$D$48,INDEX(Season_Flag,O$113)=1),$D$71,0))</f>
        <v/>
      </c>
      <c r="Q165" s="53">
        <f>P165*(1-$D$70)*(1-IF(AND(8&gt;=$D$48,INDEX(Season_Flag,P$113)=1),$D$71,0))</f>
        <v/>
      </c>
      <c r="R165" s="53">
        <f>Q165*(1-$D$70)*(1-IF(AND(9&gt;=$D$48,INDEX(Season_Flag,Q$113)=1),$D$71,0))</f>
        <v/>
      </c>
      <c r="S165" s="53">
        <f>R165*(1-$D$70)*(1-IF(AND(10&gt;=$D$48,INDEX(Season_Flag,R$113)=1),$D$71,0))</f>
        <v/>
      </c>
      <c r="T165" s="53">
        <f>S165*(1-$D$70)*(1-IF(AND(11&gt;=$D$48,INDEX(Season_Flag,S$113)=1),$D$71,0))</f>
        <v/>
      </c>
      <c r="U165" s="53">
        <f>T165*(1-$D$70)*(1-IF(AND(12&gt;=$D$48,INDEX(Season_Flag,T$113)=1),$D$71,0))</f>
        <v/>
      </c>
      <c r="V165" s="53">
        <f>U165*(1-$D$70)*(1-IF(AND(13&gt;=$D$48,INDEX(Season_Flag,U$113)=1),$D$71,0))</f>
        <v/>
      </c>
      <c r="W165" s="53">
        <f>V165*(1-$D$70)*(1-IF(AND(14&gt;=$D$48,INDEX(Season_Flag,V$113)=1),$D$71,0))</f>
        <v/>
      </c>
      <c r="X165" s="53">
        <f>W165*(1-$D$70)*(1-IF(AND(15&gt;=$D$48,INDEX(Season_Flag,W$113)=1),$D$71,0))</f>
        <v/>
      </c>
      <c r="Y165" s="53">
        <f>X165*(1-$D$70)*(1-IF(AND(16&gt;=$D$48,INDEX(Season_Flag,X$113)=1),$D$71,0))</f>
        <v/>
      </c>
      <c r="Z165" s="53">
        <f>Y165*(1-$D$70)*(1-IF(AND(17&gt;=$D$48,INDEX(Season_Flag,Y$113)=1),$D$71,0))</f>
        <v/>
      </c>
      <c r="AA165" s="53">
        <f>Z165*(1-$D$70)*(1-IF(AND(18&gt;=$D$48,INDEX(Season_Flag,Z$113)=1),$D$71,0))</f>
        <v/>
      </c>
      <c r="AB165" s="53">
        <f>AA165*(1-$D$70)*(1-IF(AND(19&gt;=$D$48,INDEX(Season_Flag,AA$113)=1),$D$71,0))</f>
        <v/>
      </c>
      <c r="AC165" s="53">
        <f>AB165*(1-$D$70)*(1-IF(AND(20&gt;=$D$48,INDEX(Season_Flag,AB$113)=1),$D$71,0))</f>
        <v/>
      </c>
      <c r="AD165" s="53">
        <f>AC165*(1-$D$70)*(1-IF(AND(21&gt;=$D$48,INDEX(Season_Flag,AC$113)=1),$D$71,0))</f>
        <v/>
      </c>
      <c r="AE165" s="53">
        <f>AD165*(1-$D$70)*(1-IF(AND(22&gt;=$D$48,INDEX(Season_Flag,AD$113)=1),$D$71,0))</f>
        <v/>
      </c>
      <c r="AF165" s="53">
        <f>AE165*(1-$D$70)*(1-IF(AND(23&gt;=$D$48,INDEX(Season_Flag,AE$113)=1),$D$71,0))</f>
        <v/>
      </c>
      <c r="AG165" s="53">
        <f>AF165*(1-$D$70)*(1-IF(AND(24&gt;=$D$48,INDEX(Season_Flag,AF$113)=1),$D$71,0))</f>
        <v/>
      </c>
      <c r="AH165" s="53">
        <f>AG165*(1-$D$70)*(1-IF(AND(25&gt;=$D$48,INDEX(Season_Flag,AG$113)=1),$D$71,0))</f>
        <v/>
      </c>
      <c r="AI165" s="53">
        <f>AH165*(1-$D$70)*(1-IF(AND(26&gt;=$D$48,INDEX(Season_Flag,AH$113)=1),$D$71,0))</f>
        <v/>
      </c>
      <c r="AJ165" s="53">
        <f>AI165*(1-$D$70)*(1-IF(AND(27&gt;=$D$48,INDEX(Season_Flag,AI$113)=1),$D$71,0))</f>
        <v/>
      </c>
      <c r="AK165" s="53">
        <f>AJ165*(1-$D$70)*(1-IF(AND(28&gt;=$D$48,INDEX(Season_Flag,AJ$113)=1),$D$71,0))</f>
        <v/>
      </c>
      <c r="AL165" s="53">
        <f>AK165*(1-$D$70)*(1-IF(AND(29&gt;=$D$48,INDEX(Season_Flag,AK$113)=1),$D$71,0))</f>
        <v/>
      </c>
      <c r="AM165" s="53">
        <f>AL165*(1-$D$70)*(1-IF(AND(30&gt;=$D$48,INDEX(Season_Flag,AL$113)=1),$D$71,0))</f>
        <v/>
      </c>
      <c r="AN165" s="53">
        <f>AM165*(1-$D$70)*(1-IF(AND(31&gt;=$D$48,INDEX(Season_Flag,AM$113)=1),$D$71,0))</f>
        <v/>
      </c>
    </row>
    <row r="166">
      <c r="B166" s="7" t="inlineStr">
        <is>
          <t>Cohort signed in month 6</t>
        </is>
      </c>
      <c r="C166" s="5" t="inlineStr">
        <is>
          <t>institutes</t>
        </is>
      </c>
      <c r="J166" s="53">
        <f>J123</f>
        <v/>
      </c>
      <c r="K166" s="53">
        <f>J166*(1-$D$70)*(1-IF(AND(1&gt;=$D$48,INDEX(Season_Flag,J$113)=1),$D$71,0))</f>
        <v/>
      </c>
      <c r="L166" s="53">
        <f>K166*(1-$D$70)*(1-IF(AND(2&gt;=$D$48,INDEX(Season_Flag,K$113)=1),$D$71,0))</f>
        <v/>
      </c>
      <c r="M166" s="53">
        <f>L166*(1-$D$70)*(1-IF(AND(3&gt;=$D$48,INDEX(Season_Flag,L$113)=1),$D$71,0))</f>
        <v/>
      </c>
      <c r="N166" s="53">
        <f>M166*(1-$D$70)*(1-IF(AND(4&gt;=$D$48,INDEX(Season_Flag,M$113)=1),$D$71,0))</f>
        <v/>
      </c>
      <c r="O166" s="53">
        <f>N166*(1-$D$70)*(1-IF(AND(5&gt;=$D$48,INDEX(Season_Flag,N$113)=1),$D$71,0))</f>
        <v/>
      </c>
      <c r="P166" s="53">
        <f>O166*(1-$D$70)*(1-IF(AND(6&gt;=$D$48,INDEX(Season_Flag,O$113)=1),$D$71,0))</f>
        <v/>
      </c>
      <c r="Q166" s="53">
        <f>P166*(1-$D$70)*(1-IF(AND(7&gt;=$D$48,INDEX(Season_Flag,P$113)=1),$D$71,0))</f>
        <v/>
      </c>
      <c r="R166" s="53">
        <f>Q166*(1-$D$70)*(1-IF(AND(8&gt;=$D$48,INDEX(Season_Flag,Q$113)=1),$D$71,0))</f>
        <v/>
      </c>
      <c r="S166" s="53">
        <f>R166*(1-$D$70)*(1-IF(AND(9&gt;=$D$48,INDEX(Season_Flag,R$113)=1),$D$71,0))</f>
        <v/>
      </c>
      <c r="T166" s="53">
        <f>S166*(1-$D$70)*(1-IF(AND(10&gt;=$D$48,INDEX(Season_Flag,S$113)=1),$D$71,0))</f>
        <v/>
      </c>
      <c r="U166" s="53">
        <f>T166*(1-$D$70)*(1-IF(AND(11&gt;=$D$48,INDEX(Season_Flag,T$113)=1),$D$71,0))</f>
        <v/>
      </c>
      <c r="V166" s="53">
        <f>U166*(1-$D$70)*(1-IF(AND(12&gt;=$D$48,INDEX(Season_Flag,U$113)=1),$D$71,0))</f>
        <v/>
      </c>
      <c r="W166" s="53">
        <f>V166*(1-$D$70)*(1-IF(AND(13&gt;=$D$48,INDEX(Season_Flag,V$113)=1),$D$71,0))</f>
        <v/>
      </c>
      <c r="X166" s="53">
        <f>W166*(1-$D$70)*(1-IF(AND(14&gt;=$D$48,INDEX(Season_Flag,W$113)=1),$D$71,0))</f>
        <v/>
      </c>
      <c r="Y166" s="53">
        <f>X166*(1-$D$70)*(1-IF(AND(15&gt;=$D$48,INDEX(Season_Flag,X$113)=1),$D$71,0))</f>
        <v/>
      </c>
      <c r="Z166" s="53">
        <f>Y166*(1-$D$70)*(1-IF(AND(16&gt;=$D$48,INDEX(Season_Flag,Y$113)=1),$D$71,0))</f>
        <v/>
      </c>
      <c r="AA166" s="53">
        <f>Z166*(1-$D$70)*(1-IF(AND(17&gt;=$D$48,INDEX(Season_Flag,Z$113)=1),$D$71,0))</f>
        <v/>
      </c>
      <c r="AB166" s="53">
        <f>AA166*(1-$D$70)*(1-IF(AND(18&gt;=$D$48,INDEX(Season_Flag,AA$113)=1),$D$71,0))</f>
        <v/>
      </c>
      <c r="AC166" s="53">
        <f>AB166*(1-$D$70)*(1-IF(AND(19&gt;=$D$48,INDEX(Season_Flag,AB$113)=1),$D$71,0))</f>
        <v/>
      </c>
      <c r="AD166" s="53">
        <f>AC166*(1-$D$70)*(1-IF(AND(20&gt;=$D$48,INDEX(Season_Flag,AC$113)=1),$D$71,0))</f>
        <v/>
      </c>
      <c r="AE166" s="53">
        <f>AD166*(1-$D$70)*(1-IF(AND(21&gt;=$D$48,INDEX(Season_Flag,AD$113)=1),$D$71,0))</f>
        <v/>
      </c>
      <c r="AF166" s="53">
        <f>AE166*(1-$D$70)*(1-IF(AND(22&gt;=$D$48,INDEX(Season_Flag,AE$113)=1),$D$71,0))</f>
        <v/>
      </c>
      <c r="AG166" s="53">
        <f>AF166*(1-$D$70)*(1-IF(AND(23&gt;=$D$48,INDEX(Season_Flag,AF$113)=1),$D$71,0))</f>
        <v/>
      </c>
      <c r="AH166" s="53">
        <f>AG166*(1-$D$70)*(1-IF(AND(24&gt;=$D$48,INDEX(Season_Flag,AG$113)=1),$D$71,0))</f>
        <v/>
      </c>
      <c r="AI166" s="53">
        <f>AH166*(1-$D$70)*(1-IF(AND(25&gt;=$D$48,INDEX(Season_Flag,AH$113)=1),$D$71,0))</f>
        <v/>
      </c>
      <c r="AJ166" s="53">
        <f>AI166*(1-$D$70)*(1-IF(AND(26&gt;=$D$48,INDEX(Season_Flag,AI$113)=1),$D$71,0))</f>
        <v/>
      </c>
      <c r="AK166" s="53">
        <f>AJ166*(1-$D$70)*(1-IF(AND(27&gt;=$D$48,INDEX(Season_Flag,AJ$113)=1),$D$71,0))</f>
        <v/>
      </c>
      <c r="AL166" s="53">
        <f>AK166*(1-$D$70)*(1-IF(AND(28&gt;=$D$48,INDEX(Season_Flag,AK$113)=1),$D$71,0))</f>
        <v/>
      </c>
      <c r="AM166" s="53">
        <f>AL166*(1-$D$70)*(1-IF(AND(29&gt;=$D$48,INDEX(Season_Flag,AL$113)=1),$D$71,0))</f>
        <v/>
      </c>
      <c r="AN166" s="53">
        <f>AM166*(1-$D$70)*(1-IF(AND(30&gt;=$D$48,INDEX(Season_Flag,AM$113)=1),$D$71,0))</f>
        <v/>
      </c>
    </row>
    <row r="167">
      <c r="B167" s="7" t="inlineStr">
        <is>
          <t>Cohort signed in month 7</t>
        </is>
      </c>
      <c r="C167" s="5" t="inlineStr">
        <is>
          <t>institutes</t>
        </is>
      </c>
      <c r="K167" s="53">
        <f>K123</f>
        <v/>
      </c>
      <c r="L167" s="53">
        <f>K167*(1-$D$70)*(1-IF(AND(1&gt;=$D$48,INDEX(Season_Flag,K$113)=1),$D$71,0))</f>
        <v/>
      </c>
      <c r="M167" s="53">
        <f>L167*(1-$D$70)*(1-IF(AND(2&gt;=$D$48,INDEX(Season_Flag,L$113)=1),$D$71,0))</f>
        <v/>
      </c>
      <c r="N167" s="53">
        <f>M167*(1-$D$70)*(1-IF(AND(3&gt;=$D$48,INDEX(Season_Flag,M$113)=1),$D$71,0))</f>
        <v/>
      </c>
      <c r="O167" s="53">
        <f>N167*(1-$D$70)*(1-IF(AND(4&gt;=$D$48,INDEX(Season_Flag,N$113)=1),$D$71,0))</f>
        <v/>
      </c>
      <c r="P167" s="53">
        <f>O167*(1-$D$70)*(1-IF(AND(5&gt;=$D$48,INDEX(Season_Flag,O$113)=1),$D$71,0))</f>
        <v/>
      </c>
      <c r="Q167" s="53">
        <f>P167*(1-$D$70)*(1-IF(AND(6&gt;=$D$48,INDEX(Season_Flag,P$113)=1),$D$71,0))</f>
        <v/>
      </c>
      <c r="R167" s="53">
        <f>Q167*(1-$D$70)*(1-IF(AND(7&gt;=$D$48,INDEX(Season_Flag,Q$113)=1),$D$71,0))</f>
        <v/>
      </c>
      <c r="S167" s="53">
        <f>R167*(1-$D$70)*(1-IF(AND(8&gt;=$D$48,INDEX(Season_Flag,R$113)=1),$D$71,0))</f>
        <v/>
      </c>
      <c r="T167" s="53">
        <f>S167*(1-$D$70)*(1-IF(AND(9&gt;=$D$48,INDEX(Season_Flag,S$113)=1),$D$71,0))</f>
        <v/>
      </c>
      <c r="U167" s="53">
        <f>T167*(1-$D$70)*(1-IF(AND(10&gt;=$D$48,INDEX(Season_Flag,T$113)=1),$D$71,0))</f>
        <v/>
      </c>
      <c r="V167" s="53">
        <f>U167*(1-$D$70)*(1-IF(AND(11&gt;=$D$48,INDEX(Season_Flag,U$113)=1),$D$71,0))</f>
        <v/>
      </c>
      <c r="W167" s="53">
        <f>V167*(1-$D$70)*(1-IF(AND(12&gt;=$D$48,INDEX(Season_Flag,V$113)=1),$D$71,0))</f>
        <v/>
      </c>
      <c r="X167" s="53">
        <f>W167*(1-$D$70)*(1-IF(AND(13&gt;=$D$48,INDEX(Season_Flag,W$113)=1),$D$71,0))</f>
        <v/>
      </c>
      <c r="Y167" s="53">
        <f>X167*(1-$D$70)*(1-IF(AND(14&gt;=$D$48,INDEX(Season_Flag,X$113)=1),$D$71,0))</f>
        <v/>
      </c>
      <c r="Z167" s="53">
        <f>Y167*(1-$D$70)*(1-IF(AND(15&gt;=$D$48,INDEX(Season_Flag,Y$113)=1),$D$71,0))</f>
        <v/>
      </c>
      <c r="AA167" s="53">
        <f>Z167*(1-$D$70)*(1-IF(AND(16&gt;=$D$48,INDEX(Season_Flag,Z$113)=1),$D$71,0))</f>
        <v/>
      </c>
      <c r="AB167" s="53">
        <f>AA167*(1-$D$70)*(1-IF(AND(17&gt;=$D$48,INDEX(Season_Flag,AA$113)=1),$D$71,0))</f>
        <v/>
      </c>
      <c r="AC167" s="53">
        <f>AB167*(1-$D$70)*(1-IF(AND(18&gt;=$D$48,INDEX(Season_Flag,AB$113)=1),$D$71,0))</f>
        <v/>
      </c>
      <c r="AD167" s="53">
        <f>AC167*(1-$D$70)*(1-IF(AND(19&gt;=$D$48,INDEX(Season_Flag,AC$113)=1),$D$71,0))</f>
        <v/>
      </c>
      <c r="AE167" s="53">
        <f>AD167*(1-$D$70)*(1-IF(AND(20&gt;=$D$48,INDEX(Season_Flag,AD$113)=1),$D$71,0))</f>
        <v/>
      </c>
      <c r="AF167" s="53">
        <f>AE167*(1-$D$70)*(1-IF(AND(21&gt;=$D$48,INDEX(Season_Flag,AE$113)=1),$D$71,0))</f>
        <v/>
      </c>
      <c r="AG167" s="53">
        <f>AF167*(1-$D$70)*(1-IF(AND(22&gt;=$D$48,INDEX(Season_Flag,AF$113)=1),$D$71,0))</f>
        <v/>
      </c>
      <c r="AH167" s="53">
        <f>AG167*(1-$D$70)*(1-IF(AND(23&gt;=$D$48,INDEX(Season_Flag,AG$113)=1),$D$71,0))</f>
        <v/>
      </c>
      <c r="AI167" s="53">
        <f>AH167*(1-$D$70)*(1-IF(AND(24&gt;=$D$48,INDEX(Season_Flag,AH$113)=1),$D$71,0))</f>
        <v/>
      </c>
      <c r="AJ167" s="53">
        <f>AI167*(1-$D$70)*(1-IF(AND(25&gt;=$D$48,INDEX(Season_Flag,AI$113)=1),$D$71,0))</f>
        <v/>
      </c>
      <c r="AK167" s="53">
        <f>AJ167*(1-$D$70)*(1-IF(AND(26&gt;=$D$48,INDEX(Season_Flag,AJ$113)=1),$D$71,0))</f>
        <v/>
      </c>
      <c r="AL167" s="53">
        <f>AK167*(1-$D$70)*(1-IF(AND(27&gt;=$D$48,INDEX(Season_Flag,AK$113)=1),$D$71,0))</f>
        <v/>
      </c>
      <c r="AM167" s="53">
        <f>AL167*(1-$D$70)*(1-IF(AND(28&gt;=$D$48,INDEX(Season_Flag,AL$113)=1),$D$71,0))</f>
        <v/>
      </c>
      <c r="AN167" s="53">
        <f>AM167*(1-$D$70)*(1-IF(AND(29&gt;=$D$48,INDEX(Season_Flag,AM$113)=1),$D$71,0))</f>
        <v/>
      </c>
    </row>
    <row r="168">
      <c r="B168" s="7" t="inlineStr">
        <is>
          <t>Cohort signed in month 8</t>
        </is>
      </c>
      <c r="C168" s="5" t="inlineStr">
        <is>
          <t>institutes</t>
        </is>
      </c>
      <c r="L168" s="53">
        <f>L123</f>
        <v/>
      </c>
      <c r="M168" s="53">
        <f>L168*(1-$D$70)*(1-IF(AND(1&gt;=$D$48,INDEX(Season_Flag,L$113)=1),$D$71,0))</f>
        <v/>
      </c>
      <c r="N168" s="53">
        <f>M168*(1-$D$70)*(1-IF(AND(2&gt;=$D$48,INDEX(Season_Flag,M$113)=1),$D$71,0))</f>
        <v/>
      </c>
      <c r="O168" s="53">
        <f>N168*(1-$D$70)*(1-IF(AND(3&gt;=$D$48,INDEX(Season_Flag,N$113)=1),$D$71,0))</f>
        <v/>
      </c>
      <c r="P168" s="53">
        <f>O168*(1-$D$70)*(1-IF(AND(4&gt;=$D$48,INDEX(Season_Flag,O$113)=1),$D$71,0))</f>
        <v/>
      </c>
      <c r="Q168" s="53">
        <f>P168*(1-$D$70)*(1-IF(AND(5&gt;=$D$48,INDEX(Season_Flag,P$113)=1),$D$71,0))</f>
        <v/>
      </c>
      <c r="R168" s="53">
        <f>Q168*(1-$D$70)*(1-IF(AND(6&gt;=$D$48,INDEX(Season_Flag,Q$113)=1),$D$71,0))</f>
        <v/>
      </c>
      <c r="S168" s="53">
        <f>R168*(1-$D$70)*(1-IF(AND(7&gt;=$D$48,INDEX(Season_Flag,R$113)=1),$D$71,0))</f>
        <v/>
      </c>
      <c r="T168" s="53">
        <f>S168*(1-$D$70)*(1-IF(AND(8&gt;=$D$48,INDEX(Season_Flag,S$113)=1),$D$71,0))</f>
        <v/>
      </c>
      <c r="U168" s="53">
        <f>T168*(1-$D$70)*(1-IF(AND(9&gt;=$D$48,INDEX(Season_Flag,T$113)=1),$D$71,0))</f>
        <v/>
      </c>
      <c r="V168" s="53">
        <f>U168*(1-$D$70)*(1-IF(AND(10&gt;=$D$48,INDEX(Season_Flag,U$113)=1),$D$71,0))</f>
        <v/>
      </c>
      <c r="W168" s="53">
        <f>V168*(1-$D$70)*(1-IF(AND(11&gt;=$D$48,INDEX(Season_Flag,V$113)=1),$D$71,0))</f>
        <v/>
      </c>
      <c r="X168" s="53">
        <f>W168*(1-$D$70)*(1-IF(AND(12&gt;=$D$48,INDEX(Season_Flag,W$113)=1),$D$71,0))</f>
        <v/>
      </c>
      <c r="Y168" s="53">
        <f>X168*(1-$D$70)*(1-IF(AND(13&gt;=$D$48,INDEX(Season_Flag,X$113)=1),$D$71,0))</f>
        <v/>
      </c>
      <c r="Z168" s="53">
        <f>Y168*(1-$D$70)*(1-IF(AND(14&gt;=$D$48,INDEX(Season_Flag,Y$113)=1),$D$71,0))</f>
        <v/>
      </c>
      <c r="AA168" s="53">
        <f>Z168*(1-$D$70)*(1-IF(AND(15&gt;=$D$48,INDEX(Season_Flag,Z$113)=1),$D$71,0))</f>
        <v/>
      </c>
      <c r="AB168" s="53">
        <f>AA168*(1-$D$70)*(1-IF(AND(16&gt;=$D$48,INDEX(Season_Flag,AA$113)=1),$D$71,0))</f>
        <v/>
      </c>
      <c r="AC168" s="53">
        <f>AB168*(1-$D$70)*(1-IF(AND(17&gt;=$D$48,INDEX(Season_Flag,AB$113)=1),$D$71,0))</f>
        <v/>
      </c>
      <c r="AD168" s="53">
        <f>AC168*(1-$D$70)*(1-IF(AND(18&gt;=$D$48,INDEX(Season_Flag,AC$113)=1),$D$71,0))</f>
        <v/>
      </c>
      <c r="AE168" s="53">
        <f>AD168*(1-$D$70)*(1-IF(AND(19&gt;=$D$48,INDEX(Season_Flag,AD$113)=1),$D$71,0))</f>
        <v/>
      </c>
      <c r="AF168" s="53">
        <f>AE168*(1-$D$70)*(1-IF(AND(20&gt;=$D$48,INDEX(Season_Flag,AE$113)=1),$D$71,0))</f>
        <v/>
      </c>
      <c r="AG168" s="53">
        <f>AF168*(1-$D$70)*(1-IF(AND(21&gt;=$D$48,INDEX(Season_Flag,AF$113)=1),$D$71,0))</f>
        <v/>
      </c>
      <c r="AH168" s="53">
        <f>AG168*(1-$D$70)*(1-IF(AND(22&gt;=$D$48,INDEX(Season_Flag,AG$113)=1),$D$71,0))</f>
        <v/>
      </c>
      <c r="AI168" s="53">
        <f>AH168*(1-$D$70)*(1-IF(AND(23&gt;=$D$48,INDEX(Season_Flag,AH$113)=1),$D$71,0))</f>
        <v/>
      </c>
      <c r="AJ168" s="53">
        <f>AI168*(1-$D$70)*(1-IF(AND(24&gt;=$D$48,INDEX(Season_Flag,AI$113)=1),$D$71,0))</f>
        <v/>
      </c>
      <c r="AK168" s="53">
        <f>AJ168*(1-$D$70)*(1-IF(AND(25&gt;=$D$48,INDEX(Season_Flag,AJ$113)=1),$D$71,0))</f>
        <v/>
      </c>
      <c r="AL168" s="53">
        <f>AK168*(1-$D$70)*(1-IF(AND(26&gt;=$D$48,INDEX(Season_Flag,AK$113)=1),$D$71,0))</f>
        <v/>
      </c>
      <c r="AM168" s="53">
        <f>AL168*(1-$D$70)*(1-IF(AND(27&gt;=$D$48,INDEX(Season_Flag,AL$113)=1),$D$71,0))</f>
        <v/>
      </c>
      <c r="AN168" s="53">
        <f>AM168*(1-$D$70)*(1-IF(AND(28&gt;=$D$48,INDEX(Season_Flag,AM$113)=1),$D$71,0))</f>
        <v/>
      </c>
    </row>
    <row r="169">
      <c r="B169" s="7" t="inlineStr">
        <is>
          <t>Cohort signed in month 9</t>
        </is>
      </c>
      <c r="C169" s="5" t="inlineStr">
        <is>
          <t>institutes</t>
        </is>
      </c>
      <c r="M169" s="53">
        <f>M123</f>
        <v/>
      </c>
      <c r="N169" s="53">
        <f>M169*(1-$D$70)*(1-IF(AND(1&gt;=$D$48,INDEX(Season_Flag,M$113)=1),$D$71,0))</f>
        <v/>
      </c>
      <c r="O169" s="53">
        <f>N169*(1-$D$70)*(1-IF(AND(2&gt;=$D$48,INDEX(Season_Flag,N$113)=1),$D$71,0))</f>
        <v/>
      </c>
      <c r="P169" s="53">
        <f>O169*(1-$D$70)*(1-IF(AND(3&gt;=$D$48,INDEX(Season_Flag,O$113)=1),$D$71,0))</f>
        <v/>
      </c>
      <c r="Q169" s="53">
        <f>P169*(1-$D$70)*(1-IF(AND(4&gt;=$D$48,INDEX(Season_Flag,P$113)=1),$D$71,0))</f>
        <v/>
      </c>
      <c r="R169" s="53">
        <f>Q169*(1-$D$70)*(1-IF(AND(5&gt;=$D$48,INDEX(Season_Flag,Q$113)=1),$D$71,0))</f>
        <v/>
      </c>
      <c r="S169" s="53">
        <f>R169*(1-$D$70)*(1-IF(AND(6&gt;=$D$48,INDEX(Season_Flag,R$113)=1),$D$71,0))</f>
        <v/>
      </c>
      <c r="T169" s="53">
        <f>S169*(1-$D$70)*(1-IF(AND(7&gt;=$D$48,INDEX(Season_Flag,S$113)=1),$D$71,0))</f>
        <v/>
      </c>
      <c r="U169" s="53">
        <f>T169*(1-$D$70)*(1-IF(AND(8&gt;=$D$48,INDEX(Season_Flag,T$113)=1),$D$71,0))</f>
        <v/>
      </c>
      <c r="V169" s="53">
        <f>U169*(1-$D$70)*(1-IF(AND(9&gt;=$D$48,INDEX(Season_Flag,U$113)=1),$D$71,0))</f>
        <v/>
      </c>
      <c r="W169" s="53">
        <f>V169*(1-$D$70)*(1-IF(AND(10&gt;=$D$48,INDEX(Season_Flag,V$113)=1),$D$71,0))</f>
        <v/>
      </c>
      <c r="X169" s="53">
        <f>W169*(1-$D$70)*(1-IF(AND(11&gt;=$D$48,INDEX(Season_Flag,W$113)=1),$D$71,0))</f>
        <v/>
      </c>
      <c r="Y169" s="53">
        <f>X169*(1-$D$70)*(1-IF(AND(12&gt;=$D$48,INDEX(Season_Flag,X$113)=1),$D$71,0))</f>
        <v/>
      </c>
      <c r="Z169" s="53">
        <f>Y169*(1-$D$70)*(1-IF(AND(13&gt;=$D$48,INDEX(Season_Flag,Y$113)=1),$D$71,0))</f>
        <v/>
      </c>
      <c r="AA169" s="53">
        <f>Z169*(1-$D$70)*(1-IF(AND(14&gt;=$D$48,INDEX(Season_Flag,Z$113)=1),$D$71,0))</f>
        <v/>
      </c>
      <c r="AB169" s="53">
        <f>AA169*(1-$D$70)*(1-IF(AND(15&gt;=$D$48,INDEX(Season_Flag,AA$113)=1),$D$71,0))</f>
        <v/>
      </c>
      <c r="AC169" s="53">
        <f>AB169*(1-$D$70)*(1-IF(AND(16&gt;=$D$48,INDEX(Season_Flag,AB$113)=1),$D$71,0))</f>
        <v/>
      </c>
      <c r="AD169" s="53">
        <f>AC169*(1-$D$70)*(1-IF(AND(17&gt;=$D$48,INDEX(Season_Flag,AC$113)=1),$D$71,0))</f>
        <v/>
      </c>
      <c r="AE169" s="53">
        <f>AD169*(1-$D$70)*(1-IF(AND(18&gt;=$D$48,INDEX(Season_Flag,AD$113)=1),$D$71,0))</f>
        <v/>
      </c>
      <c r="AF169" s="53">
        <f>AE169*(1-$D$70)*(1-IF(AND(19&gt;=$D$48,INDEX(Season_Flag,AE$113)=1),$D$71,0))</f>
        <v/>
      </c>
      <c r="AG169" s="53">
        <f>AF169*(1-$D$70)*(1-IF(AND(20&gt;=$D$48,INDEX(Season_Flag,AF$113)=1),$D$71,0))</f>
        <v/>
      </c>
      <c r="AH169" s="53">
        <f>AG169*(1-$D$70)*(1-IF(AND(21&gt;=$D$48,INDEX(Season_Flag,AG$113)=1),$D$71,0))</f>
        <v/>
      </c>
      <c r="AI169" s="53">
        <f>AH169*(1-$D$70)*(1-IF(AND(22&gt;=$D$48,INDEX(Season_Flag,AH$113)=1),$D$71,0))</f>
        <v/>
      </c>
      <c r="AJ169" s="53">
        <f>AI169*(1-$D$70)*(1-IF(AND(23&gt;=$D$48,INDEX(Season_Flag,AI$113)=1),$D$71,0))</f>
        <v/>
      </c>
      <c r="AK169" s="53">
        <f>AJ169*(1-$D$70)*(1-IF(AND(24&gt;=$D$48,INDEX(Season_Flag,AJ$113)=1),$D$71,0))</f>
        <v/>
      </c>
      <c r="AL169" s="53">
        <f>AK169*(1-$D$70)*(1-IF(AND(25&gt;=$D$48,INDEX(Season_Flag,AK$113)=1),$D$71,0))</f>
        <v/>
      </c>
      <c r="AM169" s="53">
        <f>AL169*(1-$D$70)*(1-IF(AND(26&gt;=$D$48,INDEX(Season_Flag,AL$113)=1),$D$71,0))</f>
        <v/>
      </c>
      <c r="AN169" s="53">
        <f>AM169*(1-$D$70)*(1-IF(AND(27&gt;=$D$48,INDEX(Season_Flag,AM$113)=1),$D$71,0))</f>
        <v/>
      </c>
    </row>
    <row r="170">
      <c r="B170" s="7" t="inlineStr">
        <is>
          <t>Cohort signed in month 10</t>
        </is>
      </c>
      <c r="C170" s="5" t="inlineStr">
        <is>
          <t>institutes</t>
        </is>
      </c>
      <c r="N170" s="53">
        <f>N123</f>
        <v/>
      </c>
      <c r="O170" s="53">
        <f>N170*(1-$D$70)*(1-IF(AND(1&gt;=$D$48,INDEX(Season_Flag,N$113)=1),$D$71,0))</f>
        <v/>
      </c>
      <c r="P170" s="53">
        <f>O170*(1-$D$70)*(1-IF(AND(2&gt;=$D$48,INDEX(Season_Flag,O$113)=1),$D$71,0))</f>
        <v/>
      </c>
      <c r="Q170" s="53">
        <f>P170*(1-$D$70)*(1-IF(AND(3&gt;=$D$48,INDEX(Season_Flag,P$113)=1),$D$71,0))</f>
        <v/>
      </c>
      <c r="R170" s="53">
        <f>Q170*(1-$D$70)*(1-IF(AND(4&gt;=$D$48,INDEX(Season_Flag,Q$113)=1),$D$71,0))</f>
        <v/>
      </c>
      <c r="S170" s="53">
        <f>R170*(1-$D$70)*(1-IF(AND(5&gt;=$D$48,INDEX(Season_Flag,R$113)=1),$D$71,0))</f>
        <v/>
      </c>
      <c r="T170" s="53">
        <f>S170*(1-$D$70)*(1-IF(AND(6&gt;=$D$48,INDEX(Season_Flag,S$113)=1),$D$71,0))</f>
        <v/>
      </c>
      <c r="U170" s="53">
        <f>T170*(1-$D$70)*(1-IF(AND(7&gt;=$D$48,INDEX(Season_Flag,T$113)=1),$D$71,0))</f>
        <v/>
      </c>
      <c r="V170" s="53">
        <f>U170*(1-$D$70)*(1-IF(AND(8&gt;=$D$48,INDEX(Season_Flag,U$113)=1),$D$71,0))</f>
        <v/>
      </c>
      <c r="W170" s="53">
        <f>V170*(1-$D$70)*(1-IF(AND(9&gt;=$D$48,INDEX(Season_Flag,V$113)=1),$D$71,0))</f>
        <v/>
      </c>
      <c r="X170" s="53">
        <f>W170*(1-$D$70)*(1-IF(AND(10&gt;=$D$48,INDEX(Season_Flag,W$113)=1),$D$71,0))</f>
        <v/>
      </c>
      <c r="Y170" s="53">
        <f>X170*(1-$D$70)*(1-IF(AND(11&gt;=$D$48,INDEX(Season_Flag,X$113)=1),$D$71,0))</f>
        <v/>
      </c>
      <c r="Z170" s="53">
        <f>Y170*(1-$D$70)*(1-IF(AND(12&gt;=$D$48,INDEX(Season_Flag,Y$113)=1),$D$71,0))</f>
        <v/>
      </c>
      <c r="AA170" s="53">
        <f>Z170*(1-$D$70)*(1-IF(AND(13&gt;=$D$48,INDEX(Season_Flag,Z$113)=1),$D$71,0))</f>
        <v/>
      </c>
      <c r="AB170" s="53">
        <f>AA170*(1-$D$70)*(1-IF(AND(14&gt;=$D$48,INDEX(Season_Flag,AA$113)=1),$D$71,0))</f>
        <v/>
      </c>
      <c r="AC170" s="53">
        <f>AB170*(1-$D$70)*(1-IF(AND(15&gt;=$D$48,INDEX(Season_Flag,AB$113)=1),$D$71,0))</f>
        <v/>
      </c>
      <c r="AD170" s="53">
        <f>AC170*(1-$D$70)*(1-IF(AND(16&gt;=$D$48,INDEX(Season_Flag,AC$113)=1),$D$71,0))</f>
        <v/>
      </c>
      <c r="AE170" s="53">
        <f>AD170*(1-$D$70)*(1-IF(AND(17&gt;=$D$48,INDEX(Season_Flag,AD$113)=1),$D$71,0))</f>
        <v/>
      </c>
      <c r="AF170" s="53">
        <f>AE170*(1-$D$70)*(1-IF(AND(18&gt;=$D$48,INDEX(Season_Flag,AE$113)=1),$D$71,0))</f>
        <v/>
      </c>
      <c r="AG170" s="53">
        <f>AF170*(1-$D$70)*(1-IF(AND(19&gt;=$D$48,INDEX(Season_Flag,AF$113)=1),$D$71,0))</f>
        <v/>
      </c>
      <c r="AH170" s="53">
        <f>AG170*(1-$D$70)*(1-IF(AND(20&gt;=$D$48,INDEX(Season_Flag,AG$113)=1),$D$71,0))</f>
        <v/>
      </c>
      <c r="AI170" s="53">
        <f>AH170*(1-$D$70)*(1-IF(AND(21&gt;=$D$48,INDEX(Season_Flag,AH$113)=1),$D$71,0))</f>
        <v/>
      </c>
      <c r="AJ170" s="53">
        <f>AI170*(1-$D$70)*(1-IF(AND(22&gt;=$D$48,INDEX(Season_Flag,AI$113)=1),$D$71,0))</f>
        <v/>
      </c>
      <c r="AK170" s="53">
        <f>AJ170*(1-$D$70)*(1-IF(AND(23&gt;=$D$48,INDEX(Season_Flag,AJ$113)=1),$D$71,0))</f>
        <v/>
      </c>
      <c r="AL170" s="53">
        <f>AK170*(1-$D$70)*(1-IF(AND(24&gt;=$D$48,INDEX(Season_Flag,AK$113)=1),$D$71,0))</f>
        <v/>
      </c>
      <c r="AM170" s="53">
        <f>AL170*(1-$D$70)*(1-IF(AND(25&gt;=$D$48,INDEX(Season_Flag,AL$113)=1),$D$71,0))</f>
        <v/>
      </c>
      <c r="AN170" s="53">
        <f>AM170*(1-$D$70)*(1-IF(AND(26&gt;=$D$48,INDEX(Season_Flag,AM$113)=1),$D$71,0))</f>
        <v/>
      </c>
    </row>
    <row r="171">
      <c r="B171" s="7" t="inlineStr">
        <is>
          <t>Cohort signed in month 11</t>
        </is>
      </c>
      <c r="C171" s="5" t="inlineStr">
        <is>
          <t>institutes</t>
        </is>
      </c>
      <c r="O171" s="53">
        <f>O123</f>
        <v/>
      </c>
      <c r="P171" s="53">
        <f>O171*(1-$D$70)*(1-IF(AND(1&gt;=$D$48,INDEX(Season_Flag,O$113)=1),$D$71,0))</f>
        <v/>
      </c>
      <c r="Q171" s="53">
        <f>P171*(1-$D$70)*(1-IF(AND(2&gt;=$D$48,INDEX(Season_Flag,P$113)=1),$D$71,0))</f>
        <v/>
      </c>
      <c r="R171" s="53">
        <f>Q171*(1-$D$70)*(1-IF(AND(3&gt;=$D$48,INDEX(Season_Flag,Q$113)=1),$D$71,0))</f>
        <v/>
      </c>
      <c r="S171" s="53">
        <f>R171*(1-$D$70)*(1-IF(AND(4&gt;=$D$48,INDEX(Season_Flag,R$113)=1),$D$71,0))</f>
        <v/>
      </c>
      <c r="T171" s="53">
        <f>S171*(1-$D$70)*(1-IF(AND(5&gt;=$D$48,INDEX(Season_Flag,S$113)=1),$D$71,0))</f>
        <v/>
      </c>
      <c r="U171" s="53">
        <f>T171*(1-$D$70)*(1-IF(AND(6&gt;=$D$48,INDEX(Season_Flag,T$113)=1),$D$71,0))</f>
        <v/>
      </c>
      <c r="V171" s="53">
        <f>U171*(1-$D$70)*(1-IF(AND(7&gt;=$D$48,INDEX(Season_Flag,U$113)=1),$D$71,0))</f>
        <v/>
      </c>
      <c r="W171" s="53">
        <f>V171*(1-$D$70)*(1-IF(AND(8&gt;=$D$48,INDEX(Season_Flag,V$113)=1),$D$71,0))</f>
        <v/>
      </c>
      <c r="X171" s="53">
        <f>W171*(1-$D$70)*(1-IF(AND(9&gt;=$D$48,INDEX(Season_Flag,W$113)=1),$D$71,0))</f>
        <v/>
      </c>
      <c r="Y171" s="53">
        <f>X171*(1-$D$70)*(1-IF(AND(10&gt;=$D$48,INDEX(Season_Flag,X$113)=1),$D$71,0))</f>
        <v/>
      </c>
      <c r="Z171" s="53">
        <f>Y171*(1-$D$70)*(1-IF(AND(11&gt;=$D$48,INDEX(Season_Flag,Y$113)=1),$D$71,0))</f>
        <v/>
      </c>
      <c r="AA171" s="53">
        <f>Z171*(1-$D$70)*(1-IF(AND(12&gt;=$D$48,INDEX(Season_Flag,Z$113)=1),$D$71,0))</f>
        <v/>
      </c>
      <c r="AB171" s="53">
        <f>AA171*(1-$D$70)*(1-IF(AND(13&gt;=$D$48,INDEX(Season_Flag,AA$113)=1),$D$71,0))</f>
        <v/>
      </c>
      <c r="AC171" s="53">
        <f>AB171*(1-$D$70)*(1-IF(AND(14&gt;=$D$48,INDEX(Season_Flag,AB$113)=1),$D$71,0))</f>
        <v/>
      </c>
      <c r="AD171" s="53">
        <f>AC171*(1-$D$70)*(1-IF(AND(15&gt;=$D$48,INDEX(Season_Flag,AC$113)=1),$D$71,0))</f>
        <v/>
      </c>
      <c r="AE171" s="53">
        <f>AD171*(1-$D$70)*(1-IF(AND(16&gt;=$D$48,INDEX(Season_Flag,AD$113)=1),$D$71,0))</f>
        <v/>
      </c>
      <c r="AF171" s="53">
        <f>AE171*(1-$D$70)*(1-IF(AND(17&gt;=$D$48,INDEX(Season_Flag,AE$113)=1),$D$71,0))</f>
        <v/>
      </c>
      <c r="AG171" s="53">
        <f>AF171*(1-$D$70)*(1-IF(AND(18&gt;=$D$48,INDEX(Season_Flag,AF$113)=1),$D$71,0))</f>
        <v/>
      </c>
      <c r="AH171" s="53">
        <f>AG171*(1-$D$70)*(1-IF(AND(19&gt;=$D$48,INDEX(Season_Flag,AG$113)=1),$D$71,0))</f>
        <v/>
      </c>
      <c r="AI171" s="53">
        <f>AH171*(1-$D$70)*(1-IF(AND(20&gt;=$D$48,INDEX(Season_Flag,AH$113)=1),$D$71,0))</f>
        <v/>
      </c>
      <c r="AJ171" s="53">
        <f>AI171*(1-$D$70)*(1-IF(AND(21&gt;=$D$48,INDEX(Season_Flag,AI$113)=1),$D$71,0))</f>
        <v/>
      </c>
      <c r="AK171" s="53">
        <f>AJ171*(1-$D$70)*(1-IF(AND(22&gt;=$D$48,INDEX(Season_Flag,AJ$113)=1),$D$71,0))</f>
        <v/>
      </c>
      <c r="AL171" s="53">
        <f>AK171*(1-$D$70)*(1-IF(AND(23&gt;=$D$48,INDEX(Season_Flag,AK$113)=1),$D$71,0))</f>
        <v/>
      </c>
      <c r="AM171" s="53">
        <f>AL171*(1-$D$70)*(1-IF(AND(24&gt;=$D$48,INDEX(Season_Flag,AL$113)=1),$D$71,0))</f>
        <v/>
      </c>
      <c r="AN171" s="53">
        <f>AM171*(1-$D$70)*(1-IF(AND(25&gt;=$D$48,INDEX(Season_Flag,AM$113)=1),$D$71,0))</f>
        <v/>
      </c>
    </row>
    <row r="172">
      <c r="B172" s="7" t="inlineStr">
        <is>
          <t>Cohort signed in month 12</t>
        </is>
      </c>
      <c r="C172" s="5" t="inlineStr">
        <is>
          <t>institutes</t>
        </is>
      </c>
      <c r="P172" s="53">
        <f>P123</f>
        <v/>
      </c>
      <c r="Q172" s="53">
        <f>P172*(1-$D$70)*(1-IF(AND(1&gt;=$D$48,INDEX(Season_Flag,P$113)=1),$D$71,0))</f>
        <v/>
      </c>
      <c r="R172" s="53">
        <f>Q172*(1-$D$70)*(1-IF(AND(2&gt;=$D$48,INDEX(Season_Flag,Q$113)=1),$D$71,0))</f>
        <v/>
      </c>
      <c r="S172" s="53">
        <f>R172*(1-$D$70)*(1-IF(AND(3&gt;=$D$48,INDEX(Season_Flag,R$113)=1),$D$71,0))</f>
        <v/>
      </c>
      <c r="T172" s="53">
        <f>S172*(1-$D$70)*(1-IF(AND(4&gt;=$D$48,INDEX(Season_Flag,S$113)=1),$D$71,0))</f>
        <v/>
      </c>
      <c r="U172" s="53">
        <f>T172*(1-$D$70)*(1-IF(AND(5&gt;=$D$48,INDEX(Season_Flag,T$113)=1),$D$71,0))</f>
        <v/>
      </c>
      <c r="V172" s="53">
        <f>U172*(1-$D$70)*(1-IF(AND(6&gt;=$D$48,INDEX(Season_Flag,U$113)=1),$D$71,0))</f>
        <v/>
      </c>
      <c r="W172" s="53">
        <f>V172*(1-$D$70)*(1-IF(AND(7&gt;=$D$48,INDEX(Season_Flag,V$113)=1),$D$71,0))</f>
        <v/>
      </c>
      <c r="X172" s="53">
        <f>W172*(1-$D$70)*(1-IF(AND(8&gt;=$D$48,INDEX(Season_Flag,W$113)=1),$D$71,0))</f>
        <v/>
      </c>
      <c r="Y172" s="53">
        <f>X172*(1-$D$70)*(1-IF(AND(9&gt;=$D$48,INDEX(Season_Flag,X$113)=1),$D$71,0))</f>
        <v/>
      </c>
      <c r="Z172" s="53">
        <f>Y172*(1-$D$70)*(1-IF(AND(10&gt;=$D$48,INDEX(Season_Flag,Y$113)=1),$D$71,0))</f>
        <v/>
      </c>
      <c r="AA172" s="53">
        <f>Z172*(1-$D$70)*(1-IF(AND(11&gt;=$D$48,INDEX(Season_Flag,Z$113)=1),$D$71,0))</f>
        <v/>
      </c>
      <c r="AB172" s="53">
        <f>AA172*(1-$D$70)*(1-IF(AND(12&gt;=$D$48,INDEX(Season_Flag,AA$113)=1),$D$71,0))</f>
        <v/>
      </c>
      <c r="AC172" s="53">
        <f>AB172*(1-$D$70)*(1-IF(AND(13&gt;=$D$48,INDEX(Season_Flag,AB$113)=1),$D$71,0))</f>
        <v/>
      </c>
      <c r="AD172" s="53">
        <f>AC172*(1-$D$70)*(1-IF(AND(14&gt;=$D$48,INDEX(Season_Flag,AC$113)=1),$D$71,0))</f>
        <v/>
      </c>
      <c r="AE172" s="53">
        <f>AD172*(1-$D$70)*(1-IF(AND(15&gt;=$D$48,INDEX(Season_Flag,AD$113)=1),$D$71,0))</f>
        <v/>
      </c>
      <c r="AF172" s="53">
        <f>AE172*(1-$D$70)*(1-IF(AND(16&gt;=$D$48,INDEX(Season_Flag,AE$113)=1),$D$71,0))</f>
        <v/>
      </c>
      <c r="AG172" s="53">
        <f>AF172*(1-$D$70)*(1-IF(AND(17&gt;=$D$48,INDEX(Season_Flag,AF$113)=1),$D$71,0))</f>
        <v/>
      </c>
      <c r="AH172" s="53">
        <f>AG172*(1-$D$70)*(1-IF(AND(18&gt;=$D$48,INDEX(Season_Flag,AG$113)=1),$D$71,0))</f>
        <v/>
      </c>
      <c r="AI172" s="53">
        <f>AH172*(1-$D$70)*(1-IF(AND(19&gt;=$D$48,INDEX(Season_Flag,AH$113)=1),$D$71,0))</f>
        <v/>
      </c>
      <c r="AJ172" s="53">
        <f>AI172*(1-$D$70)*(1-IF(AND(20&gt;=$D$48,INDEX(Season_Flag,AI$113)=1),$D$71,0))</f>
        <v/>
      </c>
      <c r="AK172" s="53">
        <f>AJ172*(1-$D$70)*(1-IF(AND(21&gt;=$D$48,INDEX(Season_Flag,AJ$113)=1),$D$71,0))</f>
        <v/>
      </c>
      <c r="AL172" s="53">
        <f>AK172*(1-$D$70)*(1-IF(AND(22&gt;=$D$48,INDEX(Season_Flag,AK$113)=1),$D$71,0))</f>
        <v/>
      </c>
      <c r="AM172" s="53">
        <f>AL172*(1-$D$70)*(1-IF(AND(23&gt;=$D$48,INDEX(Season_Flag,AL$113)=1),$D$71,0))</f>
        <v/>
      </c>
      <c r="AN172" s="53">
        <f>AM172*(1-$D$70)*(1-IF(AND(24&gt;=$D$48,INDEX(Season_Flag,AM$113)=1),$D$71,0))</f>
        <v/>
      </c>
    </row>
    <row r="173">
      <c r="B173" s="7" t="inlineStr">
        <is>
          <t>Cohort signed in month 13</t>
        </is>
      </c>
      <c r="C173" s="5" t="inlineStr">
        <is>
          <t>institutes</t>
        </is>
      </c>
      <c r="Q173" s="53">
        <f>Q123</f>
        <v/>
      </c>
      <c r="R173" s="53">
        <f>Q173*(1-$D$70)*(1-IF(AND(1&gt;=$D$48,INDEX(Season_Flag,Q$113)=1),$D$71,0))</f>
        <v/>
      </c>
      <c r="S173" s="53">
        <f>R173*(1-$D$70)*(1-IF(AND(2&gt;=$D$48,INDEX(Season_Flag,R$113)=1),$D$71,0))</f>
        <v/>
      </c>
      <c r="T173" s="53">
        <f>S173*(1-$D$70)*(1-IF(AND(3&gt;=$D$48,INDEX(Season_Flag,S$113)=1),$D$71,0))</f>
        <v/>
      </c>
      <c r="U173" s="53">
        <f>T173*(1-$D$70)*(1-IF(AND(4&gt;=$D$48,INDEX(Season_Flag,T$113)=1),$D$71,0))</f>
        <v/>
      </c>
      <c r="V173" s="53">
        <f>U173*(1-$D$70)*(1-IF(AND(5&gt;=$D$48,INDEX(Season_Flag,U$113)=1),$D$71,0))</f>
        <v/>
      </c>
      <c r="W173" s="53">
        <f>V173*(1-$D$70)*(1-IF(AND(6&gt;=$D$48,INDEX(Season_Flag,V$113)=1),$D$71,0))</f>
        <v/>
      </c>
      <c r="X173" s="53">
        <f>W173*(1-$D$70)*(1-IF(AND(7&gt;=$D$48,INDEX(Season_Flag,W$113)=1),$D$71,0))</f>
        <v/>
      </c>
      <c r="Y173" s="53">
        <f>X173*(1-$D$70)*(1-IF(AND(8&gt;=$D$48,INDEX(Season_Flag,X$113)=1),$D$71,0))</f>
        <v/>
      </c>
      <c r="Z173" s="53">
        <f>Y173*(1-$D$70)*(1-IF(AND(9&gt;=$D$48,INDEX(Season_Flag,Y$113)=1),$D$71,0))</f>
        <v/>
      </c>
      <c r="AA173" s="53">
        <f>Z173*(1-$D$70)*(1-IF(AND(10&gt;=$D$48,INDEX(Season_Flag,Z$113)=1),$D$71,0))</f>
        <v/>
      </c>
      <c r="AB173" s="53">
        <f>AA173*(1-$D$70)*(1-IF(AND(11&gt;=$D$48,INDEX(Season_Flag,AA$113)=1),$D$71,0))</f>
        <v/>
      </c>
      <c r="AC173" s="53">
        <f>AB173*(1-$D$70)*(1-IF(AND(12&gt;=$D$48,INDEX(Season_Flag,AB$113)=1),$D$71,0))</f>
        <v/>
      </c>
      <c r="AD173" s="53">
        <f>AC173*(1-$D$70)*(1-IF(AND(13&gt;=$D$48,INDEX(Season_Flag,AC$113)=1),$D$71,0))</f>
        <v/>
      </c>
      <c r="AE173" s="53">
        <f>AD173*(1-$D$70)*(1-IF(AND(14&gt;=$D$48,INDEX(Season_Flag,AD$113)=1),$D$71,0))</f>
        <v/>
      </c>
      <c r="AF173" s="53">
        <f>AE173*(1-$D$70)*(1-IF(AND(15&gt;=$D$48,INDEX(Season_Flag,AE$113)=1),$D$71,0))</f>
        <v/>
      </c>
      <c r="AG173" s="53">
        <f>AF173*(1-$D$70)*(1-IF(AND(16&gt;=$D$48,INDEX(Season_Flag,AF$113)=1),$D$71,0))</f>
        <v/>
      </c>
      <c r="AH173" s="53">
        <f>AG173*(1-$D$70)*(1-IF(AND(17&gt;=$D$48,INDEX(Season_Flag,AG$113)=1),$D$71,0))</f>
        <v/>
      </c>
      <c r="AI173" s="53">
        <f>AH173*(1-$D$70)*(1-IF(AND(18&gt;=$D$48,INDEX(Season_Flag,AH$113)=1),$D$71,0))</f>
        <v/>
      </c>
      <c r="AJ173" s="53">
        <f>AI173*(1-$D$70)*(1-IF(AND(19&gt;=$D$48,INDEX(Season_Flag,AI$113)=1),$D$71,0))</f>
        <v/>
      </c>
      <c r="AK173" s="53">
        <f>AJ173*(1-$D$70)*(1-IF(AND(20&gt;=$D$48,INDEX(Season_Flag,AJ$113)=1),$D$71,0))</f>
        <v/>
      </c>
      <c r="AL173" s="53">
        <f>AK173*(1-$D$70)*(1-IF(AND(21&gt;=$D$48,INDEX(Season_Flag,AK$113)=1),$D$71,0))</f>
        <v/>
      </c>
      <c r="AM173" s="53">
        <f>AL173*(1-$D$70)*(1-IF(AND(22&gt;=$D$48,INDEX(Season_Flag,AL$113)=1),$D$71,0))</f>
        <v/>
      </c>
      <c r="AN173" s="53">
        <f>AM173*(1-$D$70)*(1-IF(AND(23&gt;=$D$48,INDEX(Season_Flag,AM$113)=1),$D$71,0))</f>
        <v/>
      </c>
    </row>
    <row r="174">
      <c r="B174" s="7" t="inlineStr">
        <is>
          <t>Cohort signed in month 14</t>
        </is>
      </c>
      <c r="C174" s="5" t="inlineStr">
        <is>
          <t>institutes</t>
        </is>
      </c>
      <c r="R174" s="53">
        <f>R123</f>
        <v/>
      </c>
      <c r="S174" s="53">
        <f>R174*(1-$D$70)*(1-IF(AND(1&gt;=$D$48,INDEX(Season_Flag,R$113)=1),$D$71,0))</f>
        <v/>
      </c>
      <c r="T174" s="53">
        <f>S174*(1-$D$70)*(1-IF(AND(2&gt;=$D$48,INDEX(Season_Flag,S$113)=1),$D$71,0))</f>
        <v/>
      </c>
      <c r="U174" s="53">
        <f>T174*(1-$D$70)*(1-IF(AND(3&gt;=$D$48,INDEX(Season_Flag,T$113)=1),$D$71,0))</f>
        <v/>
      </c>
      <c r="V174" s="53">
        <f>U174*(1-$D$70)*(1-IF(AND(4&gt;=$D$48,INDEX(Season_Flag,U$113)=1),$D$71,0))</f>
        <v/>
      </c>
      <c r="W174" s="53">
        <f>V174*(1-$D$70)*(1-IF(AND(5&gt;=$D$48,INDEX(Season_Flag,V$113)=1),$D$71,0))</f>
        <v/>
      </c>
      <c r="X174" s="53">
        <f>W174*(1-$D$70)*(1-IF(AND(6&gt;=$D$48,INDEX(Season_Flag,W$113)=1),$D$71,0))</f>
        <v/>
      </c>
      <c r="Y174" s="53">
        <f>X174*(1-$D$70)*(1-IF(AND(7&gt;=$D$48,INDEX(Season_Flag,X$113)=1),$D$71,0))</f>
        <v/>
      </c>
      <c r="Z174" s="53">
        <f>Y174*(1-$D$70)*(1-IF(AND(8&gt;=$D$48,INDEX(Season_Flag,Y$113)=1),$D$71,0))</f>
        <v/>
      </c>
      <c r="AA174" s="53">
        <f>Z174*(1-$D$70)*(1-IF(AND(9&gt;=$D$48,INDEX(Season_Flag,Z$113)=1),$D$71,0))</f>
        <v/>
      </c>
      <c r="AB174" s="53">
        <f>AA174*(1-$D$70)*(1-IF(AND(10&gt;=$D$48,INDEX(Season_Flag,AA$113)=1),$D$71,0))</f>
        <v/>
      </c>
      <c r="AC174" s="53">
        <f>AB174*(1-$D$70)*(1-IF(AND(11&gt;=$D$48,INDEX(Season_Flag,AB$113)=1),$D$71,0))</f>
        <v/>
      </c>
      <c r="AD174" s="53">
        <f>AC174*(1-$D$70)*(1-IF(AND(12&gt;=$D$48,INDEX(Season_Flag,AC$113)=1),$D$71,0))</f>
        <v/>
      </c>
      <c r="AE174" s="53">
        <f>AD174*(1-$D$70)*(1-IF(AND(13&gt;=$D$48,INDEX(Season_Flag,AD$113)=1),$D$71,0))</f>
        <v/>
      </c>
      <c r="AF174" s="53">
        <f>AE174*(1-$D$70)*(1-IF(AND(14&gt;=$D$48,INDEX(Season_Flag,AE$113)=1),$D$71,0))</f>
        <v/>
      </c>
      <c r="AG174" s="53">
        <f>AF174*(1-$D$70)*(1-IF(AND(15&gt;=$D$48,INDEX(Season_Flag,AF$113)=1),$D$71,0))</f>
        <v/>
      </c>
      <c r="AH174" s="53">
        <f>AG174*(1-$D$70)*(1-IF(AND(16&gt;=$D$48,INDEX(Season_Flag,AG$113)=1),$D$71,0))</f>
        <v/>
      </c>
      <c r="AI174" s="53">
        <f>AH174*(1-$D$70)*(1-IF(AND(17&gt;=$D$48,INDEX(Season_Flag,AH$113)=1),$D$71,0))</f>
        <v/>
      </c>
      <c r="AJ174" s="53">
        <f>AI174*(1-$D$70)*(1-IF(AND(18&gt;=$D$48,INDEX(Season_Flag,AI$113)=1),$D$71,0))</f>
        <v/>
      </c>
      <c r="AK174" s="53">
        <f>AJ174*(1-$D$70)*(1-IF(AND(19&gt;=$D$48,INDEX(Season_Flag,AJ$113)=1),$D$71,0))</f>
        <v/>
      </c>
      <c r="AL174" s="53">
        <f>AK174*(1-$D$70)*(1-IF(AND(20&gt;=$D$48,INDEX(Season_Flag,AK$113)=1),$D$71,0))</f>
        <v/>
      </c>
      <c r="AM174" s="53">
        <f>AL174*(1-$D$70)*(1-IF(AND(21&gt;=$D$48,INDEX(Season_Flag,AL$113)=1),$D$71,0))</f>
        <v/>
      </c>
      <c r="AN174" s="53">
        <f>AM174*(1-$D$70)*(1-IF(AND(22&gt;=$D$48,INDEX(Season_Flag,AM$113)=1),$D$71,0))</f>
        <v/>
      </c>
    </row>
    <row r="175">
      <c r="B175" s="7" t="inlineStr">
        <is>
          <t>Cohort signed in month 15</t>
        </is>
      </c>
      <c r="C175" s="5" t="inlineStr">
        <is>
          <t>institutes</t>
        </is>
      </c>
      <c r="S175" s="53">
        <f>S123</f>
        <v/>
      </c>
      <c r="T175" s="53">
        <f>S175*(1-$D$70)*(1-IF(AND(1&gt;=$D$48,INDEX(Season_Flag,S$113)=1),$D$71,0))</f>
        <v/>
      </c>
      <c r="U175" s="53">
        <f>T175*(1-$D$70)*(1-IF(AND(2&gt;=$D$48,INDEX(Season_Flag,T$113)=1),$D$71,0))</f>
        <v/>
      </c>
      <c r="V175" s="53">
        <f>U175*(1-$D$70)*(1-IF(AND(3&gt;=$D$48,INDEX(Season_Flag,U$113)=1),$D$71,0))</f>
        <v/>
      </c>
      <c r="W175" s="53">
        <f>V175*(1-$D$70)*(1-IF(AND(4&gt;=$D$48,INDEX(Season_Flag,V$113)=1),$D$71,0))</f>
        <v/>
      </c>
      <c r="X175" s="53">
        <f>W175*(1-$D$70)*(1-IF(AND(5&gt;=$D$48,INDEX(Season_Flag,W$113)=1),$D$71,0))</f>
        <v/>
      </c>
      <c r="Y175" s="53">
        <f>X175*(1-$D$70)*(1-IF(AND(6&gt;=$D$48,INDEX(Season_Flag,X$113)=1),$D$71,0))</f>
        <v/>
      </c>
      <c r="Z175" s="53">
        <f>Y175*(1-$D$70)*(1-IF(AND(7&gt;=$D$48,INDEX(Season_Flag,Y$113)=1),$D$71,0))</f>
        <v/>
      </c>
      <c r="AA175" s="53">
        <f>Z175*(1-$D$70)*(1-IF(AND(8&gt;=$D$48,INDEX(Season_Flag,Z$113)=1),$D$71,0))</f>
        <v/>
      </c>
      <c r="AB175" s="53">
        <f>AA175*(1-$D$70)*(1-IF(AND(9&gt;=$D$48,INDEX(Season_Flag,AA$113)=1),$D$71,0))</f>
        <v/>
      </c>
      <c r="AC175" s="53">
        <f>AB175*(1-$D$70)*(1-IF(AND(10&gt;=$D$48,INDEX(Season_Flag,AB$113)=1),$D$71,0))</f>
        <v/>
      </c>
      <c r="AD175" s="53">
        <f>AC175*(1-$D$70)*(1-IF(AND(11&gt;=$D$48,INDEX(Season_Flag,AC$113)=1),$D$71,0))</f>
        <v/>
      </c>
      <c r="AE175" s="53">
        <f>AD175*(1-$D$70)*(1-IF(AND(12&gt;=$D$48,INDEX(Season_Flag,AD$113)=1),$D$71,0))</f>
        <v/>
      </c>
      <c r="AF175" s="53">
        <f>AE175*(1-$D$70)*(1-IF(AND(13&gt;=$D$48,INDEX(Season_Flag,AE$113)=1),$D$71,0))</f>
        <v/>
      </c>
      <c r="AG175" s="53">
        <f>AF175*(1-$D$70)*(1-IF(AND(14&gt;=$D$48,INDEX(Season_Flag,AF$113)=1),$D$71,0))</f>
        <v/>
      </c>
      <c r="AH175" s="53">
        <f>AG175*(1-$D$70)*(1-IF(AND(15&gt;=$D$48,INDEX(Season_Flag,AG$113)=1),$D$71,0))</f>
        <v/>
      </c>
      <c r="AI175" s="53">
        <f>AH175*(1-$D$70)*(1-IF(AND(16&gt;=$D$48,INDEX(Season_Flag,AH$113)=1),$D$71,0))</f>
        <v/>
      </c>
      <c r="AJ175" s="53">
        <f>AI175*(1-$D$70)*(1-IF(AND(17&gt;=$D$48,INDEX(Season_Flag,AI$113)=1),$D$71,0))</f>
        <v/>
      </c>
      <c r="AK175" s="53">
        <f>AJ175*(1-$D$70)*(1-IF(AND(18&gt;=$D$48,INDEX(Season_Flag,AJ$113)=1),$D$71,0))</f>
        <v/>
      </c>
      <c r="AL175" s="53">
        <f>AK175*(1-$D$70)*(1-IF(AND(19&gt;=$D$48,INDEX(Season_Flag,AK$113)=1),$D$71,0))</f>
        <v/>
      </c>
      <c r="AM175" s="53">
        <f>AL175*(1-$D$70)*(1-IF(AND(20&gt;=$D$48,INDEX(Season_Flag,AL$113)=1),$D$71,0))</f>
        <v/>
      </c>
      <c r="AN175" s="53">
        <f>AM175*(1-$D$70)*(1-IF(AND(21&gt;=$D$48,INDEX(Season_Flag,AM$113)=1),$D$71,0))</f>
        <v/>
      </c>
    </row>
    <row r="176">
      <c r="B176" s="7" t="inlineStr">
        <is>
          <t>Cohort signed in month 16</t>
        </is>
      </c>
      <c r="C176" s="5" t="inlineStr">
        <is>
          <t>institutes</t>
        </is>
      </c>
      <c r="T176" s="53">
        <f>T123</f>
        <v/>
      </c>
      <c r="U176" s="53">
        <f>T176*(1-$D$70)*(1-IF(AND(1&gt;=$D$48,INDEX(Season_Flag,T$113)=1),$D$71,0))</f>
        <v/>
      </c>
      <c r="V176" s="53">
        <f>U176*(1-$D$70)*(1-IF(AND(2&gt;=$D$48,INDEX(Season_Flag,U$113)=1),$D$71,0))</f>
        <v/>
      </c>
      <c r="W176" s="53">
        <f>V176*(1-$D$70)*(1-IF(AND(3&gt;=$D$48,INDEX(Season_Flag,V$113)=1),$D$71,0))</f>
        <v/>
      </c>
      <c r="X176" s="53">
        <f>W176*(1-$D$70)*(1-IF(AND(4&gt;=$D$48,INDEX(Season_Flag,W$113)=1),$D$71,0))</f>
        <v/>
      </c>
      <c r="Y176" s="53">
        <f>X176*(1-$D$70)*(1-IF(AND(5&gt;=$D$48,INDEX(Season_Flag,X$113)=1),$D$71,0))</f>
        <v/>
      </c>
      <c r="Z176" s="53">
        <f>Y176*(1-$D$70)*(1-IF(AND(6&gt;=$D$48,INDEX(Season_Flag,Y$113)=1),$D$71,0))</f>
        <v/>
      </c>
      <c r="AA176" s="53">
        <f>Z176*(1-$D$70)*(1-IF(AND(7&gt;=$D$48,INDEX(Season_Flag,Z$113)=1),$D$71,0))</f>
        <v/>
      </c>
      <c r="AB176" s="53">
        <f>AA176*(1-$D$70)*(1-IF(AND(8&gt;=$D$48,INDEX(Season_Flag,AA$113)=1),$D$71,0))</f>
        <v/>
      </c>
      <c r="AC176" s="53">
        <f>AB176*(1-$D$70)*(1-IF(AND(9&gt;=$D$48,INDEX(Season_Flag,AB$113)=1),$D$71,0))</f>
        <v/>
      </c>
      <c r="AD176" s="53">
        <f>AC176*(1-$D$70)*(1-IF(AND(10&gt;=$D$48,INDEX(Season_Flag,AC$113)=1),$D$71,0))</f>
        <v/>
      </c>
      <c r="AE176" s="53">
        <f>AD176*(1-$D$70)*(1-IF(AND(11&gt;=$D$48,INDEX(Season_Flag,AD$113)=1),$D$71,0))</f>
        <v/>
      </c>
      <c r="AF176" s="53">
        <f>AE176*(1-$D$70)*(1-IF(AND(12&gt;=$D$48,INDEX(Season_Flag,AE$113)=1),$D$71,0))</f>
        <v/>
      </c>
      <c r="AG176" s="53">
        <f>AF176*(1-$D$70)*(1-IF(AND(13&gt;=$D$48,INDEX(Season_Flag,AF$113)=1),$D$71,0))</f>
        <v/>
      </c>
      <c r="AH176" s="53">
        <f>AG176*(1-$D$70)*(1-IF(AND(14&gt;=$D$48,INDEX(Season_Flag,AG$113)=1),$D$71,0))</f>
        <v/>
      </c>
      <c r="AI176" s="53">
        <f>AH176*(1-$D$70)*(1-IF(AND(15&gt;=$D$48,INDEX(Season_Flag,AH$113)=1),$D$71,0))</f>
        <v/>
      </c>
      <c r="AJ176" s="53">
        <f>AI176*(1-$D$70)*(1-IF(AND(16&gt;=$D$48,INDEX(Season_Flag,AI$113)=1),$D$71,0))</f>
        <v/>
      </c>
      <c r="AK176" s="53">
        <f>AJ176*(1-$D$70)*(1-IF(AND(17&gt;=$D$48,INDEX(Season_Flag,AJ$113)=1),$D$71,0))</f>
        <v/>
      </c>
      <c r="AL176" s="53">
        <f>AK176*(1-$D$70)*(1-IF(AND(18&gt;=$D$48,INDEX(Season_Flag,AK$113)=1),$D$71,0))</f>
        <v/>
      </c>
      <c r="AM176" s="53">
        <f>AL176*(1-$D$70)*(1-IF(AND(19&gt;=$D$48,INDEX(Season_Flag,AL$113)=1),$D$71,0))</f>
        <v/>
      </c>
      <c r="AN176" s="53">
        <f>AM176*(1-$D$70)*(1-IF(AND(20&gt;=$D$48,INDEX(Season_Flag,AM$113)=1),$D$71,0))</f>
        <v/>
      </c>
    </row>
    <row r="177">
      <c r="B177" s="7" t="inlineStr">
        <is>
          <t>Cohort signed in month 17</t>
        </is>
      </c>
      <c r="C177" s="5" t="inlineStr">
        <is>
          <t>institutes</t>
        </is>
      </c>
      <c r="U177" s="53">
        <f>U123</f>
        <v/>
      </c>
      <c r="V177" s="53">
        <f>U177*(1-$D$70)*(1-IF(AND(1&gt;=$D$48,INDEX(Season_Flag,U$113)=1),$D$71,0))</f>
        <v/>
      </c>
      <c r="W177" s="53">
        <f>V177*(1-$D$70)*(1-IF(AND(2&gt;=$D$48,INDEX(Season_Flag,V$113)=1),$D$71,0))</f>
        <v/>
      </c>
      <c r="X177" s="53">
        <f>W177*(1-$D$70)*(1-IF(AND(3&gt;=$D$48,INDEX(Season_Flag,W$113)=1),$D$71,0))</f>
        <v/>
      </c>
      <c r="Y177" s="53">
        <f>X177*(1-$D$70)*(1-IF(AND(4&gt;=$D$48,INDEX(Season_Flag,X$113)=1),$D$71,0))</f>
        <v/>
      </c>
      <c r="Z177" s="53">
        <f>Y177*(1-$D$70)*(1-IF(AND(5&gt;=$D$48,INDEX(Season_Flag,Y$113)=1),$D$71,0))</f>
        <v/>
      </c>
      <c r="AA177" s="53">
        <f>Z177*(1-$D$70)*(1-IF(AND(6&gt;=$D$48,INDEX(Season_Flag,Z$113)=1),$D$71,0))</f>
        <v/>
      </c>
      <c r="AB177" s="53">
        <f>AA177*(1-$D$70)*(1-IF(AND(7&gt;=$D$48,INDEX(Season_Flag,AA$113)=1),$D$71,0))</f>
        <v/>
      </c>
      <c r="AC177" s="53">
        <f>AB177*(1-$D$70)*(1-IF(AND(8&gt;=$D$48,INDEX(Season_Flag,AB$113)=1),$D$71,0))</f>
        <v/>
      </c>
      <c r="AD177" s="53">
        <f>AC177*(1-$D$70)*(1-IF(AND(9&gt;=$D$48,INDEX(Season_Flag,AC$113)=1),$D$71,0))</f>
        <v/>
      </c>
      <c r="AE177" s="53">
        <f>AD177*(1-$D$70)*(1-IF(AND(10&gt;=$D$48,INDEX(Season_Flag,AD$113)=1),$D$71,0))</f>
        <v/>
      </c>
      <c r="AF177" s="53">
        <f>AE177*(1-$D$70)*(1-IF(AND(11&gt;=$D$48,INDEX(Season_Flag,AE$113)=1),$D$71,0))</f>
        <v/>
      </c>
      <c r="AG177" s="53">
        <f>AF177*(1-$D$70)*(1-IF(AND(12&gt;=$D$48,INDEX(Season_Flag,AF$113)=1),$D$71,0))</f>
        <v/>
      </c>
      <c r="AH177" s="53">
        <f>AG177*(1-$D$70)*(1-IF(AND(13&gt;=$D$48,INDEX(Season_Flag,AG$113)=1),$D$71,0))</f>
        <v/>
      </c>
      <c r="AI177" s="53">
        <f>AH177*(1-$D$70)*(1-IF(AND(14&gt;=$D$48,INDEX(Season_Flag,AH$113)=1),$D$71,0))</f>
        <v/>
      </c>
      <c r="AJ177" s="53">
        <f>AI177*(1-$D$70)*(1-IF(AND(15&gt;=$D$48,INDEX(Season_Flag,AI$113)=1),$D$71,0))</f>
        <v/>
      </c>
      <c r="AK177" s="53">
        <f>AJ177*(1-$D$70)*(1-IF(AND(16&gt;=$D$48,INDEX(Season_Flag,AJ$113)=1),$D$71,0))</f>
        <v/>
      </c>
      <c r="AL177" s="53">
        <f>AK177*(1-$D$70)*(1-IF(AND(17&gt;=$D$48,INDEX(Season_Flag,AK$113)=1),$D$71,0))</f>
        <v/>
      </c>
      <c r="AM177" s="53">
        <f>AL177*(1-$D$70)*(1-IF(AND(18&gt;=$D$48,INDEX(Season_Flag,AL$113)=1),$D$71,0))</f>
        <v/>
      </c>
      <c r="AN177" s="53">
        <f>AM177*(1-$D$70)*(1-IF(AND(19&gt;=$D$48,INDEX(Season_Flag,AM$113)=1),$D$71,0))</f>
        <v/>
      </c>
    </row>
    <row r="178">
      <c r="B178" s="7" t="inlineStr">
        <is>
          <t>Cohort signed in month 18</t>
        </is>
      </c>
      <c r="C178" s="5" t="inlineStr">
        <is>
          <t>institutes</t>
        </is>
      </c>
      <c r="V178" s="53">
        <f>V123</f>
        <v/>
      </c>
      <c r="W178" s="53">
        <f>V178*(1-$D$70)*(1-IF(AND(1&gt;=$D$48,INDEX(Season_Flag,V$113)=1),$D$71,0))</f>
        <v/>
      </c>
      <c r="X178" s="53">
        <f>W178*(1-$D$70)*(1-IF(AND(2&gt;=$D$48,INDEX(Season_Flag,W$113)=1),$D$71,0))</f>
        <v/>
      </c>
      <c r="Y178" s="53">
        <f>X178*(1-$D$70)*(1-IF(AND(3&gt;=$D$48,INDEX(Season_Flag,X$113)=1),$D$71,0))</f>
        <v/>
      </c>
      <c r="Z178" s="53">
        <f>Y178*(1-$D$70)*(1-IF(AND(4&gt;=$D$48,INDEX(Season_Flag,Y$113)=1),$D$71,0))</f>
        <v/>
      </c>
      <c r="AA178" s="53">
        <f>Z178*(1-$D$70)*(1-IF(AND(5&gt;=$D$48,INDEX(Season_Flag,Z$113)=1),$D$71,0))</f>
        <v/>
      </c>
      <c r="AB178" s="53">
        <f>AA178*(1-$D$70)*(1-IF(AND(6&gt;=$D$48,INDEX(Season_Flag,AA$113)=1),$D$71,0))</f>
        <v/>
      </c>
      <c r="AC178" s="53">
        <f>AB178*(1-$D$70)*(1-IF(AND(7&gt;=$D$48,INDEX(Season_Flag,AB$113)=1),$D$71,0))</f>
        <v/>
      </c>
      <c r="AD178" s="53">
        <f>AC178*(1-$D$70)*(1-IF(AND(8&gt;=$D$48,INDEX(Season_Flag,AC$113)=1),$D$71,0))</f>
        <v/>
      </c>
      <c r="AE178" s="53">
        <f>AD178*(1-$D$70)*(1-IF(AND(9&gt;=$D$48,INDEX(Season_Flag,AD$113)=1),$D$71,0))</f>
        <v/>
      </c>
      <c r="AF178" s="53">
        <f>AE178*(1-$D$70)*(1-IF(AND(10&gt;=$D$48,INDEX(Season_Flag,AE$113)=1),$D$71,0))</f>
        <v/>
      </c>
      <c r="AG178" s="53">
        <f>AF178*(1-$D$70)*(1-IF(AND(11&gt;=$D$48,INDEX(Season_Flag,AF$113)=1),$D$71,0))</f>
        <v/>
      </c>
      <c r="AH178" s="53">
        <f>AG178*(1-$D$70)*(1-IF(AND(12&gt;=$D$48,INDEX(Season_Flag,AG$113)=1),$D$71,0))</f>
        <v/>
      </c>
      <c r="AI178" s="53">
        <f>AH178*(1-$D$70)*(1-IF(AND(13&gt;=$D$48,INDEX(Season_Flag,AH$113)=1),$D$71,0))</f>
        <v/>
      </c>
      <c r="AJ178" s="53">
        <f>AI178*(1-$D$70)*(1-IF(AND(14&gt;=$D$48,INDEX(Season_Flag,AI$113)=1),$D$71,0))</f>
        <v/>
      </c>
      <c r="AK178" s="53">
        <f>AJ178*(1-$D$70)*(1-IF(AND(15&gt;=$D$48,INDEX(Season_Flag,AJ$113)=1),$D$71,0))</f>
        <v/>
      </c>
      <c r="AL178" s="53">
        <f>AK178*(1-$D$70)*(1-IF(AND(16&gt;=$D$48,INDEX(Season_Flag,AK$113)=1),$D$71,0))</f>
        <v/>
      </c>
      <c r="AM178" s="53">
        <f>AL178*(1-$D$70)*(1-IF(AND(17&gt;=$D$48,INDEX(Season_Flag,AL$113)=1),$D$71,0))</f>
        <v/>
      </c>
      <c r="AN178" s="53">
        <f>AM178*(1-$D$70)*(1-IF(AND(18&gt;=$D$48,INDEX(Season_Flag,AM$113)=1),$D$71,0))</f>
        <v/>
      </c>
    </row>
    <row r="179">
      <c r="B179" s="7" t="inlineStr">
        <is>
          <t>Cohort signed in month 19</t>
        </is>
      </c>
      <c r="C179" s="5" t="inlineStr">
        <is>
          <t>institutes</t>
        </is>
      </c>
      <c r="W179" s="53">
        <f>W123</f>
        <v/>
      </c>
      <c r="X179" s="53">
        <f>W179*(1-$D$70)*(1-IF(AND(1&gt;=$D$48,INDEX(Season_Flag,W$113)=1),$D$71,0))</f>
        <v/>
      </c>
      <c r="Y179" s="53">
        <f>X179*(1-$D$70)*(1-IF(AND(2&gt;=$D$48,INDEX(Season_Flag,X$113)=1),$D$71,0))</f>
        <v/>
      </c>
      <c r="Z179" s="53">
        <f>Y179*(1-$D$70)*(1-IF(AND(3&gt;=$D$48,INDEX(Season_Flag,Y$113)=1),$D$71,0))</f>
        <v/>
      </c>
      <c r="AA179" s="53">
        <f>Z179*(1-$D$70)*(1-IF(AND(4&gt;=$D$48,INDEX(Season_Flag,Z$113)=1),$D$71,0))</f>
        <v/>
      </c>
      <c r="AB179" s="53">
        <f>AA179*(1-$D$70)*(1-IF(AND(5&gt;=$D$48,INDEX(Season_Flag,AA$113)=1),$D$71,0))</f>
        <v/>
      </c>
      <c r="AC179" s="53">
        <f>AB179*(1-$D$70)*(1-IF(AND(6&gt;=$D$48,INDEX(Season_Flag,AB$113)=1),$D$71,0))</f>
        <v/>
      </c>
      <c r="AD179" s="53">
        <f>AC179*(1-$D$70)*(1-IF(AND(7&gt;=$D$48,INDEX(Season_Flag,AC$113)=1),$D$71,0))</f>
        <v/>
      </c>
      <c r="AE179" s="53">
        <f>AD179*(1-$D$70)*(1-IF(AND(8&gt;=$D$48,INDEX(Season_Flag,AD$113)=1),$D$71,0))</f>
        <v/>
      </c>
      <c r="AF179" s="53">
        <f>AE179*(1-$D$70)*(1-IF(AND(9&gt;=$D$48,INDEX(Season_Flag,AE$113)=1),$D$71,0))</f>
        <v/>
      </c>
      <c r="AG179" s="53">
        <f>AF179*(1-$D$70)*(1-IF(AND(10&gt;=$D$48,INDEX(Season_Flag,AF$113)=1),$D$71,0))</f>
        <v/>
      </c>
      <c r="AH179" s="53">
        <f>AG179*(1-$D$70)*(1-IF(AND(11&gt;=$D$48,INDEX(Season_Flag,AG$113)=1),$D$71,0))</f>
        <v/>
      </c>
      <c r="AI179" s="53">
        <f>AH179*(1-$D$70)*(1-IF(AND(12&gt;=$D$48,INDEX(Season_Flag,AH$113)=1),$D$71,0))</f>
        <v/>
      </c>
      <c r="AJ179" s="53">
        <f>AI179*(1-$D$70)*(1-IF(AND(13&gt;=$D$48,INDEX(Season_Flag,AI$113)=1),$D$71,0))</f>
        <v/>
      </c>
      <c r="AK179" s="53">
        <f>AJ179*(1-$D$70)*(1-IF(AND(14&gt;=$D$48,INDEX(Season_Flag,AJ$113)=1),$D$71,0))</f>
        <v/>
      </c>
      <c r="AL179" s="53">
        <f>AK179*(1-$D$70)*(1-IF(AND(15&gt;=$D$48,INDEX(Season_Flag,AK$113)=1),$D$71,0))</f>
        <v/>
      </c>
      <c r="AM179" s="53">
        <f>AL179*(1-$D$70)*(1-IF(AND(16&gt;=$D$48,INDEX(Season_Flag,AL$113)=1),$D$71,0))</f>
        <v/>
      </c>
      <c r="AN179" s="53">
        <f>AM179*(1-$D$70)*(1-IF(AND(17&gt;=$D$48,INDEX(Season_Flag,AM$113)=1),$D$71,0))</f>
        <v/>
      </c>
    </row>
    <row r="180">
      <c r="B180" s="7" t="inlineStr">
        <is>
          <t>Cohort signed in month 20</t>
        </is>
      </c>
      <c r="C180" s="5" t="inlineStr">
        <is>
          <t>institutes</t>
        </is>
      </c>
      <c r="X180" s="53">
        <f>X123</f>
        <v/>
      </c>
      <c r="Y180" s="53">
        <f>X180*(1-$D$70)*(1-IF(AND(1&gt;=$D$48,INDEX(Season_Flag,X$113)=1),$D$71,0))</f>
        <v/>
      </c>
      <c r="Z180" s="53">
        <f>Y180*(1-$D$70)*(1-IF(AND(2&gt;=$D$48,INDEX(Season_Flag,Y$113)=1),$D$71,0))</f>
        <v/>
      </c>
      <c r="AA180" s="53">
        <f>Z180*(1-$D$70)*(1-IF(AND(3&gt;=$D$48,INDEX(Season_Flag,Z$113)=1),$D$71,0))</f>
        <v/>
      </c>
      <c r="AB180" s="53">
        <f>AA180*(1-$D$70)*(1-IF(AND(4&gt;=$D$48,INDEX(Season_Flag,AA$113)=1),$D$71,0))</f>
        <v/>
      </c>
      <c r="AC180" s="53">
        <f>AB180*(1-$D$70)*(1-IF(AND(5&gt;=$D$48,INDEX(Season_Flag,AB$113)=1),$D$71,0))</f>
        <v/>
      </c>
      <c r="AD180" s="53">
        <f>AC180*(1-$D$70)*(1-IF(AND(6&gt;=$D$48,INDEX(Season_Flag,AC$113)=1),$D$71,0))</f>
        <v/>
      </c>
      <c r="AE180" s="53">
        <f>AD180*(1-$D$70)*(1-IF(AND(7&gt;=$D$48,INDEX(Season_Flag,AD$113)=1),$D$71,0))</f>
        <v/>
      </c>
      <c r="AF180" s="53">
        <f>AE180*(1-$D$70)*(1-IF(AND(8&gt;=$D$48,INDEX(Season_Flag,AE$113)=1),$D$71,0))</f>
        <v/>
      </c>
      <c r="AG180" s="53">
        <f>AF180*(1-$D$70)*(1-IF(AND(9&gt;=$D$48,INDEX(Season_Flag,AF$113)=1),$D$71,0))</f>
        <v/>
      </c>
      <c r="AH180" s="53">
        <f>AG180*(1-$D$70)*(1-IF(AND(10&gt;=$D$48,INDEX(Season_Flag,AG$113)=1),$D$71,0))</f>
        <v/>
      </c>
      <c r="AI180" s="53">
        <f>AH180*(1-$D$70)*(1-IF(AND(11&gt;=$D$48,INDEX(Season_Flag,AH$113)=1),$D$71,0))</f>
        <v/>
      </c>
      <c r="AJ180" s="53">
        <f>AI180*(1-$D$70)*(1-IF(AND(12&gt;=$D$48,INDEX(Season_Flag,AI$113)=1),$D$71,0))</f>
        <v/>
      </c>
      <c r="AK180" s="53">
        <f>AJ180*(1-$D$70)*(1-IF(AND(13&gt;=$D$48,INDEX(Season_Flag,AJ$113)=1),$D$71,0))</f>
        <v/>
      </c>
      <c r="AL180" s="53">
        <f>AK180*(1-$D$70)*(1-IF(AND(14&gt;=$D$48,INDEX(Season_Flag,AK$113)=1),$D$71,0))</f>
        <v/>
      </c>
      <c r="AM180" s="53">
        <f>AL180*(1-$D$70)*(1-IF(AND(15&gt;=$D$48,INDEX(Season_Flag,AL$113)=1),$D$71,0))</f>
        <v/>
      </c>
      <c r="AN180" s="53">
        <f>AM180*(1-$D$70)*(1-IF(AND(16&gt;=$D$48,INDEX(Season_Flag,AM$113)=1),$D$71,0))</f>
        <v/>
      </c>
    </row>
    <row r="181">
      <c r="B181" s="7" t="inlineStr">
        <is>
          <t>Cohort signed in month 21</t>
        </is>
      </c>
      <c r="C181" s="5" t="inlineStr">
        <is>
          <t>institutes</t>
        </is>
      </c>
      <c r="Y181" s="53">
        <f>Y123</f>
        <v/>
      </c>
      <c r="Z181" s="53">
        <f>Y181*(1-$D$70)*(1-IF(AND(1&gt;=$D$48,INDEX(Season_Flag,Y$113)=1),$D$71,0))</f>
        <v/>
      </c>
      <c r="AA181" s="53">
        <f>Z181*(1-$D$70)*(1-IF(AND(2&gt;=$D$48,INDEX(Season_Flag,Z$113)=1),$D$71,0))</f>
        <v/>
      </c>
      <c r="AB181" s="53">
        <f>AA181*(1-$D$70)*(1-IF(AND(3&gt;=$D$48,INDEX(Season_Flag,AA$113)=1),$D$71,0))</f>
        <v/>
      </c>
      <c r="AC181" s="53">
        <f>AB181*(1-$D$70)*(1-IF(AND(4&gt;=$D$48,INDEX(Season_Flag,AB$113)=1),$D$71,0))</f>
        <v/>
      </c>
      <c r="AD181" s="53">
        <f>AC181*(1-$D$70)*(1-IF(AND(5&gt;=$D$48,INDEX(Season_Flag,AC$113)=1),$D$71,0))</f>
        <v/>
      </c>
      <c r="AE181" s="53">
        <f>AD181*(1-$D$70)*(1-IF(AND(6&gt;=$D$48,INDEX(Season_Flag,AD$113)=1),$D$71,0))</f>
        <v/>
      </c>
      <c r="AF181" s="53">
        <f>AE181*(1-$D$70)*(1-IF(AND(7&gt;=$D$48,INDEX(Season_Flag,AE$113)=1),$D$71,0))</f>
        <v/>
      </c>
      <c r="AG181" s="53">
        <f>AF181*(1-$D$70)*(1-IF(AND(8&gt;=$D$48,INDEX(Season_Flag,AF$113)=1),$D$71,0))</f>
        <v/>
      </c>
      <c r="AH181" s="53">
        <f>AG181*(1-$D$70)*(1-IF(AND(9&gt;=$D$48,INDEX(Season_Flag,AG$113)=1),$D$71,0))</f>
        <v/>
      </c>
      <c r="AI181" s="53">
        <f>AH181*(1-$D$70)*(1-IF(AND(10&gt;=$D$48,INDEX(Season_Flag,AH$113)=1),$D$71,0))</f>
        <v/>
      </c>
      <c r="AJ181" s="53">
        <f>AI181*(1-$D$70)*(1-IF(AND(11&gt;=$D$48,INDEX(Season_Flag,AI$113)=1),$D$71,0))</f>
        <v/>
      </c>
      <c r="AK181" s="53">
        <f>AJ181*(1-$D$70)*(1-IF(AND(12&gt;=$D$48,INDEX(Season_Flag,AJ$113)=1),$D$71,0))</f>
        <v/>
      </c>
      <c r="AL181" s="53">
        <f>AK181*(1-$D$70)*(1-IF(AND(13&gt;=$D$48,INDEX(Season_Flag,AK$113)=1),$D$71,0))</f>
        <v/>
      </c>
      <c r="AM181" s="53">
        <f>AL181*(1-$D$70)*(1-IF(AND(14&gt;=$D$48,INDEX(Season_Flag,AL$113)=1),$D$71,0))</f>
        <v/>
      </c>
      <c r="AN181" s="53">
        <f>AM181*(1-$D$70)*(1-IF(AND(15&gt;=$D$48,INDEX(Season_Flag,AM$113)=1),$D$71,0))</f>
        <v/>
      </c>
    </row>
    <row r="182">
      <c r="B182" s="7" t="inlineStr">
        <is>
          <t>Cohort signed in month 22</t>
        </is>
      </c>
      <c r="C182" s="5" t="inlineStr">
        <is>
          <t>institutes</t>
        </is>
      </c>
      <c r="Z182" s="53">
        <f>Z123</f>
        <v/>
      </c>
      <c r="AA182" s="53">
        <f>Z182*(1-$D$70)*(1-IF(AND(1&gt;=$D$48,INDEX(Season_Flag,Z$113)=1),$D$71,0))</f>
        <v/>
      </c>
      <c r="AB182" s="53">
        <f>AA182*(1-$D$70)*(1-IF(AND(2&gt;=$D$48,INDEX(Season_Flag,AA$113)=1),$D$71,0))</f>
        <v/>
      </c>
      <c r="AC182" s="53">
        <f>AB182*(1-$D$70)*(1-IF(AND(3&gt;=$D$48,INDEX(Season_Flag,AB$113)=1),$D$71,0))</f>
        <v/>
      </c>
      <c r="AD182" s="53">
        <f>AC182*(1-$D$70)*(1-IF(AND(4&gt;=$D$48,INDEX(Season_Flag,AC$113)=1),$D$71,0))</f>
        <v/>
      </c>
      <c r="AE182" s="53">
        <f>AD182*(1-$D$70)*(1-IF(AND(5&gt;=$D$48,INDEX(Season_Flag,AD$113)=1),$D$71,0))</f>
        <v/>
      </c>
      <c r="AF182" s="53">
        <f>AE182*(1-$D$70)*(1-IF(AND(6&gt;=$D$48,INDEX(Season_Flag,AE$113)=1),$D$71,0))</f>
        <v/>
      </c>
      <c r="AG182" s="53">
        <f>AF182*(1-$D$70)*(1-IF(AND(7&gt;=$D$48,INDEX(Season_Flag,AF$113)=1),$D$71,0))</f>
        <v/>
      </c>
      <c r="AH182" s="53">
        <f>AG182*(1-$D$70)*(1-IF(AND(8&gt;=$D$48,INDEX(Season_Flag,AG$113)=1),$D$71,0))</f>
        <v/>
      </c>
      <c r="AI182" s="53">
        <f>AH182*(1-$D$70)*(1-IF(AND(9&gt;=$D$48,INDEX(Season_Flag,AH$113)=1),$D$71,0))</f>
        <v/>
      </c>
      <c r="AJ182" s="53">
        <f>AI182*(1-$D$70)*(1-IF(AND(10&gt;=$D$48,INDEX(Season_Flag,AI$113)=1),$D$71,0))</f>
        <v/>
      </c>
      <c r="AK182" s="53">
        <f>AJ182*(1-$D$70)*(1-IF(AND(11&gt;=$D$48,INDEX(Season_Flag,AJ$113)=1),$D$71,0))</f>
        <v/>
      </c>
      <c r="AL182" s="53">
        <f>AK182*(1-$D$70)*(1-IF(AND(12&gt;=$D$48,INDEX(Season_Flag,AK$113)=1),$D$71,0))</f>
        <v/>
      </c>
      <c r="AM182" s="53">
        <f>AL182*(1-$D$70)*(1-IF(AND(13&gt;=$D$48,INDEX(Season_Flag,AL$113)=1),$D$71,0))</f>
        <v/>
      </c>
      <c r="AN182" s="53">
        <f>AM182*(1-$D$70)*(1-IF(AND(14&gt;=$D$48,INDEX(Season_Flag,AM$113)=1),$D$71,0))</f>
        <v/>
      </c>
    </row>
    <row r="183">
      <c r="B183" s="7" t="inlineStr">
        <is>
          <t>Cohort signed in month 23</t>
        </is>
      </c>
      <c r="C183" s="5" t="inlineStr">
        <is>
          <t>institutes</t>
        </is>
      </c>
      <c r="AA183" s="53">
        <f>AA123</f>
        <v/>
      </c>
      <c r="AB183" s="53">
        <f>AA183*(1-$D$70)*(1-IF(AND(1&gt;=$D$48,INDEX(Season_Flag,AA$113)=1),$D$71,0))</f>
        <v/>
      </c>
      <c r="AC183" s="53">
        <f>AB183*(1-$D$70)*(1-IF(AND(2&gt;=$D$48,INDEX(Season_Flag,AB$113)=1),$D$71,0))</f>
        <v/>
      </c>
      <c r="AD183" s="53">
        <f>AC183*(1-$D$70)*(1-IF(AND(3&gt;=$D$48,INDEX(Season_Flag,AC$113)=1),$D$71,0))</f>
        <v/>
      </c>
      <c r="AE183" s="53">
        <f>AD183*(1-$D$70)*(1-IF(AND(4&gt;=$D$48,INDEX(Season_Flag,AD$113)=1),$D$71,0))</f>
        <v/>
      </c>
      <c r="AF183" s="53">
        <f>AE183*(1-$D$70)*(1-IF(AND(5&gt;=$D$48,INDEX(Season_Flag,AE$113)=1),$D$71,0))</f>
        <v/>
      </c>
      <c r="AG183" s="53">
        <f>AF183*(1-$D$70)*(1-IF(AND(6&gt;=$D$48,INDEX(Season_Flag,AF$113)=1),$D$71,0))</f>
        <v/>
      </c>
      <c r="AH183" s="53">
        <f>AG183*(1-$D$70)*(1-IF(AND(7&gt;=$D$48,INDEX(Season_Flag,AG$113)=1),$D$71,0))</f>
        <v/>
      </c>
      <c r="AI183" s="53">
        <f>AH183*(1-$D$70)*(1-IF(AND(8&gt;=$D$48,INDEX(Season_Flag,AH$113)=1),$D$71,0))</f>
        <v/>
      </c>
      <c r="AJ183" s="53">
        <f>AI183*(1-$D$70)*(1-IF(AND(9&gt;=$D$48,INDEX(Season_Flag,AI$113)=1),$D$71,0))</f>
        <v/>
      </c>
      <c r="AK183" s="53">
        <f>AJ183*(1-$D$70)*(1-IF(AND(10&gt;=$D$48,INDEX(Season_Flag,AJ$113)=1),$D$71,0))</f>
        <v/>
      </c>
      <c r="AL183" s="53">
        <f>AK183*(1-$D$70)*(1-IF(AND(11&gt;=$D$48,INDEX(Season_Flag,AK$113)=1),$D$71,0))</f>
        <v/>
      </c>
      <c r="AM183" s="53">
        <f>AL183*(1-$D$70)*(1-IF(AND(12&gt;=$D$48,INDEX(Season_Flag,AL$113)=1),$D$71,0))</f>
        <v/>
      </c>
      <c r="AN183" s="53">
        <f>AM183*(1-$D$70)*(1-IF(AND(13&gt;=$D$48,INDEX(Season_Flag,AM$113)=1),$D$71,0))</f>
        <v/>
      </c>
    </row>
    <row r="184">
      <c r="B184" s="7" t="inlineStr">
        <is>
          <t>Cohort signed in month 24</t>
        </is>
      </c>
      <c r="C184" s="5" t="inlineStr">
        <is>
          <t>institutes</t>
        </is>
      </c>
      <c r="AB184" s="53">
        <f>AB123</f>
        <v/>
      </c>
      <c r="AC184" s="53">
        <f>AB184*(1-$D$70)*(1-IF(AND(1&gt;=$D$48,INDEX(Season_Flag,AB$113)=1),$D$71,0))</f>
        <v/>
      </c>
      <c r="AD184" s="53">
        <f>AC184*(1-$D$70)*(1-IF(AND(2&gt;=$D$48,INDEX(Season_Flag,AC$113)=1),$D$71,0))</f>
        <v/>
      </c>
      <c r="AE184" s="53">
        <f>AD184*(1-$D$70)*(1-IF(AND(3&gt;=$D$48,INDEX(Season_Flag,AD$113)=1),$D$71,0))</f>
        <v/>
      </c>
      <c r="AF184" s="53">
        <f>AE184*(1-$D$70)*(1-IF(AND(4&gt;=$D$48,INDEX(Season_Flag,AE$113)=1),$D$71,0))</f>
        <v/>
      </c>
      <c r="AG184" s="53">
        <f>AF184*(1-$D$70)*(1-IF(AND(5&gt;=$D$48,INDEX(Season_Flag,AF$113)=1),$D$71,0))</f>
        <v/>
      </c>
      <c r="AH184" s="53">
        <f>AG184*(1-$D$70)*(1-IF(AND(6&gt;=$D$48,INDEX(Season_Flag,AG$113)=1),$D$71,0))</f>
        <v/>
      </c>
      <c r="AI184" s="53">
        <f>AH184*(1-$D$70)*(1-IF(AND(7&gt;=$D$48,INDEX(Season_Flag,AH$113)=1),$D$71,0))</f>
        <v/>
      </c>
      <c r="AJ184" s="53">
        <f>AI184*(1-$D$70)*(1-IF(AND(8&gt;=$D$48,INDEX(Season_Flag,AI$113)=1),$D$71,0))</f>
        <v/>
      </c>
      <c r="AK184" s="53">
        <f>AJ184*(1-$D$70)*(1-IF(AND(9&gt;=$D$48,INDEX(Season_Flag,AJ$113)=1),$D$71,0))</f>
        <v/>
      </c>
      <c r="AL184" s="53">
        <f>AK184*(1-$D$70)*(1-IF(AND(10&gt;=$D$48,INDEX(Season_Flag,AK$113)=1),$D$71,0))</f>
        <v/>
      </c>
      <c r="AM184" s="53">
        <f>AL184*(1-$D$70)*(1-IF(AND(11&gt;=$D$48,INDEX(Season_Flag,AL$113)=1),$D$71,0))</f>
        <v/>
      </c>
      <c r="AN184" s="53">
        <f>AM184*(1-$D$70)*(1-IF(AND(12&gt;=$D$48,INDEX(Season_Flag,AM$113)=1),$D$71,0))</f>
        <v/>
      </c>
    </row>
    <row r="185">
      <c r="B185" s="7" t="inlineStr">
        <is>
          <t>Cohort signed in month 25</t>
        </is>
      </c>
      <c r="C185" s="5" t="inlineStr">
        <is>
          <t>institutes</t>
        </is>
      </c>
      <c r="AC185" s="53">
        <f>AC123</f>
        <v/>
      </c>
      <c r="AD185" s="53">
        <f>AC185*(1-$D$70)*(1-IF(AND(1&gt;=$D$48,INDEX(Season_Flag,AC$113)=1),$D$71,0))</f>
        <v/>
      </c>
      <c r="AE185" s="53">
        <f>AD185*(1-$D$70)*(1-IF(AND(2&gt;=$D$48,INDEX(Season_Flag,AD$113)=1),$D$71,0))</f>
        <v/>
      </c>
      <c r="AF185" s="53">
        <f>AE185*(1-$D$70)*(1-IF(AND(3&gt;=$D$48,INDEX(Season_Flag,AE$113)=1),$D$71,0))</f>
        <v/>
      </c>
      <c r="AG185" s="53">
        <f>AF185*(1-$D$70)*(1-IF(AND(4&gt;=$D$48,INDEX(Season_Flag,AF$113)=1),$D$71,0))</f>
        <v/>
      </c>
      <c r="AH185" s="53">
        <f>AG185*(1-$D$70)*(1-IF(AND(5&gt;=$D$48,INDEX(Season_Flag,AG$113)=1),$D$71,0))</f>
        <v/>
      </c>
      <c r="AI185" s="53">
        <f>AH185*(1-$D$70)*(1-IF(AND(6&gt;=$D$48,INDEX(Season_Flag,AH$113)=1),$D$71,0))</f>
        <v/>
      </c>
      <c r="AJ185" s="53">
        <f>AI185*(1-$D$70)*(1-IF(AND(7&gt;=$D$48,INDEX(Season_Flag,AI$113)=1),$D$71,0))</f>
        <v/>
      </c>
      <c r="AK185" s="53">
        <f>AJ185*(1-$D$70)*(1-IF(AND(8&gt;=$D$48,INDEX(Season_Flag,AJ$113)=1),$D$71,0))</f>
        <v/>
      </c>
      <c r="AL185" s="53">
        <f>AK185*(1-$D$70)*(1-IF(AND(9&gt;=$D$48,INDEX(Season_Flag,AK$113)=1),$D$71,0))</f>
        <v/>
      </c>
      <c r="AM185" s="53">
        <f>AL185*(1-$D$70)*(1-IF(AND(10&gt;=$D$48,INDEX(Season_Flag,AL$113)=1),$D$71,0))</f>
        <v/>
      </c>
      <c r="AN185" s="53">
        <f>AM185*(1-$D$70)*(1-IF(AND(11&gt;=$D$48,INDEX(Season_Flag,AM$113)=1),$D$71,0))</f>
        <v/>
      </c>
    </row>
    <row r="186">
      <c r="B186" s="7" t="inlineStr">
        <is>
          <t>Cohort signed in month 26</t>
        </is>
      </c>
      <c r="C186" s="5" t="inlineStr">
        <is>
          <t>institutes</t>
        </is>
      </c>
      <c r="AD186" s="53">
        <f>AD123</f>
        <v/>
      </c>
      <c r="AE186" s="53">
        <f>AD186*(1-$D$70)*(1-IF(AND(1&gt;=$D$48,INDEX(Season_Flag,AD$113)=1),$D$71,0))</f>
        <v/>
      </c>
      <c r="AF186" s="53">
        <f>AE186*(1-$D$70)*(1-IF(AND(2&gt;=$D$48,INDEX(Season_Flag,AE$113)=1),$D$71,0))</f>
        <v/>
      </c>
      <c r="AG186" s="53">
        <f>AF186*(1-$D$70)*(1-IF(AND(3&gt;=$D$48,INDEX(Season_Flag,AF$113)=1),$D$71,0))</f>
        <v/>
      </c>
      <c r="AH186" s="53">
        <f>AG186*(1-$D$70)*(1-IF(AND(4&gt;=$D$48,INDEX(Season_Flag,AG$113)=1),$D$71,0))</f>
        <v/>
      </c>
      <c r="AI186" s="53">
        <f>AH186*(1-$D$70)*(1-IF(AND(5&gt;=$D$48,INDEX(Season_Flag,AH$113)=1),$D$71,0))</f>
        <v/>
      </c>
      <c r="AJ186" s="53">
        <f>AI186*(1-$D$70)*(1-IF(AND(6&gt;=$D$48,INDEX(Season_Flag,AI$113)=1),$D$71,0))</f>
        <v/>
      </c>
      <c r="AK186" s="53">
        <f>AJ186*(1-$D$70)*(1-IF(AND(7&gt;=$D$48,INDEX(Season_Flag,AJ$113)=1),$D$71,0))</f>
        <v/>
      </c>
      <c r="AL186" s="53">
        <f>AK186*(1-$D$70)*(1-IF(AND(8&gt;=$D$48,INDEX(Season_Flag,AK$113)=1),$D$71,0))</f>
        <v/>
      </c>
      <c r="AM186" s="53">
        <f>AL186*(1-$D$70)*(1-IF(AND(9&gt;=$D$48,INDEX(Season_Flag,AL$113)=1),$D$71,0))</f>
        <v/>
      </c>
      <c r="AN186" s="53">
        <f>AM186*(1-$D$70)*(1-IF(AND(10&gt;=$D$48,INDEX(Season_Flag,AM$113)=1),$D$71,0))</f>
        <v/>
      </c>
    </row>
    <row r="187">
      <c r="B187" s="7" t="inlineStr">
        <is>
          <t>Cohort signed in month 27</t>
        </is>
      </c>
      <c r="C187" s="5" t="inlineStr">
        <is>
          <t>institutes</t>
        </is>
      </c>
      <c r="AE187" s="53">
        <f>AE123</f>
        <v/>
      </c>
      <c r="AF187" s="53">
        <f>AE187*(1-$D$70)*(1-IF(AND(1&gt;=$D$48,INDEX(Season_Flag,AE$113)=1),$D$71,0))</f>
        <v/>
      </c>
      <c r="AG187" s="53">
        <f>AF187*(1-$D$70)*(1-IF(AND(2&gt;=$D$48,INDEX(Season_Flag,AF$113)=1),$D$71,0))</f>
        <v/>
      </c>
      <c r="AH187" s="53">
        <f>AG187*(1-$D$70)*(1-IF(AND(3&gt;=$D$48,INDEX(Season_Flag,AG$113)=1),$D$71,0))</f>
        <v/>
      </c>
      <c r="AI187" s="53">
        <f>AH187*(1-$D$70)*(1-IF(AND(4&gt;=$D$48,INDEX(Season_Flag,AH$113)=1),$D$71,0))</f>
        <v/>
      </c>
      <c r="AJ187" s="53">
        <f>AI187*(1-$D$70)*(1-IF(AND(5&gt;=$D$48,INDEX(Season_Flag,AI$113)=1),$D$71,0))</f>
        <v/>
      </c>
      <c r="AK187" s="53">
        <f>AJ187*(1-$D$70)*(1-IF(AND(6&gt;=$D$48,INDEX(Season_Flag,AJ$113)=1),$D$71,0))</f>
        <v/>
      </c>
      <c r="AL187" s="53">
        <f>AK187*(1-$D$70)*(1-IF(AND(7&gt;=$D$48,INDEX(Season_Flag,AK$113)=1),$D$71,0))</f>
        <v/>
      </c>
      <c r="AM187" s="53">
        <f>AL187*(1-$D$70)*(1-IF(AND(8&gt;=$D$48,INDEX(Season_Flag,AL$113)=1),$D$71,0))</f>
        <v/>
      </c>
      <c r="AN187" s="53">
        <f>AM187*(1-$D$70)*(1-IF(AND(9&gt;=$D$48,INDEX(Season_Flag,AM$113)=1),$D$71,0))</f>
        <v/>
      </c>
    </row>
    <row r="188">
      <c r="B188" s="7" t="inlineStr">
        <is>
          <t>Cohort signed in month 28</t>
        </is>
      </c>
      <c r="C188" s="5" t="inlineStr">
        <is>
          <t>institutes</t>
        </is>
      </c>
      <c r="AF188" s="53">
        <f>AF123</f>
        <v/>
      </c>
      <c r="AG188" s="53">
        <f>AF188*(1-$D$70)*(1-IF(AND(1&gt;=$D$48,INDEX(Season_Flag,AF$113)=1),$D$71,0))</f>
        <v/>
      </c>
      <c r="AH188" s="53">
        <f>AG188*(1-$D$70)*(1-IF(AND(2&gt;=$D$48,INDEX(Season_Flag,AG$113)=1),$D$71,0))</f>
        <v/>
      </c>
      <c r="AI188" s="53">
        <f>AH188*(1-$D$70)*(1-IF(AND(3&gt;=$D$48,INDEX(Season_Flag,AH$113)=1),$D$71,0))</f>
        <v/>
      </c>
      <c r="AJ188" s="53">
        <f>AI188*(1-$D$70)*(1-IF(AND(4&gt;=$D$48,INDEX(Season_Flag,AI$113)=1),$D$71,0))</f>
        <v/>
      </c>
      <c r="AK188" s="53">
        <f>AJ188*(1-$D$70)*(1-IF(AND(5&gt;=$D$48,INDEX(Season_Flag,AJ$113)=1),$D$71,0))</f>
        <v/>
      </c>
      <c r="AL188" s="53">
        <f>AK188*(1-$D$70)*(1-IF(AND(6&gt;=$D$48,INDEX(Season_Flag,AK$113)=1),$D$71,0))</f>
        <v/>
      </c>
      <c r="AM188" s="53">
        <f>AL188*(1-$D$70)*(1-IF(AND(7&gt;=$D$48,INDEX(Season_Flag,AL$113)=1),$D$71,0))</f>
        <v/>
      </c>
      <c r="AN188" s="53">
        <f>AM188*(1-$D$70)*(1-IF(AND(8&gt;=$D$48,INDEX(Season_Flag,AM$113)=1),$D$71,0))</f>
        <v/>
      </c>
    </row>
    <row r="189">
      <c r="B189" s="7" t="inlineStr">
        <is>
          <t>Cohort signed in month 29</t>
        </is>
      </c>
      <c r="C189" s="5" t="inlineStr">
        <is>
          <t>institutes</t>
        </is>
      </c>
      <c r="AG189" s="53">
        <f>AG123</f>
        <v/>
      </c>
      <c r="AH189" s="53">
        <f>AG189*(1-$D$70)*(1-IF(AND(1&gt;=$D$48,INDEX(Season_Flag,AG$113)=1),$D$71,0))</f>
        <v/>
      </c>
      <c r="AI189" s="53">
        <f>AH189*(1-$D$70)*(1-IF(AND(2&gt;=$D$48,INDEX(Season_Flag,AH$113)=1),$D$71,0))</f>
        <v/>
      </c>
      <c r="AJ189" s="53">
        <f>AI189*(1-$D$70)*(1-IF(AND(3&gt;=$D$48,INDEX(Season_Flag,AI$113)=1),$D$71,0))</f>
        <v/>
      </c>
      <c r="AK189" s="53">
        <f>AJ189*(1-$D$70)*(1-IF(AND(4&gt;=$D$48,INDEX(Season_Flag,AJ$113)=1),$D$71,0))</f>
        <v/>
      </c>
      <c r="AL189" s="53">
        <f>AK189*(1-$D$70)*(1-IF(AND(5&gt;=$D$48,INDEX(Season_Flag,AK$113)=1),$D$71,0))</f>
        <v/>
      </c>
      <c r="AM189" s="53">
        <f>AL189*(1-$D$70)*(1-IF(AND(6&gt;=$D$48,INDEX(Season_Flag,AL$113)=1),$D$71,0))</f>
        <v/>
      </c>
      <c r="AN189" s="53">
        <f>AM189*(1-$D$70)*(1-IF(AND(7&gt;=$D$48,INDEX(Season_Flag,AM$113)=1),$D$71,0))</f>
        <v/>
      </c>
    </row>
    <row r="190">
      <c r="B190" s="7" t="inlineStr">
        <is>
          <t>Cohort signed in month 30</t>
        </is>
      </c>
      <c r="C190" s="5" t="inlineStr">
        <is>
          <t>institutes</t>
        </is>
      </c>
      <c r="AH190" s="53">
        <f>AH123</f>
        <v/>
      </c>
      <c r="AI190" s="53">
        <f>AH190*(1-$D$70)*(1-IF(AND(1&gt;=$D$48,INDEX(Season_Flag,AH$113)=1),$D$71,0))</f>
        <v/>
      </c>
      <c r="AJ190" s="53">
        <f>AI190*(1-$D$70)*(1-IF(AND(2&gt;=$D$48,INDEX(Season_Flag,AI$113)=1),$D$71,0))</f>
        <v/>
      </c>
      <c r="AK190" s="53">
        <f>AJ190*(1-$D$70)*(1-IF(AND(3&gt;=$D$48,INDEX(Season_Flag,AJ$113)=1),$D$71,0))</f>
        <v/>
      </c>
      <c r="AL190" s="53">
        <f>AK190*(1-$D$70)*(1-IF(AND(4&gt;=$D$48,INDEX(Season_Flag,AK$113)=1),$D$71,0))</f>
        <v/>
      </c>
      <c r="AM190" s="53">
        <f>AL190*(1-$D$70)*(1-IF(AND(5&gt;=$D$48,INDEX(Season_Flag,AL$113)=1),$D$71,0))</f>
        <v/>
      </c>
      <c r="AN190" s="53">
        <f>AM190*(1-$D$70)*(1-IF(AND(6&gt;=$D$48,INDEX(Season_Flag,AM$113)=1),$D$71,0))</f>
        <v/>
      </c>
    </row>
    <row r="191">
      <c r="B191" s="7" t="inlineStr">
        <is>
          <t>Cohort signed in month 31</t>
        </is>
      </c>
      <c r="C191" s="5" t="inlineStr">
        <is>
          <t>institutes</t>
        </is>
      </c>
      <c r="AI191" s="53">
        <f>AI123</f>
        <v/>
      </c>
      <c r="AJ191" s="53">
        <f>AI191*(1-$D$70)*(1-IF(AND(1&gt;=$D$48,INDEX(Season_Flag,AI$113)=1),$D$71,0))</f>
        <v/>
      </c>
      <c r="AK191" s="53">
        <f>AJ191*(1-$D$70)*(1-IF(AND(2&gt;=$D$48,INDEX(Season_Flag,AJ$113)=1),$D$71,0))</f>
        <v/>
      </c>
      <c r="AL191" s="53">
        <f>AK191*(1-$D$70)*(1-IF(AND(3&gt;=$D$48,INDEX(Season_Flag,AK$113)=1),$D$71,0))</f>
        <v/>
      </c>
      <c r="AM191" s="53">
        <f>AL191*(1-$D$70)*(1-IF(AND(4&gt;=$D$48,INDEX(Season_Flag,AL$113)=1),$D$71,0))</f>
        <v/>
      </c>
      <c r="AN191" s="53">
        <f>AM191*(1-$D$70)*(1-IF(AND(5&gt;=$D$48,INDEX(Season_Flag,AM$113)=1),$D$71,0))</f>
        <v/>
      </c>
    </row>
    <row r="192">
      <c r="B192" s="7" t="inlineStr">
        <is>
          <t>Cohort signed in month 32</t>
        </is>
      </c>
      <c r="C192" s="5" t="inlineStr">
        <is>
          <t>institutes</t>
        </is>
      </c>
      <c r="AJ192" s="53">
        <f>AJ123</f>
        <v/>
      </c>
      <c r="AK192" s="53">
        <f>AJ192*(1-$D$70)*(1-IF(AND(1&gt;=$D$48,INDEX(Season_Flag,AJ$113)=1),$D$71,0))</f>
        <v/>
      </c>
      <c r="AL192" s="53">
        <f>AK192*(1-$D$70)*(1-IF(AND(2&gt;=$D$48,INDEX(Season_Flag,AK$113)=1),$D$71,0))</f>
        <v/>
      </c>
      <c r="AM192" s="53">
        <f>AL192*(1-$D$70)*(1-IF(AND(3&gt;=$D$48,INDEX(Season_Flag,AL$113)=1),$D$71,0))</f>
        <v/>
      </c>
      <c r="AN192" s="53">
        <f>AM192*(1-$D$70)*(1-IF(AND(4&gt;=$D$48,INDEX(Season_Flag,AM$113)=1),$D$71,0))</f>
        <v/>
      </c>
    </row>
    <row r="193">
      <c r="B193" s="7" t="inlineStr">
        <is>
          <t>Cohort signed in month 33</t>
        </is>
      </c>
      <c r="C193" s="5" t="inlineStr">
        <is>
          <t>institutes</t>
        </is>
      </c>
      <c r="AK193" s="53">
        <f>AK123</f>
        <v/>
      </c>
      <c r="AL193" s="53">
        <f>AK193*(1-$D$70)*(1-IF(AND(1&gt;=$D$48,INDEX(Season_Flag,AK$113)=1),$D$71,0))</f>
        <v/>
      </c>
      <c r="AM193" s="53">
        <f>AL193*(1-$D$70)*(1-IF(AND(2&gt;=$D$48,INDEX(Season_Flag,AL$113)=1),$D$71,0))</f>
        <v/>
      </c>
      <c r="AN193" s="53">
        <f>AM193*(1-$D$70)*(1-IF(AND(3&gt;=$D$48,INDEX(Season_Flag,AM$113)=1),$D$71,0))</f>
        <v/>
      </c>
    </row>
    <row r="194">
      <c r="B194" s="7" t="inlineStr">
        <is>
          <t>Cohort signed in month 34</t>
        </is>
      </c>
      <c r="C194" s="5" t="inlineStr">
        <is>
          <t>institutes</t>
        </is>
      </c>
      <c r="AL194" s="53">
        <f>AL123</f>
        <v/>
      </c>
      <c r="AM194" s="53">
        <f>AL194*(1-$D$70)*(1-IF(AND(1&gt;=$D$48,INDEX(Season_Flag,AL$113)=1),$D$71,0))</f>
        <v/>
      </c>
      <c r="AN194" s="53">
        <f>AM194*(1-$D$70)*(1-IF(AND(2&gt;=$D$48,INDEX(Season_Flag,AM$113)=1),$D$71,0))</f>
        <v/>
      </c>
    </row>
    <row r="195">
      <c r="B195" s="7" t="inlineStr">
        <is>
          <t>Cohort signed in month 35</t>
        </is>
      </c>
      <c r="C195" s="5" t="inlineStr">
        <is>
          <t>institutes</t>
        </is>
      </c>
      <c r="AM195" s="53">
        <f>AM123</f>
        <v/>
      </c>
      <c r="AN195" s="53">
        <f>AM195*(1-$D$70)*(1-IF(AND(1&gt;=$D$48,INDEX(Season_Flag,AM$113)=1),$D$71,0))</f>
        <v/>
      </c>
    </row>
    <row r="196">
      <c r="B196" s="7" t="inlineStr">
        <is>
          <t>Cohort signed in month 36</t>
        </is>
      </c>
      <c r="C196" s="5" t="inlineStr">
        <is>
          <t>institutes</t>
        </is>
      </c>
      <c r="AN196" s="53">
        <f>AN123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16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Scenarios — honest model vs the guide's naive model</t>
        </is>
      </c>
    </row>
    <row r="2">
      <c r="A2" s="2" t="inlineStr">
        <is>
          <t>Bear / Base / Bull flex only the 13 scenario drivers (Assumptions column N); every other input stays at Base. Stress flexes ALL inputs to their worst at once: a survival test, not a forecast. Mid institute = 400 students. Always shown side by side, whatever the Cover selector says.</t>
        </is>
      </c>
    </row>
    <row r="4">
      <c r="A4" s="6" t="inlineStr">
        <is>
          <t>Metric (Mid institute)</t>
        </is>
      </c>
      <c r="B4" s="6" t="inlineStr">
        <is>
          <t>Unit</t>
        </is>
      </c>
      <c r="C4" s="6" t="inlineStr">
        <is>
          <t>Guide (naive)</t>
        </is>
      </c>
      <c r="D4" s="6" t="inlineStr">
        <is>
          <t>Bear</t>
        </is>
      </c>
      <c r="E4" s="6" t="inlineStr">
        <is>
          <t>Base</t>
        </is>
      </c>
      <c r="F4" s="6" t="inlineStr">
        <is>
          <t>Bull</t>
        </is>
      </c>
      <c r="G4" s="6" t="inlineStr">
        <is>
          <t>Stress (all inputs worst)</t>
        </is>
      </c>
    </row>
    <row r="5">
      <c r="A5" s="7" t="inlineStr">
        <is>
          <t>Effective dropout reduction</t>
        </is>
      </c>
      <c r="B5" s="5" t="inlineStr">
        <is>
          <t>%</t>
        </is>
      </c>
      <c r="C5" s="45">
        <f>Assumptions!$E$90</f>
        <v/>
      </c>
      <c r="D5" s="45">
        <f>Engine!$H$84</f>
        <v/>
      </c>
      <c r="E5" s="45">
        <f>Engine!$K$84</f>
        <v/>
      </c>
      <c r="F5" s="45">
        <f>Engine!$N$84</f>
        <v/>
      </c>
      <c r="G5" s="45">
        <f>Engine!$Q$84</f>
        <v/>
      </c>
    </row>
    <row r="6">
      <c r="A6" s="7" t="inlineStr">
        <is>
          <t>Dropouts prevented per year</t>
        </is>
      </c>
      <c r="B6" s="5" t="inlineStr">
        <is>
          <t>students</t>
        </is>
      </c>
      <c r="C6" s="58">
        <f>Institute_ROI!$E$67</f>
        <v/>
      </c>
      <c r="D6" s="58">
        <f>Engine!$H$85</f>
        <v/>
      </c>
      <c r="E6" s="58">
        <f>Engine!$K$85</f>
        <v/>
      </c>
      <c r="F6" s="58">
        <f>Engine!$N$85</f>
        <v/>
      </c>
      <c r="G6" s="58">
        <f>Engine!$Q$85</f>
        <v/>
      </c>
    </row>
    <row r="7">
      <c r="A7" s="7" t="inlineStr">
        <is>
          <t>Fee lost per dropout</t>
        </is>
      </c>
      <c r="B7" s="5" t="inlineStr">
        <is>
          <t>₹</t>
        </is>
      </c>
      <c r="C7" s="44">
        <f>G_RemainingFee</f>
        <v/>
      </c>
      <c r="D7" s="44">
        <f>Engine!$H$80</f>
        <v/>
      </c>
      <c r="E7" s="44">
        <f>Engine!$K$80</f>
        <v/>
      </c>
      <c r="F7" s="44">
        <f>Engine!$N$80</f>
        <v/>
      </c>
      <c r="G7" s="44">
        <f>Engine!$Q$80</f>
        <v/>
      </c>
    </row>
    <row r="8">
      <c r="A8" s="7" t="inlineStr">
        <is>
          <t>Fees retained per year</t>
        </is>
      </c>
      <c r="B8" s="5" t="inlineStr">
        <is>
          <t>₹/yr</t>
        </is>
      </c>
      <c r="C8" s="44">
        <f>Institute_ROI!$E$68</f>
        <v/>
      </c>
      <c r="D8" s="44">
        <f>Engine!$H$87</f>
        <v/>
      </c>
      <c r="E8" s="44">
        <f>Engine!$K$87</f>
        <v/>
      </c>
      <c r="F8" s="44">
        <f>Engine!$N$87</f>
        <v/>
      </c>
      <c r="G8" s="44">
        <f>Engine!$Q$87</f>
        <v/>
      </c>
    </row>
    <row r="9">
      <c r="A9" s="7" t="inlineStr">
        <is>
          <t>Total value to institute</t>
        </is>
      </c>
      <c r="B9" s="5" t="inlineStr">
        <is>
          <t>₹/yr</t>
        </is>
      </c>
      <c r="C9" s="44">
        <f>Institute_ROI!$E$68</f>
        <v/>
      </c>
      <c r="D9" s="44">
        <f>Engine!$H$90</f>
        <v/>
      </c>
      <c r="E9" s="44">
        <f>Engine!$K$90</f>
        <v/>
      </c>
      <c r="F9" s="44">
        <f>Engine!$N$90</f>
        <v/>
      </c>
      <c r="G9" s="44">
        <f>Engine!$Q$90</f>
        <v/>
      </c>
    </row>
    <row r="10">
      <c r="A10" s="7" t="inlineStr">
        <is>
          <t>Total cost to institute (fee + GST + mentor time)</t>
        </is>
      </c>
      <c r="B10" s="5" t="inlineStr">
        <is>
          <t>₹/yr</t>
        </is>
      </c>
      <c r="C10" s="44">
        <f>Institute_ROI!$E$69</f>
        <v/>
      </c>
      <c r="D10" s="44">
        <f>Engine!$H$96</f>
        <v/>
      </c>
      <c r="E10" s="44">
        <f>Engine!$K$96</f>
        <v/>
      </c>
      <c r="F10" s="44">
        <f>Engine!$N$96</f>
        <v/>
      </c>
      <c r="G10" s="44">
        <f>Engine!$Q$96</f>
        <v/>
      </c>
    </row>
    <row r="11">
      <c r="A11" s="7" t="inlineStr">
        <is>
          <t>Institute ROI, all benefits</t>
        </is>
      </c>
      <c r="B11" s="5" t="inlineStr">
        <is>
          <t>x</t>
        </is>
      </c>
      <c r="C11" s="67">
        <f>Institute_ROI!$E$70</f>
        <v/>
      </c>
      <c r="D11" s="68">
        <f>Engine!$H$98</f>
        <v/>
      </c>
      <c r="E11" s="68">
        <f>Engine!$K$98</f>
        <v/>
      </c>
      <c r="F11" s="68">
        <f>Engine!$N$98</f>
        <v/>
      </c>
      <c r="G11" s="67">
        <f>Engine!$Q$98</f>
        <v/>
      </c>
    </row>
    <row r="12">
      <c r="A12" s="7" t="inlineStr">
        <is>
          <t>Institute ROI, hard benefits (fees + staff time)</t>
        </is>
      </c>
      <c r="B12" s="5" t="inlineStr">
        <is>
          <t>x</t>
        </is>
      </c>
      <c r="C12" s="67">
        <f>Institute_ROI!$E$70</f>
        <v/>
      </c>
      <c r="D12" s="67">
        <f>Engine!$H$100</f>
        <v/>
      </c>
      <c r="E12" s="67">
        <f>Engine!$K$100</f>
        <v/>
      </c>
      <c r="F12" s="67">
        <f>Engine!$N$100</f>
        <v/>
      </c>
      <c r="G12" s="67">
        <f>Engine!$Q$100</f>
        <v/>
      </c>
    </row>
    <row r="13">
      <c r="A13" s="7" t="inlineStr">
        <is>
          <t>Institute ROI, fees only</t>
        </is>
      </c>
      <c r="B13" s="5" t="inlineStr">
        <is>
          <t>x</t>
        </is>
      </c>
      <c r="C13" s="67">
        <f>Institute_ROI!$E$70</f>
        <v/>
      </c>
      <c r="D13" s="67">
        <f>Engine!$H$99</f>
        <v/>
      </c>
      <c r="E13" s="67">
        <f>Engine!$K$99</f>
        <v/>
      </c>
      <c r="F13" s="67">
        <f>Engine!$N$99</f>
        <v/>
      </c>
      <c r="G13" s="67">
        <f>Engine!$Q$99</f>
        <v/>
      </c>
    </row>
    <row r="14">
      <c r="A14" s="7" t="inlineStr">
        <is>
          <t>Break-even students saved per year</t>
        </is>
      </c>
      <c r="B14" s="5" t="inlineStr">
        <is>
          <t>students</t>
        </is>
      </c>
      <c r="C14" s="58">
        <f>Institute_ROI!$E$71</f>
        <v/>
      </c>
      <c r="D14" s="69">
        <f>Engine!$H$101</f>
        <v/>
      </c>
      <c r="E14" s="69">
        <f>Engine!$K$101</f>
        <v/>
      </c>
      <c r="F14" s="69">
        <f>Engine!$N$101</f>
        <v/>
      </c>
      <c r="G14" s="58">
        <f>Engine!$Q$101</f>
        <v/>
      </c>
    </row>
    <row r="15">
      <c r="A15" s="7" t="inlineStr">
        <is>
          <t>Avg monthly revenue per institute</t>
        </is>
      </c>
      <c r="B15" s="5" t="inlineStr">
        <is>
          <t>₹/month</t>
        </is>
      </c>
      <c r="C15" s="44">
        <f>Unit_Econ!$I$5</f>
        <v/>
      </c>
      <c r="D15" s="44">
        <f>Engine!$H$108</f>
        <v/>
      </c>
      <c r="E15" s="44">
        <f>Engine!$K$108</f>
        <v/>
      </c>
      <c r="F15" s="44">
        <f>Engine!$N$108</f>
        <v/>
      </c>
      <c r="G15" s="44">
        <f>Engine!$Q$108</f>
        <v/>
      </c>
    </row>
    <row r="16">
      <c r="A16" s="7" t="inlineStr">
        <is>
          <t>Avg monthly contribution</t>
        </is>
      </c>
      <c r="B16" s="5" t="inlineStr">
        <is>
          <t>₹/month</t>
        </is>
      </c>
      <c r="C16" s="44">
        <f>Unit_Econ!$I$6</f>
        <v/>
      </c>
      <c r="D16" s="44">
        <f>Engine!$H$112</f>
        <v/>
      </c>
      <c r="E16" s="44">
        <f>Engine!$K$112</f>
        <v/>
      </c>
      <c r="F16" s="44">
        <f>Engine!$N$112</f>
        <v/>
      </c>
      <c r="G16" s="44">
        <f>Engine!$Q$112</f>
        <v/>
      </c>
    </row>
    <row r="17">
      <c r="A17" s="7" t="inlineStr">
        <is>
          <t>CAC: sales + marketing per paying institute</t>
        </is>
      </c>
      <c r="B17" s="5" t="inlineStr">
        <is>
          <t>₹</t>
        </is>
      </c>
      <c r="C17" s="44">
        <f>G_CAC</f>
        <v/>
      </c>
      <c r="D17" s="44">
        <f>Engine!$H$117</f>
        <v/>
      </c>
      <c r="E17" s="44">
        <f>Engine!$K$117</f>
        <v/>
      </c>
      <c r="F17" s="44">
        <f>Engine!$N$117</f>
        <v/>
      </c>
      <c r="G17" s="44">
        <f>Engine!$Q$117</f>
        <v/>
      </c>
    </row>
    <row r="18">
      <c r="A18" s="7" t="inlineStr">
        <is>
          <t>Fully loaded acquisition cost</t>
        </is>
      </c>
      <c r="B18" s="5" t="inlineStr">
        <is>
          <t>₹</t>
        </is>
      </c>
      <c r="C18" s="44">
        <f>Unit_Econ!$I$7</f>
        <v/>
      </c>
      <c r="D18" s="44">
        <f>Engine!$H$118</f>
        <v/>
      </c>
      <c r="E18" s="44">
        <f>Engine!$K$118</f>
        <v/>
      </c>
      <c r="F18" s="44">
        <f>Engine!$N$118</f>
        <v/>
      </c>
      <c r="G18" s="44">
        <f>Engine!$Q$118</f>
        <v/>
      </c>
    </row>
    <row r="19">
      <c r="A19" s="7" t="inlineStr">
        <is>
          <t>Annual logo retention</t>
        </is>
      </c>
      <c r="B19" s="5" t="inlineStr">
        <is>
          <t>%</t>
        </is>
      </c>
      <c r="C19" s="45">
        <f>(1-G_Churn)^12</f>
        <v/>
      </c>
      <c r="D19" s="45">
        <f>Engine!$H$121</f>
        <v/>
      </c>
      <c r="E19" s="45">
        <f>Engine!$K$121</f>
        <v/>
      </c>
      <c r="F19" s="45">
        <f>Engine!$N$121</f>
        <v/>
      </c>
      <c r="G19" s="45">
        <f>Engine!$Q$121</f>
        <v/>
      </c>
    </row>
    <row r="20">
      <c r="A20" s="7" t="inlineStr">
        <is>
          <t>LTV, discounted</t>
        </is>
      </c>
      <c r="B20" s="5" t="inlineStr">
        <is>
          <t>₹</t>
        </is>
      </c>
      <c r="C20" s="44">
        <f>Unit_Econ!$I$9</f>
        <v/>
      </c>
      <c r="D20" s="44">
        <f>Engine!$H$123</f>
        <v/>
      </c>
      <c r="E20" s="44">
        <f>Engine!$K$123</f>
        <v/>
      </c>
      <c r="F20" s="44">
        <f>Engine!$N$123</f>
        <v/>
      </c>
      <c r="G20" s="44">
        <f>Engine!$Q$123</f>
        <v/>
      </c>
    </row>
    <row r="21">
      <c r="A21" s="7" t="inlineStr">
        <is>
          <t>LTV ÷ acquisition cost, discounted</t>
        </is>
      </c>
      <c r="B21" s="5" t="inlineStr">
        <is>
          <t>x</t>
        </is>
      </c>
      <c r="C21" s="67">
        <f>Unit_Econ!$I$10</f>
        <v/>
      </c>
      <c r="D21" s="68">
        <f>Engine!$H$124</f>
        <v/>
      </c>
      <c r="E21" s="68">
        <f>Engine!$K$124</f>
        <v/>
      </c>
      <c r="F21" s="68">
        <f>Engine!$N$124</f>
        <v/>
      </c>
      <c r="G21" s="67">
        <f>Engine!$Q$124</f>
        <v/>
      </c>
    </row>
    <row r="22">
      <c r="A22" s="7" t="inlineStr">
        <is>
          <t>LTV ÷ acquisition cost, undiscounted (peer convention)</t>
        </is>
      </c>
      <c r="B22" s="5" t="inlineStr">
        <is>
          <t>x</t>
        </is>
      </c>
      <c r="C22" s="67">
        <f>Unit_Econ!$I$10</f>
        <v/>
      </c>
      <c r="D22" s="67">
        <f>Engine!$H$128</f>
        <v/>
      </c>
      <c r="E22" s="67">
        <f>Engine!$K$128</f>
        <v/>
      </c>
      <c r="F22" s="67">
        <f>Engine!$N$128</f>
        <v/>
      </c>
      <c r="G22" s="67">
        <f>Engine!$Q$128</f>
        <v/>
      </c>
    </row>
    <row r="23">
      <c r="A23" s="7" t="inlineStr">
        <is>
          <t>Payback, survival-weighted and discounted</t>
        </is>
      </c>
      <c r="B23" s="5" t="inlineStr">
        <is>
          <t>months</t>
        </is>
      </c>
      <c r="C23" s="58">
        <f>Unit_Econ!$I$8</f>
        <v/>
      </c>
      <c r="D23" s="58">
        <f>Engine!$H$125</f>
        <v/>
      </c>
      <c r="E23" s="58">
        <f>Engine!$K$125</f>
        <v/>
      </c>
      <c r="F23" s="58">
        <f>Engine!$N$125</f>
        <v/>
      </c>
      <c r="G23" s="58">
        <f>Engine!$Q$125</f>
        <v/>
      </c>
    </row>
    <row r="24">
      <c r="A24" s="7" t="inlineStr">
        <is>
          <t>Payback, simple</t>
        </is>
      </c>
      <c r="B24" s="5" t="inlineStr">
        <is>
          <t>months</t>
        </is>
      </c>
      <c r="C24" s="58">
        <f>Unit_Econ!$I$8</f>
        <v/>
      </c>
      <c r="D24" s="58">
        <f>Engine!$H$126</f>
        <v/>
      </c>
      <c r="E24" s="58">
        <f>Engine!$K$126</f>
        <v/>
      </c>
      <c r="F24" s="58">
        <f>Engine!$N$126</f>
        <v/>
      </c>
      <c r="G24" s="58">
        <f>Engine!$Q$126</f>
        <v/>
      </c>
    </row>
    <row r="27">
      <c r="A27" s="36" t="inlineStr">
        <is>
          <t>By segment</t>
        </is>
      </c>
    </row>
    <row r="28">
      <c r="A28" s="6" t="inlineStr">
        <is>
          <t>Institute ROI, all benefits</t>
        </is>
      </c>
      <c r="B28" s="6" t="inlineStr"/>
      <c r="C28" s="6" t="inlineStr"/>
      <c r="D28" s="6" t="inlineStr">
        <is>
          <t>Bear</t>
        </is>
      </c>
      <c r="E28" s="6" t="inlineStr">
        <is>
          <t>Base</t>
        </is>
      </c>
      <c r="F28" s="6" t="inlineStr">
        <is>
          <t>Bull</t>
        </is>
      </c>
    </row>
    <row r="29">
      <c r="A29" s="7" t="inlineStr">
        <is>
          <t>Small (&lt;250)</t>
        </is>
      </c>
      <c r="D29" s="67">
        <f>Engine!$G$98</f>
        <v/>
      </c>
      <c r="E29" s="67">
        <f>Engine!$J$98</f>
        <v/>
      </c>
      <c r="F29" s="67">
        <f>Engine!$M$98</f>
        <v/>
      </c>
    </row>
    <row r="30">
      <c r="A30" s="7" t="inlineStr">
        <is>
          <t>Mid (250-800)</t>
        </is>
      </c>
      <c r="D30" s="67">
        <f>Engine!$H$98</f>
        <v/>
      </c>
      <c r="E30" s="67">
        <f>Engine!$K$98</f>
        <v/>
      </c>
      <c r="F30" s="67">
        <f>Engine!$N$98</f>
        <v/>
      </c>
    </row>
    <row r="31">
      <c r="A31" s="7" t="inlineStr">
        <is>
          <t>Large (&gt;800)</t>
        </is>
      </c>
      <c r="D31" s="67">
        <f>Engine!$I$98</f>
        <v/>
      </c>
      <c r="E31" s="67">
        <f>Engine!$L$98</f>
        <v/>
      </c>
      <c r="F31" s="67">
        <f>Engine!$O$98</f>
        <v/>
      </c>
    </row>
    <row r="34">
      <c r="A34" s="6" t="inlineStr">
        <is>
          <t>LTV ÷ acquisition cost (field sales)</t>
        </is>
      </c>
      <c r="B34" s="6" t="inlineStr"/>
      <c r="C34" s="6" t="inlineStr"/>
      <c r="D34" s="6" t="inlineStr">
        <is>
          <t>Bear</t>
        </is>
      </c>
      <c r="E34" s="6" t="inlineStr">
        <is>
          <t>Base</t>
        </is>
      </c>
      <c r="F34" s="6" t="inlineStr">
        <is>
          <t>Bull</t>
        </is>
      </c>
    </row>
    <row r="35">
      <c r="A35" s="7" t="inlineStr">
        <is>
          <t>Small (&lt;250)</t>
        </is>
      </c>
      <c r="D35" s="67">
        <f>Engine!$G$124</f>
        <v/>
      </c>
      <c r="E35" s="67">
        <f>Engine!$J$124</f>
        <v/>
      </c>
      <c r="F35" s="67">
        <f>Engine!$M$124</f>
        <v/>
      </c>
    </row>
    <row r="36">
      <c r="A36" s="7" t="inlineStr">
        <is>
          <t>Mid (250-800)</t>
        </is>
      </c>
      <c r="D36" s="67">
        <f>Engine!$H$124</f>
        <v/>
      </c>
      <c r="E36" s="67">
        <f>Engine!$K$124</f>
        <v/>
      </c>
      <c r="F36" s="67">
        <f>Engine!$N$124</f>
        <v/>
      </c>
    </row>
    <row r="37">
      <c r="A37" s="7" t="inlineStr">
        <is>
          <t>Large (&gt;800)</t>
        </is>
      </c>
      <c r="D37" s="67">
        <f>Engine!$I$124</f>
        <v/>
      </c>
      <c r="E37" s="67">
        <f>Engine!$L$124</f>
        <v/>
      </c>
      <c r="F37" s="67">
        <f>Engine!$O$124</f>
        <v/>
      </c>
    </row>
    <row r="40">
      <c r="A40" s="6" t="inlineStr">
        <is>
          <t>LTV ÷ acquisition cost (channel partner)</t>
        </is>
      </c>
      <c r="B40" s="6" t="inlineStr"/>
      <c r="C40" s="6" t="inlineStr"/>
      <c r="D40" s="6" t="inlineStr">
        <is>
          <t>Bear</t>
        </is>
      </c>
      <c r="E40" s="6" t="inlineStr">
        <is>
          <t>Base</t>
        </is>
      </c>
      <c r="F40" s="6" t="inlineStr">
        <is>
          <t>Bull</t>
        </is>
      </c>
    </row>
    <row r="41">
      <c r="A41" s="7" t="inlineStr">
        <is>
          <t>Small (&lt;250)</t>
        </is>
      </c>
      <c r="D41" s="67">
        <f>Engine!$G$130</f>
        <v/>
      </c>
      <c r="E41" s="67">
        <f>Engine!$J$130</f>
        <v/>
      </c>
      <c r="F41" s="67">
        <f>Engine!$M$130</f>
        <v/>
      </c>
    </row>
    <row r="42">
      <c r="A42" s="7" t="inlineStr">
        <is>
          <t>Mid (250-800)</t>
        </is>
      </c>
      <c r="D42" s="67">
        <f>Engine!$H$130</f>
        <v/>
      </c>
      <c r="E42" s="67">
        <f>Engine!$K$130</f>
        <v/>
      </c>
      <c r="F42" s="67">
        <f>Engine!$N$130</f>
        <v/>
      </c>
    </row>
    <row r="43">
      <c r="A43" s="7" t="inlineStr">
        <is>
          <t>Large (&gt;800)</t>
        </is>
      </c>
      <c r="D43" s="67">
        <f>Engine!$I$130</f>
        <v/>
      </c>
      <c r="E43" s="67">
        <f>Engine!$L$130</f>
        <v/>
      </c>
      <c r="F43" s="67">
        <f>Engine!$O$130</f>
        <v/>
      </c>
    </row>
    <row r="46">
      <c r="A46" s="6" t="inlineStr">
        <is>
          <t>Payback (months)</t>
        </is>
      </c>
      <c r="B46" s="6" t="inlineStr"/>
      <c r="C46" s="6" t="inlineStr"/>
      <c r="D46" s="6" t="inlineStr">
        <is>
          <t>Bear</t>
        </is>
      </c>
      <c r="E46" s="6" t="inlineStr">
        <is>
          <t>Base</t>
        </is>
      </c>
      <c r="F46" s="6" t="inlineStr">
        <is>
          <t>Bull</t>
        </is>
      </c>
    </row>
    <row r="47">
      <c r="A47" s="7" t="inlineStr">
        <is>
          <t>Small (&lt;250)</t>
        </is>
      </c>
      <c r="D47" s="58">
        <f>Engine!$G$125</f>
        <v/>
      </c>
      <c r="E47" s="58">
        <f>Engine!$J$125</f>
        <v/>
      </c>
      <c r="F47" s="58">
        <f>Engine!$M$125</f>
        <v/>
      </c>
    </row>
    <row r="48">
      <c r="A48" s="7" t="inlineStr">
        <is>
          <t>Mid (250-800)</t>
        </is>
      </c>
      <c r="D48" s="58">
        <f>Engine!$H$125</f>
        <v/>
      </c>
      <c r="E48" s="58">
        <f>Engine!$K$125</f>
        <v/>
      </c>
      <c r="F48" s="58">
        <f>Engine!$N$125</f>
        <v/>
      </c>
    </row>
    <row r="49">
      <c r="A49" s="7" t="inlineStr">
        <is>
          <t>Large (&gt;800)</t>
        </is>
      </c>
      <c r="D49" s="58">
        <f>Engine!$I$125</f>
        <v/>
      </c>
      <c r="E49" s="58">
        <f>Engine!$L$125</f>
        <v/>
      </c>
      <c r="F49" s="58">
        <f>Engine!$O$125</f>
        <v/>
      </c>
    </row>
    <row r="52">
      <c r="A52" s="6" t="inlineStr">
        <is>
          <t>3-year projection (36 months)</t>
        </is>
      </c>
      <c r="B52" s="6" t="inlineStr">
        <is>
          <t>Unit</t>
        </is>
      </c>
      <c r="C52" s="6" t="inlineStr"/>
      <c r="D52" s="6" t="inlineStr">
        <is>
          <t>Bear</t>
        </is>
      </c>
      <c r="E52" s="6" t="inlineStr">
        <is>
          <t>Base</t>
        </is>
      </c>
      <c r="F52" s="6" t="inlineStr">
        <is>
          <t>Bull</t>
        </is>
      </c>
    </row>
    <row r="53">
      <c r="A53" s="7" t="inlineStr">
        <is>
          <t>Revenue in year 3</t>
        </is>
      </c>
      <c r="B53" s="5" t="inlineStr">
        <is>
          <t>₹</t>
        </is>
      </c>
      <c r="D53" s="44">
        <f>Proj_Bear!$F$87</f>
        <v/>
      </c>
      <c r="E53" s="44">
        <f>Proj_Base!$F$87</f>
        <v/>
      </c>
      <c r="F53" s="44">
        <f>Proj_Bull!$F$87</f>
        <v/>
      </c>
    </row>
    <row r="54">
      <c r="A54" s="7" t="inlineStr">
        <is>
          <t>EBITDA in year 3</t>
        </is>
      </c>
      <c r="B54" s="5" t="inlineStr">
        <is>
          <t>₹</t>
        </is>
      </c>
      <c r="D54" s="70">
        <f>Proj_Bear!$F$93</f>
        <v/>
      </c>
      <c r="E54" s="70">
        <f>Proj_Base!$F$93</f>
        <v/>
      </c>
      <c r="F54" s="70">
        <f>Proj_Bull!$F$93</f>
        <v/>
      </c>
    </row>
    <row r="55">
      <c r="A55" s="7" t="inlineStr">
        <is>
          <t>Paying institutes at the end of year 3</t>
        </is>
      </c>
      <c r="B55" s="5" t="inlineStr">
        <is>
          <t>institutes</t>
        </is>
      </c>
      <c r="D55" s="58">
        <f>Proj_Bear!$F$96</f>
        <v/>
      </c>
      <c r="E55" s="58">
        <f>Proj_Base!$F$96</f>
        <v/>
      </c>
      <c r="F55" s="58">
        <f>Proj_Bull!$F$96</f>
        <v/>
      </c>
    </row>
    <row r="56">
      <c r="A56" s="7" t="inlineStr">
        <is>
          <t>Run-rate annual revenue at the end of year 3</t>
        </is>
      </c>
      <c r="B56" s="5" t="inlineStr">
        <is>
          <t>₹</t>
        </is>
      </c>
      <c r="D56" s="44">
        <f>Proj_Bear!$F$97</f>
        <v/>
      </c>
      <c r="E56" s="44">
        <f>Proj_Base!$F$97</f>
        <v/>
      </c>
      <c r="F56" s="44">
        <f>Proj_Bull!$F$97</f>
        <v/>
      </c>
    </row>
    <row r="57">
      <c r="A57" s="7" t="inlineStr">
        <is>
          <t>Funding the model says we need</t>
        </is>
      </c>
      <c r="B57" s="5" t="inlineStr">
        <is>
          <t>₹</t>
        </is>
      </c>
      <c r="D57" s="70">
        <f>Proj_Bear!$D$103</f>
        <v/>
      </c>
      <c r="E57" s="70">
        <f>Proj_Base!$D$103</f>
        <v/>
      </c>
      <c r="F57" s="70">
        <f>Proj_Bull!$D$103</f>
        <v/>
      </c>
    </row>
    <row r="58">
      <c r="A58" s="7" t="inlineStr">
        <is>
          <t>Break-even month (3 positive months in a row)</t>
        </is>
      </c>
      <c r="B58" s="5" t="inlineStr">
        <is>
          <t>month #</t>
        </is>
      </c>
      <c r="D58" s="51">
        <f>Proj_Bear!$D$105</f>
        <v/>
      </c>
      <c r="E58" s="51">
        <f>Proj_Base!$D$105</f>
        <v/>
      </c>
      <c r="F58" s="51">
        <f>Proj_Bull!$D$105</f>
        <v/>
      </c>
    </row>
    <row r="59">
      <c r="A59" s="7" t="inlineStr">
        <is>
          <t>Months in which the market cap limited sales</t>
        </is>
      </c>
      <c r="B59" s="5" t="inlineStr">
        <is>
          <t>months</t>
        </is>
      </c>
      <c r="D59" s="51">
        <f>Proj_Bear!$D$109</f>
        <v/>
      </c>
      <c r="E59" s="51">
        <f>Proj_Base!$D$109</f>
        <v/>
      </c>
      <c r="F59" s="51">
        <f>Proj_Bull!$D$109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Sensitivity — what actually moves the answer</t>
        </is>
      </c>
    </row>
    <row r="2">
      <c r="A2" s="2" t="inlineStr">
        <is>
          <t>Tornado: one input at a time moved to its Bear / Bull value, all else Base (Mid institute). Grids follow the live scenario.</t>
        </is>
      </c>
    </row>
    <row r="4">
      <c r="A4" s="6" t="inlineStr">
        <is>
          <t>Input</t>
        </is>
      </c>
      <c r="B4" s="6" t="inlineStr">
        <is>
          <t>Bear value</t>
        </is>
      </c>
      <c r="C4" s="6" t="inlineStr">
        <is>
          <t>Bull value</t>
        </is>
      </c>
      <c r="D4" s="6" t="inlineStr">
        <is>
          <t>ROI @ Bear</t>
        </is>
      </c>
      <c r="E4" s="6" t="inlineStr">
        <is>
          <t>ROI @ Bull</t>
        </is>
      </c>
      <c r="F4" s="6" t="inlineStr">
        <is>
          <t>ROI swing</t>
        </is>
      </c>
      <c r="G4" s="6" t="inlineStr">
        <is>
          <t>LTV/CAC @ Bear</t>
        </is>
      </c>
      <c r="H4" s="6" t="inlineStr">
        <is>
          <t>LTV/CAC @ Bull</t>
        </is>
      </c>
      <c r="I4" s="6" t="inlineStr">
        <is>
          <t>LTV/CAC swing</t>
        </is>
      </c>
    </row>
    <row r="5">
      <c r="A5" s="3" t="inlineStr">
        <is>
          <t>BASE (all inputs Base)</t>
        </is>
      </c>
      <c r="D5" s="67">
        <f>Engine!$K$98</f>
        <v/>
      </c>
      <c r="E5" s="67">
        <f>Engine!$K$98</f>
        <v/>
      </c>
      <c r="G5" s="67">
        <f>Engine!$K$124</f>
        <v/>
      </c>
      <c r="H5" s="67">
        <f>Engine!$K$124</f>
        <v/>
      </c>
    </row>
    <row r="6">
      <c r="A6" s="7" t="inlineStr">
        <is>
          <t>List price per active student per month</t>
        </is>
      </c>
      <c r="B6" s="44">
        <f>Assumptions!$D$38</f>
        <v/>
      </c>
      <c r="C6" s="44">
        <f>Assumptions!$F$38</f>
        <v/>
      </c>
      <c r="D6" s="67">
        <f>Engine!$S$98</f>
        <v/>
      </c>
      <c r="E6" s="67">
        <f>Engine!$T$98</f>
        <v/>
      </c>
      <c r="F6" s="49">
        <f>ABS(E6-D6)</f>
        <v/>
      </c>
      <c r="G6" s="67">
        <f>Engine!$S$124</f>
        <v/>
      </c>
      <c r="H6" s="67">
        <f>Engine!$T$124</f>
        <v/>
      </c>
      <c r="I6" s="49">
        <f>ABS(H6-G6)</f>
        <v/>
      </c>
    </row>
    <row r="7">
      <c r="A7" s="7" t="inlineStr">
        <is>
          <t>Annual fee per student - Mid</t>
        </is>
      </c>
      <c r="B7" s="44">
        <f>Assumptions!$D$10</f>
        <v/>
      </c>
      <c r="C7" s="44">
        <f>Assumptions!$F$10</f>
        <v/>
      </c>
      <c r="D7" s="67">
        <f>Engine!$U$98</f>
        <v/>
      </c>
      <c r="E7" s="67">
        <f>Engine!$V$98</f>
        <v/>
      </c>
      <c r="F7" s="49">
        <f>ABS(E7-D7)</f>
        <v/>
      </c>
      <c r="G7" s="67">
        <f>Engine!$U$124</f>
        <v/>
      </c>
      <c r="H7" s="67">
        <f>Engine!$V$124</f>
        <v/>
      </c>
      <c r="I7" s="49">
        <f>ABS(H7-G7)</f>
        <v/>
      </c>
    </row>
    <row r="8">
      <c r="A8" s="7" t="inlineStr">
        <is>
          <t>Mid-session dropout/default rate</t>
        </is>
      </c>
      <c r="B8" s="45">
        <f>Assumptions!$D$16</f>
        <v/>
      </c>
      <c r="C8" s="45">
        <f>Assumptions!$F$16</f>
        <v/>
      </c>
      <c r="D8" s="67">
        <f>Engine!$W$98</f>
        <v/>
      </c>
      <c r="E8" s="67">
        <f>Engine!$X$98</f>
        <v/>
      </c>
      <c r="F8" s="49">
        <f>ABS(E8-D8)</f>
        <v/>
      </c>
      <c r="G8" s="67">
        <f>Engine!$W$124</f>
        <v/>
      </c>
      <c r="H8" s="67">
        <f>Engine!$X$124</f>
        <v/>
      </c>
      <c r="I8" s="49">
        <f>ABS(H8-G8)</f>
        <v/>
      </c>
    </row>
    <row r="9">
      <c r="A9" s="7" t="inlineStr">
        <is>
          <t>Share of students paying full fee upfront</t>
        </is>
      </c>
      <c r="B9" s="45">
        <f>Assumptions!$D$17</f>
        <v/>
      </c>
      <c r="C9" s="45">
        <f>Assumptions!$F$17</f>
        <v/>
      </c>
      <c r="D9" s="67">
        <f>Engine!$Y$98</f>
        <v/>
      </c>
      <c r="E9" s="67">
        <f>Engine!$Z$98</f>
        <v/>
      </c>
      <c r="F9" s="49">
        <f>ABS(E9-D9)</f>
        <v/>
      </c>
      <c r="G9" s="67">
        <f>Engine!$Y$124</f>
        <v/>
      </c>
      <c r="H9" s="67">
        <f>Engine!$Z$124</f>
        <v/>
      </c>
      <c r="I9" s="49">
        <f>ABS(H9-G9)</f>
        <v/>
      </c>
    </row>
    <row r="10">
      <c r="A10" s="7" t="inlineStr">
        <is>
          <t>Instalments per year for non-upfront payers</t>
        </is>
      </c>
      <c r="B10" s="51">
        <f>Assumptions!$D$18</f>
        <v/>
      </c>
      <c r="C10" s="51">
        <f>Assumptions!$F$18</f>
        <v/>
      </c>
      <c r="D10" s="67">
        <f>Engine!$AA$98</f>
        <v/>
      </c>
      <c r="E10" s="67">
        <f>Engine!$AB$98</f>
        <v/>
      </c>
      <c r="F10" s="49">
        <f>ABS(E10-D10)</f>
        <v/>
      </c>
      <c r="G10" s="67">
        <f>Engine!$AA$124</f>
        <v/>
      </c>
      <c r="H10" s="67">
        <f>Engine!$AB$124</f>
        <v/>
      </c>
      <c r="I10" s="49">
        <f>ABS(H10-G10)</f>
        <v/>
      </c>
    </row>
    <row r="11">
      <c r="A11" s="7" t="inlineStr">
        <is>
          <t>Dropout reduction among flagged students given outreach (RCT)</t>
        </is>
      </c>
      <c r="B11" s="45">
        <f>Assumptions!$D$28</f>
        <v/>
      </c>
      <c r="C11" s="45">
        <f>Assumptions!$F$28</f>
        <v/>
      </c>
      <c r="D11" s="67">
        <f>Engine!$AC$98</f>
        <v/>
      </c>
      <c r="E11" s="67">
        <f>Engine!$AD$98</f>
        <v/>
      </c>
      <c r="F11" s="49">
        <f>ABS(E11-D11)</f>
        <v/>
      </c>
      <c r="G11" s="67">
        <f>Engine!$AC$124</f>
        <v/>
      </c>
      <c r="H11" s="67">
        <f>Engine!$AD$124</f>
        <v/>
      </c>
      <c r="I11" s="49">
        <f>ABS(H11-G11)</f>
        <v/>
      </c>
    </row>
    <row r="12">
      <c r="A12" s="7" t="inlineStr">
        <is>
          <t>Model recall on minors (academic-support + rules)</t>
        </is>
      </c>
      <c r="B12" s="45">
        <f>Assumptions!$D$24</f>
        <v/>
      </c>
      <c r="C12" s="45">
        <f>Assumptions!$F$24</f>
        <v/>
      </c>
      <c r="D12" s="67">
        <f>Engine!$AE$98</f>
        <v/>
      </c>
      <c r="E12" s="67">
        <f>Engine!$AF$98</f>
        <v/>
      </c>
      <c r="F12" s="49">
        <f>ABS(E12-D12)</f>
        <v/>
      </c>
      <c r="G12" s="67">
        <f>Engine!$AE$124</f>
        <v/>
      </c>
      <c r="H12" s="67">
        <f>Engine!$AF$124</f>
        <v/>
      </c>
      <c r="I12" s="49">
        <f>ABS(H12-G12)</f>
        <v/>
      </c>
    </row>
    <row r="13">
      <c r="A13" s="7" t="inlineStr">
        <is>
          <t>Precision of at-risk flag</t>
        </is>
      </c>
      <c r="B13" s="45">
        <f>Assumptions!$D$26</f>
        <v/>
      </c>
      <c r="C13" s="45">
        <f>Assumptions!$F$26</f>
        <v/>
      </c>
      <c r="D13" s="67">
        <f>Engine!$AG$98</f>
        <v/>
      </c>
      <c r="E13" s="67">
        <f>Engine!$AH$98</f>
        <v/>
      </c>
      <c r="F13" s="49">
        <f>ABS(E13-D13)</f>
        <v/>
      </c>
      <c r="G13" s="67">
        <f>Engine!$AG$124</f>
        <v/>
      </c>
      <c r="H13" s="67">
        <f>Engine!$AH$124</f>
        <v/>
      </c>
      <c r="I13" s="49">
        <f>ABS(H13-G13)</f>
        <v/>
      </c>
    </row>
    <row r="14">
      <c r="A14" s="7" t="inlineStr">
        <is>
          <t>Mentor minutes per intervention</t>
        </is>
      </c>
      <c r="B14" s="51">
        <f>Assumptions!$D$33</f>
        <v/>
      </c>
      <c r="C14" s="51">
        <f>Assumptions!$F$33</f>
        <v/>
      </c>
      <c r="D14" s="67">
        <f>Engine!$AI$98</f>
        <v/>
      </c>
      <c r="E14" s="67">
        <f>Engine!$AJ$98</f>
        <v/>
      </c>
      <c r="F14" s="49">
        <f>ABS(E14-D14)</f>
        <v/>
      </c>
      <c r="G14" s="67">
        <f>Engine!$AI$124</f>
        <v/>
      </c>
      <c r="H14" s="67">
        <f>Engine!$AJ$124</f>
        <v/>
      </c>
      <c r="I14" s="49">
        <f>ABS(H14-G14)</f>
        <v/>
      </c>
    </row>
    <row r="15">
      <c r="A15" s="7" t="inlineStr">
        <is>
          <t>Months before the model can flag (no test data yet)</t>
        </is>
      </c>
      <c r="B15" s="51">
        <f>Assumptions!$D$21</f>
        <v/>
      </c>
      <c r="C15" s="51">
        <f>Assumptions!$F$21</f>
        <v/>
      </c>
      <c r="D15" s="67">
        <f>Engine!$AK$98</f>
        <v/>
      </c>
      <c r="E15" s="67">
        <f>Engine!$AL$98</f>
        <v/>
      </c>
      <c r="F15" s="49">
        <f>ABS(E15-D15)</f>
        <v/>
      </c>
      <c r="G15" s="67">
        <f>Engine!$AK$124</f>
        <v/>
      </c>
      <c r="H15" s="67">
        <f>Engine!$AL$124</f>
        <v/>
      </c>
      <c r="I15" s="49">
        <f>ABS(H15-G15)</f>
        <v/>
      </c>
    </row>
    <row r="16">
      <c r="A16" s="7" t="inlineStr">
        <is>
          <t>Admissions uplift next session from results/parent trust</t>
        </is>
      </c>
      <c r="B16" s="45">
        <f>Assumptions!$D$29</f>
        <v/>
      </c>
      <c r="C16" s="45">
        <f>Assumptions!$F$29</f>
        <v/>
      </c>
      <c r="D16" s="67">
        <f>Engine!$AM$98</f>
        <v/>
      </c>
      <c r="E16" s="67">
        <f>Engine!$AN$98</f>
        <v/>
      </c>
      <c r="F16" s="49">
        <f>ABS(E16-D16)</f>
        <v/>
      </c>
      <c r="G16" s="67">
        <f>Engine!$AM$124</f>
        <v/>
      </c>
      <c r="H16" s="67">
        <f>Engine!$AN$124</f>
        <v/>
      </c>
      <c r="I16" s="49">
        <f>ABS(H16-G16)</f>
        <v/>
      </c>
    </row>
    <row r="17">
      <c r="A17" s="7" t="inlineStr">
        <is>
          <t>Share of institutes that reclaim our GST as input credit</t>
        </is>
      </c>
      <c r="B17" s="45">
        <f>Assumptions!$D$36</f>
        <v/>
      </c>
      <c r="C17" s="45">
        <f>Assumptions!$F$36</f>
        <v/>
      </c>
      <c r="D17" s="67">
        <f>Engine!$AO$98</f>
        <v/>
      </c>
      <c r="E17" s="67">
        <f>Engine!$AP$98</f>
        <v/>
      </c>
      <c r="F17" s="49">
        <f>ABS(E17-D17)</f>
        <v/>
      </c>
      <c r="G17" s="67">
        <f>Engine!$AO$124</f>
        <v/>
      </c>
      <c r="H17" s="67">
        <f>Engine!$AP$124</f>
        <v/>
      </c>
      <c r="I17" s="49">
        <f>ABS(H17-G17)</f>
        <v/>
      </c>
    </row>
    <row r="18">
      <c r="A18" s="7" t="inlineStr">
        <is>
          <t>Monthly logo churn for monthly payers</t>
        </is>
      </c>
      <c r="B18" s="45">
        <f>Assumptions!$D$74</f>
        <v/>
      </c>
      <c r="C18" s="45">
        <f>Assumptions!$F$74</f>
        <v/>
      </c>
      <c r="D18" s="67">
        <f>Engine!$AQ$98</f>
        <v/>
      </c>
      <c r="E18" s="67">
        <f>Engine!$AR$98</f>
        <v/>
      </c>
      <c r="F18" s="49">
        <f>ABS(E18-D18)</f>
        <v/>
      </c>
      <c r="G18" s="67">
        <f>Engine!$AQ$124</f>
        <v/>
      </c>
      <c r="H18" s="67">
        <f>Engine!$AR$124</f>
        <v/>
      </c>
      <c r="I18" s="49">
        <f>ABS(H18-G18)</f>
        <v/>
      </c>
    </row>
    <row r="19">
      <c r="A19" s="7" t="inlineStr">
        <is>
          <t>Non-renewal at session end (annual)</t>
        </is>
      </c>
      <c r="B19" s="45">
        <f>Assumptions!$D$75</f>
        <v/>
      </c>
      <c r="C19" s="45">
        <f>Assumptions!$F$75</f>
        <v/>
      </c>
      <c r="D19" s="67">
        <f>Engine!$AS$98</f>
        <v/>
      </c>
      <c r="E19" s="67">
        <f>Engine!$AT$98</f>
        <v/>
      </c>
      <c r="F19" s="49">
        <f>ABS(E19-D19)</f>
        <v/>
      </c>
      <c r="G19" s="67">
        <f>Engine!$AS$124</f>
        <v/>
      </c>
      <c r="H19" s="67">
        <f>Engine!$AT$124</f>
        <v/>
      </c>
      <c r="I19" s="49">
        <f>ABS(H19-G19)</f>
        <v/>
      </c>
    </row>
    <row r="20">
      <c r="A20" s="7" t="inlineStr">
        <is>
          <t>Pilot-to-paid conversion</t>
        </is>
      </c>
      <c r="B20" s="45">
        <f>Assumptions!$D$68</f>
        <v/>
      </c>
      <c r="C20" s="45">
        <f>Assumptions!$F$68</f>
        <v/>
      </c>
      <c r="D20" s="67">
        <f>Engine!$AU$98</f>
        <v/>
      </c>
      <c r="E20" s="67">
        <f>Engine!$AV$98</f>
        <v/>
      </c>
      <c r="F20" s="49">
        <f>ABS(E20-D20)</f>
        <v/>
      </c>
      <c r="G20" s="67">
        <f>Engine!$AU$124</f>
        <v/>
      </c>
      <c r="H20" s="67">
        <f>Engine!$AV$124</f>
        <v/>
      </c>
      <c r="I20" s="49">
        <f>ABS(H20-G20)</f>
        <v/>
      </c>
    </row>
    <row r="21">
      <c r="A21" s="7" t="inlineStr">
        <is>
          <t>Pilots started per rep per month (yearly avg)</t>
        </is>
      </c>
      <c r="B21" s="58">
        <f>Assumptions!$D$67</f>
        <v/>
      </c>
      <c r="C21" s="58">
        <f>Assumptions!$F$67</f>
        <v/>
      </c>
      <c r="D21" s="67">
        <f>Engine!$AW$98</f>
        <v/>
      </c>
      <c r="E21" s="67">
        <f>Engine!$AX$98</f>
        <v/>
      </c>
      <c r="F21" s="49">
        <f>ABS(E21-D21)</f>
        <v/>
      </c>
      <c r="G21" s="67">
        <f>Engine!$AW$124</f>
        <v/>
      </c>
      <c r="H21" s="67">
        <f>Engine!$AX$124</f>
        <v/>
      </c>
      <c r="I21" s="49">
        <f>ABS(H21-G21)</f>
        <v/>
      </c>
    </row>
    <row r="22">
      <c r="A22" s="7" t="inlineStr">
        <is>
          <t>Institutes per CSM</t>
        </is>
      </c>
      <c r="B22" s="51">
        <f>Assumptions!$D$63</f>
        <v/>
      </c>
      <c r="C22" s="51">
        <f>Assumptions!$F$63</f>
        <v/>
      </c>
      <c r="D22" s="67">
        <f>Engine!$AY$98</f>
        <v/>
      </c>
      <c r="E22" s="67">
        <f>Engine!$AZ$98</f>
        <v/>
      </c>
      <c r="F22" s="49">
        <f>ABS(E22-D22)</f>
        <v/>
      </c>
      <c r="G22" s="67">
        <f>Engine!$AY$124</f>
        <v/>
      </c>
      <c r="H22" s="67">
        <f>Engine!$AZ$124</f>
        <v/>
      </c>
      <c r="I22" s="49">
        <f>ABS(H22-G22)</f>
        <v/>
      </c>
    </row>
    <row r="25">
      <c r="A25" s="36" t="inlineStr">
        <is>
          <t>Grid 1 — Institute ROI (Mid, live scenario): list price × effective dropout reduction</t>
        </is>
      </c>
    </row>
    <row r="26">
      <c r="A26" s="5" t="inlineStr">
        <is>
          <t>Rows: effective reduction · Columns: list price ₹/student/month (blue = grid points)</t>
        </is>
      </c>
    </row>
    <row r="27">
      <c r="B27" s="71" t="n">
        <v>20</v>
      </c>
      <c r="C27" s="71" t="n">
        <v>30</v>
      </c>
      <c r="D27" s="71" t="n">
        <v>40</v>
      </c>
      <c r="E27" s="71" t="n">
        <v>50</v>
      </c>
      <c r="F27" s="71" t="n">
        <v>60</v>
      </c>
      <c r="G27" s="71" t="n">
        <v>80</v>
      </c>
    </row>
    <row r="28">
      <c r="A28" s="72" t="n">
        <v>0.05</v>
      </c>
      <c r="B28" s="49">
        <f>(Institute_ROI!$E$31*Institute_ROI!$E$39*$A28+Institute_ROI!$E$42+Institute_ROI!$E$43)/(SUMPRODUCT((Institute_ROI!$E$6*Season_Idx*B$27&gt;Institute_ROI!$E$26)*(Institute_ROI!$E$6*Season_Idx*B$27)+(Institute_ROI!$E$6*Season_Idx*B$27&lt;=Institute_ROI!$E$26)*Institute_ROI!$E$26)*(1-Institute_ROI!$E$29)*(1+GST*(1-ITCShare))+Institute_ROI!$E$50)</f>
        <v/>
      </c>
      <c r="C28" s="49">
        <f>(Institute_ROI!$E$31*Institute_ROI!$E$39*$A28+Institute_ROI!$E$42+Institute_ROI!$E$43)/(SUMPRODUCT((Institute_ROI!$E$6*Season_Idx*C$27&gt;Institute_ROI!$E$26)*(Institute_ROI!$E$6*Season_Idx*C$27)+(Institute_ROI!$E$6*Season_Idx*C$27&lt;=Institute_ROI!$E$26)*Institute_ROI!$E$26)*(1-Institute_ROI!$E$29)*(1+GST*(1-ITCShare))+Institute_ROI!$E$50)</f>
        <v/>
      </c>
      <c r="D28" s="49">
        <f>(Institute_ROI!$E$31*Institute_ROI!$E$39*$A28+Institute_ROI!$E$42+Institute_ROI!$E$43)/(SUMPRODUCT((Institute_ROI!$E$6*Season_Idx*D$27&gt;Institute_ROI!$E$26)*(Institute_ROI!$E$6*Season_Idx*D$27)+(Institute_ROI!$E$6*Season_Idx*D$27&lt;=Institute_ROI!$E$26)*Institute_ROI!$E$26)*(1-Institute_ROI!$E$29)*(1+GST*(1-ITCShare))+Institute_ROI!$E$50)</f>
        <v/>
      </c>
      <c r="E28" s="49">
        <f>(Institute_ROI!$E$31*Institute_ROI!$E$39*$A28+Institute_ROI!$E$42+Institute_ROI!$E$43)/(SUMPRODUCT((Institute_ROI!$E$6*Season_Idx*E$27&gt;Institute_ROI!$E$26)*(Institute_ROI!$E$6*Season_Idx*E$27)+(Institute_ROI!$E$6*Season_Idx*E$27&lt;=Institute_ROI!$E$26)*Institute_ROI!$E$26)*(1-Institute_ROI!$E$29)*(1+GST*(1-ITCShare))+Institute_ROI!$E$50)</f>
        <v/>
      </c>
      <c r="F28" s="49">
        <f>(Institute_ROI!$E$31*Institute_ROI!$E$39*$A28+Institute_ROI!$E$42+Institute_ROI!$E$43)/(SUMPRODUCT((Institute_ROI!$E$6*Season_Idx*F$27&gt;Institute_ROI!$E$26)*(Institute_ROI!$E$6*Season_Idx*F$27)+(Institute_ROI!$E$6*Season_Idx*F$27&lt;=Institute_ROI!$E$26)*Institute_ROI!$E$26)*(1-Institute_ROI!$E$29)*(1+GST*(1-ITCShare))+Institute_ROI!$E$50)</f>
        <v/>
      </c>
      <c r="G28" s="49">
        <f>(Institute_ROI!$E$31*Institute_ROI!$E$39*$A28+Institute_ROI!$E$42+Institute_ROI!$E$43)/(SUMPRODUCT((Institute_ROI!$E$6*Season_Idx*G$27&gt;Institute_ROI!$E$26)*(Institute_ROI!$E$6*Season_Idx*G$27)+(Institute_ROI!$E$6*Season_Idx*G$27&lt;=Institute_ROI!$E$26)*Institute_ROI!$E$26)*(1-Institute_ROI!$E$29)*(1+GST*(1-ITCShare))+Institute_ROI!$E$50)</f>
        <v/>
      </c>
    </row>
    <row r="29">
      <c r="A29" s="72" t="n">
        <v>0.08</v>
      </c>
      <c r="B29" s="49">
        <f>(Institute_ROI!$E$31*Institute_ROI!$E$39*$A29+Institute_ROI!$E$42+Institute_ROI!$E$43)/(SUMPRODUCT((Institute_ROI!$E$6*Season_Idx*B$27&gt;Institute_ROI!$E$26)*(Institute_ROI!$E$6*Season_Idx*B$27)+(Institute_ROI!$E$6*Season_Idx*B$27&lt;=Institute_ROI!$E$26)*Institute_ROI!$E$26)*(1-Institute_ROI!$E$29)*(1+GST*(1-ITCShare))+Institute_ROI!$E$50)</f>
        <v/>
      </c>
      <c r="C29" s="49">
        <f>(Institute_ROI!$E$31*Institute_ROI!$E$39*$A29+Institute_ROI!$E$42+Institute_ROI!$E$43)/(SUMPRODUCT((Institute_ROI!$E$6*Season_Idx*C$27&gt;Institute_ROI!$E$26)*(Institute_ROI!$E$6*Season_Idx*C$27)+(Institute_ROI!$E$6*Season_Idx*C$27&lt;=Institute_ROI!$E$26)*Institute_ROI!$E$26)*(1-Institute_ROI!$E$29)*(1+GST*(1-ITCShare))+Institute_ROI!$E$50)</f>
        <v/>
      </c>
      <c r="D29" s="49">
        <f>(Institute_ROI!$E$31*Institute_ROI!$E$39*$A29+Institute_ROI!$E$42+Institute_ROI!$E$43)/(SUMPRODUCT((Institute_ROI!$E$6*Season_Idx*D$27&gt;Institute_ROI!$E$26)*(Institute_ROI!$E$6*Season_Idx*D$27)+(Institute_ROI!$E$6*Season_Idx*D$27&lt;=Institute_ROI!$E$26)*Institute_ROI!$E$26)*(1-Institute_ROI!$E$29)*(1+GST*(1-ITCShare))+Institute_ROI!$E$50)</f>
        <v/>
      </c>
      <c r="E29" s="49">
        <f>(Institute_ROI!$E$31*Institute_ROI!$E$39*$A29+Institute_ROI!$E$42+Institute_ROI!$E$43)/(SUMPRODUCT((Institute_ROI!$E$6*Season_Idx*E$27&gt;Institute_ROI!$E$26)*(Institute_ROI!$E$6*Season_Idx*E$27)+(Institute_ROI!$E$6*Season_Idx*E$27&lt;=Institute_ROI!$E$26)*Institute_ROI!$E$26)*(1-Institute_ROI!$E$29)*(1+GST*(1-ITCShare))+Institute_ROI!$E$50)</f>
        <v/>
      </c>
      <c r="F29" s="49">
        <f>(Institute_ROI!$E$31*Institute_ROI!$E$39*$A29+Institute_ROI!$E$42+Institute_ROI!$E$43)/(SUMPRODUCT((Institute_ROI!$E$6*Season_Idx*F$27&gt;Institute_ROI!$E$26)*(Institute_ROI!$E$6*Season_Idx*F$27)+(Institute_ROI!$E$6*Season_Idx*F$27&lt;=Institute_ROI!$E$26)*Institute_ROI!$E$26)*(1-Institute_ROI!$E$29)*(1+GST*(1-ITCShare))+Institute_ROI!$E$50)</f>
        <v/>
      </c>
      <c r="G29" s="49">
        <f>(Institute_ROI!$E$31*Institute_ROI!$E$39*$A29+Institute_ROI!$E$42+Institute_ROI!$E$43)/(SUMPRODUCT((Institute_ROI!$E$6*Season_Idx*G$27&gt;Institute_ROI!$E$26)*(Institute_ROI!$E$6*Season_Idx*G$27)+(Institute_ROI!$E$6*Season_Idx*G$27&lt;=Institute_ROI!$E$26)*Institute_ROI!$E$26)*(1-Institute_ROI!$E$29)*(1+GST*(1-ITCShare))+Institute_ROI!$E$50)</f>
        <v/>
      </c>
    </row>
    <row r="30">
      <c r="A30" s="72" t="n">
        <v>0.11</v>
      </c>
      <c r="B30" s="49">
        <f>(Institute_ROI!$E$31*Institute_ROI!$E$39*$A30+Institute_ROI!$E$42+Institute_ROI!$E$43)/(SUMPRODUCT((Institute_ROI!$E$6*Season_Idx*B$27&gt;Institute_ROI!$E$26)*(Institute_ROI!$E$6*Season_Idx*B$27)+(Institute_ROI!$E$6*Season_Idx*B$27&lt;=Institute_ROI!$E$26)*Institute_ROI!$E$26)*(1-Institute_ROI!$E$29)*(1+GST*(1-ITCShare))+Institute_ROI!$E$50)</f>
        <v/>
      </c>
      <c r="C30" s="49">
        <f>(Institute_ROI!$E$31*Institute_ROI!$E$39*$A30+Institute_ROI!$E$42+Institute_ROI!$E$43)/(SUMPRODUCT((Institute_ROI!$E$6*Season_Idx*C$27&gt;Institute_ROI!$E$26)*(Institute_ROI!$E$6*Season_Idx*C$27)+(Institute_ROI!$E$6*Season_Idx*C$27&lt;=Institute_ROI!$E$26)*Institute_ROI!$E$26)*(1-Institute_ROI!$E$29)*(1+GST*(1-ITCShare))+Institute_ROI!$E$50)</f>
        <v/>
      </c>
      <c r="D30" s="49">
        <f>(Institute_ROI!$E$31*Institute_ROI!$E$39*$A30+Institute_ROI!$E$42+Institute_ROI!$E$43)/(SUMPRODUCT((Institute_ROI!$E$6*Season_Idx*D$27&gt;Institute_ROI!$E$26)*(Institute_ROI!$E$6*Season_Idx*D$27)+(Institute_ROI!$E$6*Season_Idx*D$27&lt;=Institute_ROI!$E$26)*Institute_ROI!$E$26)*(1-Institute_ROI!$E$29)*(1+GST*(1-ITCShare))+Institute_ROI!$E$50)</f>
        <v/>
      </c>
      <c r="E30" s="49">
        <f>(Institute_ROI!$E$31*Institute_ROI!$E$39*$A30+Institute_ROI!$E$42+Institute_ROI!$E$43)/(SUMPRODUCT((Institute_ROI!$E$6*Season_Idx*E$27&gt;Institute_ROI!$E$26)*(Institute_ROI!$E$6*Season_Idx*E$27)+(Institute_ROI!$E$6*Season_Idx*E$27&lt;=Institute_ROI!$E$26)*Institute_ROI!$E$26)*(1-Institute_ROI!$E$29)*(1+GST*(1-ITCShare))+Institute_ROI!$E$50)</f>
        <v/>
      </c>
      <c r="F30" s="49">
        <f>(Institute_ROI!$E$31*Institute_ROI!$E$39*$A30+Institute_ROI!$E$42+Institute_ROI!$E$43)/(SUMPRODUCT((Institute_ROI!$E$6*Season_Idx*F$27&gt;Institute_ROI!$E$26)*(Institute_ROI!$E$6*Season_Idx*F$27)+(Institute_ROI!$E$6*Season_Idx*F$27&lt;=Institute_ROI!$E$26)*Institute_ROI!$E$26)*(1-Institute_ROI!$E$29)*(1+GST*(1-ITCShare))+Institute_ROI!$E$50)</f>
        <v/>
      </c>
      <c r="G30" s="49">
        <f>(Institute_ROI!$E$31*Institute_ROI!$E$39*$A30+Institute_ROI!$E$42+Institute_ROI!$E$43)/(SUMPRODUCT((Institute_ROI!$E$6*Season_Idx*G$27&gt;Institute_ROI!$E$26)*(Institute_ROI!$E$6*Season_Idx*G$27)+(Institute_ROI!$E$6*Season_Idx*G$27&lt;=Institute_ROI!$E$26)*Institute_ROI!$E$26)*(1-Institute_ROI!$E$29)*(1+GST*(1-ITCShare))+Institute_ROI!$E$50)</f>
        <v/>
      </c>
    </row>
    <row r="31">
      <c r="A31" s="72" t="n">
        <v>0.15</v>
      </c>
      <c r="B31" s="49">
        <f>(Institute_ROI!$E$31*Institute_ROI!$E$39*$A31+Institute_ROI!$E$42+Institute_ROI!$E$43)/(SUMPRODUCT((Institute_ROI!$E$6*Season_Idx*B$27&gt;Institute_ROI!$E$26)*(Institute_ROI!$E$6*Season_Idx*B$27)+(Institute_ROI!$E$6*Season_Idx*B$27&lt;=Institute_ROI!$E$26)*Institute_ROI!$E$26)*(1-Institute_ROI!$E$29)*(1+GST*(1-ITCShare))+Institute_ROI!$E$50)</f>
        <v/>
      </c>
      <c r="C31" s="49">
        <f>(Institute_ROI!$E$31*Institute_ROI!$E$39*$A31+Institute_ROI!$E$42+Institute_ROI!$E$43)/(SUMPRODUCT((Institute_ROI!$E$6*Season_Idx*C$27&gt;Institute_ROI!$E$26)*(Institute_ROI!$E$6*Season_Idx*C$27)+(Institute_ROI!$E$6*Season_Idx*C$27&lt;=Institute_ROI!$E$26)*Institute_ROI!$E$26)*(1-Institute_ROI!$E$29)*(1+GST*(1-ITCShare))+Institute_ROI!$E$50)</f>
        <v/>
      </c>
      <c r="D31" s="49">
        <f>(Institute_ROI!$E$31*Institute_ROI!$E$39*$A31+Institute_ROI!$E$42+Institute_ROI!$E$43)/(SUMPRODUCT((Institute_ROI!$E$6*Season_Idx*D$27&gt;Institute_ROI!$E$26)*(Institute_ROI!$E$6*Season_Idx*D$27)+(Institute_ROI!$E$6*Season_Idx*D$27&lt;=Institute_ROI!$E$26)*Institute_ROI!$E$26)*(1-Institute_ROI!$E$29)*(1+GST*(1-ITCShare))+Institute_ROI!$E$50)</f>
        <v/>
      </c>
      <c r="E31" s="49">
        <f>(Institute_ROI!$E$31*Institute_ROI!$E$39*$A31+Institute_ROI!$E$42+Institute_ROI!$E$43)/(SUMPRODUCT((Institute_ROI!$E$6*Season_Idx*E$27&gt;Institute_ROI!$E$26)*(Institute_ROI!$E$6*Season_Idx*E$27)+(Institute_ROI!$E$6*Season_Idx*E$27&lt;=Institute_ROI!$E$26)*Institute_ROI!$E$26)*(1-Institute_ROI!$E$29)*(1+GST*(1-ITCShare))+Institute_ROI!$E$50)</f>
        <v/>
      </c>
      <c r="F31" s="49">
        <f>(Institute_ROI!$E$31*Institute_ROI!$E$39*$A31+Institute_ROI!$E$42+Institute_ROI!$E$43)/(SUMPRODUCT((Institute_ROI!$E$6*Season_Idx*F$27&gt;Institute_ROI!$E$26)*(Institute_ROI!$E$6*Season_Idx*F$27)+(Institute_ROI!$E$6*Season_Idx*F$27&lt;=Institute_ROI!$E$26)*Institute_ROI!$E$26)*(1-Institute_ROI!$E$29)*(1+GST*(1-ITCShare))+Institute_ROI!$E$50)</f>
        <v/>
      </c>
      <c r="G31" s="49">
        <f>(Institute_ROI!$E$31*Institute_ROI!$E$39*$A31+Institute_ROI!$E$42+Institute_ROI!$E$43)/(SUMPRODUCT((Institute_ROI!$E$6*Season_Idx*G$27&gt;Institute_ROI!$E$26)*(Institute_ROI!$E$6*Season_Idx*G$27)+(Institute_ROI!$E$6*Season_Idx*G$27&lt;=Institute_ROI!$E$26)*Institute_ROI!$E$26)*(1-Institute_ROI!$E$29)*(1+GST*(1-ITCShare))+Institute_ROI!$E$50)</f>
        <v/>
      </c>
    </row>
    <row r="32">
      <c r="A32" s="72" t="n">
        <v>0.2</v>
      </c>
      <c r="B32" s="49">
        <f>(Institute_ROI!$E$31*Institute_ROI!$E$39*$A32+Institute_ROI!$E$42+Institute_ROI!$E$43)/(SUMPRODUCT((Institute_ROI!$E$6*Season_Idx*B$27&gt;Institute_ROI!$E$26)*(Institute_ROI!$E$6*Season_Idx*B$27)+(Institute_ROI!$E$6*Season_Idx*B$27&lt;=Institute_ROI!$E$26)*Institute_ROI!$E$26)*(1-Institute_ROI!$E$29)*(1+GST*(1-ITCShare))+Institute_ROI!$E$50)</f>
        <v/>
      </c>
      <c r="C32" s="49">
        <f>(Institute_ROI!$E$31*Institute_ROI!$E$39*$A32+Institute_ROI!$E$42+Institute_ROI!$E$43)/(SUMPRODUCT((Institute_ROI!$E$6*Season_Idx*C$27&gt;Institute_ROI!$E$26)*(Institute_ROI!$E$6*Season_Idx*C$27)+(Institute_ROI!$E$6*Season_Idx*C$27&lt;=Institute_ROI!$E$26)*Institute_ROI!$E$26)*(1-Institute_ROI!$E$29)*(1+GST*(1-ITCShare))+Institute_ROI!$E$50)</f>
        <v/>
      </c>
      <c r="D32" s="49">
        <f>(Institute_ROI!$E$31*Institute_ROI!$E$39*$A32+Institute_ROI!$E$42+Institute_ROI!$E$43)/(SUMPRODUCT((Institute_ROI!$E$6*Season_Idx*D$27&gt;Institute_ROI!$E$26)*(Institute_ROI!$E$6*Season_Idx*D$27)+(Institute_ROI!$E$6*Season_Idx*D$27&lt;=Institute_ROI!$E$26)*Institute_ROI!$E$26)*(1-Institute_ROI!$E$29)*(1+GST*(1-ITCShare))+Institute_ROI!$E$50)</f>
        <v/>
      </c>
      <c r="E32" s="49">
        <f>(Institute_ROI!$E$31*Institute_ROI!$E$39*$A32+Institute_ROI!$E$42+Institute_ROI!$E$43)/(SUMPRODUCT((Institute_ROI!$E$6*Season_Idx*E$27&gt;Institute_ROI!$E$26)*(Institute_ROI!$E$6*Season_Idx*E$27)+(Institute_ROI!$E$6*Season_Idx*E$27&lt;=Institute_ROI!$E$26)*Institute_ROI!$E$26)*(1-Institute_ROI!$E$29)*(1+GST*(1-ITCShare))+Institute_ROI!$E$50)</f>
        <v/>
      </c>
      <c r="F32" s="49">
        <f>(Institute_ROI!$E$31*Institute_ROI!$E$39*$A32+Institute_ROI!$E$42+Institute_ROI!$E$43)/(SUMPRODUCT((Institute_ROI!$E$6*Season_Idx*F$27&gt;Institute_ROI!$E$26)*(Institute_ROI!$E$6*Season_Idx*F$27)+(Institute_ROI!$E$6*Season_Idx*F$27&lt;=Institute_ROI!$E$26)*Institute_ROI!$E$26)*(1-Institute_ROI!$E$29)*(1+GST*(1-ITCShare))+Institute_ROI!$E$50)</f>
        <v/>
      </c>
      <c r="G32" s="49">
        <f>(Institute_ROI!$E$31*Institute_ROI!$E$39*$A32+Institute_ROI!$E$42+Institute_ROI!$E$43)/(SUMPRODUCT((Institute_ROI!$E$6*Season_Idx*G$27&gt;Institute_ROI!$E$26)*(Institute_ROI!$E$6*Season_Idx*G$27)+(Institute_ROI!$E$6*Season_Idx*G$27&lt;=Institute_ROI!$E$26)*Institute_ROI!$E$26)*(1-Institute_ROI!$E$29)*(1+GST*(1-ITCShare))+Institute_ROI!$E$50)</f>
        <v/>
      </c>
    </row>
    <row r="33">
      <c r="A33" s="72" t="n">
        <v>0.25</v>
      </c>
      <c r="B33" s="49">
        <f>(Institute_ROI!$E$31*Institute_ROI!$E$39*$A33+Institute_ROI!$E$42+Institute_ROI!$E$43)/(SUMPRODUCT((Institute_ROI!$E$6*Season_Idx*B$27&gt;Institute_ROI!$E$26)*(Institute_ROI!$E$6*Season_Idx*B$27)+(Institute_ROI!$E$6*Season_Idx*B$27&lt;=Institute_ROI!$E$26)*Institute_ROI!$E$26)*(1-Institute_ROI!$E$29)*(1+GST*(1-ITCShare))+Institute_ROI!$E$50)</f>
        <v/>
      </c>
      <c r="C33" s="49">
        <f>(Institute_ROI!$E$31*Institute_ROI!$E$39*$A33+Institute_ROI!$E$42+Institute_ROI!$E$43)/(SUMPRODUCT((Institute_ROI!$E$6*Season_Idx*C$27&gt;Institute_ROI!$E$26)*(Institute_ROI!$E$6*Season_Idx*C$27)+(Institute_ROI!$E$6*Season_Idx*C$27&lt;=Institute_ROI!$E$26)*Institute_ROI!$E$26)*(1-Institute_ROI!$E$29)*(1+GST*(1-ITCShare))+Institute_ROI!$E$50)</f>
        <v/>
      </c>
      <c r="D33" s="49">
        <f>(Institute_ROI!$E$31*Institute_ROI!$E$39*$A33+Institute_ROI!$E$42+Institute_ROI!$E$43)/(SUMPRODUCT((Institute_ROI!$E$6*Season_Idx*D$27&gt;Institute_ROI!$E$26)*(Institute_ROI!$E$6*Season_Idx*D$27)+(Institute_ROI!$E$6*Season_Idx*D$27&lt;=Institute_ROI!$E$26)*Institute_ROI!$E$26)*(1-Institute_ROI!$E$29)*(1+GST*(1-ITCShare))+Institute_ROI!$E$50)</f>
        <v/>
      </c>
      <c r="E33" s="49">
        <f>(Institute_ROI!$E$31*Institute_ROI!$E$39*$A33+Institute_ROI!$E$42+Institute_ROI!$E$43)/(SUMPRODUCT((Institute_ROI!$E$6*Season_Idx*E$27&gt;Institute_ROI!$E$26)*(Institute_ROI!$E$6*Season_Idx*E$27)+(Institute_ROI!$E$6*Season_Idx*E$27&lt;=Institute_ROI!$E$26)*Institute_ROI!$E$26)*(1-Institute_ROI!$E$29)*(1+GST*(1-ITCShare))+Institute_ROI!$E$50)</f>
        <v/>
      </c>
      <c r="F33" s="49">
        <f>(Institute_ROI!$E$31*Institute_ROI!$E$39*$A33+Institute_ROI!$E$42+Institute_ROI!$E$43)/(SUMPRODUCT((Institute_ROI!$E$6*Season_Idx*F$27&gt;Institute_ROI!$E$26)*(Institute_ROI!$E$6*Season_Idx*F$27)+(Institute_ROI!$E$6*Season_Idx*F$27&lt;=Institute_ROI!$E$26)*Institute_ROI!$E$26)*(1-Institute_ROI!$E$29)*(1+GST*(1-ITCShare))+Institute_ROI!$E$50)</f>
        <v/>
      </c>
      <c r="G33" s="49">
        <f>(Institute_ROI!$E$31*Institute_ROI!$E$39*$A33+Institute_ROI!$E$42+Institute_ROI!$E$43)/(SUMPRODUCT((Institute_ROI!$E$6*Season_Idx*G$27&gt;Institute_ROI!$E$26)*(Institute_ROI!$E$6*Season_Idx*G$27)+(Institute_ROI!$E$6*Season_Idx*G$27&lt;=Institute_ROI!$E$26)*Institute_ROI!$E$26)*(1-Institute_ROI!$E$29)*(1+GST*(1-ITCShare))+Institute_ROI!$E$50)</f>
        <v/>
      </c>
    </row>
    <row r="36">
      <c r="A36" s="36" t="inlineStr">
        <is>
          <t>Grid 2 — LTV ÷ acquisition cost (Mid, live scenario): monthly churn × acquisition cost</t>
        </is>
      </c>
    </row>
    <row r="37">
      <c r="A37" s="5" t="inlineStr">
        <is>
          <t>Monthly in-season churn (blue) → LTV from Engine</t>
        </is>
      </c>
      <c r="B37" s="72" t="n">
        <v>0.01</v>
      </c>
      <c r="C37" s="72" t="n">
        <v>0.02</v>
      </c>
      <c r="D37" s="72" t="n">
        <v>0.03</v>
      </c>
      <c r="E37" s="72" t="n">
        <v>0.04</v>
      </c>
      <c r="F37" s="72" t="n">
        <v>0.05</v>
      </c>
    </row>
    <row r="38">
      <c r="A38" s="5" t="inlineStr">
        <is>
          <t>LTV at that churn (₹)</t>
        </is>
      </c>
      <c r="B38" s="44">
        <f>Engine!$BA$123</f>
        <v/>
      </c>
      <c r="C38" s="44">
        <f>Engine!$BB$123</f>
        <v/>
      </c>
      <c r="D38" s="44">
        <f>Engine!$BC$123</f>
        <v/>
      </c>
      <c r="E38" s="44">
        <f>Engine!$BD$123</f>
        <v/>
      </c>
      <c r="F38" s="44">
        <f>Engine!$BE$123</f>
        <v/>
      </c>
    </row>
    <row r="39">
      <c r="A39" s="5" t="inlineStr">
        <is>
          <t>Acquisition cost ₹ ↓</t>
        </is>
      </c>
    </row>
    <row r="40">
      <c r="A40" s="71" t="n">
        <v>15000</v>
      </c>
      <c r="B40" s="49">
        <f>B$38/$A40</f>
        <v/>
      </c>
      <c r="C40" s="49">
        <f>C$38/$A40</f>
        <v/>
      </c>
      <c r="D40" s="49">
        <f>D$38/$A40</f>
        <v/>
      </c>
      <c r="E40" s="49">
        <f>E$38/$A40</f>
        <v/>
      </c>
      <c r="F40" s="49">
        <f>F$38/$A40</f>
        <v/>
      </c>
    </row>
    <row r="41">
      <c r="A41" s="71" t="n">
        <v>25000</v>
      </c>
      <c r="B41" s="49">
        <f>B$38/$A41</f>
        <v/>
      </c>
      <c r="C41" s="49">
        <f>C$38/$A41</f>
        <v/>
      </c>
      <c r="D41" s="49">
        <f>D$38/$A41</f>
        <v/>
      </c>
      <c r="E41" s="49">
        <f>E$38/$A41</f>
        <v/>
      </c>
      <c r="F41" s="49">
        <f>F$38/$A41</f>
        <v/>
      </c>
    </row>
    <row r="42">
      <c r="A42" s="71" t="n">
        <v>35000</v>
      </c>
      <c r="B42" s="49">
        <f>B$38/$A42</f>
        <v/>
      </c>
      <c r="C42" s="49">
        <f>C$38/$A42</f>
        <v/>
      </c>
      <c r="D42" s="49">
        <f>D$38/$A42</f>
        <v/>
      </c>
      <c r="E42" s="49">
        <f>E$38/$A42</f>
        <v/>
      </c>
      <c r="F42" s="49">
        <f>F$38/$A42</f>
        <v/>
      </c>
    </row>
    <row r="43">
      <c r="A43" s="71" t="n">
        <v>50000</v>
      </c>
      <c r="B43" s="49">
        <f>B$38/$A43</f>
        <v/>
      </c>
      <c r="C43" s="49">
        <f>C$38/$A43</f>
        <v/>
      </c>
      <c r="D43" s="49">
        <f>D$38/$A43</f>
        <v/>
      </c>
      <c r="E43" s="49">
        <f>E$38/$A43</f>
        <v/>
      </c>
      <c r="F43" s="49">
        <f>F$38/$A43</f>
        <v/>
      </c>
    </row>
    <row r="44">
      <c r="A44" s="71" t="n">
        <v>75000</v>
      </c>
      <c r="B44" s="49">
        <f>B$38/$A44</f>
        <v/>
      </c>
      <c r="C44" s="49">
        <f>C$38/$A44</f>
        <v/>
      </c>
      <c r="D44" s="49">
        <f>D$38/$A44</f>
        <v/>
      </c>
      <c r="E44" s="49">
        <f>E$38/$A44</f>
        <v/>
      </c>
      <c r="F44" s="49">
        <f>F$38/$A44</f>
        <v/>
      </c>
    </row>
    <row r="46">
      <c r="A46" s="5" t="inlineStr">
        <is>
          <t>Reading: ROI &lt; 1.0x red, 1–2x amber, ≥ 2x green. LTV/CAC &lt; 3x red.</t>
        </is>
      </c>
    </row>
  </sheetData>
  <conditionalFormatting sqref="B28:G33">
    <cfRule type="cellIs" priority="1" operator="lessThan" dxfId="1">
      <formula>1</formula>
    </cfRule>
    <cfRule type="cellIs" priority="2" operator="between" dxfId="2">
      <formula>1</formula>
      <formula>1.9999</formula>
    </cfRule>
    <cfRule type="cellIs" priority="3" operator="greaterThanOrEqual" dxfId="0">
      <formula>2</formula>
    </cfRule>
  </conditionalFormatting>
  <conditionalFormatting sqref="D5:E22">
    <cfRule type="cellIs" priority="4" operator="lessThan" dxfId="1">
      <formula>1</formula>
    </cfRule>
    <cfRule type="cellIs" priority="5" operator="between" dxfId="2">
      <formula>1</formula>
      <formula>1.9999</formula>
    </cfRule>
    <cfRule type="cellIs" priority="6" operator="greaterThanOrEqual" dxfId="0">
      <formula>2</formula>
    </cfRule>
  </conditionalFormatting>
  <conditionalFormatting sqref="B40:F44">
    <cfRule type="cellIs" priority="7" operator="lessThan" dxfId="1">
      <formula>3</formula>
    </cfRule>
    <cfRule type="cellIs" priority="8" operator="greaterThanOrEqual" dxfId="0">
      <formula>3</formula>
    </cfRule>
  </conditionalFormatting>
  <conditionalFormatting sqref="G5:H22">
    <cfRule type="cellIs" priority="9" operator="lessThan" dxfId="1">
      <formula>3</formula>
    </cfRule>
    <cfRule type="cellIs" priority="10" operator="greaterThanOrEqual" dxfId="0">
      <formula>3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72" customWidth="1" min="1" max="1"/>
    <col width="10" customWidth="1" min="2" max="2"/>
    <col width="14" customWidth="1" min="3" max="3"/>
    <col width="14" customWidth="1" min="4" max="4"/>
  </cols>
  <sheetData>
    <row r="1">
      <c r="A1" s="1" t="inlineStr">
        <is>
          <t>Checks — any red flag means the model is not safe to quote</t>
        </is>
      </c>
    </row>
    <row r="3">
      <c r="A3" s="6" t="inlineStr">
        <is>
          <t>Check</t>
        </is>
      </c>
      <c r="B3" s="6" t="inlineStr">
        <is>
          <t>Type</t>
        </is>
      </c>
      <c r="C3" s="6" t="inlineStr">
        <is>
          <t>Value</t>
        </is>
      </c>
      <c r="D3" s="6" t="inlineStr">
        <is>
          <t>Flag (1 = fail)</t>
        </is>
      </c>
    </row>
    <row r="4">
      <c r="A4" s="7" t="inlineStr">
        <is>
          <t>Scenario selector is 1, 2 or 3</t>
        </is>
      </c>
      <c r="B4" s="5" t="inlineStr">
        <is>
          <t>Error</t>
        </is>
      </c>
      <c r="C4" s="43">
        <f>Scenario</f>
        <v/>
      </c>
      <c r="D4" s="62">
        <f>IF(OR(Scenario=1,Scenario=2,Scenario=3),0,1)</f>
        <v/>
      </c>
    </row>
    <row r="5">
      <c r="A5" s="7" t="inlineStr">
        <is>
          <t>Dropout timing curve sums to 100%</t>
        </is>
      </c>
      <c r="B5" s="5" t="inlineStr">
        <is>
          <t>Error</t>
        </is>
      </c>
      <c r="C5" s="43">
        <f>SUM(DropTiming)</f>
        <v/>
      </c>
      <c r="D5" s="62">
        <f>IF(ABS(C5-1)&lt;0.0001,0,1)</f>
        <v/>
      </c>
    </row>
    <row r="6">
      <c r="A6" s="7" t="inlineStr">
        <is>
          <t>Percent inputs within 0–100%</t>
        </is>
      </c>
      <c r="B6" s="5" t="inlineStr">
        <is>
          <t>Error</t>
        </is>
      </c>
      <c r="C6" s="43">
        <f>SUM(Assumptions!L5:L114)</f>
        <v/>
      </c>
      <c r="D6" s="62">
        <f>IF(C6=0,0,1)</f>
        <v/>
      </c>
    </row>
    <row r="7">
      <c r="A7" s="7" t="inlineStr">
        <is>
          <t>Live values within Bear–Bull range</t>
        </is>
      </c>
      <c r="B7" s="5" t="inlineStr">
        <is>
          <t>Error</t>
        </is>
      </c>
      <c r="C7" s="43">
        <f>SUM(Assumptions!M5:M114)</f>
        <v/>
      </c>
      <c r="D7" s="62">
        <f>IF(C7=0,0,1)</f>
        <v/>
      </c>
    </row>
    <row r="8">
      <c r="A8" s="7" t="inlineStr">
        <is>
          <t>At least one renewal month (avoids ÷0)</t>
        </is>
      </c>
      <c r="B8" s="5" t="inlineStr">
        <is>
          <t>Error</t>
        </is>
      </c>
      <c r="C8" s="43">
        <f>NRenew</f>
        <v/>
      </c>
      <c r="D8" s="62">
        <f>IF(C8&gt;=1,0,1)</f>
        <v/>
      </c>
    </row>
    <row r="9">
      <c r="A9" s="7" t="inlineStr">
        <is>
          <t>Active-student index between 0 and 1.2</t>
        </is>
      </c>
      <c r="B9" s="5" t="inlineStr">
        <is>
          <t>Error</t>
        </is>
      </c>
      <c r="C9" s="43">
        <f>SUMPRODUCT((Season_Idx&lt;0)+(Season_Idx&gt;1.2))</f>
        <v/>
      </c>
      <c r="D9" s="62">
        <f>IF(C9=0,0,1)</f>
        <v/>
      </c>
    </row>
    <row r="10">
      <c r="A10" s="7" t="inlineStr">
        <is>
          <t>Effective reduction ≤ RCT effect (Mid)</t>
        </is>
      </c>
      <c r="B10" s="5" t="inlineStr">
        <is>
          <t>Error</t>
        </is>
      </c>
      <c r="C10" s="43">
        <f>Institute_ROI!E37-InterventionSuccess</f>
        <v/>
      </c>
      <c r="D10" s="62">
        <f>IF(C10&lt;=0.000001,0,1)</f>
        <v/>
      </c>
    </row>
    <row r="11">
      <c r="A11" s="7" t="inlineStr">
        <is>
          <t>Instalments ≥ 1 and ≤ course months</t>
        </is>
      </c>
      <c r="B11" s="5" t="inlineStr">
        <is>
          <t>Error</t>
        </is>
      </c>
      <c r="C11" s="43">
        <f>NInstalments</f>
        <v/>
      </c>
      <c r="D11" s="62">
        <f>IF(AND(C11&gt;=1,C11&lt;=CourseMonths,C11=INT(C11)),0,1)</f>
        <v/>
      </c>
    </row>
    <row r="12">
      <c r="A12" s="7" t="inlineStr">
        <is>
          <t>Customer mix (Small + Mid + Large) sums to 100%</t>
        </is>
      </c>
      <c r="B12" s="5" t="inlineStr">
        <is>
          <t>Error</t>
        </is>
      </c>
      <c r="C12" s="43">
        <f>ABS(SegMix_S+SegMix_M+SegMix_L-1)</f>
        <v/>
      </c>
      <c r="D12" s="62">
        <f>IF(C12&lt;0.0001,0,1)</f>
        <v/>
      </c>
    </row>
    <row r="13">
      <c r="A13" s="7" t="inlineStr">
        <is>
          <t>Sales intensity index averages 1.0</t>
        </is>
      </c>
      <c r="B13" s="5" t="inlineStr">
        <is>
          <t>Error</t>
        </is>
      </c>
      <c r="C13" s="43">
        <f>ABS(AVERAGE(Sales_Idx)-1)</f>
        <v/>
      </c>
      <c r="D13" s="62">
        <f>IF(C13&lt;0.02,0,1)</f>
        <v/>
      </c>
    </row>
    <row r="14">
      <c r="A14" s="7" t="inlineStr">
        <is>
          <t>First renewal tenure is between 0 and 24 months</t>
        </is>
      </c>
      <c r="B14" s="5" t="inlineStr">
        <is>
          <t>Error</t>
        </is>
      </c>
      <c r="C14" s="43">
        <f>MinRenewTenure</f>
        <v/>
      </c>
      <c r="D14" s="62">
        <f>IF(AND(C14&gt;=0,C14&lt;=24),0,1)</f>
        <v/>
      </c>
    </row>
    <row r="15">
      <c r="A15" s="7" t="inlineStr">
        <is>
          <t>Engine reproduces Institute_ROI ROI (S)</t>
        </is>
      </c>
      <c r="B15" s="5" t="inlineStr">
        <is>
          <t>Error</t>
        </is>
      </c>
      <c r="C15" s="43">
        <f>ABS(Institute_ROI!D54-Engine!$D$98)</f>
        <v/>
      </c>
      <c r="D15" s="62">
        <f>IF(C15&lt;0.000001,0,1)</f>
        <v/>
      </c>
    </row>
    <row r="16">
      <c r="A16" s="7" t="inlineStr">
        <is>
          <t>Engine reproduces Unit_Econ LTV (S)</t>
        </is>
      </c>
      <c r="B16" s="5" t="inlineStr">
        <is>
          <t>Error</t>
        </is>
      </c>
      <c r="C16" s="43">
        <f>ABS(Unit_Econ!D51-Engine!$D$123)</f>
        <v/>
      </c>
      <c r="D16" s="62">
        <f>IF(C16&lt;0.000001,0,1)</f>
        <v/>
      </c>
    </row>
    <row r="17">
      <c r="A17" s="7" t="inlineStr">
        <is>
          <t>Engine reproduces Institute_ROI ROI (M)</t>
        </is>
      </c>
      <c r="B17" s="5" t="inlineStr">
        <is>
          <t>Error</t>
        </is>
      </c>
      <c r="C17" s="43">
        <f>ABS(Institute_ROI!E54-Engine!$E$98)</f>
        <v/>
      </c>
      <c r="D17" s="62">
        <f>IF(C17&lt;0.000001,0,1)</f>
        <v/>
      </c>
    </row>
    <row r="18">
      <c r="A18" s="7" t="inlineStr">
        <is>
          <t>Engine reproduces Unit_Econ LTV (M)</t>
        </is>
      </c>
      <c r="B18" s="5" t="inlineStr">
        <is>
          <t>Error</t>
        </is>
      </c>
      <c r="C18" s="43">
        <f>ABS(Unit_Econ!E51-Engine!$E$123)</f>
        <v/>
      </c>
      <c r="D18" s="62">
        <f>IF(C18&lt;0.000001,0,1)</f>
        <v/>
      </c>
    </row>
    <row r="19">
      <c r="A19" s="7" t="inlineStr">
        <is>
          <t>Engine reproduces Institute_ROI ROI (L)</t>
        </is>
      </c>
      <c r="B19" s="5" t="inlineStr">
        <is>
          <t>Error</t>
        </is>
      </c>
      <c r="C19" s="43">
        <f>ABS(Institute_ROI!F54-Engine!$F$98)</f>
        <v/>
      </c>
      <c r="D19" s="62">
        <f>IF(C19&lt;0.000001,0,1)</f>
        <v/>
      </c>
    </row>
    <row r="20">
      <c r="A20" s="7" t="inlineStr">
        <is>
          <t>Engine reproduces Unit_Econ LTV (L)</t>
        </is>
      </c>
      <c r="B20" s="5" t="inlineStr">
        <is>
          <t>Error</t>
        </is>
      </c>
      <c r="C20" s="43">
        <f>ABS(Unit_Econ!F51-Engine!$F$123)</f>
        <v/>
      </c>
      <c r="D20" s="62">
        <f>IF(C20&lt;0.000001,0,1)</f>
        <v/>
      </c>
    </row>
    <row r="21">
      <c r="A21" s="7" t="inlineStr">
        <is>
          <t>Survival curve stays within 0–1 (Mid)</t>
        </is>
      </c>
      <c r="B21" s="5" t="inlineStr">
        <is>
          <t>Error</t>
        </is>
      </c>
      <c r="C21" s="43">
        <f>IF(AND(MIN(Unit_Econ!E181:E240)&gt;=0,MAX(Unit_Econ!E181:E240)&lt;=1),0,1)</f>
        <v/>
      </c>
      <c r="D21" s="62">
        <f>C21</f>
        <v/>
      </c>
    </row>
    <row r="22">
      <c r="A22" s="7" t="inlineStr">
        <is>
          <t>Guide ROI reproduces the brief's 2.25x</t>
        </is>
      </c>
      <c r="B22" s="5" t="inlineStr">
        <is>
          <t>Error</t>
        </is>
      </c>
      <c r="C22" s="43">
        <f>Institute_ROI!$E$70</f>
        <v/>
      </c>
      <c r="D22" s="62">
        <f>IF(ABS(C22-2.25)&lt;0.01,0,1)</f>
        <v/>
      </c>
    </row>
    <row r="23">
      <c r="A23" s="7" t="inlineStr">
        <is>
          <t>Projection: never more paying institutes than institutes won</t>
        </is>
      </c>
      <c r="B23" s="5" t="inlineStr">
        <is>
          <t>Error</t>
        </is>
      </c>
      <c r="C23" s="43">
        <f>SUMPRODUCT((Projection!$E$126:$AN$126&gt;Projection!$E$124:$AN$124+0.000001)*1)</f>
        <v/>
      </c>
      <c r="D23" s="62">
        <f>IF(C23=0,0,1)</f>
        <v/>
      </c>
    </row>
    <row r="24">
      <c r="A24" s="7" t="inlineStr">
        <is>
          <t>Projection: institutes won never exceed the market cap</t>
        </is>
      </c>
      <c r="B24" s="5" t="inlineStr">
        <is>
          <t>Error</t>
        </is>
      </c>
      <c r="C24" s="43">
        <f>MAX(0,Projection!$AN$124-Projection!$D$75)</f>
        <v/>
      </c>
      <c r="D24" s="62">
        <f>IF(C24&lt;0.001,0,1)</f>
        <v/>
      </c>
    </row>
    <row r="25">
      <c r="A25" s="7" t="inlineStr">
        <is>
          <t>Projection: cash never negative once the funding ask arrives</t>
        </is>
      </c>
      <c r="B25" s="5" t="inlineStr">
        <is>
          <t>Error</t>
        </is>
      </c>
      <c r="C25" s="43">
        <f>MIN(Projection!$E$156:$AN$156)</f>
        <v/>
      </c>
      <c r="D25" s="62">
        <f>IF(C25&gt;=-1,0,1)</f>
        <v/>
      </c>
    </row>
    <row r="26">
      <c r="A26" s="7" t="inlineStr">
        <is>
          <t>Projection (live) equals the fixed-scenario sheet for the chosen scenario</t>
        </is>
      </c>
      <c r="B26" s="5" t="inlineStr">
        <is>
          <t>Error</t>
        </is>
      </c>
      <c r="C26" s="43">
        <f>ABS(Projection!$F$87-CHOOSE(Scenario,Proj_Bear!$F$87,Proj_Base!$F$87,Proj_Bull!$F$87))+ABS(Projection!$D$103-CHOOSE(Scenario,Proj_Bear!$D$103,Proj_Base!$D$103,Proj_Bull!$D$103))</f>
        <v/>
      </c>
      <c r="D26" s="62">
        <f>IF(C26&lt;0.01,0,1)</f>
        <v/>
      </c>
    </row>
    <row r="27">
      <c r="A27" s="7" t="inlineStr">
        <is>
          <t>WARNING: RCT effect exceeds share of dropouts that are preventable</t>
        </is>
      </c>
      <c r="B27" s="5" t="inlineStr">
        <is>
          <t>Warning</t>
        </is>
      </c>
      <c r="C27" s="43">
        <f>InterventionSuccess-Preventable</f>
        <v/>
      </c>
      <c r="D27" s="62">
        <f>IF(C27&lt;=0,0,1)</f>
        <v/>
      </c>
    </row>
    <row r="28">
      <c r="A28" s="7" t="inlineStr">
        <is>
          <t>WARNING: list price above the highest ERP/LMS anchor found (₹21/student/month)</t>
        </is>
      </c>
      <c r="B28" s="5" t="inlineStr">
        <is>
          <t>Warning</t>
        </is>
      </c>
      <c r="C28" s="43">
        <f>ListPrice</f>
        <v/>
      </c>
      <c r="D28" s="62">
        <f>IF(C28&lt;=CompetitorAnchorHigh,0,1)</f>
        <v/>
      </c>
    </row>
    <row r="29">
      <c r="A29" s="7" t="inlineStr">
        <is>
          <t>WARNING: months with negative contribution (Mid)</t>
        </is>
      </c>
      <c r="B29" s="5" t="inlineStr">
        <is>
          <t>Warning</t>
        </is>
      </c>
      <c r="C29" s="43">
        <f>COUNTIF(Unit_Econ!E121:E180,"&lt;0")</f>
        <v/>
      </c>
      <c r="D29" s="62">
        <f>IF(C29=0,0,1)</f>
        <v/>
      </c>
    </row>
    <row r="30">
      <c r="A30" s="7" t="inlineStr">
        <is>
          <t>WARNING: all-in COGS outside tech band ₹3–10 per student-month</t>
        </is>
      </c>
      <c r="B30" s="5" t="inlineStr">
        <is>
          <t>Warning</t>
        </is>
      </c>
      <c r="C30" s="43">
        <f>COGS_AllIn</f>
        <v/>
      </c>
      <c r="D30" s="62">
        <f>IF(AND(C30&gt;=3,C30&lt;=10),0,1)</f>
        <v/>
      </c>
    </row>
    <row r="31">
      <c r="A31" s="7" t="inlineStr">
        <is>
          <t>WARNING: Mid institute ROI (all benefits) below 1.0x</t>
        </is>
      </c>
      <c r="B31" s="5" t="inlineStr">
        <is>
          <t>Warning</t>
        </is>
      </c>
      <c r="C31" s="43">
        <f>Institute_ROI!E54</f>
        <v/>
      </c>
      <c r="D31" s="62">
        <f>IF(C31&gt;=1,0,1)</f>
        <v/>
      </c>
    </row>
    <row r="32">
      <c r="A32" s="7" t="inlineStr">
        <is>
          <t>WARNING: Mid hard-benefit ROI (fees + staff time) below 1.0x</t>
        </is>
      </c>
      <c r="B32" s="5" t="inlineStr">
        <is>
          <t>Warning</t>
        </is>
      </c>
      <c r="C32" s="43">
        <f>Institute_ROI!E56</f>
        <v/>
      </c>
      <c r="D32" s="62">
        <f>IF(C32&gt;=1,0,1)</f>
        <v/>
      </c>
    </row>
    <row r="33">
      <c r="A33" s="7" t="inlineStr">
        <is>
          <t>WARNING: more than 30% of the roll flagged per year (alert fatigue)</t>
        </is>
      </c>
      <c r="B33" s="5" t="inlineStr">
        <is>
          <t>Warning</t>
        </is>
      </c>
      <c r="C33" s="43">
        <f>Institute_ROI!E49</f>
        <v/>
      </c>
      <c r="D33" s="62">
        <f>IF(C33&lt;=0.3,0,1)</f>
        <v/>
      </c>
    </row>
    <row r="34">
      <c r="A34" s="7" t="inlineStr">
        <is>
          <t>WARNING: Mid LTV/CAC (discounted) below 3x</t>
        </is>
      </c>
      <c r="B34" s="5" t="inlineStr">
        <is>
          <t>Warning</t>
        </is>
      </c>
      <c r="C34" s="43">
        <f>Unit_Econ!E52</f>
        <v/>
      </c>
      <c r="D34" s="62">
        <f>IF(C34&gt;=3,0,1)</f>
        <v/>
      </c>
    </row>
    <row r="35">
      <c r="A35" s="7" t="inlineStr">
        <is>
          <t>WARNING: Mid payback above 24 months</t>
        </is>
      </c>
      <c r="B35" s="5" t="inlineStr">
        <is>
          <t>Warning</t>
        </is>
      </c>
      <c r="C35" s="43">
        <f>Unit_Econ!E53</f>
        <v/>
      </c>
      <c r="D35" s="62">
        <f>IF(C35&lt;=24,0,1)</f>
        <v/>
      </c>
    </row>
    <row r="36">
      <c r="A36" s="7" t="inlineStr">
        <is>
          <t>WARNING: 3-year projection never reaches 3 positive EBITDA months in a row</t>
        </is>
      </c>
      <c r="B36" s="5" t="inlineStr">
        <is>
          <t>Warning</t>
        </is>
      </c>
      <c r="C36" s="43">
        <f>IF(ISNUMBER(Projection!$D$105),0,1)</f>
        <v/>
      </c>
      <c r="D36" s="62">
        <f>C36</f>
        <v/>
      </c>
    </row>
    <row r="37">
      <c r="A37" s="7" t="inlineStr">
        <is>
          <t>WARNING: EBITDA in year 3 is negative</t>
        </is>
      </c>
      <c r="B37" s="5" t="inlineStr">
        <is>
          <t>Warning</t>
        </is>
      </c>
      <c r="C37" s="43">
        <f>Projection!$F$93</f>
        <v/>
      </c>
      <c r="D37" s="62">
        <f>IF(C37&gt;=0,0,1)</f>
        <v/>
      </c>
    </row>
    <row r="38">
      <c r="A38" s="7" t="inlineStr">
        <is>
          <t>WARNING: the market cap limited sales in the live projection</t>
        </is>
      </c>
      <c r="B38" s="5" t="inlineStr">
        <is>
          <t>Warning</t>
        </is>
      </c>
      <c r="C38" s="43">
        <f>Projection!$D$109</f>
        <v/>
      </c>
      <c r="D38" s="62">
        <f>IF(C38=0,0,1)</f>
        <v/>
      </c>
    </row>
    <row r="40">
      <c r="A40" s="3" t="inlineStr">
        <is>
          <t>ERRORS</t>
        </is>
      </c>
      <c r="D40" s="73">
        <f>SUMIF(B4:B38,"Error",D4:D38)</f>
        <v/>
      </c>
    </row>
    <row r="41">
      <c r="A41" s="3" t="inlineStr">
        <is>
          <t>WARNINGS (honest red flags to discuss, not bugs)</t>
        </is>
      </c>
      <c r="D41" s="62">
        <f>SUMIF(B4:B38,"Warning",D4:D38)</f>
        <v/>
      </c>
    </row>
  </sheetData>
  <conditionalFormatting sqref="D4:D41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12" customWidth="1" min="3" max="3"/>
    <col width="11" customWidth="1" min="4" max="4"/>
    <col width="80" customWidth="1" min="5" max="5"/>
    <col width="40" customWidth="1" min="6" max="6"/>
  </cols>
  <sheetData>
    <row r="1">
      <c r="A1" s="1" t="inlineStr">
        <is>
          <t>Sources &amp; evidence register</t>
        </is>
      </c>
    </row>
    <row r="2">
      <c r="A2" s="2" t="inlineStr">
        <is>
          <t>Raw research is in Financial_Model/research/*.md. Anything typed 'Assumption' is unverified — say so on the slide.</t>
        </is>
      </c>
    </row>
    <row r="4">
      <c r="A4" s="6" t="inlineStr">
        <is>
          <t>Name</t>
        </is>
      </c>
      <c r="B4" s="6" t="inlineStr">
        <is>
          <t>Input</t>
        </is>
      </c>
      <c r="C4" s="6" t="inlineStr">
        <is>
          <t>Type</t>
        </is>
      </c>
      <c r="D4" s="6" t="inlineStr">
        <is>
          <t>Confidence</t>
        </is>
      </c>
      <c r="E4" s="6" t="inlineStr">
        <is>
          <t>Source</t>
        </is>
      </c>
      <c r="F4" s="6" t="inlineStr">
        <is>
          <t>Note</t>
        </is>
      </c>
    </row>
    <row r="5">
      <c r="A5" s="5" t="inlineStr">
        <is>
          <t>Students_S</t>
        </is>
      </c>
      <c r="B5" s="7" t="inlineStr">
        <is>
          <t>Students per institute - Small</t>
        </is>
      </c>
      <c r="C5" s="7" t="inlineStr">
        <is>
          <t>Assumption</t>
        </is>
      </c>
      <c r="D5" s="7" t="inlineStr">
        <is>
          <t>M</t>
        </is>
      </c>
      <c r="E5" s="7" t="inlineStr">
        <is>
          <t>Case brief range 150-2000; our cut &lt;250</t>
        </is>
      </c>
      <c r="F5" s="5" t="inlineStr">
        <is>
          <t>Segment midpoint</t>
        </is>
      </c>
    </row>
    <row r="6">
      <c r="A6" s="5" t="inlineStr">
        <is>
          <t>Students_M</t>
        </is>
      </c>
      <c r="B6" s="7" t="inlineStr">
        <is>
          <t>Students per institute - Mid</t>
        </is>
      </c>
      <c r="C6" s="7" t="inlineStr">
        <is>
          <t>Guide</t>
        </is>
      </c>
      <c r="D6" s="7" t="inlineStr">
        <is>
          <t>M</t>
        </is>
      </c>
      <c r="E6" s="7" t="inlineStr">
        <is>
          <t>Case brief baseline 400</t>
        </is>
      </c>
      <c r="F6" s="5" t="inlineStr"/>
    </row>
    <row r="7">
      <c r="A7" s="5" t="inlineStr">
        <is>
          <t>Students_L</t>
        </is>
      </c>
      <c r="B7" s="7" t="inlineStr">
        <is>
          <t>Students per institute - Large</t>
        </is>
      </c>
      <c r="C7" s="7" t="inlineStr">
        <is>
          <t>Assumption</t>
        </is>
      </c>
      <c r="D7" s="7" t="inlineStr">
        <is>
          <t>M</t>
        </is>
      </c>
      <c r="E7" s="7" t="inlineStr">
        <is>
          <t>Case brief range 150-2000; our cut &gt;800</t>
        </is>
      </c>
      <c r="F7" s="5" t="inlineStr"/>
    </row>
    <row r="8">
      <c r="A8" s="5" t="inlineStr">
        <is>
          <t>Fee_S</t>
        </is>
      </c>
      <c r="B8" s="7" t="inlineStr">
        <is>
          <t>Annual fee per student - Small</t>
        </is>
      </c>
      <c r="C8" s="7" t="inlineStr">
        <is>
          <t>Researched</t>
        </is>
      </c>
      <c r="D8" s="7" t="inlineStr">
        <is>
          <t>L</t>
        </is>
      </c>
      <c r="E8" s="7" t="inlineStr">
        <is>
          <t>R2 local-institute evidence: Vedantu Gaya Rs50-56k, Rupantri Muzaffarpur Rs55-60k, GOAL Patna Rs51-99k; PS baseline Rs60k</t>
        </is>
      </c>
      <c r="F8" s="5" t="inlineStr">
        <is>
          <t>Audit 2026-10-22: re-based to local evidence (was Rs65k Base)</t>
        </is>
      </c>
    </row>
    <row r="9">
      <c r="A9" s="5" t="inlineStr">
        <is>
          <t>Fee_M</t>
        </is>
      </c>
      <c r="B9" s="7" t="inlineStr">
        <is>
          <t>Annual fee per student - Mid</t>
        </is>
      </c>
      <c r="C9" s="7" t="inlineStr">
        <is>
          <t>Researched</t>
        </is>
      </c>
      <c r="D9" s="7" t="inlineStr">
        <is>
          <t>L</t>
        </is>
      </c>
      <c r="E9" s="7" t="inlineStr">
        <is>
          <t>R2: PS baseline Rs60k = Bear; local Tier-2 evidence Rs50k-1.2L (Patna independents); chain fees (Vedantu Patna Rs95k) = Bull</t>
        </is>
      </c>
      <c r="F9" s="5" t="inlineStr">
        <is>
          <t>Audit 2026-10-22: was Rs95k Base (chain pricing); our customers are local independents</t>
        </is>
      </c>
    </row>
    <row r="10">
      <c r="A10" s="5" t="inlineStr">
        <is>
          <t>Fee_L</t>
        </is>
      </c>
      <c r="B10" s="7" t="inlineStr">
        <is>
          <t>Annual fee per student - Large</t>
        </is>
      </c>
      <c r="C10" s="7" t="inlineStr">
        <is>
          <t>Researched</t>
        </is>
      </c>
      <c r="D10" s="7" t="inlineStr">
        <is>
          <t>M</t>
        </is>
      </c>
      <c r="E10" s="7" t="inlineStr">
        <is>
          <t>R2: Udaan Patna Rs1.15-1.25L/yr (own site, 2025-27); chains Rs1.1-1.4L (Motion, Allen Indore, Vedantu Lucknow)</t>
        </is>
      </c>
      <c r="F10" s="5" t="inlineStr">
        <is>
          <t>Audit 2026-10-22: was Rs125k Base</t>
        </is>
      </c>
    </row>
    <row r="11">
      <c r="A11" s="5" t="inlineStr">
        <is>
          <t>OnboardMult_S</t>
        </is>
      </c>
      <c r="B11" s="7" t="inlineStr">
        <is>
          <t>Onboarding cost multiplier - Small</t>
        </is>
      </c>
      <c r="C11" s="7" t="inlineStr">
        <is>
          <t>Assumption</t>
        </is>
      </c>
      <c r="D11" s="7" t="inlineStr">
        <is>
          <t>L</t>
        </is>
      </c>
      <c r="E11" s="7" t="inlineStr">
        <is>
          <t>Fewer batches to migrate</t>
        </is>
      </c>
      <c r="F11" s="5" t="inlineStr"/>
    </row>
    <row r="12">
      <c r="A12" s="5" t="inlineStr">
        <is>
          <t>OnboardMult_M</t>
        </is>
      </c>
      <c r="B12" s="7" t="inlineStr">
        <is>
          <t>Onboarding cost multiplier - Mid</t>
        </is>
      </c>
      <c r="C12" s="7" t="inlineStr">
        <is>
          <t>Structural</t>
        </is>
      </c>
      <c r="D12" s="7" t="inlineStr">
        <is>
          <t>H</t>
        </is>
      </c>
      <c r="E12" s="7" t="inlineStr">
        <is>
          <t>Reference segment</t>
        </is>
      </c>
      <c r="F12" s="5" t="inlineStr"/>
    </row>
    <row r="13">
      <c r="A13" s="5" t="inlineStr">
        <is>
          <t>OnboardMult_L</t>
        </is>
      </c>
      <c r="B13" s="7" t="inlineStr">
        <is>
          <t>Onboarding cost multiplier - Large</t>
        </is>
      </c>
      <c r="C13" s="7" t="inlineStr">
        <is>
          <t>Assumption</t>
        </is>
      </c>
      <c r="D13" s="7" t="inlineStr">
        <is>
          <t>L</t>
        </is>
      </c>
      <c r="E13" s="7" t="inlineStr">
        <is>
          <t>More batches and staff to train</t>
        </is>
      </c>
      <c r="F13" s="5" t="inlineStr"/>
    </row>
    <row r="14">
      <c r="A14" s="5" t="inlineStr">
        <is>
          <t>DropoutRate</t>
        </is>
      </c>
      <c r="B14" s="7" t="inlineStr">
        <is>
          <t>Mid-session dropout/default rate</t>
        </is>
      </c>
      <c r="C14" s="7" t="inlineStr">
        <is>
          <t>Researched</t>
        </is>
      </c>
      <c r="D14" s="7" t="inlineStr">
        <is>
          <t>L</t>
        </is>
      </c>
      <c r="E14" s="7" t="inlineStr">
        <is>
          <t>PS Section 7 baseline 8-15% (12% used); CFI 'at least 10 per cent of students in every batch' (ThePrint 2025) is a floor; tech generator uses 18% (knob 12-25%)</t>
        </is>
      </c>
      <c r="F14" s="5" t="inlineStr">
        <is>
          <t>Audit 2026-10-22: Base back to the PS's 12% (was 10%). Tech's 18% is a stress calibration that gives enough validation events</t>
        </is>
      </c>
    </row>
    <row r="15">
      <c r="A15" s="5" t="inlineStr">
        <is>
          <t>UpfrontShare</t>
        </is>
      </c>
      <c r="B15" s="7" t="inlineStr">
        <is>
          <t>Share of students paying full fee upfront</t>
        </is>
      </c>
      <c r="C15" s="7" t="inlineStr">
        <is>
          <t>Assumption</t>
        </is>
      </c>
      <c r="D15" s="7" t="inlineStr">
        <is>
          <t>L</t>
        </is>
      </c>
      <c r="E15" s="7" t="inlineStr">
        <is>
          <t>R2: not found. Instalments are the norm (Allen 2; PW 3; Aakash several; Rajasthan Act s.6(2)(d) &gt;=4 option)</t>
        </is>
      </c>
      <c r="F15" s="5" t="inlineStr">
        <is>
          <t>TECH_PLAN's 35% had no source</t>
        </is>
      </c>
    </row>
    <row r="16">
      <c r="A16" s="5" t="inlineStr">
        <is>
          <t>NInstalments</t>
        </is>
      </c>
      <c r="B16" s="7" t="inlineStr">
        <is>
          <t>Instalments per year for non-upfront payers</t>
        </is>
      </c>
      <c r="C16" s="7" t="inlineStr">
        <is>
          <t>Researched</t>
        </is>
      </c>
      <c r="D16" s="7" t="inlineStr">
        <is>
          <t>M</t>
        </is>
      </c>
      <c r="E16" s="7" t="inlineStr">
        <is>
          <t>R2: Allen 2 (2nd within 45 days); PW 3; Rajasthan Act 16/2025 s.6(2)(d) min. 4 equal</t>
        </is>
      </c>
      <c r="F16" s="5" t="inlineStr">
        <is>
          <t>Fewer instalments = cash collected early = less at risk</t>
        </is>
      </c>
    </row>
    <row r="17">
      <c r="A17" s="5" t="inlineStr">
        <is>
          <t>RefundEnforced</t>
        </is>
      </c>
      <c r="B17" s="7" t="inlineStr">
        <is>
          <t>Share of upfront leavers actually refunded pro-rata</t>
        </is>
      </c>
      <c r="C17" s="7" t="inlineStr">
        <is>
          <t>Assumption</t>
        </is>
      </c>
      <c r="D17" s="7" t="inlineStr">
        <is>
          <t>L</t>
        </is>
      </c>
      <c r="E17" s="7" t="inlineStr">
        <is>
          <t>R2: MoE Guidelines 2024 cl.8(iv) and Rajasthan s.13(4) require pro-rata refund within 10 days; MoE is advisory and Allen/Aakash/PW practice is cut-off or no refund</t>
        </is>
      </c>
      <c r="F17" s="5" t="inlineStr">
        <is>
          <t>Refunded upfront leavers = fee at risk</t>
        </is>
      </c>
    </row>
    <row r="18">
      <c r="A18" s="5" t="inlineStr">
        <is>
          <t>CourseMonths</t>
        </is>
      </c>
      <c r="B18" s="7" t="inlineStr">
        <is>
          <t>Course length</t>
        </is>
      </c>
      <c r="C18" s="7" t="inlineStr">
        <is>
          <t>Guide</t>
        </is>
      </c>
      <c r="D18" s="7" t="inlineStr">
        <is>
          <t>H</t>
        </is>
      </c>
      <c r="E18" s="7" t="inlineStr">
        <is>
          <t>Case brief ~10 months</t>
        </is>
      </c>
      <c r="F18" s="5" t="inlineStr"/>
    </row>
    <row r="19">
      <c r="A19" s="5" t="inlineStr">
        <is>
          <t>BlindMonths</t>
        </is>
      </c>
      <c r="B19" s="7" t="inlineStr">
        <is>
          <t>Months before the model can flag (no test data yet)</t>
        </is>
      </c>
      <c r="C19" s="7" t="inlineStr">
        <is>
          <t>Assumption</t>
        </is>
      </c>
      <c r="D19" s="7" t="inlineStr">
        <is>
          <t>M</t>
        </is>
      </c>
      <c r="E19" s="7" t="inlineStr">
        <is>
          <t>The model needs 1-2 cumulative tests before it can flag (tech generator: a full mock every 14 days)</t>
        </is>
      </c>
      <c r="F19" s="5" t="inlineStr">
        <is>
          <t>Audit: Base 2 (was 1). Dropouts in these months cannot be caught</t>
        </is>
      </c>
    </row>
    <row r="20">
      <c r="A20" s="5" t="inlineStr">
        <is>
          <t>Preventable</t>
        </is>
      </c>
      <c r="B20" s="7" t="inlineStr">
        <is>
          <t>Share of dropouts that are preventable (check only)</t>
        </is>
      </c>
      <c r="C20" s="7" t="inlineStr">
        <is>
          <t>Assumption</t>
        </is>
      </c>
      <c r="D20" s="7" t="inlineStr">
        <is>
          <t>L</t>
        </is>
      </c>
      <c r="E20" s="7" t="inlineStr">
        <is>
          <t>Tech generator reasons_mix: academic gap 35% + financial 20% are addressable; relocation 20%, switched institute 15%, health 10% are not</t>
        </is>
      </c>
      <c r="F20" s="5" t="inlineStr">
        <is>
          <t>Audit: aligned with the tech team; used only as a sanity check on the trial effect</t>
        </is>
      </c>
    </row>
    <row r="21">
      <c r="A21" s="5" t="inlineStr">
        <is>
          <t>MinorShare</t>
        </is>
      </c>
      <c r="B21" s="7" t="inlineStr">
        <is>
          <t>Share of students under 18</t>
        </is>
      </c>
      <c r="C21" s="7" t="inlineStr">
        <is>
          <t>Public</t>
        </is>
      </c>
      <c r="D21" s="7" t="inlineStr">
        <is>
          <t>M</t>
        </is>
      </c>
      <c r="E21" s="7" t="inlineStr">
        <is>
          <t>Tech generator: 78% of students are minors at join (FEASIBILITY_CHECK s.6); JEE/NEET Class 11-12 are 16-17</t>
        </is>
      </c>
      <c r="F21" s="5" t="inlineStr">
        <is>
          <t>Audit: aligned with the tech team's synthetic data</t>
        </is>
      </c>
    </row>
    <row r="22">
      <c r="A22" s="5" t="inlineStr">
        <is>
          <t>Recall_Minor</t>
        </is>
      </c>
      <c r="B22" s="7" t="inlineStr">
        <is>
          <t>Model recall on minors (academic-support + rules)</t>
        </is>
      </c>
      <c r="C22" s="7" t="inlineStr">
        <is>
          <t>Assumption</t>
        </is>
      </c>
      <c r="D22" s="7" t="inlineStr">
        <is>
          <t>M</t>
        </is>
      </c>
      <c r="E22" s="7" t="inlineStr">
        <is>
          <t>Tech FEASIBILITY_CHECK s.2 and s.6: recall 0.31 on the actual generator; 0.49-0.55 of gradual dropouts x 75% gradual = 0.37-0.41 of all dropouts; minors get the academic-support model + rules only. Replace with metrics.json</t>
        </is>
      </c>
      <c r="F22" s="5" t="inlineStr">
        <is>
          <t>Audit 2026-10-22: was 0.55 Base (above anything the tech team measured). 25% of dropouts are sudden and unpredictable</t>
        </is>
      </c>
    </row>
    <row r="23">
      <c r="A23" s="5" t="inlineStr">
        <is>
          <t>Recall_Adult</t>
        </is>
      </c>
      <c r="B23" s="7" t="inlineStr">
        <is>
          <t>Model recall on 18+ (full ML)</t>
        </is>
      </c>
      <c r="C23" s="7" t="inlineStr">
        <is>
          <t>Assumption</t>
        </is>
      </c>
      <c r="D23" s="7" t="inlineStr">
        <is>
          <t>M</t>
        </is>
      </c>
      <c r="E23" s="7" t="inlineStr">
        <is>
          <t>Tech FEASIBILITY_CHECK s.2: 0.37-0.41 of all dropouts at fixed workload; adults (18+) can use full ML incl. engagement. Replace with metrics.json</t>
        </is>
      </c>
      <c r="F23" s="5" t="inlineStr">
        <is>
          <t>Audit 2026-10-22: was 0.65 Base. OULAD AUC 0.706-0.794 (public) is ranking quality, not recall at a workload</t>
        </is>
      </c>
    </row>
    <row r="24">
      <c r="A24" s="5" t="inlineStr">
        <is>
          <t>Precision</t>
        </is>
      </c>
      <c r="B24" s="7" t="inlineStr">
        <is>
          <t>Precision of at-risk flag</t>
        </is>
      </c>
      <c r="C24" s="7" t="inlineStr">
        <is>
          <t>Researched</t>
        </is>
      </c>
      <c r="D24" s="7" t="inlineStr">
        <is>
          <t>M</t>
        </is>
      </c>
      <c r="E24" s="7" t="inlineStr">
        <is>
          <t>Tech FEASIBILITY_CHECK s.6: precision@top-4%/wk 0.136; with 38% of students flagged at least once and recall 0.31, student-level precision is about 0.15 (derived)</t>
        </is>
      </c>
      <c r="F24" s="5" t="inlineStr">
        <is>
          <t>Audit 2026-10-22: was 0.35. Low precision means most mentor calls go to students who would not have left</t>
        </is>
      </c>
    </row>
    <row r="25">
      <c r="A25" s="5" t="inlineStr">
        <is>
          <t>ActionRate</t>
        </is>
      </c>
      <c r="B25" s="7" t="inlineStr">
        <is>
          <t>Share of flags the institute assigns to outreach</t>
        </is>
      </c>
      <c r="C25" s="7" t="inlineStr">
        <is>
          <t>Assumption</t>
        </is>
      </c>
      <c r="D25" s="7" t="inlineStr">
        <is>
          <t>L</t>
        </is>
      </c>
      <c r="E25" s="7" t="inlineStr">
        <is>
          <t>Mentor capacity; the RCT effect below is already intention-to-treat</t>
        </is>
      </c>
      <c r="F25" s="5" t="inlineStr">
        <is>
          <t>Primary research needed</t>
        </is>
      </c>
    </row>
    <row r="26">
      <c r="A26" s="5" t="inlineStr">
        <is>
          <t>InterventionSuccess</t>
        </is>
      </c>
      <c r="B26" s="7" t="inlineStr">
        <is>
          <t>Dropout reduction among flagged students given outreach (RCT)</t>
        </is>
      </c>
      <c r="C26" s="7" t="inlineStr">
        <is>
          <t>Researched</t>
        </is>
      </c>
      <c r="D26" s="7" t="inlineStr">
        <is>
          <t>M</t>
        </is>
      </c>
      <c r="E26" s="7" t="inlineStr">
        <is>
          <t>R4: mean 15.8% / median 12.5% over 8 RCTs - OU outreach RCT 2020 -19%/-35%; Room to Read India -30%; Bergman parent texts; MAAPS/Samata/Oreopoulos nulls (research/R4_R5)</t>
        </is>
      </c>
      <c r="F26" s="5" t="inlineStr">
        <is>
          <t>Borrowed from other settings - not our measured effect</t>
        </is>
      </c>
    </row>
    <row r="27">
      <c r="A27" s="5" t="inlineStr">
        <is>
          <t>AdmissionUplift</t>
        </is>
      </c>
      <c r="B27" s="7" t="inlineStr">
        <is>
          <t>Admissions uplift next session from results/parent trust</t>
        </is>
      </c>
      <c r="C27" s="7" t="inlineStr">
        <is>
          <t>Assumption</t>
        </is>
      </c>
      <c r="D27" s="7" t="inlineStr">
        <is>
          <t>L</t>
        </is>
      </c>
      <c r="E27" s="7" t="inlineStr">
        <is>
          <t>No evidence - Bear = 0</t>
        </is>
      </c>
      <c r="F27" s="5" t="inlineStr"/>
    </row>
    <row r="28">
      <c r="A28" s="5" t="inlineStr">
        <is>
          <t>MarginExtraAdmission</t>
        </is>
      </c>
      <c r="B28" s="7" t="inlineStr">
        <is>
          <t>Institute margin on one extra admission</t>
        </is>
      </c>
      <c r="C28" s="7" t="inlineStr">
        <is>
          <t>Assumption</t>
        </is>
      </c>
      <c r="D28" s="7" t="inlineStr">
        <is>
          <t>L</t>
        </is>
      </c>
      <c r="E28" s="7" t="inlineStr">
        <is>
          <t>Marginal seat in an existing batch</t>
        </is>
      </c>
      <c r="F28" s="5" t="inlineStr"/>
    </row>
    <row r="29">
      <c r="A29" s="5" t="inlineStr">
        <is>
          <t>StaffHoursSaved</t>
        </is>
      </c>
      <c r="B29" s="7" t="inlineStr">
        <is>
          <t>Staff hours saved per month</t>
        </is>
      </c>
      <c r="C29" s="7" t="inlineStr">
        <is>
          <t>Guide</t>
        </is>
      </c>
      <c r="D29" s="7" t="inlineStr">
        <is>
          <t>L</t>
        </is>
      </c>
      <c r="E29" s="7" t="inlineStr">
        <is>
          <t>Case brief value lever; primary research needed</t>
        </is>
      </c>
      <c r="F29" s="5" t="inlineStr"/>
    </row>
    <row r="30">
      <c r="A30" s="5" t="inlineStr">
        <is>
          <t>StaffHourCost</t>
        </is>
      </c>
      <c r="B30" s="7" t="inlineStr">
        <is>
          <t>Cost of one admin staff hour</t>
        </is>
      </c>
      <c r="C30" s="7" t="inlineStr">
        <is>
          <t>Researched</t>
        </is>
      </c>
      <c r="D30" s="7" t="inlineStr">
        <is>
          <t>M</t>
        </is>
      </c>
      <c r="E30" s="7" t="inlineStr">
        <is>
          <t>R5: Tier-2 executive pay Rs18-25k/month (Payscale/Indeed Patna) / ~200 h</t>
        </is>
      </c>
      <c r="F30" s="5" t="inlineStr"/>
    </row>
    <row r="31">
      <c r="A31" s="5" t="inlineStr">
        <is>
          <t>InterventionMinutes</t>
        </is>
      </c>
      <c r="B31" s="7" t="inlineStr">
        <is>
          <t>Mentor minutes per intervention</t>
        </is>
      </c>
      <c r="C31" s="7" t="inlineStr">
        <is>
          <t>Assumption</t>
        </is>
      </c>
      <c r="D31" s="7" t="inlineStr">
        <is>
          <t>L</t>
        </is>
      </c>
      <c r="E31" s="7" t="inlineStr">
        <is>
          <t>Assumption: the trials behind the 15% effect used multi-touch outreach (call + parent meeting + follow-ups), about 2 hours per flagged student</t>
        </is>
      </c>
      <c r="F31" s="5" t="inlineStr">
        <is>
          <t>Audit 2026-10-22: was 30 minutes Base, too thin to deliver the trial effect</t>
        </is>
      </c>
    </row>
    <row r="32">
      <c r="A32" s="5" t="inlineStr">
        <is>
          <t>MentorHourCost</t>
        </is>
      </c>
      <c r="B32" s="7" t="inlineStr">
        <is>
          <t>Cost of one mentor hour</t>
        </is>
      </c>
      <c r="C32" s="7" t="inlineStr">
        <is>
          <t>Assumption</t>
        </is>
      </c>
      <c r="D32" s="7" t="inlineStr">
        <is>
          <t>M</t>
        </is>
      </c>
      <c r="E32" s="7" t="inlineStr">
        <is>
          <t>Teacher pay ~Rs30-50k/month / ~200 h</t>
        </is>
      </c>
      <c r="F32" s="5" t="inlineStr"/>
    </row>
    <row r="33">
      <c r="A33" s="5" t="inlineStr">
        <is>
          <t>GST</t>
        </is>
      </c>
      <c r="B33" s="7" t="inlineStr">
        <is>
          <t>GST on SaaS</t>
        </is>
      </c>
      <c r="C33" s="7" t="inlineStr">
        <is>
          <t>Researched</t>
        </is>
      </c>
      <c r="D33" s="7" t="inlineStr">
        <is>
          <t>M</t>
        </is>
      </c>
      <c r="E33" s="7" t="inlineStr">
        <is>
          <t>R6: 18% (heading 9983 residual entry; Notif. 11/2017-CTR as amended by 15/2025-CTR)</t>
        </is>
      </c>
      <c r="F33" s="5" t="inlineStr">
        <is>
          <t>SAC code 9983 vs 9984 unconfirmed - ask a CA</t>
        </is>
      </c>
    </row>
    <row r="34">
      <c r="A34" s="5" t="inlineStr">
        <is>
          <t>ITCShare</t>
        </is>
      </c>
      <c r="B34" s="7" t="inlineStr">
        <is>
          <t>Share of institutes that reclaim our GST as input credit</t>
        </is>
      </c>
      <c r="C34" s="7" t="inlineStr">
        <is>
          <t>Assumption</t>
        </is>
      </c>
      <c r="D34" s="7" t="inlineStr">
        <is>
          <t>L</t>
        </is>
      </c>
      <c r="E34" s="7" t="inlineStr">
        <is>
          <t>R6: coaching is taxable at 18%; registration mandatory above Rs20L turnover; CGST s.16(1) gives ITC to registered persons. A 180-student institute turns over ~Rs1 Cr, so legally registered - but cash/informal practice in Tier-3</t>
        </is>
      </c>
      <c r="F34" s="5" t="inlineStr">
        <is>
          <t>Was 'all unregistered' in the naive view</t>
        </is>
      </c>
    </row>
    <row r="35">
      <c r="A35" s="5" t="inlineStr">
        <is>
          <t>ListPrice</t>
        </is>
      </c>
      <c r="B35" s="7" t="inlineStr">
        <is>
          <t>List price per active student per month</t>
        </is>
      </c>
      <c r="C35" s="7" t="inlineStr">
        <is>
          <t>Assumption</t>
        </is>
      </c>
      <c r="D35" s="7" t="inlineStr">
        <is>
          <t>L</t>
        </is>
      </c>
      <c r="E35" s="7" t="inlineStr">
        <is>
          <t>R1: ERP/LMS anchors Rs4-21/student/month at 400 students (Classplus/Fedena/Graphy); no competitor bundles OMR + topic analytics + Hindi WhatsApp</t>
        </is>
      </c>
      <c r="F35" s="5" t="inlineStr">
        <is>
          <t>Decision lever - test in interviews (Van Westendorp)</t>
        </is>
      </c>
    </row>
    <row r="36">
      <c r="A36" s="5" t="inlineStr">
        <is>
          <t>CompetitorAnchor</t>
        </is>
      </c>
      <c r="B36" s="7" t="inlineStr">
        <is>
          <t>What institutes already pay for an ERP/LMS</t>
        </is>
      </c>
      <c r="C36" s="7" t="inlineStr">
        <is>
          <t>Researched</t>
        </is>
      </c>
      <c r="D36" s="7" t="inlineStr">
        <is>
          <t>M</t>
        </is>
      </c>
      <c r="E36" s="7" t="inlineStr">
        <is>
          <t>R1: Classplus Starter Rs19999/yr (Capterra); Fedena Standard / Graphy Grow Rs50k/yr; Fedena Ultimate Rs1L/yr - all at 400 students</t>
        </is>
      </c>
      <c r="F36" s="5" t="inlineStr">
        <is>
          <t>Reference only - not used in revenue</t>
        </is>
      </c>
    </row>
    <row r="37">
      <c r="A37" s="5" t="inlineStr">
        <is>
          <t>CompetitorAnchorHigh</t>
        </is>
      </c>
      <c r="B37" s="7" t="inlineStr">
        <is>
          <t>Highest priced ERP/LMS anchor found</t>
        </is>
      </c>
      <c r="C37" s="7" t="inlineStr">
        <is>
          <t>Researched</t>
        </is>
      </c>
      <c r="D37" s="7" t="inlineStr">
        <is>
          <t>M</t>
        </is>
      </c>
      <c r="E37" s="7" t="inlineStr">
        <is>
          <t>R1: Fedena Ultimate / Graphy Rise Rs1L/yr at 400 students</t>
        </is>
      </c>
      <c r="F37" s="5" t="inlineStr">
        <is>
          <t>Used in a warning check</t>
        </is>
      </c>
    </row>
    <row r="38">
      <c r="A38" s="5" t="inlineStr">
        <is>
          <t>MinFee</t>
        </is>
      </c>
      <c r="B38" s="7" t="inlineStr">
        <is>
          <t>Minimum monthly fee per institute</t>
        </is>
      </c>
      <c r="C38" s="7" t="inlineStr">
        <is>
          <t>Assumption</t>
        </is>
      </c>
      <c r="D38" s="7" t="inlineStr">
        <is>
          <t>L</t>
        </is>
      </c>
      <c r="E38" s="7" t="inlineStr">
        <is>
          <t>FINANCE_PLAN s.3.2</t>
        </is>
      </c>
      <c r="F38" s="5" t="inlineStr"/>
    </row>
    <row r="39">
      <c r="A39" s="5" t="inlineStr">
        <is>
          <t>NegotiationDisc</t>
        </is>
      </c>
      <c r="B39" s="7" t="inlineStr">
        <is>
          <t>Average negotiated discount off list</t>
        </is>
      </c>
      <c r="C39" s="7" t="inlineStr">
        <is>
          <t>Assumption</t>
        </is>
      </c>
      <c r="D39" s="7" t="inlineStr">
        <is>
          <t>L</t>
        </is>
      </c>
      <c r="E39" s="7" t="inlineStr">
        <is>
          <t>Primary research needed</t>
        </is>
      </c>
      <c r="F39" s="5" t="inlineStr"/>
    </row>
    <row r="40">
      <c r="A40" s="5" t="inlineStr">
        <is>
          <t>PrepayUptake</t>
        </is>
      </c>
      <c r="B40" s="7" t="inlineStr">
        <is>
          <t>Share of institutes choosing annual prepay</t>
        </is>
      </c>
      <c r="C40" s="7" t="inlineStr">
        <is>
          <t>Assumption</t>
        </is>
      </c>
      <c r="D40" s="7" t="inlineStr">
        <is>
          <t>L</t>
        </is>
      </c>
      <c r="E40" s="7" t="inlineStr">
        <is>
          <t>Coaching institutes are cash-rich in Apr-Jun (admission season)</t>
        </is>
      </c>
      <c r="F40" s="5" t="inlineStr">
        <is>
          <t>Prepaid institutes cannot churn mid-session</t>
        </is>
      </c>
    </row>
    <row r="41">
      <c r="A41" s="5" t="inlineStr">
        <is>
          <t>PrepayDisc</t>
        </is>
      </c>
      <c r="B41" s="7" t="inlineStr">
        <is>
          <t>Annual prepay discount</t>
        </is>
      </c>
      <c r="C41" s="7" t="inlineStr">
        <is>
          <t>Assumption</t>
        </is>
      </c>
      <c r="D41" s="7" t="inlineStr">
        <is>
          <t>M</t>
        </is>
      </c>
      <c r="E41" s="7" t="inlineStr">
        <is>
          <t>FINANCE_PLAN s.3.2; R2 shows institutes give 4-6% for upfront fees</t>
        </is>
      </c>
      <c r="F41" s="5" t="inlineStr"/>
    </row>
    <row r="42">
      <c r="A42" s="5" t="inlineStr">
        <is>
          <t>BadDebt</t>
        </is>
      </c>
      <c r="B42" s="7" t="inlineStr">
        <is>
          <t>Bad debt / uncollected billing</t>
        </is>
      </c>
      <c r="C42" s="7" t="inlineStr">
        <is>
          <t>Assumption</t>
        </is>
      </c>
      <c r="D42" s="7" t="inlineStr">
        <is>
          <t>M</t>
        </is>
      </c>
      <c r="E42" s="7" t="inlineStr">
        <is>
          <t>FINANCE_PLAN s.3.2</t>
        </is>
      </c>
      <c r="F42" s="5" t="inlineStr"/>
    </row>
    <row r="43">
      <c r="A43" s="5" t="inlineStr">
        <is>
          <t>GatewayFee</t>
        </is>
      </c>
      <c r="B43" s="7" t="inlineStr">
        <is>
          <t>Payment collection cost (blended)</t>
        </is>
      </c>
      <c r="C43" s="7" t="inlineStr">
        <is>
          <t>Researched</t>
        </is>
      </c>
      <c r="D43" s="7" t="inlineStr">
        <is>
          <t>M</t>
        </is>
      </c>
      <c r="E43" s="7" t="inlineStr">
        <is>
          <t>R6: Razorpay 2% + 18% GST = 2.36%; UPI MDR 0.4% on P2M &gt;Rs2000 from 15-Oct-2026; NEFT ~0</t>
        </is>
      </c>
      <c r="F43" s="5" t="inlineStr">
        <is>
          <t>Base assumes half paid by bank transfer</t>
        </is>
      </c>
    </row>
    <row r="44">
      <c r="A44" s="5" t="inlineStr">
        <is>
          <t>ReportsPerStudentMonth</t>
        </is>
      </c>
      <c r="B44" s="7" t="inlineStr">
        <is>
          <t>AI parent reports per student per month</t>
        </is>
      </c>
      <c r="C44" s="7" t="inlineStr">
        <is>
          <t>Assumption</t>
        </is>
      </c>
      <c r="D44" s="7" t="inlineStr">
        <is>
          <t>M</t>
        </is>
      </c>
      <c r="E44" s="7" t="inlineStr">
        <is>
          <t>TECH_PLAN s.11 weekly report; Bear adds alerts</t>
        </is>
      </c>
      <c r="F44" s="5" t="inlineStr"/>
    </row>
    <row r="45">
      <c r="A45" s="5" t="inlineStr">
        <is>
          <t>TokensInPerReport</t>
        </is>
      </c>
      <c r="B45" s="7" t="inlineStr">
        <is>
          <t>LLM input tokens per report</t>
        </is>
      </c>
      <c r="C45" s="7" t="inlineStr">
        <is>
          <t>Assumption</t>
        </is>
      </c>
      <c r="D45" s="7" t="inlineStr">
        <is>
          <t>M</t>
        </is>
      </c>
      <c r="E45" s="7" t="inlineStr">
        <is>
          <t>TECH_PLAN GenAI design (numbers_json + template)</t>
        </is>
      </c>
      <c r="F45" s="5" t="inlineStr"/>
    </row>
    <row r="46">
      <c r="A46" s="5" t="inlineStr">
        <is>
          <t>TokensOutPerReport</t>
        </is>
      </c>
      <c r="B46" s="7" t="inlineStr">
        <is>
          <t>LLM output tokens per report</t>
        </is>
      </c>
      <c r="C46" s="7" t="inlineStr">
        <is>
          <t>Assumption</t>
        </is>
      </c>
      <c r="D46" s="7" t="inlineStr">
        <is>
          <t>M</t>
        </is>
      </c>
      <c r="E46" s="7" t="inlineStr">
        <is>
          <t>Bilingual report ~400-600 words</t>
        </is>
      </c>
      <c r="F46" s="5" t="inlineStr"/>
    </row>
    <row r="47">
      <c r="A47" s="5" t="inlineStr">
        <is>
          <t>LLMPriceIn</t>
        </is>
      </c>
      <c r="B47" s="7" t="inlineStr">
        <is>
          <t>LLM input price (hosted)</t>
        </is>
      </c>
      <c r="C47" s="7" t="inlineStr">
        <is>
          <t>Researched</t>
        </is>
      </c>
      <c r="D47" s="7" t="inlineStr">
        <is>
          <t>H</t>
        </is>
      </c>
      <c r="E47" s="7" t="inlineStr">
        <is>
          <t>R6: Gemini 3.8 Flash from 1-Jan-2027 / Gemini 3.1 Flash-Lite / Claude Haiku 5.5 at Rs95.05/USD (official pricing pages 20-Oct-2026)</t>
        </is>
      </c>
      <c r="F47" s="5" t="inlineStr">
        <is>
          <t>Local Ollama = ~0 (prototype)</t>
        </is>
      </c>
    </row>
    <row r="48">
      <c r="A48" s="5" t="inlineStr">
        <is>
          <t>LLMPriceOut</t>
        </is>
      </c>
      <c r="B48" s="7" t="inlineStr">
        <is>
          <t>LLM output price (hosted)</t>
        </is>
      </c>
      <c r="C48" s="7" t="inlineStr">
        <is>
          <t>Researched</t>
        </is>
      </c>
      <c r="D48" s="7" t="inlineStr">
        <is>
          <t>H</t>
        </is>
      </c>
      <c r="E48" s="7" t="inlineStr">
        <is>
          <t>R6: same models as input price</t>
        </is>
      </c>
      <c r="F48" s="5" t="inlineStr"/>
    </row>
    <row r="49">
      <c r="A49" s="5" t="inlineStr">
        <is>
          <t>WAMsgsPerStudentMonth</t>
        </is>
      </c>
      <c r="B49" s="7" t="inlineStr">
        <is>
          <t>WhatsApp utility messages per student per month</t>
        </is>
      </c>
      <c r="C49" s="7" t="inlineStr">
        <is>
          <t>Assumption</t>
        </is>
      </c>
      <c r="D49" s="7" t="inlineStr">
        <is>
          <t>M</t>
        </is>
      </c>
      <c r="E49" s="7" t="inlineStr">
        <is>
          <t>Weekly report + alerts + fee reminders</t>
        </is>
      </c>
      <c r="F49" s="5" t="inlineStr"/>
    </row>
    <row r="50">
      <c r="A50" s="5" t="inlineStr">
        <is>
          <t>WAPricePerMsg</t>
        </is>
      </c>
      <c r="B50" s="7" t="inlineStr">
        <is>
          <t>WhatsApp utility message price (India)</t>
        </is>
      </c>
      <c r="C50" s="7" t="inlineStr">
        <is>
          <t>Researched</t>
        </is>
      </c>
      <c r="D50" s="7" t="inlineStr">
        <is>
          <t>H</t>
        </is>
      </c>
      <c r="E50" s="7" t="inlineStr">
        <is>
          <t>R6: Meta list Rs0.115 (eff. 1-Oct-2026); Gallabox Rs0.1323; AiSensy Rs0.145. Utility replies in window charged again from 1-Oct-2026</t>
        </is>
      </c>
      <c r="F50" s="5" t="inlineStr"/>
    </row>
    <row r="51">
      <c r="A51" s="5" t="inlineStr">
        <is>
          <t>ComputePerStudentMonth</t>
        </is>
      </c>
      <c r="B51" s="7" t="inlineStr">
        <is>
          <t>Compute + storage + backups per student</t>
        </is>
      </c>
      <c r="C51" s="7" t="inlineStr">
        <is>
          <t>Assumption</t>
        </is>
      </c>
      <c r="D51" s="7" t="inlineStr">
        <is>
          <t>L</t>
        </is>
      </c>
      <c r="E51" s="7" t="inlineStr">
        <is>
          <t>TECH_PLAN s.16 cost model (NB09 pending); OMR images auto-deleted after 7 days</t>
        </is>
      </c>
      <c r="F51" s="5" t="inlineStr"/>
    </row>
    <row r="52">
      <c r="A52" s="5" t="inlineStr">
        <is>
          <t>ConsentCostPerStudentYear</t>
        </is>
      </c>
      <c r="B52" s="7" t="inlineStr">
        <is>
          <t>Consent OTP + verification per student</t>
        </is>
      </c>
      <c r="C52" s="7" t="inlineStr">
        <is>
          <t>Assumption</t>
        </is>
      </c>
      <c r="D52" s="7" t="inlineStr">
        <is>
          <t>L</t>
        </is>
      </c>
      <c r="E52" s="7" t="inlineStr">
        <is>
          <t>TECH_PLAN consent design (OTP)</t>
        </is>
      </c>
      <c r="F52" s="5" t="inlineStr"/>
    </row>
    <row r="53">
      <c r="A53" s="5" t="inlineStr">
        <is>
          <t>ServerCostMonth</t>
        </is>
      </c>
      <c r="B53" s="7" t="inlineStr">
        <is>
          <t>App server + managed Postgres + backups per stack</t>
        </is>
      </c>
      <c r="C53" s="7" t="inlineStr">
        <is>
          <t>Researched</t>
        </is>
      </c>
      <c r="D53" s="7" t="inlineStr">
        <is>
          <t>M</t>
        </is>
      </c>
      <c r="E53" s="7" t="inlineStr">
        <is>
          <t>R6: AWS t3.medium Rs3108 + DO PG 2vCPU Rs5789 / Lightsail-DO Rs2281 + DO PG Rs1440 / t4g Rs1554 + Lightsail DB Rs1426</t>
        </is>
      </c>
      <c r="F53" s="5" t="inlineStr">
        <is>
          <t>Base adds ~Rs300 backups</t>
        </is>
      </c>
    </row>
    <row r="54">
      <c r="A54" s="5" t="inlineStr">
        <is>
          <t>BSPFeeMonth</t>
        </is>
      </c>
      <c r="B54" s="7" t="inlineStr">
        <is>
          <t>WhatsApp BSP platform fee per stack</t>
        </is>
      </c>
      <c r="C54" s="7" t="inlineStr">
        <is>
          <t>Researched</t>
        </is>
      </c>
      <c r="D54" s="7" t="inlineStr">
        <is>
          <t>M</t>
        </is>
      </c>
      <c r="E54" s="7" t="inlineStr">
        <is>
          <t>R6: AiSensy Pro Rs3200 / Basic Rs1500 / Gupshup self-serve Rs0 + per-msg</t>
        </is>
      </c>
      <c r="F54" s="5" t="inlineStr"/>
    </row>
    <row r="55">
      <c r="A55" s="5" t="inlineStr">
        <is>
          <t>InstPerStack</t>
        </is>
      </c>
      <c r="B55" s="7" t="inlineStr">
        <is>
          <t>Institutes sharing one server stack</t>
        </is>
      </c>
      <c r="C55" s="7" t="inlineStr">
        <is>
          <t>Assumption</t>
        </is>
      </c>
      <c r="D55" s="7" t="inlineStr">
        <is>
          <t>L</t>
        </is>
      </c>
      <c r="E55" s="7" t="inlineStr">
        <is>
          <t>Depends on load test (NB09)</t>
        </is>
      </c>
      <c r="F55" s="5" t="inlineStr"/>
    </row>
    <row r="56">
      <c r="A56" s="5" t="inlineStr">
        <is>
          <t>CompliancePerInstMonth</t>
        </is>
      </c>
      <c r="B56" s="7" t="inlineStr">
        <is>
          <t>DPDP compliance cost per institute</t>
        </is>
      </c>
      <c r="C56" s="7" t="inlineStr">
        <is>
          <t>Assumption</t>
        </is>
      </c>
      <c r="D56" s="7" t="inlineStr">
        <is>
          <t>L</t>
        </is>
      </c>
      <c r="E56" s="7" t="inlineStr">
        <is>
          <t>Audits / consent management / DPO time</t>
        </is>
      </c>
      <c r="F56" s="5" t="inlineStr"/>
    </row>
    <row r="57">
      <c r="A57" s="5" t="inlineStr">
        <is>
          <t>CSM_CTC</t>
        </is>
      </c>
      <c r="B57" s="7" t="inlineStr">
        <is>
          <t>Customer-success / onboarding exec monthly CTC</t>
        </is>
      </c>
      <c r="C57" s="7" t="inlineStr">
        <is>
          <t>Researched</t>
        </is>
      </c>
      <c r="D57" s="7" t="inlineStr">
        <is>
          <t>L</t>
        </is>
      </c>
      <c r="E57" s="7" t="inlineStr">
        <is>
          <t>R5: Tier-2 remote CS median Rs33-42k (Frontlines 2026); Payscale Jaipur CSM-manager Rs58k</t>
        </is>
      </c>
      <c r="F57" s="5" t="inlineStr"/>
    </row>
    <row r="58">
      <c r="A58" s="5" t="inlineStr">
        <is>
          <t>InstPerCSM</t>
        </is>
      </c>
      <c r="B58" s="7" t="inlineStr">
        <is>
          <t>Institutes per CSM</t>
        </is>
      </c>
      <c r="C58" s="7" t="inlineStr">
        <is>
          <t>Researched</t>
        </is>
      </c>
      <c r="D58" s="7" t="inlineStr">
        <is>
          <t>L</t>
        </is>
      </c>
      <c r="E58" s="7" t="inlineStr">
        <is>
          <t>R5: Gainsight SMB 100-250 accounts per CSM - cut for high-touch Tier-2 onboarding</t>
        </is>
      </c>
      <c r="F58" s="5" t="inlineStr"/>
    </row>
    <row r="59">
      <c r="A59" s="5" t="inlineStr">
        <is>
          <t>RepCTC</t>
        </is>
      </c>
      <c r="B59" s="7" t="inlineStr">
        <is>
          <t>Field sales rep monthly CTC (incl. fuel)</t>
        </is>
      </c>
      <c r="C59" s="7" t="inlineStr">
        <is>
          <t>Researched</t>
        </is>
      </c>
      <c r="D59" s="7" t="inlineStr">
        <is>
          <t>M</t>
        </is>
      </c>
      <c r="E59" s="7" t="inlineStr">
        <is>
          <t>R5: Payscale Patna field sales ~Rs20k base; PhonePe postings Rs18-25k + Rs4-4.5k fuel</t>
        </is>
      </c>
      <c r="F59" s="5" t="inlineStr"/>
    </row>
    <row r="60">
      <c r="A60" s="5" t="inlineStr">
        <is>
          <t>RepTravel</t>
        </is>
      </c>
      <c r="B60" s="7" t="inlineStr">
        <is>
          <t>Rep intercity travel + demo material per month</t>
        </is>
      </c>
      <c r="C60" s="7" t="inlineStr">
        <is>
          <t>Assumption</t>
        </is>
      </c>
      <c r="D60" s="7" t="inlineStr">
        <is>
          <t>L</t>
        </is>
      </c>
      <c r="E60" s="7" t="inlineStr">
        <is>
          <t>R5: per-km allowance not found</t>
        </is>
      </c>
      <c r="F60" s="5" t="inlineStr"/>
    </row>
    <row r="61">
      <c r="A61" s="5" t="inlineStr">
        <is>
          <t>SalesOverheadPct</t>
        </is>
      </c>
      <c r="B61" s="7" t="inlineStr">
        <is>
          <t>Sales overhead loading on rep cost (manager, incentives, recruiting, tools)</t>
        </is>
      </c>
      <c r="C61" s="7" t="inlineStr">
        <is>
          <t>Assumption</t>
        </is>
      </c>
      <c r="D61" s="7" t="inlineStr">
        <is>
          <t>L</t>
        </is>
      </c>
      <c r="E61" s="7" t="inlineStr">
        <is>
          <t>R5: bottom-up CAC adds x1.3 / x1.2 / x1.0 for manager overhead plus an incentive; peers load CAC with 25-40%</t>
        </is>
      </c>
      <c r="F61" s="5" t="inlineStr">
        <is>
          <t>Audit 2026-10-22: new. Puts CAC inside the PS's Rs15-30k range</t>
        </is>
      </c>
    </row>
    <row r="62">
      <c r="A62" s="5" t="inlineStr">
        <is>
          <t>PilotsPerRepMonth</t>
        </is>
      </c>
      <c r="B62" s="7" t="inlineStr">
        <is>
          <t>Pilots started per rep per month (yearly avg)</t>
        </is>
      </c>
      <c r="C62" s="7" t="inlineStr">
        <is>
          <t>Assumption</t>
        </is>
      </c>
      <c r="D62" s="7" t="inlineStr">
        <is>
          <t>L</t>
        </is>
      </c>
      <c r="E62" s="7" t="inlineStr">
        <is>
          <t>R5: SaaStr 20-50 deals/month is inside sales; cut for in-person Tier-2 demos; peak Mar-Jun</t>
        </is>
      </c>
      <c r="F62" s="5" t="inlineStr"/>
    </row>
    <row r="63">
      <c r="A63" s="5" t="inlineStr">
        <is>
          <t>PilotConv</t>
        </is>
      </c>
      <c r="B63" s="7" t="inlineStr">
        <is>
          <t>Pilot-to-paid conversion</t>
        </is>
      </c>
      <c r="C63" s="7" t="inlineStr">
        <is>
          <t>Researched</t>
        </is>
      </c>
      <c r="D63" s="7" t="inlineStr">
        <is>
          <t>L</t>
        </is>
      </c>
      <c r="E63" s="7" t="inlineStr">
        <is>
          <t>R5: trial-to-paid 8% median / 18.2% opt-in / 48.8% opt-out (Userpilot 2026); assisted-pilot benchmark not found</t>
        </is>
      </c>
      <c r="F63" s="5" t="inlineStr"/>
    </row>
    <row r="64">
      <c r="A64" s="5" t="inlineStr">
        <is>
          <t>PilotMonths</t>
        </is>
      </c>
      <c r="B64" s="7" t="inlineStr">
        <is>
          <t>Free pilot length</t>
        </is>
      </c>
      <c r="C64" s="7" t="inlineStr">
        <is>
          <t>Assumption</t>
        </is>
      </c>
      <c r="D64" s="7" t="inlineStr">
        <is>
          <t>M</t>
        </is>
      </c>
      <c r="E64" s="7" t="inlineStr">
        <is>
          <t>FINANCE_PLAN s.3.2</t>
        </is>
      </c>
      <c r="F64" s="5" t="inlineStr"/>
    </row>
    <row r="65">
      <c r="A65" s="5" t="inlineStr">
        <is>
          <t>PilotSetupCost</t>
        </is>
      </c>
      <c r="B65" s="7" t="inlineStr">
        <is>
          <t>Retro-pilot setup (import last year's Excel; show who left)</t>
        </is>
      </c>
      <c r="C65" s="7" t="inlineStr">
        <is>
          <t>Assumption</t>
        </is>
      </c>
      <c r="D65" s="7" t="inlineStr">
        <is>
          <t>L</t>
        </is>
      </c>
      <c r="E65" s="7" t="inlineStr">
        <is>
          <t>GTM design: light pilot; full onboarding only after conversion</t>
        </is>
      </c>
      <c r="F65" s="5" t="inlineStr">
        <is>
          <t>Primary research needed</t>
        </is>
      </c>
    </row>
    <row r="66">
      <c r="A66" s="5" t="inlineStr">
        <is>
          <t>OnboardBase</t>
        </is>
      </c>
      <c r="B66" s="7" t="inlineStr">
        <is>
          <t>Onboarding cost per institute (mid)</t>
        </is>
      </c>
      <c r="C66" s="7" t="inlineStr">
        <is>
          <t>Guide</t>
        </is>
      </c>
      <c r="D66" s="7" t="inlineStr">
        <is>
          <t>L</t>
        </is>
      </c>
      <c r="E66" s="7" t="inlineStr">
        <is>
          <t>Case brief Rs5-10k; low-tech institutes higher</t>
        </is>
      </c>
      <c r="F66" s="5" t="inlineStr"/>
    </row>
    <row r="67">
      <c r="A67" s="5" t="inlineStr">
        <is>
          <t>MarketingPerPaid</t>
        </is>
      </c>
      <c r="B67" s="7" t="inlineStr">
        <is>
          <t>Marketing spend per paid institute</t>
        </is>
      </c>
      <c r="C67" s="7" t="inlineStr">
        <is>
          <t>Assumption</t>
        </is>
      </c>
      <c r="D67" s="7" t="inlineStr">
        <is>
          <t>L</t>
        </is>
      </c>
      <c r="E67" s="7" t="inlineStr"/>
      <c r="F67" s="5" t="inlineStr"/>
    </row>
    <row r="68">
      <c r="A68" s="5" t="inlineStr">
        <is>
          <t>ChannelCommission</t>
        </is>
      </c>
      <c r="B68" s="7" t="inlineStr">
        <is>
          <t>Channel-partner commission (share of year-1 revenue)</t>
        </is>
      </c>
      <c r="C68" s="7" t="inlineStr">
        <is>
          <t>Assumption</t>
        </is>
      </c>
      <c r="D68" s="7" t="inlineStr">
        <is>
          <t>L</t>
        </is>
      </c>
      <c r="E68" s="7" t="inlineStr">
        <is>
          <t>FINANCE_PLAN s.3.2: 15-20% of year-1 revenue, 30% upper bound</t>
        </is>
      </c>
      <c r="F68" s="5" t="inlineStr">
        <is>
          <t>Used for the channel-vs-field comparison in Unit_Econ</t>
        </is>
      </c>
    </row>
    <row r="69">
      <c r="A69" s="5" t="inlineStr">
        <is>
          <t>ChurnInSeason</t>
        </is>
      </c>
      <c r="B69" s="7" t="inlineStr">
        <is>
          <t>Monthly logo churn for monthly payers</t>
        </is>
      </c>
      <c r="C69" s="7" t="inlineStr">
        <is>
          <t>Researched</t>
        </is>
      </c>
      <c r="D69" s="7" t="inlineStr">
        <is>
          <t>L</t>
        </is>
      </c>
      <c r="E69" s="7" t="inlineStr">
        <is>
          <t>R5: ChartMogul 6.1%/month at ARPA &lt;$25 (2022); eChai India SMB 3-5%; SaaS Capital 2025 GRR 90%/yr</t>
        </is>
      </c>
      <c r="F69" s="5" t="inlineStr">
        <is>
          <t>Applied only to institutes not on annual prepay</t>
        </is>
      </c>
    </row>
    <row r="70">
      <c r="A70" s="5" t="inlineStr">
        <is>
          <t>RenewalSpike</t>
        </is>
      </c>
      <c r="B70" s="7" t="inlineStr">
        <is>
          <t>Non-renewal at session end (annual)</t>
        </is>
      </c>
      <c r="C70" s="7" t="inlineStr">
        <is>
          <t>Assumption</t>
        </is>
      </c>
      <c r="D70" s="7" t="inlineStr">
        <is>
          <t>L</t>
        </is>
      </c>
      <c r="E70" s="7" t="inlineStr">
        <is>
          <t>R5: no benchmark found - answers the judges' post-exam churn question</t>
        </is>
      </c>
      <c r="F70" s="5" t="inlineStr">
        <is>
          <t>Spread over renewal months</t>
        </is>
      </c>
    </row>
    <row r="71">
      <c r="A71" s="5" t="inlineStr">
        <is>
          <t>MinRenewTenure</t>
        </is>
      </c>
      <c r="B71" s="7" t="inlineStr">
        <is>
          <t>Months a customer must have paid before the first renewal decision</t>
        </is>
      </c>
      <c r="C71" s="7" t="inlineStr">
        <is>
          <t>Structural</t>
        </is>
      </c>
      <c r="D71" s="7" t="inlineStr">
        <is>
          <t>M</t>
        </is>
      </c>
      <c r="E71" s="7" t="inlineStr">
        <is>
          <t>A customer signed in May cannot fail to renew in June; the first renewal is at the next session start</t>
        </is>
      </c>
      <c r="F71" s="5" t="inlineStr">
        <is>
          <t>Audit 2026-10-22: new. Fixes the renewal timing in Unit_Econ</t>
        </is>
      </c>
    </row>
    <row r="72">
      <c r="A72" s="5" t="inlineStr">
        <is>
          <t>DiscountRate</t>
        </is>
      </c>
      <c r="B72" s="7" t="inlineStr">
        <is>
          <t>Discount rate for LTV</t>
        </is>
      </c>
      <c r="C72" s="7" t="inlineStr">
        <is>
          <t>Structural</t>
        </is>
      </c>
      <c r="D72" s="7" t="inlineStr">
        <is>
          <t>M</t>
        </is>
      </c>
      <c r="E72" s="7" t="inlineStr">
        <is>
          <t>Early-stage cost of capital convention</t>
        </is>
      </c>
      <c r="F72" s="5" t="inlineStr"/>
    </row>
    <row r="73">
      <c r="A73" s="5" t="inlineStr">
        <is>
          <t>StartMonth</t>
        </is>
      </c>
      <c r="B73" s="7" t="inlineStr">
        <is>
          <t>Paid start month (1 = April)</t>
        </is>
      </c>
      <c r="C73" s="7" t="inlineStr">
        <is>
          <t>Structural</t>
        </is>
      </c>
      <c r="D73" s="7" t="inlineStr">
        <is>
          <t>M</t>
        </is>
      </c>
      <c r="E73" s="7" t="inlineStr">
        <is>
          <t>Sales peak Mar-Jun; paid from May after a 1-month pilot</t>
        </is>
      </c>
      <c r="F73" s="5" t="inlineStr"/>
    </row>
    <row r="74">
      <c r="A74" s="5" t="inlineStr">
        <is>
          <t>Founders</t>
        </is>
      </c>
      <c r="B74" s="7" t="inlineStr">
        <is>
          <t>Founders drawing a stipend</t>
        </is>
      </c>
      <c r="C74" s="7" t="inlineStr">
        <is>
          <t>Assumption</t>
        </is>
      </c>
      <c r="D74" s="7" t="inlineStr">
        <is>
          <t>M</t>
        </is>
      </c>
      <c r="E74" s="7" t="inlineStr">
        <is>
          <t>Owner decision</t>
        </is>
      </c>
      <c r="F74" s="5" t="inlineStr"/>
    </row>
    <row r="75">
      <c r="A75" s="5" t="inlineStr">
        <is>
          <t>FounderStipend</t>
        </is>
      </c>
      <c r="B75" s="7" t="inlineStr">
        <is>
          <t>Founder stipend per month</t>
        </is>
      </c>
      <c r="C75" s="7" t="inlineStr">
        <is>
          <t>Assumption</t>
        </is>
      </c>
      <c r="D75" s="7" t="inlineStr">
        <is>
          <t>M</t>
        </is>
      </c>
      <c r="E75" s="7" t="inlineStr">
        <is>
          <t>Owner decision</t>
        </is>
      </c>
      <c r="F75" s="5" t="inlineStr"/>
    </row>
    <row r="76">
      <c r="A76" s="5" t="inlineStr">
        <is>
          <t>EngineersY1</t>
        </is>
      </c>
      <c r="B76" s="7" t="inlineStr">
        <is>
          <t>Engineers in year 1</t>
        </is>
      </c>
      <c r="C76" s="7" t="inlineStr">
        <is>
          <t>Assumption</t>
        </is>
      </c>
      <c r="D76" s="7" t="inlineStr">
        <is>
          <t>M</t>
        </is>
      </c>
      <c r="E76" s="7" t="inlineStr"/>
      <c r="F76" s="5" t="inlineStr">
        <is>
          <t>Hiring plan is a decision, so Bear = Base = Bull</t>
        </is>
      </c>
    </row>
    <row r="77">
      <c r="A77" s="5" t="inlineStr">
        <is>
          <t>EngineerCTC</t>
        </is>
      </c>
      <c r="B77" s="7" t="inlineStr">
        <is>
          <t>Engineer monthly CTC</t>
        </is>
      </c>
      <c r="C77" s="7" t="inlineStr">
        <is>
          <t>Researched</t>
        </is>
      </c>
      <c r="D77" s="7" t="inlineStr">
        <is>
          <t>L</t>
        </is>
      </c>
      <c r="E77" s="7" t="inlineStr">
        <is>
          <t>R5: Glassdoor Jaipur Rs6L/yr; Indore Rs6-8L/yr (1-3 yrs)</t>
        </is>
      </c>
      <c r="F77" s="5" t="inlineStr"/>
    </row>
    <row r="78">
      <c r="A78" s="5" t="inlineStr">
        <is>
          <t>ToolsOpex</t>
        </is>
      </c>
      <c r="B78" s="7" t="inlineStr">
        <is>
          <t>Tools / office / legal per month</t>
        </is>
      </c>
      <c r="C78" s="7" t="inlineStr">
        <is>
          <t>Assumption</t>
        </is>
      </c>
      <c r="D78" s="7" t="inlineStr">
        <is>
          <t>L</t>
        </is>
      </c>
      <c r="E78" s="7" t="inlineStr"/>
      <c r="F78" s="5" t="inlineStr"/>
    </row>
    <row r="79">
      <c r="A79" s="5" t="inlineStr">
        <is>
          <t>G_Students</t>
        </is>
      </c>
      <c r="B79" s="7" t="inlineStr">
        <is>
          <t>Guide: students</t>
        </is>
      </c>
      <c r="C79" s="7" t="inlineStr">
        <is>
          <t>Guide</t>
        </is>
      </c>
      <c r="D79" s="7" t="inlineStr">
        <is>
          <t>H</t>
        </is>
      </c>
      <c r="E79" s="7" t="inlineStr">
        <is>
          <t>Case brief</t>
        </is>
      </c>
      <c r="F79" s="5" t="inlineStr"/>
    </row>
    <row r="80">
      <c r="A80" s="5" t="inlineStr">
        <is>
          <t>G_Fee</t>
        </is>
      </c>
      <c r="B80" s="7" t="inlineStr">
        <is>
          <t>Guide: annual fee per student</t>
        </is>
      </c>
      <c r="C80" s="7" t="inlineStr">
        <is>
          <t>Guide</t>
        </is>
      </c>
      <c r="D80" s="7" t="inlineStr">
        <is>
          <t>H</t>
        </is>
      </c>
      <c r="E80" s="7" t="inlineStr">
        <is>
          <t>Case brief</t>
        </is>
      </c>
      <c r="F80" s="5" t="inlineStr">
        <is>
          <t>Used for the PS's own platform-cost-as-%-of-fee figure</t>
        </is>
      </c>
    </row>
    <row r="81">
      <c r="A81" s="5" t="inlineStr">
        <is>
          <t>G_Dropout</t>
        </is>
      </c>
      <c r="B81" s="7" t="inlineStr">
        <is>
          <t>Guide: dropout rate</t>
        </is>
      </c>
      <c r="C81" s="7" t="inlineStr">
        <is>
          <t>Guide</t>
        </is>
      </c>
      <c r="D81" s="7" t="inlineStr">
        <is>
          <t>H</t>
        </is>
      </c>
      <c r="E81" s="7" t="inlineStr">
        <is>
          <t>Case brief</t>
        </is>
      </c>
      <c r="F81" s="5" t="inlineStr"/>
    </row>
    <row r="82">
      <c r="A82" s="5" t="inlineStr">
        <is>
          <t>G_RemainingFee</t>
        </is>
      </c>
      <c r="B82" s="7" t="inlineStr">
        <is>
          <t>Guide: remaining fee per dropout</t>
        </is>
      </c>
      <c r="C82" s="7" t="inlineStr">
        <is>
          <t>Guide</t>
        </is>
      </c>
      <c r="D82" s="7" t="inlineStr">
        <is>
          <t>H</t>
        </is>
      </c>
      <c r="E82" s="7" t="inlineStr">
        <is>
          <t>Case brief</t>
        </is>
      </c>
      <c r="F82" s="5" t="inlineStr"/>
    </row>
    <row r="83">
      <c r="A83" s="5" t="inlineStr">
        <is>
          <t>G_Prevent</t>
        </is>
      </c>
      <c r="B83" s="7" t="inlineStr">
        <is>
          <t>Guide: share of dropouts prevented</t>
        </is>
      </c>
      <c r="C83" s="7" t="inlineStr">
        <is>
          <t>Guide</t>
        </is>
      </c>
      <c r="D83" s="7" t="inlineStr">
        <is>
          <t>H</t>
        </is>
      </c>
      <c r="E83" s="7" t="inlineStr">
        <is>
          <t>Case brief</t>
        </is>
      </c>
      <c r="F83" s="5" t="inlineStr"/>
    </row>
    <row r="84">
      <c r="A84" s="5" t="inlineStr">
        <is>
          <t>G_Price</t>
        </is>
      </c>
      <c r="B84" s="7" t="inlineStr">
        <is>
          <t>Guide: price per student per month</t>
        </is>
      </c>
      <c r="C84" s="7" t="inlineStr">
        <is>
          <t>Guide</t>
        </is>
      </c>
      <c r="D84" s="7" t="inlineStr">
        <is>
          <t>H</t>
        </is>
      </c>
      <c r="E84" s="7" t="inlineStr">
        <is>
          <t>Case brief</t>
        </is>
      </c>
      <c r="F84" s="5" t="inlineStr"/>
    </row>
    <row r="85">
      <c r="A85" s="5" t="inlineStr">
        <is>
          <t>G_Months</t>
        </is>
      </c>
      <c r="B85" s="7" t="inlineStr">
        <is>
          <t>Guide: billing months per year</t>
        </is>
      </c>
      <c r="C85" s="7" t="inlineStr">
        <is>
          <t>Guide</t>
        </is>
      </c>
      <c r="D85" s="7" t="inlineStr">
        <is>
          <t>H</t>
        </is>
      </c>
      <c r="E85" s="7" t="inlineStr">
        <is>
          <t>Case brief</t>
        </is>
      </c>
      <c r="F85" s="5" t="inlineStr"/>
    </row>
    <row r="86">
      <c r="A86" s="5" t="inlineStr">
        <is>
          <t>G_Infra</t>
        </is>
      </c>
      <c r="B86" s="7" t="inlineStr">
        <is>
          <t>Guide: infra + AI per student per month</t>
        </is>
      </c>
      <c r="C86" s="7" t="inlineStr">
        <is>
          <t>Guide</t>
        </is>
      </c>
      <c r="D86" s="7" t="inlineStr">
        <is>
          <t>H</t>
        </is>
      </c>
      <c r="E86" s="7" t="inlineStr">
        <is>
          <t>Case brief</t>
        </is>
      </c>
      <c r="F86" s="5" t="inlineStr"/>
    </row>
    <row r="87">
      <c r="A87" s="5" t="inlineStr">
        <is>
          <t>G_Support</t>
        </is>
      </c>
      <c r="B87" s="7" t="inlineStr">
        <is>
          <t>Guide: support per institute per month</t>
        </is>
      </c>
      <c r="C87" s="7" t="inlineStr">
        <is>
          <t>Guide</t>
        </is>
      </c>
      <c r="D87" s="7" t="inlineStr">
        <is>
          <t>H</t>
        </is>
      </c>
      <c r="E87" s="7" t="inlineStr">
        <is>
          <t>Case brief</t>
        </is>
      </c>
      <c r="F87" s="5" t="inlineStr"/>
    </row>
    <row r="88">
      <c r="A88" s="5" t="inlineStr">
        <is>
          <t>G_CAC</t>
        </is>
      </c>
      <c r="B88" s="7" t="inlineStr">
        <is>
          <t>Guide: CAC</t>
        </is>
      </c>
      <c r="C88" s="7" t="inlineStr">
        <is>
          <t>Guide</t>
        </is>
      </c>
      <c r="D88" s="7" t="inlineStr">
        <is>
          <t>H</t>
        </is>
      </c>
      <c r="E88" s="7" t="inlineStr">
        <is>
          <t>Case brief</t>
        </is>
      </c>
      <c r="F88" s="5" t="inlineStr"/>
    </row>
    <row r="89">
      <c r="A89" s="5" t="inlineStr">
        <is>
          <t>G_Onboard</t>
        </is>
      </c>
      <c r="B89" s="7" t="inlineStr">
        <is>
          <t>Guide: onboarding</t>
        </is>
      </c>
      <c r="C89" s="7" t="inlineStr">
        <is>
          <t>Guide</t>
        </is>
      </c>
      <c r="D89" s="7" t="inlineStr">
        <is>
          <t>H</t>
        </is>
      </c>
      <c r="E89" s="7" t="inlineStr">
        <is>
          <t>Case brief</t>
        </is>
      </c>
      <c r="F89" s="5" t="inlineStr"/>
    </row>
    <row r="90">
      <c r="A90" s="5" t="inlineStr">
        <is>
          <t>G_Churn</t>
        </is>
      </c>
      <c r="B90" s="7" t="inlineStr">
        <is>
          <t>Guide: monthly churn</t>
        </is>
      </c>
      <c r="C90" s="7" t="inlineStr">
        <is>
          <t>Guide</t>
        </is>
      </c>
      <c r="D90" s="7" t="inlineStr">
        <is>
          <t>H</t>
        </is>
      </c>
      <c r="E90" s="7" t="inlineStr">
        <is>
          <t>Case brief</t>
        </is>
      </c>
      <c r="F90" s="5" t="inlineStr"/>
    </row>
    <row r="91">
      <c r="A91" s="5" t="inlineStr">
        <is>
          <t>SegMix_S</t>
        </is>
      </c>
      <c r="B91" s="7" t="inlineStr">
        <is>
          <t>Share of new institutes that are Small</t>
        </is>
      </c>
      <c r="C91" s="7" t="inlineStr">
        <is>
          <t>Assumption</t>
        </is>
      </c>
      <c r="D91" s="7" t="inlineStr">
        <is>
          <t>L</t>
        </is>
      </c>
      <c r="E91" s="7" t="inlineStr">
        <is>
          <t>Size distribution of Tier-2/3 institutes not found (R7 gap); skewed to small</t>
        </is>
      </c>
      <c r="F91" s="5" t="inlineStr">
        <is>
          <t>Bear = more small institutes</t>
        </is>
      </c>
    </row>
    <row r="92">
      <c r="A92" s="5" t="inlineStr">
        <is>
          <t>SegMix_M</t>
        </is>
      </c>
      <c r="B92" s="7" t="inlineStr">
        <is>
          <t>Share of new institutes that are Mid</t>
        </is>
      </c>
      <c r="C92" s="7" t="inlineStr">
        <is>
          <t>Assumption</t>
        </is>
      </c>
      <c r="D92" s="7" t="inlineStr">
        <is>
          <t>L</t>
        </is>
      </c>
      <c r="E92" s="7" t="inlineStr">
        <is>
          <t>As above</t>
        </is>
      </c>
      <c r="F92" s="5" t="inlineStr">
        <is>
          <t>The three shares must sum to 100%</t>
        </is>
      </c>
    </row>
    <row r="93">
      <c r="A93" s="5" t="inlineStr">
        <is>
          <t>SegMix_L</t>
        </is>
      </c>
      <c r="B93" s="7" t="inlineStr">
        <is>
          <t>Share of new institutes that are Large</t>
        </is>
      </c>
      <c r="C93" s="7" t="inlineStr">
        <is>
          <t>Assumption</t>
        </is>
      </c>
      <c r="D93" s="7" t="inlineStr">
        <is>
          <t>L</t>
        </is>
      </c>
      <c r="E93" s="7" t="inlineStr">
        <is>
          <t>As above</t>
        </is>
      </c>
      <c r="F93" s="5" t="inlineStr">
        <is>
          <t>The three shares must sum to 100%</t>
        </is>
      </c>
    </row>
    <row r="94">
      <c r="A94" s="5" t="inlineStr">
        <is>
          <t>RepsY1</t>
        </is>
      </c>
      <c r="B94" s="7" t="inlineStr">
        <is>
          <t>Field sales reps in year 1</t>
        </is>
      </c>
      <c r="C94" s="7" t="inlineStr">
        <is>
          <t>Assumption</t>
        </is>
      </c>
      <c r="D94" s="7" t="inlineStr">
        <is>
          <t>M</t>
        </is>
      </c>
      <c r="E94" s="7" t="inlineStr">
        <is>
          <t>Owner decision; the founders also sell</t>
        </is>
      </c>
      <c r="F94" s="5" t="inlineStr">
        <is>
          <t>Decision: Bear = Base = Bull</t>
        </is>
      </c>
    </row>
    <row r="95">
      <c r="A95" s="5" t="inlineStr">
        <is>
          <t>RepsY2</t>
        </is>
      </c>
      <c r="B95" s="7" t="inlineStr">
        <is>
          <t>Field sales reps in year 2</t>
        </is>
      </c>
      <c r="C95" s="7" t="inlineStr">
        <is>
          <t>Assumption</t>
        </is>
      </c>
      <c r="D95" s="7" t="inlineStr">
        <is>
          <t>M</t>
        </is>
      </c>
      <c r="E95" s="7" t="inlineStr">
        <is>
          <t>Owner decision</t>
        </is>
      </c>
      <c r="F95" s="5" t="inlineStr">
        <is>
          <t>Audit: held at 1. At 8% of the market one rep exhausts the cap in about 3 years; a second rep only helps after the territory grows</t>
        </is>
      </c>
    </row>
    <row r="96">
      <c r="A96" s="5" t="inlineStr">
        <is>
          <t>RepsY3</t>
        </is>
      </c>
      <c r="B96" s="7" t="inlineStr">
        <is>
          <t>Field sales reps in year 3</t>
        </is>
      </c>
      <c r="C96" s="7" t="inlineStr">
        <is>
          <t>Assumption</t>
        </is>
      </c>
      <c r="D96" s="7" t="inlineStr">
        <is>
          <t>M</t>
        </is>
      </c>
      <c r="E96" s="7" t="inlineStr">
        <is>
          <t>Owner decision; capped by the addressable market, see Projection</t>
        </is>
      </c>
      <c r="F96" s="5" t="inlineStr">
        <is>
          <t>Audit: held at 1 for the same reason. Growth beyond this needs new territory or exams, not more reps</t>
        </is>
      </c>
    </row>
    <row r="97">
      <c r="A97" s="5" t="inlineStr">
        <is>
          <t>EngineersY2</t>
        </is>
      </c>
      <c r="B97" s="7" t="inlineStr">
        <is>
          <t>Engineers in year 2</t>
        </is>
      </c>
      <c r="C97" s="7" t="inlineStr">
        <is>
          <t>Assumption</t>
        </is>
      </c>
      <c r="D97" s="7" t="inlineStr">
        <is>
          <t>M</t>
        </is>
      </c>
      <c r="E97" s="7" t="inlineStr">
        <is>
          <t>Owner decision</t>
        </is>
      </c>
      <c r="F97" s="5" t="inlineStr">
        <is>
          <t>Decision</t>
        </is>
      </c>
    </row>
    <row r="98">
      <c r="A98" s="5" t="inlineStr">
        <is>
          <t>EngineersY3</t>
        </is>
      </c>
      <c r="B98" s="7" t="inlineStr">
        <is>
          <t>Engineers in year 3</t>
        </is>
      </c>
      <c r="C98" s="7" t="inlineStr">
        <is>
          <t>Assumption</t>
        </is>
      </c>
      <c r="D98" s="7" t="inlineStr">
        <is>
          <t>M</t>
        </is>
      </c>
      <c r="E98" s="7" t="inlineStr">
        <is>
          <t>Owner decision</t>
        </is>
      </c>
      <c r="F98" s="5" t="inlineStr">
        <is>
          <t>Decision</t>
        </is>
      </c>
    </row>
    <row r="99">
      <c r="A99" s="5" t="inlineStr">
        <is>
          <t>RDFloorPct</t>
        </is>
      </c>
      <c r="B99" s="7" t="inlineStr">
        <is>
          <t>Minimum product and engineering spend as a share of revenue</t>
        </is>
      </c>
      <c r="C99" s="7" t="inlineStr">
        <is>
          <t>Assumption</t>
        </is>
      </c>
      <c r="D99" s="7" t="inlineStr">
        <is>
          <t>L</t>
        </is>
      </c>
      <c r="E99" s="7" t="inlineStr">
        <is>
          <t>CFO convention: a SaaS business spends well over 10% of revenue on product and about 8% on overheads as it scales</t>
        </is>
      </c>
      <c r="F99" s="5" t="inlineStr">
        <is>
          <t>Costs must scale with revenue: planned engineers are the floor, this share of revenue is the other floor</t>
        </is>
      </c>
    </row>
    <row r="100">
      <c r="A100" s="5" t="inlineStr">
        <is>
          <t>GAFloorPct</t>
        </is>
      </c>
      <c r="B100" s="7" t="inlineStr">
        <is>
          <t>Minimum founders' and general costs as a share of revenue</t>
        </is>
      </c>
      <c r="C100" s="7" t="inlineStr">
        <is>
          <t>Assumption</t>
        </is>
      </c>
      <c r="D100" s="7" t="inlineStr">
        <is>
          <t>L</t>
        </is>
      </c>
      <c r="E100" s="7" t="inlineStr">
        <is>
          <t>CFO convention: a SaaS business spends well over 10% of revenue on product and about 8% on overheads as it scales</t>
        </is>
      </c>
      <c r="F100" s="5" t="inlineStr">
        <is>
          <t>Audit 2026-10-22: stops a fast-growth case from showing an unrealistic margin</t>
        </is>
      </c>
    </row>
    <row r="101">
      <c r="A101" s="5" t="inlineStr">
        <is>
          <t>SalaryInflation</t>
        </is>
      </c>
      <c r="B101" s="7" t="inlineStr">
        <is>
          <t>Annual salary and cost inflation</t>
        </is>
      </c>
      <c r="C101" s="7" t="inlineStr">
        <is>
          <t>Assumption</t>
        </is>
      </c>
      <c r="D101" s="7" t="inlineStr">
        <is>
          <t>M</t>
        </is>
      </c>
      <c r="E101" s="7" t="inlineStr">
        <is>
          <t>Indian wage inflation convention</t>
        </is>
      </c>
      <c r="F101" s="5" t="inlineStr">
        <is>
          <t>Applied from year 2</t>
        </is>
      </c>
    </row>
    <row r="102">
      <c r="A102" s="5" t="inlineStr">
        <is>
          <t>DaysToCollect</t>
        </is>
      </c>
      <c r="B102" s="7" t="inlineStr">
        <is>
          <t>Days to collect an invoice (receivables)</t>
        </is>
      </c>
      <c r="C102" s="7" t="inlineStr">
        <is>
          <t>Assumption</t>
        </is>
      </c>
      <c r="D102" s="7" t="inlineStr">
        <is>
          <t>L</t>
        </is>
      </c>
      <c r="E102" s="7" t="inlineStr">
        <is>
          <t>FINANCE_PLAN s.3.2: small businesses pay late</t>
        </is>
      </c>
      <c r="F102" s="5" t="inlineStr">
        <is>
          <t>Early collection from annual prepay is not credited (conservative)</t>
        </is>
      </c>
    </row>
    <row r="103">
      <c r="A103" s="5" t="inlineStr">
        <is>
          <t>HireEquipment</t>
        </is>
      </c>
      <c r="B103" s="7" t="inlineStr">
        <is>
          <t>Laptop and set-up cost per new hire</t>
        </is>
      </c>
      <c r="C103" s="7" t="inlineStr">
        <is>
          <t>Assumption</t>
        </is>
      </c>
      <c r="D103" s="7" t="inlineStr">
        <is>
          <t>M</t>
        </is>
      </c>
      <c r="E103" s="7" t="inlineStr">
        <is>
          <t>Market price of a business laptop plus accessories</t>
        </is>
      </c>
      <c r="F103" s="5" t="inlineStr">
        <is>
          <t>One-off cash cost</t>
        </is>
      </c>
    </row>
    <row r="104">
      <c r="A104" s="5" t="inlineStr">
        <is>
          <t>CashBufferMonths</t>
        </is>
      </c>
      <c r="B104" s="7" t="inlineStr">
        <is>
          <t>Minimum cash buffer, in months of costs</t>
        </is>
      </c>
      <c r="C104" s="7" t="inlineStr">
        <is>
          <t>Structural</t>
        </is>
      </c>
      <c r="D104" s="7" t="inlineStr">
        <is>
          <t>M</t>
        </is>
      </c>
      <c r="E104" s="7" t="inlineStr">
        <is>
          <t>Standard start-up runway rule</t>
        </is>
      </c>
      <c r="F104" s="5" t="inlineStr">
        <is>
          <t>Funding ask = peak cash deficit + this buffer</t>
        </is>
      </c>
    </row>
    <row r="105">
      <c r="A105" s="5" t="inlineStr">
        <is>
          <t>AddressableInstitutes</t>
        </is>
      </c>
      <c r="B105" s="7" t="inlineStr">
        <is>
          <t>Addressable institutes (SAM): independent, 150-2,000 students, five states</t>
        </is>
      </c>
      <c r="C105" s="7" t="inlineStr">
        <is>
          <t>Assumption</t>
        </is>
      </c>
      <c r="D105" s="7" t="inlineStr">
        <is>
          <t>L</t>
        </is>
      </c>
      <c r="E105" s="7" t="inlineStr">
        <is>
          <t>R7 derivation (research/R7_market_size.md): Bihar+UP 170/740/2,600 extended to Rajasthan+MP+Jharkhand 240/1,180/4,700. Base = the extended-state Base. Bear and Bull are geometric midpoints between Base and the research extremes (about the 25th/75th percentile, not the 5th/95th). Five states cover the PS's cities (Patna, Lucknow, Kota, Jaipur, Indore)</t>
        </is>
      </c>
      <c r="F105" s="5" t="inlineStr">
        <is>
          <t>Audit 2026-10-22: the research extremes (240 and 4,700) multiplied with the penetration extremes gave 7 customers in Bear, a tail event. Derived, mostly assumption: no institute counts by size exist. Replace after 10-15 owner calls</t>
        </is>
      </c>
    </row>
    <row r="106">
      <c r="A106" s="5" t="inlineStr">
        <is>
          <t>MaxPenetration</t>
        </is>
      </c>
      <c r="B106" s="7" t="inlineStr">
        <is>
          <t>Maximum share of SAM won in 3 years (cumulative new logos)</t>
        </is>
      </c>
      <c r="C106" s="7" t="inlineStr">
        <is>
          <t>Assumption</t>
        </is>
      </c>
      <c r="D106" s="7" t="inlineStr">
        <is>
          <t>L</t>
        </is>
      </c>
      <c r="E106" s="7" t="inlineStr">
        <is>
          <t>R7: no denominators found for Classplus/Teachmint/Vyapar (Classplus claimed 3,500 centres in about 2 years with a free COVID-era product); 8% Base is R7's recommendation, Bear/Bull narrowed to 5%/12% so the market range is not double-extreme</t>
        </is>
      </c>
      <c r="F106" s="5" t="inlineStr">
        <is>
          <t>Audit 2026-10-22. The single biggest lever on the 3-year result</t>
        </is>
      </c>
    </row>
    <row r="108">
      <c r="A108" s="3" t="inlineStr">
        <is>
          <t>Evidence mix</t>
        </is>
      </c>
    </row>
    <row r="109">
      <c r="B109" s="7" t="inlineStr">
        <is>
          <t>Researched</t>
        </is>
      </c>
      <c r="C109" s="42">
        <f>COUNTIF(C5:C106,"Researched")</f>
        <v/>
      </c>
    </row>
    <row r="110">
      <c r="B110" s="7" t="inlineStr">
        <is>
          <t>Public</t>
        </is>
      </c>
      <c r="C110" s="42">
        <f>COUNTIF(C5:C106,"Public")</f>
        <v/>
      </c>
    </row>
    <row r="111">
      <c r="B111" s="7" t="inlineStr">
        <is>
          <t>Guide</t>
        </is>
      </c>
      <c r="C111" s="42">
        <f>COUNTIF(C5:C106,"Guide")</f>
        <v/>
      </c>
    </row>
    <row r="112">
      <c r="B112" s="7" t="inlineStr">
        <is>
          <t>Assumption</t>
        </is>
      </c>
      <c r="C112" s="42">
        <f>COUNTIF(C5:C106,"Assumption")</f>
        <v/>
      </c>
    </row>
    <row r="113">
      <c r="B113" s="7" t="inlineStr">
        <is>
          <t>Structural</t>
        </is>
      </c>
      <c r="C113" s="42">
        <f>COUNTIF(C5:C106,"Structural")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E370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Engine — re-runs the full chain for scenarios, the stress test, the tornado and the churn grid. Do not edit.</t>
        </is>
      </c>
    </row>
    <row r="2">
      <c r="B2" s="36" t="inlineStr">
        <is>
          <t>Case</t>
        </is>
      </c>
      <c r="D2" s="36" t="inlineStr">
        <is>
          <t>Live S</t>
        </is>
      </c>
      <c r="E2" s="36" t="inlineStr">
        <is>
          <t>Live M</t>
        </is>
      </c>
      <c r="F2" s="36" t="inlineStr">
        <is>
          <t>Live L</t>
        </is>
      </c>
      <c r="G2" s="36" t="inlineStr">
        <is>
          <t>Bear S</t>
        </is>
      </c>
      <c r="H2" s="36" t="inlineStr">
        <is>
          <t>Bear M</t>
        </is>
      </c>
      <c r="I2" s="36" t="inlineStr">
        <is>
          <t>Bear L</t>
        </is>
      </c>
      <c r="J2" s="36" t="inlineStr">
        <is>
          <t>Base S</t>
        </is>
      </c>
      <c r="K2" s="36" t="inlineStr">
        <is>
          <t>Base M</t>
        </is>
      </c>
      <c r="L2" s="36" t="inlineStr">
        <is>
          <t>Base L</t>
        </is>
      </c>
      <c r="M2" s="36" t="inlineStr">
        <is>
          <t>Bull S</t>
        </is>
      </c>
      <c r="N2" s="36" t="inlineStr">
        <is>
          <t>Bull M</t>
        </is>
      </c>
      <c r="O2" s="36" t="inlineStr">
        <is>
          <t>Bull L</t>
        </is>
      </c>
      <c r="P2" s="36" t="inlineStr">
        <is>
          <t>Stress S</t>
        </is>
      </c>
      <c r="Q2" s="36" t="inlineStr">
        <is>
          <t>Stress M</t>
        </is>
      </c>
      <c r="R2" s="36" t="inlineStr">
        <is>
          <t>Stress L</t>
        </is>
      </c>
      <c r="S2" s="36" t="inlineStr">
        <is>
          <t>T ListPrice bear</t>
        </is>
      </c>
      <c r="T2" s="36" t="inlineStr">
        <is>
          <t>T ListPrice bull</t>
        </is>
      </c>
      <c r="U2" s="36" t="inlineStr">
        <is>
          <t>T Fee bear</t>
        </is>
      </c>
      <c r="V2" s="36" t="inlineStr">
        <is>
          <t>T Fee bull</t>
        </is>
      </c>
      <c r="W2" s="36" t="inlineStr">
        <is>
          <t>T DropoutRate bear</t>
        </is>
      </c>
      <c r="X2" s="36" t="inlineStr">
        <is>
          <t>T DropoutRate bull</t>
        </is>
      </c>
      <c r="Y2" s="36" t="inlineStr">
        <is>
          <t>T UpfrontShare bear</t>
        </is>
      </c>
      <c r="Z2" s="36" t="inlineStr">
        <is>
          <t>T UpfrontShare bull</t>
        </is>
      </c>
      <c r="AA2" s="36" t="inlineStr">
        <is>
          <t>T NInstalments bear</t>
        </is>
      </c>
      <c r="AB2" s="36" t="inlineStr">
        <is>
          <t>T NInstalments bull</t>
        </is>
      </c>
      <c r="AC2" s="36" t="inlineStr">
        <is>
          <t>T InterventionSuccess bear</t>
        </is>
      </c>
      <c r="AD2" s="36" t="inlineStr">
        <is>
          <t>T InterventionSuccess bull</t>
        </is>
      </c>
      <c r="AE2" s="36" t="inlineStr">
        <is>
          <t>T Recall_Minor bear</t>
        </is>
      </c>
      <c r="AF2" s="36" t="inlineStr">
        <is>
          <t>T Recall_Minor bull</t>
        </is>
      </c>
      <c r="AG2" s="36" t="inlineStr">
        <is>
          <t>T Precision bear</t>
        </is>
      </c>
      <c r="AH2" s="36" t="inlineStr">
        <is>
          <t>T Precision bull</t>
        </is>
      </c>
      <c r="AI2" s="36" t="inlineStr">
        <is>
          <t>T InterventionMinutes bear</t>
        </is>
      </c>
      <c r="AJ2" s="36" t="inlineStr">
        <is>
          <t>T InterventionMinutes bull</t>
        </is>
      </c>
      <c r="AK2" s="36" t="inlineStr">
        <is>
          <t>T BlindMonths bear</t>
        </is>
      </c>
      <c r="AL2" s="36" t="inlineStr">
        <is>
          <t>T BlindMonths bull</t>
        </is>
      </c>
      <c r="AM2" s="36" t="inlineStr">
        <is>
          <t>T AdmissionUplift bear</t>
        </is>
      </c>
      <c r="AN2" s="36" t="inlineStr">
        <is>
          <t>T AdmissionUplift bull</t>
        </is>
      </c>
      <c r="AO2" s="36" t="inlineStr">
        <is>
          <t>T ITCShare bear</t>
        </is>
      </c>
      <c r="AP2" s="36" t="inlineStr">
        <is>
          <t>T ITCShare bull</t>
        </is>
      </c>
      <c r="AQ2" s="36" t="inlineStr">
        <is>
          <t>T ChurnInSeason bear</t>
        </is>
      </c>
      <c r="AR2" s="36" t="inlineStr">
        <is>
          <t>T ChurnInSeason bull</t>
        </is>
      </c>
      <c r="AS2" s="36" t="inlineStr">
        <is>
          <t>T RenewalSpike bear</t>
        </is>
      </c>
      <c r="AT2" s="36" t="inlineStr">
        <is>
          <t>T RenewalSpike bull</t>
        </is>
      </c>
      <c r="AU2" s="36" t="inlineStr">
        <is>
          <t>T PilotConv bear</t>
        </is>
      </c>
      <c r="AV2" s="36" t="inlineStr">
        <is>
          <t>T PilotConv bull</t>
        </is>
      </c>
      <c r="AW2" s="36" t="inlineStr">
        <is>
          <t>T PilotsPerRepMonth bear</t>
        </is>
      </c>
      <c r="AX2" s="36" t="inlineStr">
        <is>
          <t>T PilotsPerRepMonth bull</t>
        </is>
      </c>
      <c r="AY2" s="36" t="inlineStr">
        <is>
          <t>T InstPerCSM bear</t>
        </is>
      </c>
      <c r="AZ2" s="36" t="inlineStr">
        <is>
          <t>T InstPerCSM bull</t>
        </is>
      </c>
      <c r="BA2" s="36" t="inlineStr">
        <is>
          <t>Churn grid 1</t>
        </is>
      </c>
      <c r="BB2" s="36" t="inlineStr">
        <is>
          <t>Churn grid 2</t>
        </is>
      </c>
      <c r="BC2" s="36" t="inlineStr">
        <is>
          <t>Churn grid 3</t>
        </is>
      </c>
      <c r="BD2" s="36" t="inlineStr">
        <is>
          <t>Churn grid 4</t>
        </is>
      </c>
      <c r="BE2" s="36" t="inlineStr">
        <is>
          <t>Churn grid 5</t>
        </is>
      </c>
    </row>
    <row r="3">
      <c r="B3" s="36" t="inlineStr">
        <is>
          <t>Segment</t>
        </is>
      </c>
      <c r="D3" s="7" t="inlineStr">
        <is>
          <t>S</t>
        </is>
      </c>
      <c r="E3" s="7" t="inlineStr">
        <is>
          <t>M</t>
        </is>
      </c>
      <c r="F3" s="7" t="inlineStr">
        <is>
          <t>L</t>
        </is>
      </c>
      <c r="G3" s="7" t="inlineStr">
        <is>
          <t>S</t>
        </is>
      </c>
      <c r="H3" s="7" t="inlineStr">
        <is>
          <t>M</t>
        </is>
      </c>
      <c r="I3" s="7" t="inlineStr">
        <is>
          <t>L</t>
        </is>
      </c>
      <c r="J3" s="7" t="inlineStr">
        <is>
          <t>S</t>
        </is>
      </c>
      <c r="K3" s="7" t="inlineStr">
        <is>
          <t>M</t>
        </is>
      </c>
      <c r="L3" s="7" t="inlineStr">
        <is>
          <t>L</t>
        </is>
      </c>
      <c r="M3" s="7" t="inlineStr">
        <is>
          <t>S</t>
        </is>
      </c>
      <c r="N3" s="7" t="inlineStr">
        <is>
          <t>M</t>
        </is>
      </c>
      <c r="O3" s="7" t="inlineStr">
        <is>
          <t>L</t>
        </is>
      </c>
      <c r="P3" s="7" t="inlineStr">
        <is>
          <t>S</t>
        </is>
      </c>
      <c r="Q3" s="7" t="inlineStr">
        <is>
          <t>M</t>
        </is>
      </c>
      <c r="R3" s="7" t="inlineStr">
        <is>
          <t>L</t>
        </is>
      </c>
      <c r="S3" s="7" t="inlineStr">
        <is>
          <t>M</t>
        </is>
      </c>
      <c r="T3" s="7" t="inlineStr">
        <is>
          <t>M</t>
        </is>
      </c>
      <c r="U3" s="7" t="inlineStr">
        <is>
          <t>M</t>
        </is>
      </c>
      <c r="V3" s="7" t="inlineStr">
        <is>
          <t>M</t>
        </is>
      </c>
      <c r="W3" s="7" t="inlineStr">
        <is>
          <t>M</t>
        </is>
      </c>
      <c r="X3" s="7" t="inlineStr">
        <is>
          <t>M</t>
        </is>
      </c>
      <c r="Y3" s="7" t="inlineStr">
        <is>
          <t>M</t>
        </is>
      </c>
      <c r="Z3" s="7" t="inlineStr">
        <is>
          <t>M</t>
        </is>
      </c>
      <c r="AA3" s="7" t="inlineStr">
        <is>
          <t>M</t>
        </is>
      </c>
      <c r="AB3" s="7" t="inlineStr">
        <is>
          <t>M</t>
        </is>
      </c>
      <c r="AC3" s="7" t="inlineStr">
        <is>
          <t>M</t>
        </is>
      </c>
      <c r="AD3" s="7" t="inlineStr">
        <is>
          <t>M</t>
        </is>
      </c>
      <c r="AE3" s="7" t="inlineStr">
        <is>
          <t>M</t>
        </is>
      </c>
      <c r="AF3" s="7" t="inlineStr">
        <is>
          <t>M</t>
        </is>
      </c>
      <c r="AG3" s="7" t="inlineStr">
        <is>
          <t>M</t>
        </is>
      </c>
      <c r="AH3" s="7" t="inlineStr">
        <is>
          <t>M</t>
        </is>
      </c>
      <c r="AI3" s="7" t="inlineStr">
        <is>
          <t>M</t>
        </is>
      </c>
      <c r="AJ3" s="7" t="inlineStr">
        <is>
          <t>M</t>
        </is>
      </c>
      <c r="AK3" s="7" t="inlineStr">
        <is>
          <t>M</t>
        </is>
      </c>
      <c r="AL3" s="7" t="inlineStr">
        <is>
          <t>M</t>
        </is>
      </c>
      <c r="AM3" s="7" t="inlineStr">
        <is>
          <t>M</t>
        </is>
      </c>
      <c r="AN3" s="7" t="inlineStr">
        <is>
          <t>M</t>
        </is>
      </c>
      <c r="AO3" s="7" t="inlineStr">
        <is>
          <t>M</t>
        </is>
      </c>
      <c r="AP3" s="7" t="inlineStr">
        <is>
          <t>M</t>
        </is>
      </c>
      <c r="AQ3" s="7" t="inlineStr">
        <is>
          <t>M</t>
        </is>
      </c>
      <c r="AR3" s="7" t="inlineStr">
        <is>
          <t>M</t>
        </is>
      </c>
      <c r="AS3" s="7" t="inlineStr">
        <is>
          <t>M</t>
        </is>
      </c>
      <c r="AT3" s="7" t="inlineStr">
        <is>
          <t>M</t>
        </is>
      </c>
      <c r="AU3" s="7" t="inlineStr">
        <is>
          <t>M</t>
        </is>
      </c>
      <c r="AV3" s="7" t="inlineStr">
        <is>
          <t>M</t>
        </is>
      </c>
      <c r="AW3" s="7" t="inlineStr">
        <is>
          <t>M</t>
        </is>
      </c>
      <c r="AX3" s="7" t="inlineStr">
        <is>
          <t>M</t>
        </is>
      </c>
      <c r="AY3" s="7" t="inlineStr">
        <is>
          <t>M</t>
        </is>
      </c>
      <c r="AZ3" s="7" t="inlineStr">
        <is>
          <t>M</t>
        </is>
      </c>
      <c r="BA3" s="7" t="inlineStr">
        <is>
          <t>M</t>
        </is>
      </c>
      <c r="BB3" s="7" t="inlineStr">
        <is>
          <t>M</t>
        </is>
      </c>
      <c r="BC3" s="7" t="inlineStr">
        <is>
          <t>M</t>
        </is>
      </c>
      <c r="BD3" s="7" t="inlineStr">
        <is>
          <t>M</t>
        </is>
      </c>
      <c r="BE3" s="7" t="inlineStr">
        <is>
          <t>M</t>
        </is>
      </c>
    </row>
    <row r="4">
      <c r="B4" s="36" t="inlineStr">
        <is>
          <t>Scenario (1-3)</t>
        </is>
      </c>
      <c r="D4" s="7">
        <f>Scenario</f>
        <v/>
      </c>
      <c r="E4" s="7">
        <f>Scenario</f>
        <v/>
      </c>
      <c r="F4" s="7">
        <f>Scenario</f>
        <v/>
      </c>
      <c r="G4" s="7" t="n">
        <v>1</v>
      </c>
      <c r="H4" s="7" t="n">
        <v>1</v>
      </c>
      <c r="I4" s="7" t="n">
        <v>1</v>
      </c>
      <c r="J4" s="7" t="n">
        <v>2</v>
      </c>
      <c r="K4" s="7" t="n">
        <v>2</v>
      </c>
      <c r="L4" s="7" t="n">
        <v>2</v>
      </c>
      <c r="M4" s="7" t="n">
        <v>3</v>
      </c>
      <c r="N4" s="7" t="n">
        <v>3</v>
      </c>
      <c r="O4" s="7" t="n">
        <v>3</v>
      </c>
      <c r="P4" s="7" t="n">
        <v>1</v>
      </c>
      <c r="Q4" s="7" t="n">
        <v>1</v>
      </c>
      <c r="R4" s="7" t="n">
        <v>1</v>
      </c>
      <c r="S4" s="7" t="n">
        <v>2</v>
      </c>
      <c r="T4" s="7" t="n">
        <v>2</v>
      </c>
      <c r="U4" s="7" t="n">
        <v>2</v>
      </c>
      <c r="V4" s="7" t="n">
        <v>2</v>
      </c>
      <c r="W4" s="7" t="n">
        <v>2</v>
      </c>
      <c r="X4" s="7" t="n">
        <v>2</v>
      </c>
      <c r="Y4" s="7" t="n">
        <v>2</v>
      </c>
      <c r="Z4" s="7" t="n">
        <v>2</v>
      </c>
      <c r="AA4" s="7" t="n">
        <v>2</v>
      </c>
      <c r="AB4" s="7" t="n">
        <v>2</v>
      </c>
      <c r="AC4" s="7" t="n">
        <v>2</v>
      </c>
      <c r="AD4" s="7" t="n">
        <v>2</v>
      </c>
      <c r="AE4" s="7" t="n">
        <v>2</v>
      </c>
      <c r="AF4" s="7" t="n">
        <v>2</v>
      </c>
      <c r="AG4" s="7" t="n">
        <v>2</v>
      </c>
      <c r="AH4" s="7" t="n">
        <v>2</v>
      </c>
      <c r="AI4" s="7" t="n">
        <v>2</v>
      </c>
      <c r="AJ4" s="7" t="n">
        <v>2</v>
      </c>
      <c r="AK4" s="7" t="n">
        <v>2</v>
      </c>
      <c r="AL4" s="7" t="n">
        <v>2</v>
      </c>
      <c r="AM4" s="7" t="n">
        <v>2</v>
      </c>
      <c r="AN4" s="7" t="n">
        <v>2</v>
      </c>
      <c r="AO4" s="7" t="n">
        <v>2</v>
      </c>
      <c r="AP4" s="7" t="n">
        <v>2</v>
      </c>
      <c r="AQ4" s="7" t="n">
        <v>2</v>
      </c>
      <c r="AR4" s="7" t="n">
        <v>2</v>
      </c>
      <c r="AS4" s="7" t="n">
        <v>2</v>
      </c>
      <c r="AT4" s="7" t="n">
        <v>2</v>
      </c>
      <c r="AU4" s="7" t="n">
        <v>2</v>
      </c>
      <c r="AV4" s="7" t="n">
        <v>2</v>
      </c>
      <c r="AW4" s="7" t="n">
        <v>2</v>
      </c>
      <c r="AX4" s="7" t="n">
        <v>2</v>
      </c>
      <c r="AY4" s="7" t="n">
        <v>2</v>
      </c>
      <c r="AZ4" s="7" t="n">
        <v>2</v>
      </c>
      <c r="BA4" s="7">
        <f>Scenario</f>
        <v/>
      </c>
      <c r="BB4" s="7">
        <f>Scenario</f>
        <v/>
      </c>
      <c r="BC4" s="7">
        <f>Scenario</f>
        <v/>
      </c>
      <c r="BD4" s="7">
        <f>Scenario</f>
        <v/>
      </c>
      <c r="BE4" s="7">
        <f>Scenario</f>
        <v/>
      </c>
    </row>
    <row r="5">
      <c r="B5" s="36" t="inlineStr">
        <is>
          <t>Override input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>
        <is>
          <t>ListPrice</t>
        </is>
      </c>
      <c r="T5" s="7" t="inlineStr">
        <is>
          <t>ListPrice</t>
        </is>
      </c>
      <c r="U5" s="7" t="inlineStr">
        <is>
          <t>Fee</t>
        </is>
      </c>
      <c r="V5" s="7" t="inlineStr">
        <is>
          <t>Fee</t>
        </is>
      </c>
      <c r="W5" s="7" t="inlineStr">
        <is>
          <t>DropoutRate</t>
        </is>
      </c>
      <c r="X5" s="7" t="inlineStr">
        <is>
          <t>DropoutRate</t>
        </is>
      </c>
      <c r="Y5" s="7" t="inlineStr">
        <is>
          <t>UpfrontShare</t>
        </is>
      </c>
      <c r="Z5" s="7" t="inlineStr">
        <is>
          <t>UpfrontShare</t>
        </is>
      </c>
      <c r="AA5" s="7" t="inlineStr">
        <is>
          <t>NInstalments</t>
        </is>
      </c>
      <c r="AB5" s="7" t="inlineStr">
        <is>
          <t>NInstalments</t>
        </is>
      </c>
      <c r="AC5" s="7" t="inlineStr">
        <is>
          <t>InterventionSuccess</t>
        </is>
      </c>
      <c r="AD5" s="7" t="inlineStr">
        <is>
          <t>InterventionSuccess</t>
        </is>
      </c>
      <c r="AE5" s="7" t="inlineStr">
        <is>
          <t>Recall_Minor</t>
        </is>
      </c>
      <c r="AF5" s="7" t="inlineStr">
        <is>
          <t>Recall_Minor</t>
        </is>
      </c>
      <c r="AG5" s="7" t="inlineStr">
        <is>
          <t>Precision</t>
        </is>
      </c>
      <c r="AH5" s="7" t="inlineStr">
        <is>
          <t>Precision</t>
        </is>
      </c>
      <c r="AI5" s="7" t="inlineStr">
        <is>
          <t>InterventionMinutes</t>
        </is>
      </c>
      <c r="AJ5" s="7" t="inlineStr">
        <is>
          <t>InterventionMinutes</t>
        </is>
      </c>
      <c r="AK5" s="7" t="inlineStr">
        <is>
          <t>BlindMonths</t>
        </is>
      </c>
      <c r="AL5" s="7" t="inlineStr">
        <is>
          <t>BlindMonths</t>
        </is>
      </c>
      <c r="AM5" s="7" t="inlineStr">
        <is>
          <t>AdmissionUplift</t>
        </is>
      </c>
      <c r="AN5" s="7" t="inlineStr">
        <is>
          <t>AdmissionUplift</t>
        </is>
      </c>
      <c r="AO5" s="7" t="inlineStr">
        <is>
          <t>ITCShare</t>
        </is>
      </c>
      <c r="AP5" s="7" t="inlineStr">
        <is>
          <t>ITCShare</t>
        </is>
      </c>
      <c r="AQ5" s="7" t="inlineStr">
        <is>
          <t>ChurnInSeason</t>
        </is>
      </c>
      <c r="AR5" s="7" t="inlineStr">
        <is>
          <t>ChurnInSeason</t>
        </is>
      </c>
      <c r="AS5" s="7" t="inlineStr">
        <is>
          <t>RenewalSpike</t>
        </is>
      </c>
      <c r="AT5" s="7" t="inlineStr">
        <is>
          <t>RenewalSpike</t>
        </is>
      </c>
      <c r="AU5" s="7" t="inlineStr">
        <is>
          <t>PilotConv</t>
        </is>
      </c>
      <c r="AV5" s="7" t="inlineStr">
        <is>
          <t>PilotConv</t>
        </is>
      </c>
      <c r="AW5" s="7" t="inlineStr">
        <is>
          <t>PilotsPerRepMonth</t>
        </is>
      </c>
      <c r="AX5" s="7" t="inlineStr">
        <is>
          <t>PilotsPerRepMonth</t>
        </is>
      </c>
      <c r="AY5" s="7" t="inlineStr">
        <is>
          <t>InstPerCSM</t>
        </is>
      </c>
      <c r="AZ5" s="7" t="inlineStr">
        <is>
          <t>InstPerCSM</t>
        </is>
      </c>
      <c r="BA5" s="7" t="inlineStr">
        <is>
          <t>ChurnInSeason</t>
        </is>
      </c>
      <c r="BB5" s="7" t="inlineStr">
        <is>
          <t>ChurnInSeason</t>
        </is>
      </c>
      <c r="BC5" s="7" t="inlineStr">
        <is>
          <t>ChurnInSeason</t>
        </is>
      </c>
      <c r="BD5" s="7" t="inlineStr">
        <is>
          <t>ChurnInSeason</t>
        </is>
      </c>
      <c r="BE5" s="7" t="inlineStr">
        <is>
          <t>ChurnInSeason</t>
        </is>
      </c>
    </row>
    <row r="6">
      <c r="B6" s="36" t="inlineStr">
        <is>
          <t>Override value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>
        <f>Assumptions!$D$38</f>
        <v/>
      </c>
      <c r="T6" s="7">
        <f>Assumptions!$F$38</f>
        <v/>
      </c>
      <c r="U6" s="7">
        <f>Assumptions!$D$10</f>
        <v/>
      </c>
      <c r="V6" s="7">
        <f>Assumptions!$F$10</f>
        <v/>
      </c>
      <c r="W6" s="7">
        <f>Assumptions!$D$16</f>
        <v/>
      </c>
      <c r="X6" s="7">
        <f>Assumptions!$F$16</f>
        <v/>
      </c>
      <c r="Y6" s="7">
        <f>Assumptions!$D$17</f>
        <v/>
      </c>
      <c r="Z6" s="7">
        <f>Assumptions!$F$17</f>
        <v/>
      </c>
      <c r="AA6" s="7">
        <f>Assumptions!$D$18</f>
        <v/>
      </c>
      <c r="AB6" s="7">
        <f>Assumptions!$F$18</f>
        <v/>
      </c>
      <c r="AC6" s="7">
        <f>Assumptions!$D$28</f>
        <v/>
      </c>
      <c r="AD6" s="7">
        <f>Assumptions!$F$28</f>
        <v/>
      </c>
      <c r="AE6" s="7">
        <f>Assumptions!$D$24</f>
        <v/>
      </c>
      <c r="AF6" s="7">
        <f>Assumptions!$F$24</f>
        <v/>
      </c>
      <c r="AG6" s="7">
        <f>Assumptions!$D$26</f>
        <v/>
      </c>
      <c r="AH6" s="7">
        <f>Assumptions!$F$26</f>
        <v/>
      </c>
      <c r="AI6" s="7">
        <f>Assumptions!$D$33</f>
        <v/>
      </c>
      <c r="AJ6" s="7">
        <f>Assumptions!$F$33</f>
        <v/>
      </c>
      <c r="AK6" s="7">
        <f>Assumptions!$D$21</f>
        <v/>
      </c>
      <c r="AL6" s="7">
        <f>Assumptions!$F$21</f>
        <v/>
      </c>
      <c r="AM6" s="7">
        <f>Assumptions!$D$29</f>
        <v/>
      </c>
      <c r="AN6" s="7">
        <f>Assumptions!$F$29</f>
        <v/>
      </c>
      <c r="AO6" s="7">
        <f>Assumptions!$D$36</f>
        <v/>
      </c>
      <c r="AP6" s="7">
        <f>Assumptions!$F$36</f>
        <v/>
      </c>
      <c r="AQ6" s="7">
        <f>Assumptions!$D$74</f>
        <v/>
      </c>
      <c r="AR6" s="7">
        <f>Assumptions!$F$74</f>
        <v/>
      </c>
      <c r="AS6" s="7">
        <f>Assumptions!$D$75</f>
        <v/>
      </c>
      <c r="AT6" s="7">
        <f>Assumptions!$F$75</f>
        <v/>
      </c>
      <c r="AU6" s="7">
        <f>Assumptions!$D$68</f>
        <v/>
      </c>
      <c r="AV6" s="7">
        <f>Assumptions!$F$68</f>
        <v/>
      </c>
      <c r="AW6" s="7">
        <f>Assumptions!$D$67</f>
        <v/>
      </c>
      <c r="AX6" s="7">
        <f>Assumptions!$F$67</f>
        <v/>
      </c>
      <c r="AY6" s="7">
        <f>Assumptions!$D$63</f>
        <v/>
      </c>
      <c r="AZ6" s="7">
        <f>Assumptions!$F$63</f>
        <v/>
      </c>
      <c r="BA6" s="7">
        <f>Sensitivity!B$37</f>
        <v/>
      </c>
      <c r="BB6" s="7">
        <f>Sensitivity!C$37</f>
        <v/>
      </c>
      <c r="BC6" s="7">
        <f>Sensitivity!D$37</f>
        <v/>
      </c>
      <c r="BD6" s="7">
        <f>Sensitivity!E$37</f>
        <v/>
      </c>
      <c r="BE6" s="7">
        <f>Sensitivity!F$37</f>
        <v/>
      </c>
    </row>
    <row r="7">
      <c r="B7" s="36" t="inlineStr">
        <is>
          <t>Inputs flexed: DRIVERS or ALL</t>
        </is>
      </c>
      <c r="D7" s="7" t="inlineStr">
        <is>
          <t>DRIVERS</t>
        </is>
      </c>
      <c r="E7" s="7" t="inlineStr">
        <is>
          <t>DRIVERS</t>
        </is>
      </c>
      <c r="F7" s="7" t="inlineStr">
        <is>
          <t>DRIVERS</t>
        </is>
      </c>
      <c r="G7" s="7" t="inlineStr">
        <is>
          <t>DRIVERS</t>
        </is>
      </c>
      <c r="H7" s="7" t="inlineStr">
        <is>
          <t>DRIVERS</t>
        </is>
      </c>
      <c r="I7" s="7" t="inlineStr">
        <is>
          <t>DRIVERS</t>
        </is>
      </c>
      <c r="J7" s="7" t="inlineStr">
        <is>
          <t>DRIVERS</t>
        </is>
      </c>
      <c r="K7" s="7" t="inlineStr">
        <is>
          <t>DRIVERS</t>
        </is>
      </c>
      <c r="L7" s="7" t="inlineStr">
        <is>
          <t>DRIVERS</t>
        </is>
      </c>
      <c r="M7" s="7" t="inlineStr">
        <is>
          <t>DRIVERS</t>
        </is>
      </c>
      <c r="N7" s="7" t="inlineStr">
        <is>
          <t>DRIVERS</t>
        </is>
      </c>
      <c r="O7" s="7" t="inlineStr">
        <is>
          <t>DRIVERS</t>
        </is>
      </c>
      <c r="P7" s="7" t="inlineStr">
        <is>
          <t>ALL</t>
        </is>
      </c>
      <c r="Q7" s="7" t="inlineStr">
        <is>
          <t>ALL</t>
        </is>
      </c>
      <c r="R7" s="7" t="inlineStr">
        <is>
          <t>ALL</t>
        </is>
      </c>
      <c r="S7" s="7" t="inlineStr">
        <is>
          <t>DRIVERS</t>
        </is>
      </c>
      <c r="T7" s="7" t="inlineStr">
        <is>
          <t>DRIVERS</t>
        </is>
      </c>
      <c r="U7" s="7" t="inlineStr">
        <is>
          <t>DRIVERS</t>
        </is>
      </c>
      <c r="V7" s="7" t="inlineStr">
        <is>
          <t>DRIVERS</t>
        </is>
      </c>
      <c r="W7" s="7" t="inlineStr">
        <is>
          <t>DRIVERS</t>
        </is>
      </c>
      <c r="X7" s="7" t="inlineStr">
        <is>
          <t>DRIVERS</t>
        </is>
      </c>
      <c r="Y7" s="7" t="inlineStr">
        <is>
          <t>DRIVERS</t>
        </is>
      </c>
      <c r="Z7" s="7" t="inlineStr">
        <is>
          <t>DRIVERS</t>
        </is>
      </c>
      <c r="AA7" s="7" t="inlineStr">
        <is>
          <t>DRIVERS</t>
        </is>
      </c>
      <c r="AB7" s="7" t="inlineStr">
        <is>
          <t>DRIVERS</t>
        </is>
      </c>
      <c r="AC7" s="7" t="inlineStr">
        <is>
          <t>DRIVERS</t>
        </is>
      </c>
      <c r="AD7" s="7" t="inlineStr">
        <is>
          <t>DRIVERS</t>
        </is>
      </c>
      <c r="AE7" s="7" t="inlineStr">
        <is>
          <t>DRIVERS</t>
        </is>
      </c>
      <c r="AF7" s="7" t="inlineStr">
        <is>
          <t>DRIVERS</t>
        </is>
      </c>
      <c r="AG7" s="7" t="inlineStr">
        <is>
          <t>DRIVERS</t>
        </is>
      </c>
      <c r="AH7" s="7" t="inlineStr">
        <is>
          <t>DRIVERS</t>
        </is>
      </c>
      <c r="AI7" s="7" t="inlineStr">
        <is>
          <t>DRIVERS</t>
        </is>
      </c>
      <c r="AJ7" s="7" t="inlineStr">
        <is>
          <t>DRIVERS</t>
        </is>
      </c>
      <c r="AK7" s="7" t="inlineStr">
        <is>
          <t>DRIVERS</t>
        </is>
      </c>
      <c r="AL7" s="7" t="inlineStr">
        <is>
          <t>DRIVERS</t>
        </is>
      </c>
      <c r="AM7" s="7" t="inlineStr">
        <is>
          <t>DRIVERS</t>
        </is>
      </c>
      <c r="AN7" s="7" t="inlineStr">
        <is>
          <t>DRIVERS</t>
        </is>
      </c>
      <c r="AO7" s="7" t="inlineStr">
        <is>
          <t>DRIVERS</t>
        </is>
      </c>
      <c r="AP7" s="7" t="inlineStr">
        <is>
          <t>DRIVERS</t>
        </is>
      </c>
      <c r="AQ7" s="7" t="inlineStr">
        <is>
          <t>DRIVERS</t>
        </is>
      </c>
      <c r="AR7" s="7" t="inlineStr">
        <is>
          <t>DRIVERS</t>
        </is>
      </c>
      <c r="AS7" s="7" t="inlineStr">
        <is>
          <t>DRIVERS</t>
        </is>
      </c>
      <c r="AT7" s="7" t="inlineStr">
        <is>
          <t>DRIVERS</t>
        </is>
      </c>
      <c r="AU7" s="7" t="inlineStr">
        <is>
          <t>DRIVERS</t>
        </is>
      </c>
      <c r="AV7" s="7" t="inlineStr">
        <is>
          <t>DRIVERS</t>
        </is>
      </c>
      <c r="AW7" s="7" t="inlineStr">
        <is>
          <t>DRIVERS</t>
        </is>
      </c>
      <c r="AX7" s="7" t="inlineStr">
        <is>
          <t>DRIVERS</t>
        </is>
      </c>
      <c r="AY7" s="7" t="inlineStr">
        <is>
          <t>DRIVERS</t>
        </is>
      </c>
      <c r="AZ7" s="7" t="inlineStr">
        <is>
          <t>DRIVERS</t>
        </is>
      </c>
      <c r="BA7" s="7" t="inlineStr">
        <is>
          <t>DRIVERS</t>
        </is>
      </c>
      <c r="BB7" s="7" t="inlineStr">
        <is>
          <t>DRIVERS</t>
        </is>
      </c>
      <c r="BC7" s="7" t="inlineStr">
        <is>
          <t>DRIVERS</t>
        </is>
      </c>
      <c r="BD7" s="7" t="inlineStr">
        <is>
          <t>DRIVERS</t>
        </is>
      </c>
      <c r="BE7" s="7" t="inlineStr">
        <is>
          <t>DRIVERS</t>
        </is>
      </c>
    </row>
    <row r="8">
      <c r="B8" s="5" t="inlineStr">
        <is>
          <t>ReportsPerStudentMonth</t>
        </is>
      </c>
      <c r="D8" s="57">
        <f>IF($D$5="ReportsPerStudentMonth",$D$6,IF(OR($D$7="ALL",Assumptions!$N$48="Y"),INDEX(Assumptions!$D$48:$F$48,$D$4),Assumptions!$E$48))</f>
        <v/>
      </c>
      <c r="E8" s="57">
        <f>IF($E$5="ReportsPerStudentMonth",$E$6,IF(OR($E$7="ALL",Assumptions!$N$48="Y"),INDEX(Assumptions!$D$48:$F$48,$E$4),Assumptions!$E$48))</f>
        <v/>
      </c>
      <c r="F8" s="57">
        <f>IF($F$5="ReportsPerStudentMonth",$F$6,IF(OR($F$7="ALL",Assumptions!$N$48="Y"),INDEX(Assumptions!$D$48:$F$48,$F$4),Assumptions!$E$48))</f>
        <v/>
      </c>
      <c r="G8" s="57">
        <f>IF($G$5="ReportsPerStudentMonth",$G$6,IF(OR($G$7="ALL",Assumptions!$N$48="Y"),INDEX(Assumptions!$D$48:$F$48,$G$4),Assumptions!$E$48))</f>
        <v/>
      </c>
      <c r="H8" s="57">
        <f>IF($H$5="ReportsPerStudentMonth",$H$6,IF(OR($H$7="ALL",Assumptions!$N$48="Y"),INDEX(Assumptions!$D$48:$F$48,$H$4),Assumptions!$E$48))</f>
        <v/>
      </c>
      <c r="I8" s="57">
        <f>IF($I$5="ReportsPerStudentMonth",$I$6,IF(OR($I$7="ALL",Assumptions!$N$48="Y"),INDEX(Assumptions!$D$48:$F$48,$I$4),Assumptions!$E$48))</f>
        <v/>
      </c>
      <c r="J8" s="57">
        <f>IF($J$5="ReportsPerStudentMonth",$J$6,IF(OR($J$7="ALL",Assumptions!$N$48="Y"),INDEX(Assumptions!$D$48:$F$48,$J$4),Assumptions!$E$48))</f>
        <v/>
      </c>
      <c r="K8" s="57">
        <f>IF($K$5="ReportsPerStudentMonth",$K$6,IF(OR($K$7="ALL",Assumptions!$N$48="Y"),INDEX(Assumptions!$D$48:$F$48,$K$4),Assumptions!$E$48))</f>
        <v/>
      </c>
      <c r="L8" s="57">
        <f>IF($L$5="ReportsPerStudentMonth",$L$6,IF(OR($L$7="ALL",Assumptions!$N$48="Y"),INDEX(Assumptions!$D$48:$F$48,$L$4),Assumptions!$E$48))</f>
        <v/>
      </c>
      <c r="M8" s="57">
        <f>IF($M$5="ReportsPerStudentMonth",$M$6,IF(OR($M$7="ALL",Assumptions!$N$48="Y"),INDEX(Assumptions!$D$48:$F$48,$M$4),Assumptions!$E$48))</f>
        <v/>
      </c>
      <c r="N8" s="57">
        <f>IF($N$5="ReportsPerStudentMonth",$N$6,IF(OR($N$7="ALL",Assumptions!$N$48="Y"),INDEX(Assumptions!$D$48:$F$48,$N$4),Assumptions!$E$48))</f>
        <v/>
      </c>
      <c r="O8" s="57">
        <f>IF($O$5="ReportsPerStudentMonth",$O$6,IF(OR($O$7="ALL",Assumptions!$N$48="Y"),INDEX(Assumptions!$D$48:$F$48,$O$4),Assumptions!$E$48))</f>
        <v/>
      </c>
      <c r="P8" s="57">
        <f>IF($P$5="ReportsPerStudentMonth",$P$6,IF(OR($P$7="ALL",Assumptions!$N$48="Y"),INDEX(Assumptions!$D$48:$F$48,$P$4),Assumptions!$E$48))</f>
        <v/>
      </c>
      <c r="Q8" s="57">
        <f>IF($Q$5="ReportsPerStudentMonth",$Q$6,IF(OR($Q$7="ALL",Assumptions!$N$48="Y"),INDEX(Assumptions!$D$48:$F$48,$Q$4),Assumptions!$E$48))</f>
        <v/>
      </c>
      <c r="R8" s="57">
        <f>IF($R$5="ReportsPerStudentMonth",$R$6,IF(OR($R$7="ALL",Assumptions!$N$48="Y"),INDEX(Assumptions!$D$48:$F$48,$R$4),Assumptions!$E$48))</f>
        <v/>
      </c>
      <c r="S8" s="57">
        <f>IF($S$5="ReportsPerStudentMonth",$S$6,IF(OR($S$7="ALL",Assumptions!$N$48="Y"),INDEX(Assumptions!$D$48:$F$48,$S$4),Assumptions!$E$48))</f>
        <v/>
      </c>
      <c r="T8" s="57">
        <f>IF($T$5="ReportsPerStudentMonth",$T$6,IF(OR($T$7="ALL",Assumptions!$N$48="Y"),INDEX(Assumptions!$D$48:$F$48,$T$4),Assumptions!$E$48))</f>
        <v/>
      </c>
      <c r="U8" s="57">
        <f>IF($U$5="ReportsPerStudentMonth",$U$6,IF(OR($U$7="ALL",Assumptions!$N$48="Y"),INDEX(Assumptions!$D$48:$F$48,$U$4),Assumptions!$E$48))</f>
        <v/>
      </c>
      <c r="V8" s="57">
        <f>IF($V$5="ReportsPerStudentMonth",$V$6,IF(OR($V$7="ALL",Assumptions!$N$48="Y"),INDEX(Assumptions!$D$48:$F$48,$V$4),Assumptions!$E$48))</f>
        <v/>
      </c>
      <c r="W8" s="57">
        <f>IF($W$5="ReportsPerStudentMonth",$W$6,IF(OR($W$7="ALL",Assumptions!$N$48="Y"),INDEX(Assumptions!$D$48:$F$48,$W$4),Assumptions!$E$48))</f>
        <v/>
      </c>
      <c r="X8" s="57">
        <f>IF($X$5="ReportsPerStudentMonth",$X$6,IF(OR($X$7="ALL",Assumptions!$N$48="Y"),INDEX(Assumptions!$D$48:$F$48,$X$4),Assumptions!$E$48))</f>
        <v/>
      </c>
      <c r="Y8" s="57">
        <f>IF($Y$5="ReportsPerStudentMonth",$Y$6,IF(OR($Y$7="ALL",Assumptions!$N$48="Y"),INDEX(Assumptions!$D$48:$F$48,$Y$4),Assumptions!$E$48))</f>
        <v/>
      </c>
      <c r="Z8" s="57">
        <f>IF($Z$5="ReportsPerStudentMonth",$Z$6,IF(OR($Z$7="ALL",Assumptions!$N$48="Y"),INDEX(Assumptions!$D$48:$F$48,$Z$4),Assumptions!$E$48))</f>
        <v/>
      </c>
      <c r="AA8" s="57">
        <f>IF($AA$5="ReportsPerStudentMonth",$AA$6,IF(OR($AA$7="ALL",Assumptions!$N$48="Y"),INDEX(Assumptions!$D$48:$F$48,$AA$4),Assumptions!$E$48))</f>
        <v/>
      </c>
      <c r="AB8" s="57">
        <f>IF($AB$5="ReportsPerStudentMonth",$AB$6,IF(OR($AB$7="ALL",Assumptions!$N$48="Y"),INDEX(Assumptions!$D$48:$F$48,$AB$4),Assumptions!$E$48))</f>
        <v/>
      </c>
      <c r="AC8" s="57">
        <f>IF($AC$5="ReportsPerStudentMonth",$AC$6,IF(OR($AC$7="ALL",Assumptions!$N$48="Y"),INDEX(Assumptions!$D$48:$F$48,$AC$4),Assumptions!$E$48))</f>
        <v/>
      </c>
      <c r="AD8" s="57">
        <f>IF($AD$5="ReportsPerStudentMonth",$AD$6,IF(OR($AD$7="ALL",Assumptions!$N$48="Y"),INDEX(Assumptions!$D$48:$F$48,$AD$4),Assumptions!$E$48))</f>
        <v/>
      </c>
      <c r="AE8" s="57">
        <f>IF($AE$5="ReportsPerStudentMonth",$AE$6,IF(OR($AE$7="ALL",Assumptions!$N$48="Y"),INDEX(Assumptions!$D$48:$F$48,$AE$4),Assumptions!$E$48))</f>
        <v/>
      </c>
      <c r="AF8" s="57">
        <f>IF($AF$5="ReportsPerStudentMonth",$AF$6,IF(OR($AF$7="ALL",Assumptions!$N$48="Y"),INDEX(Assumptions!$D$48:$F$48,$AF$4),Assumptions!$E$48))</f>
        <v/>
      </c>
      <c r="AG8" s="57">
        <f>IF($AG$5="ReportsPerStudentMonth",$AG$6,IF(OR($AG$7="ALL",Assumptions!$N$48="Y"),INDEX(Assumptions!$D$48:$F$48,$AG$4),Assumptions!$E$48))</f>
        <v/>
      </c>
      <c r="AH8" s="57">
        <f>IF($AH$5="ReportsPerStudentMonth",$AH$6,IF(OR($AH$7="ALL",Assumptions!$N$48="Y"),INDEX(Assumptions!$D$48:$F$48,$AH$4),Assumptions!$E$48))</f>
        <v/>
      </c>
      <c r="AI8" s="57">
        <f>IF($AI$5="ReportsPerStudentMonth",$AI$6,IF(OR($AI$7="ALL",Assumptions!$N$48="Y"),INDEX(Assumptions!$D$48:$F$48,$AI$4),Assumptions!$E$48))</f>
        <v/>
      </c>
      <c r="AJ8" s="57">
        <f>IF($AJ$5="ReportsPerStudentMonth",$AJ$6,IF(OR($AJ$7="ALL",Assumptions!$N$48="Y"),INDEX(Assumptions!$D$48:$F$48,$AJ$4),Assumptions!$E$48))</f>
        <v/>
      </c>
      <c r="AK8" s="57">
        <f>IF($AK$5="ReportsPerStudentMonth",$AK$6,IF(OR($AK$7="ALL",Assumptions!$N$48="Y"),INDEX(Assumptions!$D$48:$F$48,$AK$4),Assumptions!$E$48))</f>
        <v/>
      </c>
      <c r="AL8" s="57">
        <f>IF($AL$5="ReportsPerStudentMonth",$AL$6,IF(OR($AL$7="ALL",Assumptions!$N$48="Y"),INDEX(Assumptions!$D$48:$F$48,$AL$4),Assumptions!$E$48))</f>
        <v/>
      </c>
      <c r="AM8" s="57">
        <f>IF($AM$5="ReportsPerStudentMonth",$AM$6,IF(OR($AM$7="ALL",Assumptions!$N$48="Y"),INDEX(Assumptions!$D$48:$F$48,$AM$4),Assumptions!$E$48))</f>
        <v/>
      </c>
      <c r="AN8" s="57">
        <f>IF($AN$5="ReportsPerStudentMonth",$AN$6,IF(OR($AN$7="ALL",Assumptions!$N$48="Y"),INDEX(Assumptions!$D$48:$F$48,$AN$4),Assumptions!$E$48))</f>
        <v/>
      </c>
      <c r="AO8" s="57">
        <f>IF($AO$5="ReportsPerStudentMonth",$AO$6,IF(OR($AO$7="ALL",Assumptions!$N$48="Y"),INDEX(Assumptions!$D$48:$F$48,$AO$4),Assumptions!$E$48))</f>
        <v/>
      </c>
      <c r="AP8" s="57">
        <f>IF($AP$5="ReportsPerStudentMonth",$AP$6,IF(OR($AP$7="ALL",Assumptions!$N$48="Y"),INDEX(Assumptions!$D$48:$F$48,$AP$4),Assumptions!$E$48))</f>
        <v/>
      </c>
      <c r="AQ8" s="57">
        <f>IF($AQ$5="ReportsPerStudentMonth",$AQ$6,IF(OR($AQ$7="ALL",Assumptions!$N$48="Y"),INDEX(Assumptions!$D$48:$F$48,$AQ$4),Assumptions!$E$48))</f>
        <v/>
      </c>
      <c r="AR8" s="57">
        <f>IF($AR$5="ReportsPerStudentMonth",$AR$6,IF(OR($AR$7="ALL",Assumptions!$N$48="Y"),INDEX(Assumptions!$D$48:$F$48,$AR$4),Assumptions!$E$48))</f>
        <v/>
      </c>
      <c r="AS8" s="57">
        <f>IF($AS$5="ReportsPerStudentMonth",$AS$6,IF(OR($AS$7="ALL",Assumptions!$N$48="Y"),INDEX(Assumptions!$D$48:$F$48,$AS$4),Assumptions!$E$48))</f>
        <v/>
      </c>
      <c r="AT8" s="57">
        <f>IF($AT$5="ReportsPerStudentMonth",$AT$6,IF(OR($AT$7="ALL",Assumptions!$N$48="Y"),INDEX(Assumptions!$D$48:$F$48,$AT$4),Assumptions!$E$48))</f>
        <v/>
      </c>
      <c r="AU8" s="57">
        <f>IF($AU$5="ReportsPerStudentMonth",$AU$6,IF(OR($AU$7="ALL",Assumptions!$N$48="Y"),INDEX(Assumptions!$D$48:$F$48,$AU$4),Assumptions!$E$48))</f>
        <v/>
      </c>
      <c r="AV8" s="57">
        <f>IF($AV$5="ReportsPerStudentMonth",$AV$6,IF(OR($AV$7="ALL",Assumptions!$N$48="Y"),INDEX(Assumptions!$D$48:$F$48,$AV$4),Assumptions!$E$48))</f>
        <v/>
      </c>
      <c r="AW8" s="57">
        <f>IF($AW$5="ReportsPerStudentMonth",$AW$6,IF(OR($AW$7="ALL",Assumptions!$N$48="Y"),INDEX(Assumptions!$D$48:$F$48,$AW$4),Assumptions!$E$48))</f>
        <v/>
      </c>
      <c r="AX8" s="57">
        <f>IF($AX$5="ReportsPerStudentMonth",$AX$6,IF(OR($AX$7="ALL",Assumptions!$N$48="Y"),INDEX(Assumptions!$D$48:$F$48,$AX$4),Assumptions!$E$48))</f>
        <v/>
      </c>
      <c r="AY8" s="57">
        <f>IF($AY$5="ReportsPerStudentMonth",$AY$6,IF(OR($AY$7="ALL",Assumptions!$N$48="Y"),INDEX(Assumptions!$D$48:$F$48,$AY$4),Assumptions!$E$48))</f>
        <v/>
      </c>
      <c r="AZ8" s="57">
        <f>IF($AZ$5="ReportsPerStudentMonth",$AZ$6,IF(OR($AZ$7="ALL",Assumptions!$N$48="Y"),INDEX(Assumptions!$D$48:$F$48,$AZ$4),Assumptions!$E$48))</f>
        <v/>
      </c>
      <c r="BA8" s="57">
        <f>IF($BA$5="ReportsPerStudentMonth",$BA$6,IF(OR($BA$7="ALL",Assumptions!$N$48="Y"),INDEX(Assumptions!$D$48:$F$48,$BA$4),Assumptions!$E$48))</f>
        <v/>
      </c>
      <c r="BB8" s="57">
        <f>IF($BB$5="ReportsPerStudentMonth",$BB$6,IF(OR($BB$7="ALL",Assumptions!$N$48="Y"),INDEX(Assumptions!$D$48:$F$48,$BB$4),Assumptions!$E$48))</f>
        <v/>
      </c>
      <c r="BC8" s="57">
        <f>IF($BC$5="ReportsPerStudentMonth",$BC$6,IF(OR($BC$7="ALL",Assumptions!$N$48="Y"),INDEX(Assumptions!$D$48:$F$48,$BC$4),Assumptions!$E$48))</f>
        <v/>
      </c>
      <c r="BD8" s="57">
        <f>IF($BD$5="ReportsPerStudentMonth",$BD$6,IF(OR($BD$7="ALL",Assumptions!$N$48="Y"),INDEX(Assumptions!$D$48:$F$48,$BD$4),Assumptions!$E$48))</f>
        <v/>
      </c>
      <c r="BE8" s="57">
        <f>IF($BE$5="ReportsPerStudentMonth",$BE$6,IF(OR($BE$7="ALL",Assumptions!$N$48="Y"),INDEX(Assumptions!$D$48:$F$48,$BE$4),Assumptions!$E$48))</f>
        <v/>
      </c>
    </row>
    <row r="9">
      <c r="B9" s="5" t="inlineStr">
        <is>
          <t>TokensInPerReport</t>
        </is>
      </c>
      <c r="D9" s="57">
        <f>IF($D$5="TokensInPerReport",$D$6,IF(OR($D$7="ALL",Assumptions!$N$49="Y"),INDEX(Assumptions!$D$49:$F$49,$D$4),Assumptions!$E$49))</f>
        <v/>
      </c>
      <c r="E9" s="57">
        <f>IF($E$5="TokensInPerReport",$E$6,IF(OR($E$7="ALL",Assumptions!$N$49="Y"),INDEX(Assumptions!$D$49:$F$49,$E$4),Assumptions!$E$49))</f>
        <v/>
      </c>
      <c r="F9" s="57">
        <f>IF($F$5="TokensInPerReport",$F$6,IF(OR($F$7="ALL",Assumptions!$N$49="Y"),INDEX(Assumptions!$D$49:$F$49,$F$4),Assumptions!$E$49))</f>
        <v/>
      </c>
      <c r="G9" s="57">
        <f>IF($G$5="TokensInPerReport",$G$6,IF(OR($G$7="ALL",Assumptions!$N$49="Y"),INDEX(Assumptions!$D$49:$F$49,$G$4),Assumptions!$E$49))</f>
        <v/>
      </c>
      <c r="H9" s="57">
        <f>IF($H$5="TokensInPerReport",$H$6,IF(OR($H$7="ALL",Assumptions!$N$49="Y"),INDEX(Assumptions!$D$49:$F$49,$H$4),Assumptions!$E$49))</f>
        <v/>
      </c>
      <c r="I9" s="57">
        <f>IF($I$5="TokensInPerReport",$I$6,IF(OR($I$7="ALL",Assumptions!$N$49="Y"),INDEX(Assumptions!$D$49:$F$49,$I$4),Assumptions!$E$49))</f>
        <v/>
      </c>
      <c r="J9" s="57">
        <f>IF($J$5="TokensInPerReport",$J$6,IF(OR($J$7="ALL",Assumptions!$N$49="Y"),INDEX(Assumptions!$D$49:$F$49,$J$4),Assumptions!$E$49))</f>
        <v/>
      </c>
      <c r="K9" s="57">
        <f>IF($K$5="TokensInPerReport",$K$6,IF(OR($K$7="ALL",Assumptions!$N$49="Y"),INDEX(Assumptions!$D$49:$F$49,$K$4),Assumptions!$E$49))</f>
        <v/>
      </c>
      <c r="L9" s="57">
        <f>IF($L$5="TokensInPerReport",$L$6,IF(OR($L$7="ALL",Assumptions!$N$49="Y"),INDEX(Assumptions!$D$49:$F$49,$L$4),Assumptions!$E$49))</f>
        <v/>
      </c>
      <c r="M9" s="57">
        <f>IF($M$5="TokensInPerReport",$M$6,IF(OR($M$7="ALL",Assumptions!$N$49="Y"),INDEX(Assumptions!$D$49:$F$49,$M$4),Assumptions!$E$49))</f>
        <v/>
      </c>
      <c r="N9" s="57">
        <f>IF($N$5="TokensInPerReport",$N$6,IF(OR($N$7="ALL",Assumptions!$N$49="Y"),INDEX(Assumptions!$D$49:$F$49,$N$4),Assumptions!$E$49))</f>
        <v/>
      </c>
      <c r="O9" s="57">
        <f>IF($O$5="TokensInPerReport",$O$6,IF(OR($O$7="ALL",Assumptions!$N$49="Y"),INDEX(Assumptions!$D$49:$F$49,$O$4),Assumptions!$E$49))</f>
        <v/>
      </c>
      <c r="P9" s="57">
        <f>IF($P$5="TokensInPerReport",$P$6,IF(OR($P$7="ALL",Assumptions!$N$49="Y"),INDEX(Assumptions!$D$49:$F$49,$P$4),Assumptions!$E$49))</f>
        <v/>
      </c>
      <c r="Q9" s="57">
        <f>IF($Q$5="TokensInPerReport",$Q$6,IF(OR($Q$7="ALL",Assumptions!$N$49="Y"),INDEX(Assumptions!$D$49:$F$49,$Q$4),Assumptions!$E$49))</f>
        <v/>
      </c>
      <c r="R9" s="57">
        <f>IF($R$5="TokensInPerReport",$R$6,IF(OR($R$7="ALL",Assumptions!$N$49="Y"),INDEX(Assumptions!$D$49:$F$49,$R$4),Assumptions!$E$49))</f>
        <v/>
      </c>
      <c r="S9" s="57">
        <f>IF($S$5="TokensInPerReport",$S$6,IF(OR($S$7="ALL",Assumptions!$N$49="Y"),INDEX(Assumptions!$D$49:$F$49,$S$4),Assumptions!$E$49))</f>
        <v/>
      </c>
      <c r="T9" s="57">
        <f>IF($T$5="TokensInPerReport",$T$6,IF(OR($T$7="ALL",Assumptions!$N$49="Y"),INDEX(Assumptions!$D$49:$F$49,$T$4),Assumptions!$E$49))</f>
        <v/>
      </c>
      <c r="U9" s="57">
        <f>IF($U$5="TokensInPerReport",$U$6,IF(OR($U$7="ALL",Assumptions!$N$49="Y"),INDEX(Assumptions!$D$49:$F$49,$U$4),Assumptions!$E$49))</f>
        <v/>
      </c>
      <c r="V9" s="57">
        <f>IF($V$5="TokensInPerReport",$V$6,IF(OR($V$7="ALL",Assumptions!$N$49="Y"),INDEX(Assumptions!$D$49:$F$49,$V$4),Assumptions!$E$49))</f>
        <v/>
      </c>
      <c r="W9" s="57">
        <f>IF($W$5="TokensInPerReport",$W$6,IF(OR($W$7="ALL",Assumptions!$N$49="Y"),INDEX(Assumptions!$D$49:$F$49,$W$4),Assumptions!$E$49))</f>
        <v/>
      </c>
      <c r="X9" s="57">
        <f>IF($X$5="TokensInPerReport",$X$6,IF(OR($X$7="ALL",Assumptions!$N$49="Y"),INDEX(Assumptions!$D$49:$F$49,$X$4),Assumptions!$E$49))</f>
        <v/>
      </c>
      <c r="Y9" s="57">
        <f>IF($Y$5="TokensInPerReport",$Y$6,IF(OR($Y$7="ALL",Assumptions!$N$49="Y"),INDEX(Assumptions!$D$49:$F$49,$Y$4),Assumptions!$E$49))</f>
        <v/>
      </c>
      <c r="Z9" s="57">
        <f>IF($Z$5="TokensInPerReport",$Z$6,IF(OR($Z$7="ALL",Assumptions!$N$49="Y"),INDEX(Assumptions!$D$49:$F$49,$Z$4),Assumptions!$E$49))</f>
        <v/>
      </c>
      <c r="AA9" s="57">
        <f>IF($AA$5="TokensInPerReport",$AA$6,IF(OR($AA$7="ALL",Assumptions!$N$49="Y"),INDEX(Assumptions!$D$49:$F$49,$AA$4),Assumptions!$E$49))</f>
        <v/>
      </c>
      <c r="AB9" s="57">
        <f>IF($AB$5="TokensInPerReport",$AB$6,IF(OR($AB$7="ALL",Assumptions!$N$49="Y"),INDEX(Assumptions!$D$49:$F$49,$AB$4),Assumptions!$E$49))</f>
        <v/>
      </c>
      <c r="AC9" s="57">
        <f>IF($AC$5="TokensInPerReport",$AC$6,IF(OR($AC$7="ALL",Assumptions!$N$49="Y"),INDEX(Assumptions!$D$49:$F$49,$AC$4),Assumptions!$E$49))</f>
        <v/>
      </c>
      <c r="AD9" s="57">
        <f>IF($AD$5="TokensInPerReport",$AD$6,IF(OR($AD$7="ALL",Assumptions!$N$49="Y"),INDEX(Assumptions!$D$49:$F$49,$AD$4),Assumptions!$E$49))</f>
        <v/>
      </c>
      <c r="AE9" s="57">
        <f>IF($AE$5="TokensInPerReport",$AE$6,IF(OR($AE$7="ALL",Assumptions!$N$49="Y"),INDEX(Assumptions!$D$49:$F$49,$AE$4),Assumptions!$E$49))</f>
        <v/>
      </c>
      <c r="AF9" s="57">
        <f>IF($AF$5="TokensInPerReport",$AF$6,IF(OR($AF$7="ALL",Assumptions!$N$49="Y"),INDEX(Assumptions!$D$49:$F$49,$AF$4),Assumptions!$E$49))</f>
        <v/>
      </c>
      <c r="AG9" s="57">
        <f>IF($AG$5="TokensInPerReport",$AG$6,IF(OR($AG$7="ALL",Assumptions!$N$49="Y"),INDEX(Assumptions!$D$49:$F$49,$AG$4),Assumptions!$E$49))</f>
        <v/>
      </c>
      <c r="AH9" s="57">
        <f>IF($AH$5="TokensInPerReport",$AH$6,IF(OR($AH$7="ALL",Assumptions!$N$49="Y"),INDEX(Assumptions!$D$49:$F$49,$AH$4),Assumptions!$E$49))</f>
        <v/>
      </c>
      <c r="AI9" s="57">
        <f>IF($AI$5="TokensInPerReport",$AI$6,IF(OR($AI$7="ALL",Assumptions!$N$49="Y"),INDEX(Assumptions!$D$49:$F$49,$AI$4),Assumptions!$E$49))</f>
        <v/>
      </c>
      <c r="AJ9" s="57">
        <f>IF($AJ$5="TokensInPerReport",$AJ$6,IF(OR($AJ$7="ALL",Assumptions!$N$49="Y"),INDEX(Assumptions!$D$49:$F$49,$AJ$4),Assumptions!$E$49))</f>
        <v/>
      </c>
      <c r="AK9" s="57">
        <f>IF($AK$5="TokensInPerReport",$AK$6,IF(OR($AK$7="ALL",Assumptions!$N$49="Y"),INDEX(Assumptions!$D$49:$F$49,$AK$4),Assumptions!$E$49))</f>
        <v/>
      </c>
      <c r="AL9" s="57">
        <f>IF($AL$5="TokensInPerReport",$AL$6,IF(OR($AL$7="ALL",Assumptions!$N$49="Y"),INDEX(Assumptions!$D$49:$F$49,$AL$4),Assumptions!$E$49))</f>
        <v/>
      </c>
      <c r="AM9" s="57">
        <f>IF($AM$5="TokensInPerReport",$AM$6,IF(OR($AM$7="ALL",Assumptions!$N$49="Y"),INDEX(Assumptions!$D$49:$F$49,$AM$4),Assumptions!$E$49))</f>
        <v/>
      </c>
      <c r="AN9" s="57">
        <f>IF($AN$5="TokensInPerReport",$AN$6,IF(OR($AN$7="ALL",Assumptions!$N$49="Y"),INDEX(Assumptions!$D$49:$F$49,$AN$4),Assumptions!$E$49))</f>
        <v/>
      </c>
      <c r="AO9" s="57">
        <f>IF($AO$5="TokensInPerReport",$AO$6,IF(OR($AO$7="ALL",Assumptions!$N$49="Y"),INDEX(Assumptions!$D$49:$F$49,$AO$4),Assumptions!$E$49))</f>
        <v/>
      </c>
      <c r="AP9" s="57">
        <f>IF($AP$5="TokensInPerReport",$AP$6,IF(OR($AP$7="ALL",Assumptions!$N$49="Y"),INDEX(Assumptions!$D$49:$F$49,$AP$4),Assumptions!$E$49))</f>
        <v/>
      </c>
      <c r="AQ9" s="57">
        <f>IF($AQ$5="TokensInPerReport",$AQ$6,IF(OR($AQ$7="ALL",Assumptions!$N$49="Y"),INDEX(Assumptions!$D$49:$F$49,$AQ$4),Assumptions!$E$49))</f>
        <v/>
      </c>
      <c r="AR9" s="57">
        <f>IF($AR$5="TokensInPerReport",$AR$6,IF(OR($AR$7="ALL",Assumptions!$N$49="Y"),INDEX(Assumptions!$D$49:$F$49,$AR$4),Assumptions!$E$49))</f>
        <v/>
      </c>
      <c r="AS9" s="57">
        <f>IF($AS$5="TokensInPerReport",$AS$6,IF(OR($AS$7="ALL",Assumptions!$N$49="Y"),INDEX(Assumptions!$D$49:$F$49,$AS$4),Assumptions!$E$49))</f>
        <v/>
      </c>
      <c r="AT9" s="57">
        <f>IF($AT$5="TokensInPerReport",$AT$6,IF(OR($AT$7="ALL",Assumptions!$N$49="Y"),INDEX(Assumptions!$D$49:$F$49,$AT$4),Assumptions!$E$49))</f>
        <v/>
      </c>
      <c r="AU9" s="57">
        <f>IF($AU$5="TokensInPerReport",$AU$6,IF(OR($AU$7="ALL",Assumptions!$N$49="Y"),INDEX(Assumptions!$D$49:$F$49,$AU$4),Assumptions!$E$49))</f>
        <v/>
      </c>
      <c r="AV9" s="57">
        <f>IF($AV$5="TokensInPerReport",$AV$6,IF(OR($AV$7="ALL",Assumptions!$N$49="Y"),INDEX(Assumptions!$D$49:$F$49,$AV$4),Assumptions!$E$49))</f>
        <v/>
      </c>
      <c r="AW9" s="57">
        <f>IF($AW$5="TokensInPerReport",$AW$6,IF(OR($AW$7="ALL",Assumptions!$N$49="Y"),INDEX(Assumptions!$D$49:$F$49,$AW$4),Assumptions!$E$49))</f>
        <v/>
      </c>
      <c r="AX9" s="57">
        <f>IF($AX$5="TokensInPerReport",$AX$6,IF(OR($AX$7="ALL",Assumptions!$N$49="Y"),INDEX(Assumptions!$D$49:$F$49,$AX$4),Assumptions!$E$49))</f>
        <v/>
      </c>
      <c r="AY9" s="57">
        <f>IF($AY$5="TokensInPerReport",$AY$6,IF(OR($AY$7="ALL",Assumptions!$N$49="Y"),INDEX(Assumptions!$D$49:$F$49,$AY$4),Assumptions!$E$49))</f>
        <v/>
      </c>
      <c r="AZ9" s="57">
        <f>IF($AZ$5="TokensInPerReport",$AZ$6,IF(OR($AZ$7="ALL",Assumptions!$N$49="Y"),INDEX(Assumptions!$D$49:$F$49,$AZ$4),Assumptions!$E$49))</f>
        <v/>
      </c>
      <c r="BA9" s="57">
        <f>IF($BA$5="TokensInPerReport",$BA$6,IF(OR($BA$7="ALL",Assumptions!$N$49="Y"),INDEX(Assumptions!$D$49:$F$49,$BA$4),Assumptions!$E$49))</f>
        <v/>
      </c>
      <c r="BB9" s="57">
        <f>IF($BB$5="TokensInPerReport",$BB$6,IF(OR($BB$7="ALL",Assumptions!$N$49="Y"),INDEX(Assumptions!$D$49:$F$49,$BB$4),Assumptions!$E$49))</f>
        <v/>
      </c>
      <c r="BC9" s="57">
        <f>IF($BC$5="TokensInPerReport",$BC$6,IF(OR($BC$7="ALL",Assumptions!$N$49="Y"),INDEX(Assumptions!$D$49:$F$49,$BC$4),Assumptions!$E$49))</f>
        <v/>
      </c>
      <c r="BD9" s="57">
        <f>IF($BD$5="TokensInPerReport",$BD$6,IF(OR($BD$7="ALL",Assumptions!$N$49="Y"),INDEX(Assumptions!$D$49:$F$49,$BD$4),Assumptions!$E$49))</f>
        <v/>
      </c>
      <c r="BE9" s="57">
        <f>IF($BE$5="TokensInPerReport",$BE$6,IF(OR($BE$7="ALL",Assumptions!$N$49="Y"),INDEX(Assumptions!$D$49:$F$49,$BE$4),Assumptions!$E$49))</f>
        <v/>
      </c>
    </row>
    <row r="10">
      <c r="B10" s="5" t="inlineStr">
        <is>
          <t>TokensOutPerReport</t>
        </is>
      </c>
      <c r="D10" s="57">
        <f>IF($D$5="TokensOutPerReport",$D$6,IF(OR($D$7="ALL",Assumptions!$N$50="Y"),INDEX(Assumptions!$D$50:$F$50,$D$4),Assumptions!$E$50))</f>
        <v/>
      </c>
      <c r="E10" s="57">
        <f>IF($E$5="TokensOutPerReport",$E$6,IF(OR($E$7="ALL",Assumptions!$N$50="Y"),INDEX(Assumptions!$D$50:$F$50,$E$4),Assumptions!$E$50))</f>
        <v/>
      </c>
      <c r="F10" s="57">
        <f>IF($F$5="TokensOutPerReport",$F$6,IF(OR($F$7="ALL",Assumptions!$N$50="Y"),INDEX(Assumptions!$D$50:$F$50,$F$4),Assumptions!$E$50))</f>
        <v/>
      </c>
      <c r="G10" s="57">
        <f>IF($G$5="TokensOutPerReport",$G$6,IF(OR($G$7="ALL",Assumptions!$N$50="Y"),INDEX(Assumptions!$D$50:$F$50,$G$4),Assumptions!$E$50))</f>
        <v/>
      </c>
      <c r="H10" s="57">
        <f>IF($H$5="TokensOutPerReport",$H$6,IF(OR($H$7="ALL",Assumptions!$N$50="Y"),INDEX(Assumptions!$D$50:$F$50,$H$4),Assumptions!$E$50))</f>
        <v/>
      </c>
      <c r="I10" s="57">
        <f>IF($I$5="TokensOutPerReport",$I$6,IF(OR($I$7="ALL",Assumptions!$N$50="Y"),INDEX(Assumptions!$D$50:$F$50,$I$4),Assumptions!$E$50))</f>
        <v/>
      </c>
      <c r="J10" s="57">
        <f>IF($J$5="TokensOutPerReport",$J$6,IF(OR($J$7="ALL",Assumptions!$N$50="Y"),INDEX(Assumptions!$D$50:$F$50,$J$4),Assumptions!$E$50))</f>
        <v/>
      </c>
      <c r="K10" s="57">
        <f>IF($K$5="TokensOutPerReport",$K$6,IF(OR($K$7="ALL",Assumptions!$N$50="Y"),INDEX(Assumptions!$D$50:$F$50,$K$4),Assumptions!$E$50))</f>
        <v/>
      </c>
      <c r="L10" s="57">
        <f>IF($L$5="TokensOutPerReport",$L$6,IF(OR($L$7="ALL",Assumptions!$N$50="Y"),INDEX(Assumptions!$D$50:$F$50,$L$4),Assumptions!$E$50))</f>
        <v/>
      </c>
      <c r="M10" s="57">
        <f>IF($M$5="TokensOutPerReport",$M$6,IF(OR($M$7="ALL",Assumptions!$N$50="Y"),INDEX(Assumptions!$D$50:$F$50,$M$4),Assumptions!$E$50))</f>
        <v/>
      </c>
      <c r="N10" s="57">
        <f>IF($N$5="TokensOutPerReport",$N$6,IF(OR($N$7="ALL",Assumptions!$N$50="Y"),INDEX(Assumptions!$D$50:$F$50,$N$4),Assumptions!$E$50))</f>
        <v/>
      </c>
      <c r="O10" s="57">
        <f>IF($O$5="TokensOutPerReport",$O$6,IF(OR($O$7="ALL",Assumptions!$N$50="Y"),INDEX(Assumptions!$D$50:$F$50,$O$4),Assumptions!$E$50))</f>
        <v/>
      </c>
      <c r="P10" s="57">
        <f>IF($P$5="TokensOutPerReport",$P$6,IF(OR($P$7="ALL",Assumptions!$N$50="Y"),INDEX(Assumptions!$D$50:$F$50,$P$4),Assumptions!$E$50))</f>
        <v/>
      </c>
      <c r="Q10" s="57">
        <f>IF($Q$5="TokensOutPerReport",$Q$6,IF(OR($Q$7="ALL",Assumptions!$N$50="Y"),INDEX(Assumptions!$D$50:$F$50,$Q$4),Assumptions!$E$50))</f>
        <v/>
      </c>
      <c r="R10" s="57">
        <f>IF($R$5="TokensOutPerReport",$R$6,IF(OR($R$7="ALL",Assumptions!$N$50="Y"),INDEX(Assumptions!$D$50:$F$50,$R$4),Assumptions!$E$50))</f>
        <v/>
      </c>
      <c r="S10" s="57">
        <f>IF($S$5="TokensOutPerReport",$S$6,IF(OR($S$7="ALL",Assumptions!$N$50="Y"),INDEX(Assumptions!$D$50:$F$50,$S$4),Assumptions!$E$50))</f>
        <v/>
      </c>
      <c r="T10" s="57">
        <f>IF($T$5="TokensOutPerReport",$T$6,IF(OR($T$7="ALL",Assumptions!$N$50="Y"),INDEX(Assumptions!$D$50:$F$50,$T$4),Assumptions!$E$50))</f>
        <v/>
      </c>
      <c r="U10" s="57">
        <f>IF($U$5="TokensOutPerReport",$U$6,IF(OR($U$7="ALL",Assumptions!$N$50="Y"),INDEX(Assumptions!$D$50:$F$50,$U$4),Assumptions!$E$50))</f>
        <v/>
      </c>
      <c r="V10" s="57">
        <f>IF($V$5="TokensOutPerReport",$V$6,IF(OR($V$7="ALL",Assumptions!$N$50="Y"),INDEX(Assumptions!$D$50:$F$50,$V$4),Assumptions!$E$50))</f>
        <v/>
      </c>
      <c r="W10" s="57">
        <f>IF($W$5="TokensOutPerReport",$W$6,IF(OR($W$7="ALL",Assumptions!$N$50="Y"),INDEX(Assumptions!$D$50:$F$50,$W$4),Assumptions!$E$50))</f>
        <v/>
      </c>
      <c r="X10" s="57">
        <f>IF($X$5="TokensOutPerReport",$X$6,IF(OR($X$7="ALL",Assumptions!$N$50="Y"),INDEX(Assumptions!$D$50:$F$50,$X$4),Assumptions!$E$50))</f>
        <v/>
      </c>
      <c r="Y10" s="57">
        <f>IF($Y$5="TokensOutPerReport",$Y$6,IF(OR($Y$7="ALL",Assumptions!$N$50="Y"),INDEX(Assumptions!$D$50:$F$50,$Y$4),Assumptions!$E$50))</f>
        <v/>
      </c>
      <c r="Z10" s="57">
        <f>IF($Z$5="TokensOutPerReport",$Z$6,IF(OR($Z$7="ALL",Assumptions!$N$50="Y"),INDEX(Assumptions!$D$50:$F$50,$Z$4),Assumptions!$E$50))</f>
        <v/>
      </c>
      <c r="AA10" s="57">
        <f>IF($AA$5="TokensOutPerReport",$AA$6,IF(OR($AA$7="ALL",Assumptions!$N$50="Y"),INDEX(Assumptions!$D$50:$F$50,$AA$4),Assumptions!$E$50))</f>
        <v/>
      </c>
      <c r="AB10" s="57">
        <f>IF($AB$5="TokensOutPerReport",$AB$6,IF(OR($AB$7="ALL",Assumptions!$N$50="Y"),INDEX(Assumptions!$D$50:$F$50,$AB$4),Assumptions!$E$50))</f>
        <v/>
      </c>
      <c r="AC10" s="57">
        <f>IF($AC$5="TokensOutPerReport",$AC$6,IF(OR($AC$7="ALL",Assumptions!$N$50="Y"),INDEX(Assumptions!$D$50:$F$50,$AC$4),Assumptions!$E$50))</f>
        <v/>
      </c>
      <c r="AD10" s="57">
        <f>IF($AD$5="TokensOutPerReport",$AD$6,IF(OR($AD$7="ALL",Assumptions!$N$50="Y"),INDEX(Assumptions!$D$50:$F$50,$AD$4),Assumptions!$E$50))</f>
        <v/>
      </c>
      <c r="AE10" s="57">
        <f>IF($AE$5="TokensOutPerReport",$AE$6,IF(OR($AE$7="ALL",Assumptions!$N$50="Y"),INDEX(Assumptions!$D$50:$F$50,$AE$4),Assumptions!$E$50))</f>
        <v/>
      </c>
      <c r="AF10" s="57">
        <f>IF($AF$5="TokensOutPerReport",$AF$6,IF(OR($AF$7="ALL",Assumptions!$N$50="Y"),INDEX(Assumptions!$D$50:$F$50,$AF$4),Assumptions!$E$50))</f>
        <v/>
      </c>
      <c r="AG10" s="57">
        <f>IF($AG$5="TokensOutPerReport",$AG$6,IF(OR($AG$7="ALL",Assumptions!$N$50="Y"),INDEX(Assumptions!$D$50:$F$50,$AG$4),Assumptions!$E$50))</f>
        <v/>
      </c>
      <c r="AH10" s="57">
        <f>IF($AH$5="TokensOutPerReport",$AH$6,IF(OR($AH$7="ALL",Assumptions!$N$50="Y"),INDEX(Assumptions!$D$50:$F$50,$AH$4),Assumptions!$E$50))</f>
        <v/>
      </c>
      <c r="AI10" s="57">
        <f>IF($AI$5="TokensOutPerReport",$AI$6,IF(OR($AI$7="ALL",Assumptions!$N$50="Y"),INDEX(Assumptions!$D$50:$F$50,$AI$4),Assumptions!$E$50))</f>
        <v/>
      </c>
      <c r="AJ10" s="57">
        <f>IF($AJ$5="TokensOutPerReport",$AJ$6,IF(OR($AJ$7="ALL",Assumptions!$N$50="Y"),INDEX(Assumptions!$D$50:$F$50,$AJ$4),Assumptions!$E$50))</f>
        <v/>
      </c>
      <c r="AK10" s="57">
        <f>IF($AK$5="TokensOutPerReport",$AK$6,IF(OR($AK$7="ALL",Assumptions!$N$50="Y"),INDEX(Assumptions!$D$50:$F$50,$AK$4),Assumptions!$E$50))</f>
        <v/>
      </c>
      <c r="AL10" s="57">
        <f>IF($AL$5="TokensOutPerReport",$AL$6,IF(OR($AL$7="ALL",Assumptions!$N$50="Y"),INDEX(Assumptions!$D$50:$F$50,$AL$4),Assumptions!$E$50))</f>
        <v/>
      </c>
      <c r="AM10" s="57">
        <f>IF($AM$5="TokensOutPerReport",$AM$6,IF(OR($AM$7="ALL",Assumptions!$N$50="Y"),INDEX(Assumptions!$D$50:$F$50,$AM$4),Assumptions!$E$50))</f>
        <v/>
      </c>
      <c r="AN10" s="57">
        <f>IF($AN$5="TokensOutPerReport",$AN$6,IF(OR($AN$7="ALL",Assumptions!$N$50="Y"),INDEX(Assumptions!$D$50:$F$50,$AN$4),Assumptions!$E$50))</f>
        <v/>
      </c>
      <c r="AO10" s="57">
        <f>IF($AO$5="TokensOutPerReport",$AO$6,IF(OR($AO$7="ALL",Assumptions!$N$50="Y"),INDEX(Assumptions!$D$50:$F$50,$AO$4),Assumptions!$E$50))</f>
        <v/>
      </c>
      <c r="AP10" s="57">
        <f>IF($AP$5="TokensOutPerReport",$AP$6,IF(OR($AP$7="ALL",Assumptions!$N$50="Y"),INDEX(Assumptions!$D$50:$F$50,$AP$4),Assumptions!$E$50))</f>
        <v/>
      </c>
      <c r="AQ10" s="57">
        <f>IF($AQ$5="TokensOutPerReport",$AQ$6,IF(OR($AQ$7="ALL",Assumptions!$N$50="Y"),INDEX(Assumptions!$D$50:$F$50,$AQ$4),Assumptions!$E$50))</f>
        <v/>
      </c>
      <c r="AR10" s="57">
        <f>IF($AR$5="TokensOutPerReport",$AR$6,IF(OR($AR$7="ALL",Assumptions!$N$50="Y"),INDEX(Assumptions!$D$50:$F$50,$AR$4),Assumptions!$E$50))</f>
        <v/>
      </c>
      <c r="AS10" s="57">
        <f>IF($AS$5="TokensOutPerReport",$AS$6,IF(OR($AS$7="ALL",Assumptions!$N$50="Y"),INDEX(Assumptions!$D$50:$F$50,$AS$4),Assumptions!$E$50))</f>
        <v/>
      </c>
      <c r="AT10" s="57">
        <f>IF($AT$5="TokensOutPerReport",$AT$6,IF(OR($AT$7="ALL",Assumptions!$N$50="Y"),INDEX(Assumptions!$D$50:$F$50,$AT$4),Assumptions!$E$50))</f>
        <v/>
      </c>
      <c r="AU10" s="57">
        <f>IF($AU$5="TokensOutPerReport",$AU$6,IF(OR($AU$7="ALL",Assumptions!$N$50="Y"),INDEX(Assumptions!$D$50:$F$50,$AU$4),Assumptions!$E$50))</f>
        <v/>
      </c>
      <c r="AV10" s="57">
        <f>IF($AV$5="TokensOutPerReport",$AV$6,IF(OR($AV$7="ALL",Assumptions!$N$50="Y"),INDEX(Assumptions!$D$50:$F$50,$AV$4),Assumptions!$E$50))</f>
        <v/>
      </c>
      <c r="AW10" s="57">
        <f>IF($AW$5="TokensOutPerReport",$AW$6,IF(OR($AW$7="ALL",Assumptions!$N$50="Y"),INDEX(Assumptions!$D$50:$F$50,$AW$4),Assumptions!$E$50))</f>
        <v/>
      </c>
      <c r="AX10" s="57">
        <f>IF($AX$5="TokensOutPerReport",$AX$6,IF(OR($AX$7="ALL",Assumptions!$N$50="Y"),INDEX(Assumptions!$D$50:$F$50,$AX$4),Assumptions!$E$50))</f>
        <v/>
      </c>
      <c r="AY10" s="57">
        <f>IF($AY$5="TokensOutPerReport",$AY$6,IF(OR($AY$7="ALL",Assumptions!$N$50="Y"),INDEX(Assumptions!$D$50:$F$50,$AY$4),Assumptions!$E$50))</f>
        <v/>
      </c>
      <c r="AZ10" s="57">
        <f>IF($AZ$5="TokensOutPerReport",$AZ$6,IF(OR($AZ$7="ALL",Assumptions!$N$50="Y"),INDEX(Assumptions!$D$50:$F$50,$AZ$4),Assumptions!$E$50))</f>
        <v/>
      </c>
      <c r="BA10" s="57">
        <f>IF($BA$5="TokensOutPerReport",$BA$6,IF(OR($BA$7="ALL",Assumptions!$N$50="Y"),INDEX(Assumptions!$D$50:$F$50,$BA$4),Assumptions!$E$50))</f>
        <v/>
      </c>
      <c r="BB10" s="57">
        <f>IF($BB$5="TokensOutPerReport",$BB$6,IF(OR($BB$7="ALL",Assumptions!$N$50="Y"),INDEX(Assumptions!$D$50:$F$50,$BB$4),Assumptions!$E$50))</f>
        <v/>
      </c>
      <c r="BC10" s="57">
        <f>IF($BC$5="TokensOutPerReport",$BC$6,IF(OR($BC$7="ALL",Assumptions!$N$50="Y"),INDEX(Assumptions!$D$50:$F$50,$BC$4),Assumptions!$E$50))</f>
        <v/>
      </c>
      <c r="BD10" s="57">
        <f>IF($BD$5="TokensOutPerReport",$BD$6,IF(OR($BD$7="ALL",Assumptions!$N$50="Y"),INDEX(Assumptions!$D$50:$F$50,$BD$4),Assumptions!$E$50))</f>
        <v/>
      </c>
      <c r="BE10" s="57">
        <f>IF($BE$5="TokensOutPerReport",$BE$6,IF(OR($BE$7="ALL",Assumptions!$N$50="Y"),INDEX(Assumptions!$D$50:$F$50,$BE$4),Assumptions!$E$50))</f>
        <v/>
      </c>
    </row>
    <row r="11">
      <c r="B11" s="5" t="inlineStr">
        <is>
          <t>LLMPriceIn</t>
        </is>
      </c>
      <c r="D11" s="47">
        <f>IF($D$5="LLMPriceIn",$D$6,IF(OR($D$7="ALL",Assumptions!$N$51="Y"),INDEX(Assumptions!$D$51:$F$51,$D$4),Assumptions!$E$51))</f>
        <v/>
      </c>
      <c r="E11" s="47">
        <f>IF($E$5="LLMPriceIn",$E$6,IF(OR($E$7="ALL",Assumptions!$N$51="Y"),INDEX(Assumptions!$D$51:$F$51,$E$4),Assumptions!$E$51))</f>
        <v/>
      </c>
      <c r="F11" s="47">
        <f>IF($F$5="LLMPriceIn",$F$6,IF(OR($F$7="ALL",Assumptions!$N$51="Y"),INDEX(Assumptions!$D$51:$F$51,$F$4),Assumptions!$E$51))</f>
        <v/>
      </c>
      <c r="G11" s="47">
        <f>IF($G$5="LLMPriceIn",$G$6,IF(OR($G$7="ALL",Assumptions!$N$51="Y"),INDEX(Assumptions!$D$51:$F$51,$G$4),Assumptions!$E$51))</f>
        <v/>
      </c>
      <c r="H11" s="47">
        <f>IF($H$5="LLMPriceIn",$H$6,IF(OR($H$7="ALL",Assumptions!$N$51="Y"),INDEX(Assumptions!$D$51:$F$51,$H$4),Assumptions!$E$51))</f>
        <v/>
      </c>
      <c r="I11" s="47">
        <f>IF($I$5="LLMPriceIn",$I$6,IF(OR($I$7="ALL",Assumptions!$N$51="Y"),INDEX(Assumptions!$D$51:$F$51,$I$4),Assumptions!$E$51))</f>
        <v/>
      </c>
      <c r="J11" s="47">
        <f>IF($J$5="LLMPriceIn",$J$6,IF(OR($J$7="ALL",Assumptions!$N$51="Y"),INDEX(Assumptions!$D$51:$F$51,$J$4),Assumptions!$E$51))</f>
        <v/>
      </c>
      <c r="K11" s="47">
        <f>IF($K$5="LLMPriceIn",$K$6,IF(OR($K$7="ALL",Assumptions!$N$51="Y"),INDEX(Assumptions!$D$51:$F$51,$K$4),Assumptions!$E$51))</f>
        <v/>
      </c>
      <c r="L11" s="47">
        <f>IF($L$5="LLMPriceIn",$L$6,IF(OR($L$7="ALL",Assumptions!$N$51="Y"),INDEX(Assumptions!$D$51:$F$51,$L$4),Assumptions!$E$51))</f>
        <v/>
      </c>
      <c r="M11" s="47">
        <f>IF($M$5="LLMPriceIn",$M$6,IF(OR($M$7="ALL",Assumptions!$N$51="Y"),INDEX(Assumptions!$D$51:$F$51,$M$4),Assumptions!$E$51))</f>
        <v/>
      </c>
      <c r="N11" s="47">
        <f>IF($N$5="LLMPriceIn",$N$6,IF(OR($N$7="ALL",Assumptions!$N$51="Y"),INDEX(Assumptions!$D$51:$F$51,$N$4),Assumptions!$E$51))</f>
        <v/>
      </c>
      <c r="O11" s="47">
        <f>IF($O$5="LLMPriceIn",$O$6,IF(OR($O$7="ALL",Assumptions!$N$51="Y"),INDEX(Assumptions!$D$51:$F$51,$O$4),Assumptions!$E$51))</f>
        <v/>
      </c>
      <c r="P11" s="47">
        <f>IF($P$5="LLMPriceIn",$P$6,IF(OR($P$7="ALL",Assumptions!$N$51="Y"),INDEX(Assumptions!$D$51:$F$51,$P$4),Assumptions!$E$51))</f>
        <v/>
      </c>
      <c r="Q11" s="47">
        <f>IF($Q$5="LLMPriceIn",$Q$6,IF(OR($Q$7="ALL",Assumptions!$N$51="Y"),INDEX(Assumptions!$D$51:$F$51,$Q$4),Assumptions!$E$51))</f>
        <v/>
      </c>
      <c r="R11" s="47">
        <f>IF($R$5="LLMPriceIn",$R$6,IF(OR($R$7="ALL",Assumptions!$N$51="Y"),INDEX(Assumptions!$D$51:$F$51,$R$4),Assumptions!$E$51))</f>
        <v/>
      </c>
      <c r="S11" s="47">
        <f>IF($S$5="LLMPriceIn",$S$6,IF(OR($S$7="ALL",Assumptions!$N$51="Y"),INDEX(Assumptions!$D$51:$F$51,$S$4),Assumptions!$E$51))</f>
        <v/>
      </c>
      <c r="T11" s="47">
        <f>IF($T$5="LLMPriceIn",$T$6,IF(OR($T$7="ALL",Assumptions!$N$51="Y"),INDEX(Assumptions!$D$51:$F$51,$T$4),Assumptions!$E$51))</f>
        <v/>
      </c>
      <c r="U11" s="47">
        <f>IF($U$5="LLMPriceIn",$U$6,IF(OR($U$7="ALL",Assumptions!$N$51="Y"),INDEX(Assumptions!$D$51:$F$51,$U$4),Assumptions!$E$51))</f>
        <v/>
      </c>
      <c r="V11" s="47">
        <f>IF($V$5="LLMPriceIn",$V$6,IF(OR($V$7="ALL",Assumptions!$N$51="Y"),INDEX(Assumptions!$D$51:$F$51,$V$4),Assumptions!$E$51))</f>
        <v/>
      </c>
      <c r="W11" s="47">
        <f>IF($W$5="LLMPriceIn",$W$6,IF(OR($W$7="ALL",Assumptions!$N$51="Y"),INDEX(Assumptions!$D$51:$F$51,$W$4),Assumptions!$E$51))</f>
        <v/>
      </c>
      <c r="X11" s="47">
        <f>IF($X$5="LLMPriceIn",$X$6,IF(OR($X$7="ALL",Assumptions!$N$51="Y"),INDEX(Assumptions!$D$51:$F$51,$X$4),Assumptions!$E$51))</f>
        <v/>
      </c>
      <c r="Y11" s="47">
        <f>IF($Y$5="LLMPriceIn",$Y$6,IF(OR($Y$7="ALL",Assumptions!$N$51="Y"),INDEX(Assumptions!$D$51:$F$51,$Y$4),Assumptions!$E$51))</f>
        <v/>
      </c>
      <c r="Z11" s="47">
        <f>IF($Z$5="LLMPriceIn",$Z$6,IF(OR($Z$7="ALL",Assumptions!$N$51="Y"),INDEX(Assumptions!$D$51:$F$51,$Z$4),Assumptions!$E$51))</f>
        <v/>
      </c>
      <c r="AA11" s="47">
        <f>IF($AA$5="LLMPriceIn",$AA$6,IF(OR($AA$7="ALL",Assumptions!$N$51="Y"),INDEX(Assumptions!$D$51:$F$51,$AA$4),Assumptions!$E$51))</f>
        <v/>
      </c>
      <c r="AB11" s="47">
        <f>IF($AB$5="LLMPriceIn",$AB$6,IF(OR($AB$7="ALL",Assumptions!$N$51="Y"),INDEX(Assumptions!$D$51:$F$51,$AB$4),Assumptions!$E$51))</f>
        <v/>
      </c>
      <c r="AC11" s="47">
        <f>IF($AC$5="LLMPriceIn",$AC$6,IF(OR($AC$7="ALL",Assumptions!$N$51="Y"),INDEX(Assumptions!$D$51:$F$51,$AC$4),Assumptions!$E$51))</f>
        <v/>
      </c>
      <c r="AD11" s="47">
        <f>IF($AD$5="LLMPriceIn",$AD$6,IF(OR($AD$7="ALL",Assumptions!$N$51="Y"),INDEX(Assumptions!$D$51:$F$51,$AD$4),Assumptions!$E$51))</f>
        <v/>
      </c>
      <c r="AE11" s="47">
        <f>IF($AE$5="LLMPriceIn",$AE$6,IF(OR($AE$7="ALL",Assumptions!$N$51="Y"),INDEX(Assumptions!$D$51:$F$51,$AE$4),Assumptions!$E$51))</f>
        <v/>
      </c>
      <c r="AF11" s="47">
        <f>IF($AF$5="LLMPriceIn",$AF$6,IF(OR($AF$7="ALL",Assumptions!$N$51="Y"),INDEX(Assumptions!$D$51:$F$51,$AF$4),Assumptions!$E$51))</f>
        <v/>
      </c>
      <c r="AG11" s="47">
        <f>IF($AG$5="LLMPriceIn",$AG$6,IF(OR($AG$7="ALL",Assumptions!$N$51="Y"),INDEX(Assumptions!$D$51:$F$51,$AG$4),Assumptions!$E$51))</f>
        <v/>
      </c>
      <c r="AH11" s="47">
        <f>IF($AH$5="LLMPriceIn",$AH$6,IF(OR($AH$7="ALL",Assumptions!$N$51="Y"),INDEX(Assumptions!$D$51:$F$51,$AH$4),Assumptions!$E$51))</f>
        <v/>
      </c>
      <c r="AI11" s="47">
        <f>IF($AI$5="LLMPriceIn",$AI$6,IF(OR($AI$7="ALL",Assumptions!$N$51="Y"),INDEX(Assumptions!$D$51:$F$51,$AI$4),Assumptions!$E$51))</f>
        <v/>
      </c>
      <c r="AJ11" s="47">
        <f>IF($AJ$5="LLMPriceIn",$AJ$6,IF(OR($AJ$7="ALL",Assumptions!$N$51="Y"),INDEX(Assumptions!$D$51:$F$51,$AJ$4),Assumptions!$E$51))</f>
        <v/>
      </c>
      <c r="AK11" s="47">
        <f>IF($AK$5="LLMPriceIn",$AK$6,IF(OR($AK$7="ALL",Assumptions!$N$51="Y"),INDEX(Assumptions!$D$51:$F$51,$AK$4),Assumptions!$E$51))</f>
        <v/>
      </c>
      <c r="AL11" s="47">
        <f>IF($AL$5="LLMPriceIn",$AL$6,IF(OR($AL$7="ALL",Assumptions!$N$51="Y"),INDEX(Assumptions!$D$51:$F$51,$AL$4),Assumptions!$E$51))</f>
        <v/>
      </c>
      <c r="AM11" s="47">
        <f>IF($AM$5="LLMPriceIn",$AM$6,IF(OR($AM$7="ALL",Assumptions!$N$51="Y"),INDEX(Assumptions!$D$51:$F$51,$AM$4),Assumptions!$E$51))</f>
        <v/>
      </c>
      <c r="AN11" s="47">
        <f>IF($AN$5="LLMPriceIn",$AN$6,IF(OR($AN$7="ALL",Assumptions!$N$51="Y"),INDEX(Assumptions!$D$51:$F$51,$AN$4),Assumptions!$E$51))</f>
        <v/>
      </c>
      <c r="AO11" s="47">
        <f>IF($AO$5="LLMPriceIn",$AO$6,IF(OR($AO$7="ALL",Assumptions!$N$51="Y"),INDEX(Assumptions!$D$51:$F$51,$AO$4),Assumptions!$E$51))</f>
        <v/>
      </c>
      <c r="AP11" s="47">
        <f>IF($AP$5="LLMPriceIn",$AP$6,IF(OR($AP$7="ALL",Assumptions!$N$51="Y"),INDEX(Assumptions!$D$51:$F$51,$AP$4),Assumptions!$E$51))</f>
        <v/>
      </c>
      <c r="AQ11" s="47">
        <f>IF($AQ$5="LLMPriceIn",$AQ$6,IF(OR($AQ$7="ALL",Assumptions!$N$51="Y"),INDEX(Assumptions!$D$51:$F$51,$AQ$4),Assumptions!$E$51))</f>
        <v/>
      </c>
      <c r="AR11" s="47">
        <f>IF($AR$5="LLMPriceIn",$AR$6,IF(OR($AR$7="ALL",Assumptions!$N$51="Y"),INDEX(Assumptions!$D$51:$F$51,$AR$4),Assumptions!$E$51))</f>
        <v/>
      </c>
      <c r="AS11" s="47">
        <f>IF($AS$5="LLMPriceIn",$AS$6,IF(OR($AS$7="ALL",Assumptions!$N$51="Y"),INDEX(Assumptions!$D$51:$F$51,$AS$4),Assumptions!$E$51))</f>
        <v/>
      </c>
      <c r="AT11" s="47">
        <f>IF($AT$5="LLMPriceIn",$AT$6,IF(OR($AT$7="ALL",Assumptions!$N$51="Y"),INDEX(Assumptions!$D$51:$F$51,$AT$4),Assumptions!$E$51))</f>
        <v/>
      </c>
      <c r="AU11" s="47">
        <f>IF($AU$5="LLMPriceIn",$AU$6,IF(OR($AU$7="ALL",Assumptions!$N$51="Y"),INDEX(Assumptions!$D$51:$F$51,$AU$4),Assumptions!$E$51))</f>
        <v/>
      </c>
      <c r="AV11" s="47">
        <f>IF($AV$5="LLMPriceIn",$AV$6,IF(OR($AV$7="ALL",Assumptions!$N$51="Y"),INDEX(Assumptions!$D$51:$F$51,$AV$4),Assumptions!$E$51))</f>
        <v/>
      </c>
      <c r="AW11" s="47">
        <f>IF($AW$5="LLMPriceIn",$AW$6,IF(OR($AW$7="ALL",Assumptions!$N$51="Y"),INDEX(Assumptions!$D$51:$F$51,$AW$4),Assumptions!$E$51))</f>
        <v/>
      </c>
      <c r="AX11" s="47">
        <f>IF($AX$5="LLMPriceIn",$AX$6,IF(OR($AX$7="ALL",Assumptions!$N$51="Y"),INDEX(Assumptions!$D$51:$F$51,$AX$4),Assumptions!$E$51))</f>
        <v/>
      </c>
      <c r="AY11" s="47">
        <f>IF($AY$5="LLMPriceIn",$AY$6,IF(OR($AY$7="ALL",Assumptions!$N$51="Y"),INDEX(Assumptions!$D$51:$F$51,$AY$4),Assumptions!$E$51))</f>
        <v/>
      </c>
      <c r="AZ11" s="47">
        <f>IF($AZ$5="LLMPriceIn",$AZ$6,IF(OR($AZ$7="ALL",Assumptions!$N$51="Y"),INDEX(Assumptions!$D$51:$F$51,$AZ$4),Assumptions!$E$51))</f>
        <v/>
      </c>
      <c r="BA11" s="47">
        <f>IF($BA$5="LLMPriceIn",$BA$6,IF(OR($BA$7="ALL",Assumptions!$N$51="Y"),INDEX(Assumptions!$D$51:$F$51,$BA$4),Assumptions!$E$51))</f>
        <v/>
      </c>
      <c r="BB11" s="47">
        <f>IF($BB$5="LLMPriceIn",$BB$6,IF(OR($BB$7="ALL",Assumptions!$N$51="Y"),INDEX(Assumptions!$D$51:$F$51,$BB$4),Assumptions!$E$51))</f>
        <v/>
      </c>
      <c r="BC11" s="47">
        <f>IF($BC$5="LLMPriceIn",$BC$6,IF(OR($BC$7="ALL",Assumptions!$N$51="Y"),INDEX(Assumptions!$D$51:$F$51,$BC$4),Assumptions!$E$51))</f>
        <v/>
      </c>
      <c r="BD11" s="47">
        <f>IF($BD$5="LLMPriceIn",$BD$6,IF(OR($BD$7="ALL",Assumptions!$N$51="Y"),INDEX(Assumptions!$D$51:$F$51,$BD$4),Assumptions!$E$51))</f>
        <v/>
      </c>
      <c r="BE11" s="47">
        <f>IF($BE$5="LLMPriceIn",$BE$6,IF(OR($BE$7="ALL",Assumptions!$N$51="Y"),INDEX(Assumptions!$D$51:$F$51,$BE$4),Assumptions!$E$51))</f>
        <v/>
      </c>
    </row>
    <row r="12">
      <c r="B12" s="5" t="inlineStr">
        <is>
          <t>LLMPriceOut</t>
        </is>
      </c>
      <c r="D12" s="47">
        <f>IF($D$5="LLMPriceOut",$D$6,IF(OR($D$7="ALL",Assumptions!$N$52="Y"),INDEX(Assumptions!$D$52:$F$52,$D$4),Assumptions!$E$52))</f>
        <v/>
      </c>
      <c r="E12" s="47">
        <f>IF($E$5="LLMPriceOut",$E$6,IF(OR($E$7="ALL",Assumptions!$N$52="Y"),INDEX(Assumptions!$D$52:$F$52,$E$4),Assumptions!$E$52))</f>
        <v/>
      </c>
      <c r="F12" s="47">
        <f>IF($F$5="LLMPriceOut",$F$6,IF(OR($F$7="ALL",Assumptions!$N$52="Y"),INDEX(Assumptions!$D$52:$F$52,$F$4),Assumptions!$E$52))</f>
        <v/>
      </c>
      <c r="G12" s="47">
        <f>IF($G$5="LLMPriceOut",$G$6,IF(OR($G$7="ALL",Assumptions!$N$52="Y"),INDEX(Assumptions!$D$52:$F$52,$G$4),Assumptions!$E$52))</f>
        <v/>
      </c>
      <c r="H12" s="47">
        <f>IF($H$5="LLMPriceOut",$H$6,IF(OR($H$7="ALL",Assumptions!$N$52="Y"),INDEX(Assumptions!$D$52:$F$52,$H$4),Assumptions!$E$52))</f>
        <v/>
      </c>
      <c r="I12" s="47">
        <f>IF($I$5="LLMPriceOut",$I$6,IF(OR($I$7="ALL",Assumptions!$N$52="Y"),INDEX(Assumptions!$D$52:$F$52,$I$4),Assumptions!$E$52))</f>
        <v/>
      </c>
      <c r="J12" s="47">
        <f>IF($J$5="LLMPriceOut",$J$6,IF(OR($J$7="ALL",Assumptions!$N$52="Y"),INDEX(Assumptions!$D$52:$F$52,$J$4),Assumptions!$E$52))</f>
        <v/>
      </c>
      <c r="K12" s="47">
        <f>IF($K$5="LLMPriceOut",$K$6,IF(OR($K$7="ALL",Assumptions!$N$52="Y"),INDEX(Assumptions!$D$52:$F$52,$K$4),Assumptions!$E$52))</f>
        <v/>
      </c>
      <c r="L12" s="47">
        <f>IF($L$5="LLMPriceOut",$L$6,IF(OR($L$7="ALL",Assumptions!$N$52="Y"),INDEX(Assumptions!$D$52:$F$52,$L$4),Assumptions!$E$52))</f>
        <v/>
      </c>
      <c r="M12" s="47">
        <f>IF($M$5="LLMPriceOut",$M$6,IF(OR($M$7="ALL",Assumptions!$N$52="Y"),INDEX(Assumptions!$D$52:$F$52,$M$4),Assumptions!$E$52))</f>
        <v/>
      </c>
      <c r="N12" s="47">
        <f>IF($N$5="LLMPriceOut",$N$6,IF(OR($N$7="ALL",Assumptions!$N$52="Y"),INDEX(Assumptions!$D$52:$F$52,$N$4),Assumptions!$E$52))</f>
        <v/>
      </c>
      <c r="O12" s="47">
        <f>IF($O$5="LLMPriceOut",$O$6,IF(OR($O$7="ALL",Assumptions!$N$52="Y"),INDEX(Assumptions!$D$52:$F$52,$O$4),Assumptions!$E$52))</f>
        <v/>
      </c>
      <c r="P12" s="47">
        <f>IF($P$5="LLMPriceOut",$P$6,IF(OR($P$7="ALL",Assumptions!$N$52="Y"),INDEX(Assumptions!$D$52:$F$52,$P$4),Assumptions!$E$52))</f>
        <v/>
      </c>
      <c r="Q12" s="47">
        <f>IF($Q$5="LLMPriceOut",$Q$6,IF(OR($Q$7="ALL",Assumptions!$N$52="Y"),INDEX(Assumptions!$D$52:$F$52,$Q$4),Assumptions!$E$52))</f>
        <v/>
      </c>
      <c r="R12" s="47">
        <f>IF($R$5="LLMPriceOut",$R$6,IF(OR($R$7="ALL",Assumptions!$N$52="Y"),INDEX(Assumptions!$D$52:$F$52,$R$4),Assumptions!$E$52))</f>
        <v/>
      </c>
      <c r="S12" s="47">
        <f>IF($S$5="LLMPriceOut",$S$6,IF(OR($S$7="ALL",Assumptions!$N$52="Y"),INDEX(Assumptions!$D$52:$F$52,$S$4),Assumptions!$E$52))</f>
        <v/>
      </c>
      <c r="T12" s="47">
        <f>IF($T$5="LLMPriceOut",$T$6,IF(OR($T$7="ALL",Assumptions!$N$52="Y"),INDEX(Assumptions!$D$52:$F$52,$T$4),Assumptions!$E$52))</f>
        <v/>
      </c>
      <c r="U12" s="47">
        <f>IF($U$5="LLMPriceOut",$U$6,IF(OR($U$7="ALL",Assumptions!$N$52="Y"),INDEX(Assumptions!$D$52:$F$52,$U$4),Assumptions!$E$52))</f>
        <v/>
      </c>
      <c r="V12" s="47">
        <f>IF($V$5="LLMPriceOut",$V$6,IF(OR($V$7="ALL",Assumptions!$N$52="Y"),INDEX(Assumptions!$D$52:$F$52,$V$4),Assumptions!$E$52))</f>
        <v/>
      </c>
      <c r="W12" s="47">
        <f>IF($W$5="LLMPriceOut",$W$6,IF(OR($W$7="ALL",Assumptions!$N$52="Y"),INDEX(Assumptions!$D$52:$F$52,$W$4),Assumptions!$E$52))</f>
        <v/>
      </c>
      <c r="X12" s="47">
        <f>IF($X$5="LLMPriceOut",$X$6,IF(OR($X$7="ALL",Assumptions!$N$52="Y"),INDEX(Assumptions!$D$52:$F$52,$X$4),Assumptions!$E$52))</f>
        <v/>
      </c>
      <c r="Y12" s="47">
        <f>IF($Y$5="LLMPriceOut",$Y$6,IF(OR($Y$7="ALL",Assumptions!$N$52="Y"),INDEX(Assumptions!$D$52:$F$52,$Y$4),Assumptions!$E$52))</f>
        <v/>
      </c>
      <c r="Z12" s="47">
        <f>IF($Z$5="LLMPriceOut",$Z$6,IF(OR($Z$7="ALL",Assumptions!$N$52="Y"),INDEX(Assumptions!$D$52:$F$52,$Z$4),Assumptions!$E$52))</f>
        <v/>
      </c>
      <c r="AA12" s="47">
        <f>IF($AA$5="LLMPriceOut",$AA$6,IF(OR($AA$7="ALL",Assumptions!$N$52="Y"),INDEX(Assumptions!$D$52:$F$52,$AA$4),Assumptions!$E$52))</f>
        <v/>
      </c>
      <c r="AB12" s="47">
        <f>IF($AB$5="LLMPriceOut",$AB$6,IF(OR($AB$7="ALL",Assumptions!$N$52="Y"),INDEX(Assumptions!$D$52:$F$52,$AB$4),Assumptions!$E$52))</f>
        <v/>
      </c>
      <c r="AC12" s="47">
        <f>IF($AC$5="LLMPriceOut",$AC$6,IF(OR($AC$7="ALL",Assumptions!$N$52="Y"),INDEX(Assumptions!$D$52:$F$52,$AC$4),Assumptions!$E$52))</f>
        <v/>
      </c>
      <c r="AD12" s="47">
        <f>IF($AD$5="LLMPriceOut",$AD$6,IF(OR($AD$7="ALL",Assumptions!$N$52="Y"),INDEX(Assumptions!$D$52:$F$52,$AD$4),Assumptions!$E$52))</f>
        <v/>
      </c>
      <c r="AE12" s="47">
        <f>IF($AE$5="LLMPriceOut",$AE$6,IF(OR($AE$7="ALL",Assumptions!$N$52="Y"),INDEX(Assumptions!$D$52:$F$52,$AE$4),Assumptions!$E$52))</f>
        <v/>
      </c>
      <c r="AF12" s="47">
        <f>IF($AF$5="LLMPriceOut",$AF$6,IF(OR($AF$7="ALL",Assumptions!$N$52="Y"),INDEX(Assumptions!$D$52:$F$52,$AF$4),Assumptions!$E$52))</f>
        <v/>
      </c>
      <c r="AG12" s="47">
        <f>IF($AG$5="LLMPriceOut",$AG$6,IF(OR($AG$7="ALL",Assumptions!$N$52="Y"),INDEX(Assumptions!$D$52:$F$52,$AG$4),Assumptions!$E$52))</f>
        <v/>
      </c>
      <c r="AH12" s="47">
        <f>IF($AH$5="LLMPriceOut",$AH$6,IF(OR($AH$7="ALL",Assumptions!$N$52="Y"),INDEX(Assumptions!$D$52:$F$52,$AH$4),Assumptions!$E$52))</f>
        <v/>
      </c>
      <c r="AI12" s="47">
        <f>IF($AI$5="LLMPriceOut",$AI$6,IF(OR($AI$7="ALL",Assumptions!$N$52="Y"),INDEX(Assumptions!$D$52:$F$52,$AI$4),Assumptions!$E$52))</f>
        <v/>
      </c>
      <c r="AJ12" s="47">
        <f>IF($AJ$5="LLMPriceOut",$AJ$6,IF(OR($AJ$7="ALL",Assumptions!$N$52="Y"),INDEX(Assumptions!$D$52:$F$52,$AJ$4),Assumptions!$E$52))</f>
        <v/>
      </c>
      <c r="AK12" s="47">
        <f>IF($AK$5="LLMPriceOut",$AK$6,IF(OR($AK$7="ALL",Assumptions!$N$52="Y"),INDEX(Assumptions!$D$52:$F$52,$AK$4),Assumptions!$E$52))</f>
        <v/>
      </c>
      <c r="AL12" s="47">
        <f>IF($AL$5="LLMPriceOut",$AL$6,IF(OR($AL$7="ALL",Assumptions!$N$52="Y"),INDEX(Assumptions!$D$52:$F$52,$AL$4),Assumptions!$E$52))</f>
        <v/>
      </c>
      <c r="AM12" s="47">
        <f>IF($AM$5="LLMPriceOut",$AM$6,IF(OR($AM$7="ALL",Assumptions!$N$52="Y"),INDEX(Assumptions!$D$52:$F$52,$AM$4),Assumptions!$E$52))</f>
        <v/>
      </c>
      <c r="AN12" s="47">
        <f>IF($AN$5="LLMPriceOut",$AN$6,IF(OR($AN$7="ALL",Assumptions!$N$52="Y"),INDEX(Assumptions!$D$52:$F$52,$AN$4),Assumptions!$E$52))</f>
        <v/>
      </c>
      <c r="AO12" s="47">
        <f>IF($AO$5="LLMPriceOut",$AO$6,IF(OR($AO$7="ALL",Assumptions!$N$52="Y"),INDEX(Assumptions!$D$52:$F$52,$AO$4),Assumptions!$E$52))</f>
        <v/>
      </c>
      <c r="AP12" s="47">
        <f>IF($AP$5="LLMPriceOut",$AP$6,IF(OR($AP$7="ALL",Assumptions!$N$52="Y"),INDEX(Assumptions!$D$52:$F$52,$AP$4),Assumptions!$E$52))</f>
        <v/>
      </c>
      <c r="AQ12" s="47">
        <f>IF($AQ$5="LLMPriceOut",$AQ$6,IF(OR($AQ$7="ALL",Assumptions!$N$52="Y"),INDEX(Assumptions!$D$52:$F$52,$AQ$4),Assumptions!$E$52))</f>
        <v/>
      </c>
      <c r="AR12" s="47">
        <f>IF($AR$5="LLMPriceOut",$AR$6,IF(OR($AR$7="ALL",Assumptions!$N$52="Y"),INDEX(Assumptions!$D$52:$F$52,$AR$4),Assumptions!$E$52))</f>
        <v/>
      </c>
      <c r="AS12" s="47">
        <f>IF($AS$5="LLMPriceOut",$AS$6,IF(OR($AS$7="ALL",Assumptions!$N$52="Y"),INDEX(Assumptions!$D$52:$F$52,$AS$4),Assumptions!$E$52))</f>
        <v/>
      </c>
      <c r="AT12" s="47">
        <f>IF($AT$5="LLMPriceOut",$AT$6,IF(OR($AT$7="ALL",Assumptions!$N$52="Y"),INDEX(Assumptions!$D$52:$F$52,$AT$4),Assumptions!$E$52))</f>
        <v/>
      </c>
      <c r="AU12" s="47">
        <f>IF($AU$5="LLMPriceOut",$AU$6,IF(OR($AU$7="ALL",Assumptions!$N$52="Y"),INDEX(Assumptions!$D$52:$F$52,$AU$4),Assumptions!$E$52))</f>
        <v/>
      </c>
      <c r="AV12" s="47">
        <f>IF($AV$5="LLMPriceOut",$AV$6,IF(OR($AV$7="ALL",Assumptions!$N$52="Y"),INDEX(Assumptions!$D$52:$F$52,$AV$4),Assumptions!$E$52))</f>
        <v/>
      </c>
      <c r="AW12" s="47">
        <f>IF($AW$5="LLMPriceOut",$AW$6,IF(OR($AW$7="ALL",Assumptions!$N$52="Y"),INDEX(Assumptions!$D$52:$F$52,$AW$4),Assumptions!$E$52))</f>
        <v/>
      </c>
      <c r="AX12" s="47">
        <f>IF($AX$5="LLMPriceOut",$AX$6,IF(OR($AX$7="ALL",Assumptions!$N$52="Y"),INDEX(Assumptions!$D$52:$F$52,$AX$4),Assumptions!$E$52))</f>
        <v/>
      </c>
      <c r="AY12" s="47">
        <f>IF($AY$5="LLMPriceOut",$AY$6,IF(OR($AY$7="ALL",Assumptions!$N$52="Y"),INDEX(Assumptions!$D$52:$F$52,$AY$4),Assumptions!$E$52))</f>
        <v/>
      </c>
      <c r="AZ12" s="47">
        <f>IF($AZ$5="LLMPriceOut",$AZ$6,IF(OR($AZ$7="ALL",Assumptions!$N$52="Y"),INDEX(Assumptions!$D$52:$F$52,$AZ$4),Assumptions!$E$52))</f>
        <v/>
      </c>
      <c r="BA12" s="47">
        <f>IF($BA$5="LLMPriceOut",$BA$6,IF(OR($BA$7="ALL",Assumptions!$N$52="Y"),INDEX(Assumptions!$D$52:$F$52,$BA$4),Assumptions!$E$52))</f>
        <v/>
      </c>
      <c r="BB12" s="47">
        <f>IF($BB$5="LLMPriceOut",$BB$6,IF(OR($BB$7="ALL",Assumptions!$N$52="Y"),INDEX(Assumptions!$D$52:$F$52,$BB$4),Assumptions!$E$52))</f>
        <v/>
      </c>
      <c r="BC12" s="47">
        <f>IF($BC$5="LLMPriceOut",$BC$6,IF(OR($BC$7="ALL",Assumptions!$N$52="Y"),INDEX(Assumptions!$D$52:$F$52,$BC$4),Assumptions!$E$52))</f>
        <v/>
      </c>
      <c r="BD12" s="47">
        <f>IF($BD$5="LLMPriceOut",$BD$6,IF(OR($BD$7="ALL",Assumptions!$N$52="Y"),INDEX(Assumptions!$D$52:$F$52,$BD$4),Assumptions!$E$52))</f>
        <v/>
      </c>
      <c r="BE12" s="47">
        <f>IF($BE$5="LLMPriceOut",$BE$6,IF(OR($BE$7="ALL",Assumptions!$N$52="Y"),INDEX(Assumptions!$D$52:$F$52,$BE$4),Assumptions!$E$52))</f>
        <v/>
      </c>
    </row>
    <row r="13">
      <c r="B13" s="5" t="inlineStr">
        <is>
          <t>WAMsgsPerStudentMonth</t>
        </is>
      </c>
      <c r="D13" s="57">
        <f>IF($D$5="WAMsgsPerStudentMonth",$D$6,IF(OR($D$7="ALL",Assumptions!$N$53="Y"),INDEX(Assumptions!$D$53:$F$53,$D$4),Assumptions!$E$53))</f>
        <v/>
      </c>
      <c r="E13" s="57">
        <f>IF($E$5="WAMsgsPerStudentMonth",$E$6,IF(OR($E$7="ALL",Assumptions!$N$53="Y"),INDEX(Assumptions!$D$53:$F$53,$E$4),Assumptions!$E$53))</f>
        <v/>
      </c>
      <c r="F13" s="57">
        <f>IF($F$5="WAMsgsPerStudentMonth",$F$6,IF(OR($F$7="ALL",Assumptions!$N$53="Y"),INDEX(Assumptions!$D$53:$F$53,$F$4),Assumptions!$E$53))</f>
        <v/>
      </c>
      <c r="G13" s="57">
        <f>IF($G$5="WAMsgsPerStudentMonth",$G$6,IF(OR($G$7="ALL",Assumptions!$N$53="Y"),INDEX(Assumptions!$D$53:$F$53,$G$4),Assumptions!$E$53))</f>
        <v/>
      </c>
      <c r="H13" s="57">
        <f>IF($H$5="WAMsgsPerStudentMonth",$H$6,IF(OR($H$7="ALL",Assumptions!$N$53="Y"),INDEX(Assumptions!$D$53:$F$53,$H$4),Assumptions!$E$53))</f>
        <v/>
      </c>
      <c r="I13" s="57">
        <f>IF($I$5="WAMsgsPerStudentMonth",$I$6,IF(OR($I$7="ALL",Assumptions!$N$53="Y"),INDEX(Assumptions!$D$53:$F$53,$I$4),Assumptions!$E$53))</f>
        <v/>
      </c>
      <c r="J13" s="57">
        <f>IF($J$5="WAMsgsPerStudentMonth",$J$6,IF(OR($J$7="ALL",Assumptions!$N$53="Y"),INDEX(Assumptions!$D$53:$F$53,$J$4),Assumptions!$E$53))</f>
        <v/>
      </c>
      <c r="K13" s="57">
        <f>IF($K$5="WAMsgsPerStudentMonth",$K$6,IF(OR($K$7="ALL",Assumptions!$N$53="Y"),INDEX(Assumptions!$D$53:$F$53,$K$4),Assumptions!$E$53))</f>
        <v/>
      </c>
      <c r="L13" s="57">
        <f>IF($L$5="WAMsgsPerStudentMonth",$L$6,IF(OR($L$7="ALL",Assumptions!$N$53="Y"),INDEX(Assumptions!$D$53:$F$53,$L$4),Assumptions!$E$53))</f>
        <v/>
      </c>
      <c r="M13" s="57">
        <f>IF($M$5="WAMsgsPerStudentMonth",$M$6,IF(OR($M$7="ALL",Assumptions!$N$53="Y"),INDEX(Assumptions!$D$53:$F$53,$M$4),Assumptions!$E$53))</f>
        <v/>
      </c>
      <c r="N13" s="57">
        <f>IF($N$5="WAMsgsPerStudentMonth",$N$6,IF(OR($N$7="ALL",Assumptions!$N$53="Y"),INDEX(Assumptions!$D$53:$F$53,$N$4),Assumptions!$E$53))</f>
        <v/>
      </c>
      <c r="O13" s="57">
        <f>IF($O$5="WAMsgsPerStudentMonth",$O$6,IF(OR($O$7="ALL",Assumptions!$N$53="Y"),INDEX(Assumptions!$D$53:$F$53,$O$4),Assumptions!$E$53))</f>
        <v/>
      </c>
      <c r="P13" s="57">
        <f>IF($P$5="WAMsgsPerStudentMonth",$P$6,IF(OR($P$7="ALL",Assumptions!$N$53="Y"),INDEX(Assumptions!$D$53:$F$53,$P$4),Assumptions!$E$53))</f>
        <v/>
      </c>
      <c r="Q13" s="57">
        <f>IF($Q$5="WAMsgsPerStudentMonth",$Q$6,IF(OR($Q$7="ALL",Assumptions!$N$53="Y"),INDEX(Assumptions!$D$53:$F$53,$Q$4),Assumptions!$E$53))</f>
        <v/>
      </c>
      <c r="R13" s="57">
        <f>IF($R$5="WAMsgsPerStudentMonth",$R$6,IF(OR($R$7="ALL",Assumptions!$N$53="Y"),INDEX(Assumptions!$D$53:$F$53,$R$4),Assumptions!$E$53))</f>
        <v/>
      </c>
      <c r="S13" s="57">
        <f>IF($S$5="WAMsgsPerStudentMonth",$S$6,IF(OR($S$7="ALL",Assumptions!$N$53="Y"),INDEX(Assumptions!$D$53:$F$53,$S$4),Assumptions!$E$53))</f>
        <v/>
      </c>
      <c r="T13" s="57">
        <f>IF($T$5="WAMsgsPerStudentMonth",$T$6,IF(OR($T$7="ALL",Assumptions!$N$53="Y"),INDEX(Assumptions!$D$53:$F$53,$T$4),Assumptions!$E$53))</f>
        <v/>
      </c>
      <c r="U13" s="57">
        <f>IF($U$5="WAMsgsPerStudentMonth",$U$6,IF(OR($U$7="ALL",Assumptions!$N$53="Y"),INDEX(Assumptions!$D$53:$F$53,$U$4),Assumptions!$E$53))</f>
        <v/>
      </c>
      <c r="V13" s="57">
        <f>IF($V$5="WAMsgsPerStudentMonth",$V$6,IF(OR($V$7="ALL",Assumptions!$N$53="Y"),INDEX(Assumptions!$D$53:$F$53,$V$4),Assumptions!$E$53))</f>
        <v/>
      </c>
      <c r="W13" s="57">
        <f>IF($W$5="WAMsgsPerStudentMonth",$W$6,IF(OR($W$7="ALL",Assumptions!$N$53="Y"),INDEX(Assumptions!$D$53:$F$53,$W$4),Assumptions!$E$53))</f>
        <v/>
      </c>
      <c r="X13" s="57">
        <f>IF($X$5="WAMsgsPerStudentMonth",$X$6,IF(OR($X$7="ALL",Assumptions!$N$53="Y"),INDEX(Assumptions!$D$53:$F$53,$X$4),Assumptions!$E$53))</f>
        <v/>
      </c>
      <c r="Y13" s="57">
        <f>IF($Y$5="WAMsgsPerStudentMonth",$Y$6,IF(OR($Y$7="ALL",Assumptions!$N$53="Y"),INDEX(Assumptions!$D$53:$F$53,$Y$4),Assumptions!$E$53))</f>
        <v/>
      </c>
      <c r="Z13" s="57">
        <f>IF($Z$5="WAMsgsPerStudentMonth",$Z$6,IF(OR($Z$7="ALL",Assumptions!$N$53="Y"),INDEX(Assumptions!$D$53:$F$53,$Z$4),Assumptions!$E$53))</f>
        <v/>
      </c>
      <c r="AA13" s="57">
        <f>IF($AA$5="WAMsgsPerStudentMonth",$AA$6,IF(OR($AA$7="ALL",Assumptions!$N$53="Y"),INDEX(Assumptions!$D$53:$F$53,$AA$4),Assumptions!$E$53))</f>
        <v/>
      </c>
      <c r="AB13" s="57">
        <f>IF($AB$5="WAMsgsPerStudentMonth",$AB$6,IF(OR($AB$7="ALL",Assumptions!$N$53="Y"),INDEX(Assumptions!$D$53:$F$53,$AB$4),Assumptions!$E$53))</f>
        <v/>
      </c>
      <c r="AC13" s="57">
        <f>IF($AC$5="WAMsgsPerStudentMonth",$AC$6,IF(OR($AC$7="ALL",Assumptions!$N$53="Y"),INDEX(Assumptions!$D$53:$F$53,$AC$4),Assumptions!$E$53))</f>
        <v/>
      </c>
      <c r="AD13" s="57">
        <f>IF($AD$5="WAMsgsPerStudentMonth",$AD$6,IF(OR($AD$7="ALL",Assumptions!$N$53="Y"),INDEX(Assumptions!$D$53:$F$53,$AD$4),Assumptions!$E$53))</f>
        <v/>
      </c>
      <c r="AE13" s="57">
        <f>IF($AE$5="WAMsgsPerStudentMonth",$AE$6,IF(OR($AE$7="ALL",Assumptions!$N$53="Y"),INDEX(Assumptions!$D$53:$F$53,$AE$4),Assumptions!$E$53))</f>
        <v/>
      </c>
      <c r="AF13" s="57">
        <f>IF($AF$5="WAMsgsPerStudentMonth",$AF$6,IF(OR($AF$7="ALL",Assumptions!$N$53="Y"),INDEX(Assumptions!$D$53:$F$53,$AF$4),Assumptions!$E$53))</f>
        <v/>
      </c>
      <c r="AG13" s="57">
        <f>IF($AG$5="WAMsgsPerStudentMonth",$AG$6,IF(OR($AG$7="ALL",Assumptions!$N$53="Y"),INDEX(Assumptions!$D$53:$F$53,$AG$4),Assumptions!$E$53))</f>
        <v/>
      </c>
      <c r="AH13" s="57">
        <f>IF($AH$5="WAMsgsPerStudentMonth",$AH$6,IF(OR($AH$7="ALL",Assumptions!$N$53="Y"),INDEX(Assumptions!$D$53:$F$53,$AH$4),Assumptions!$E$53))</f>
        <v/>
      </c>
      <c r="AI13" s="57">
        <f>IF($AI$5="WAMsgsPerStudentMonth",$AI$6,IF(OR($AI$7="ALL",Assumptions!$N$53="Y"),INDEX(Assumptions!$D$53:$F$53,$AI$4),Assumptions!$E$53))</f>
        <v/>
      </c>
      <c r="AJ13" s="57">
        <f>IF($AJ$5="WAMsgsPerStudentMonth",$AJ$6,IF(OR($AJ$7="ALL",Assumptions!$N$53="Y"),INDEX(Assumptions!$D$53:$F$53,$AJ$4),Assumptions!$E$53))</f>
        <v/>
      </c>
      <c r="AK13" s="57">
        <f>IF($AK$5="WAMsgsPerStudentMonth",$AK$6,IF(OR($AK$7="ALL",Assumptions!$N$53="Y"),INDEX(Assumptions!$D$53:$F$53,$AK$4),Assumptions!$E$53))</f>
        <v/>
      </c>
      <c r="AL13" s="57">
        <f>IF($AL$5="WAMsgsPerStudentMonth",$AL$6,IF(OR($AL$7="ALL",Assumptions!$N$53="Y"),INDEX(Assumptions!$D$53:$F$53,$AL$4),Assumptions!$E$53))</f>
        <v/>
      </c>
      <c r="AM13" s="57">
        <f>IF($AM$5="WAMsgsPerStudentMonth",$AM$6,IF(OR($AM$7="ALL",Assumptions!$N$53="Y"),INDEX(Assumptions!$D$53:$F$53,$AM$4),Assumptions!$E$53))</f>
        <v/>
      </c>
      <c r="AN13" s="57">
        <f>IF($AN$5="WAMsgsPerStudentMonth",$AN$6,IF(OR($AN$7="ALL",Assumptions!$N$53="Y"),INDEX(Assumptions!$D$53:$F$53,$AN$4),Assumptions!$E$53))</f>
        <v/>
      </c>
      <c r="AO13" s="57">
        <f>IF($AO$5="WAMsgsPerStudentMonth",$AO$6,IF(OR($AO$7="ALL",Assumptions!$N$53="Y"),INDEX(Assumptions!$D$53:$F$53,$AO$4),Assumptions!$E$53))</f>
        <v/>
      </c>
      <c r="AP13" s="57">
        <f>IF($AP$5="WAMsgsPerStudentMonth",$AP$6,IF(OR($AP$7="ALL",Assumptions!$N$53="Y"),INDEX(Assumptions!$D$53:$F$53,$AP$4),Assumptions!$E$53))</f>
        <v/>
      </c>
      <c r="AQ13" s="57">
        <f>IF($AQ$5="WAMsgsPerStudentMonth",$AQ$6,IF(OR($AQ$7="ALL",Assumptions!$N$53="Y"),INDEX(Assumptions!$D$53:$F$53,$AQ$4),Assumptions!$E$53))</f>
        <v/>
      </c>
      <c r="AR13" s="57">
        <f>IF($AR$5="WAMsgsPerStudentMonth",$AR$6,IF(OR($AR$7="ALL",Assumptions!$N$53="Y"),INDEX(Assumptions!$D$53:$F$53,$AR$4),Assumptions!$E$53))</f>
        <v/>
      </c>
      <c r="AS13" s="57">
        <f>IF($AS$5="WAMsgsPerStudentMonth",$AS$6,IF(OR($AS$7="ALL",Assumptions!$N$53="Y"),INDEX(Assumptions!$D$53:$F$53,$AS$4),Assumptions!$E$53))</f>
        <v/>
      </c>
      <c r="AT13" s="57">
        <f>IF($AT$5="WAMsgsPerStudentMonth",$AT$6,IF(OR($AT$7="ALL",Assumptions!$N$53="Y"),INDEX(Assumptions!$D$53:$F$53,$AT$4),Assumptions!$E$53))</f>
        <v/>
      </c>
      <c r="AU13" s="57">
        <f>IF($AU$5="WAMsgsPerStudentMonth",$AU$6,IF(OR($AU$7="ALL",Assumptions!$N$53="Y"),INDEX(Assumptions!$D$53:$F$53,$AU$4),Assumptions!$E$53))</f>
        <v/>
      </c>
      <c r="AV13" s="57">
        <f>IF($AV$5="WAMsgsPerStudentMonth",$AV$6,IF(OR($AV$7="ALL",Assumptions!$N$53="Y"),INDEX(Assumptions!$D$53:$F$53,$AV$4),Assumptions!$E$53))</f>
        <v/>
      </c>
      <c r="AW13" s="57">
        <f>IF($AW$5="WAMsgsPerStudentMonth",$AW$6,IF(OR($AW$7="ALL",Assumptions!$N$53="Y"),INDEX(Assumptions!$D$53:$F$53,$AW$4),Assumptions!$E$53))</f>
        <v/>
      </c>
      <c r="AX13" s="57">
        <f>IF($AX$5="WAMsgsPerStudentMonth",$AX$6,IF(OR($AX$7="ALL",Assumptions!$N$53="Y"),INDEX(Assumptions!$D$53:$F$53,$AX$4),Assumptions!$E$53))</f>
        <v/>
      </c>
      <c r="AY13" s="57">
        <f>IF($AY$5="WAMsgsPerStudentMonth",$AY$6,IF(OR($AY$7="ALL",Assumptions!$N$53="Y"),INDEX(Assumptions!$D$53:$F$53,$AY$4),Assumptions!$E$53))</f>
        <v/>
      </c>
      <c r="AZ13" s="57">
        <f>IF($AZ$5="WAMsgsPerStudentMonth",$AZ$6,IF(OR($AZ$7="ALL",Assumptions!$N$53="Y"),INDEX(Assumptions!$D$53:$F$53,$AZ$4),Assumptions!$E$53))</f>
        <v/>
      </c>
      <c r="BA13" s="57">
        <f>IF($BA$5="WAMsgsPerStudentMonth",$BA$6,IF(OR($BA$7="ALL",Assumptions!$N$53="Y"),INDEX(Assumptions!$D$53:$F$53,$BA$4),Assumptions!$E$53))</f>
        <v/>
      </c>
      <c r="BB13" s="57">
        <f>IF($BB$5="WAMsgsPerStudentMonth",$BB$6,IF(OR($BB$7="ALL",Assumptions!$N$53="Y"),INDEX(Assumptions!$D$53:$F$53,$BB$4),Assumptions!$E$53))</f>
        <v/>
      </c>
      <c r="BC13" s="57">
        <f>IF($BC$5="WAMsgsPerStudentMonth",$BC$6,IF(OR($BC$7="ALL",Assumptions!$N$53="Y"),INDEX(Assumptions!$D$53:$F$53,$BC$4),Assumptions!$E$53))</f>
        <v/>
      </c>
      <c r="BD13" s="57">
        <f>IF($BD$5="WAMsgsPerStudentMonth",$BD$6,IF(OR($BD$7="ALL",Assumptions!$N$53="Y"),INDEX(Assumptions!$D$53:$F$53,$BD$4),Assumptions!$E$53))</f>
        <v/>
      </c>
      <c r="BE13" s="57">
        <f>IF($BE$5="WAMsgsPerStudentMonth",$BE$6,IF(OR($BE$7="ALL",Assumptions!$N$53="Y"),INDEX(Assumptions!$D$53:$F$53,$BE$4),Assumptions!$E$53))</f>
        <v/>
      </c>
    </row>
    <row r="14">
      <c r="B14" s="5" t="inlineStr">
        <is>
          <t>WAPricePerMsg</t>
        </is>
      </c>
      <c r="D14" s="47">
        <f>IF($D$5="WAPricePerMsg",$D$6,IF(OR($D$7="ALL",Assumptions!$N$54="Y"),INDEX(Assumptions!$D$54:$F$54,$D$4),Assumptions!$E$54))</f>
        <v/>
      </c>
      <c r="E14" s="47">
        <f>IF($E$5="WAPricePerMsg",$E$6,IF(OR($E$7="ALL",Assumptions!$N$54="Y"),INDEX(Assumptions!$D$54:$F$54,$E$4),Assumptions!$E$54))</f>
        <v/>
      </c>
      <c r="F14" s="47">
        <f>IF($F$5="WAPricePerMsg",$F$6,IF(OR($F$7="ALL",Assumptions!$N$54="Y"),INDEX(Assumptions!$D$54:$F$54,$F$4),Assumptions!$E$54))</f>
        <v/>
      </c>
      <c r="G14" s="47">
        <f>IF($G$5="WAPricePerMsg",$G$6,IF(OR($G$7="ALL",Assumptions!$N$54="Y"),INDEX(Assumptions!$D$54:$F$54,$G$4),Assumptions!$E$54))</f>
        <v/>
      </c>
      <c r="H14" s="47">
        <f>IF($H$5="WAPricePerMsg",$H$6,IF(OR($H$7="ALL",Assumptions!$N$54="Y"),INDEX(Assumptions!$D$54:$F$54,$H$4),Assumptions!$E$54))</f>
        <v/>
      </c>
      <c r="I14" s="47">
        <f>IF($I$5="WAPricePerMsg",$I$6,IF(OR($I$7="ALL",Assumptions!$N$54="Y"),INDEX(Assumptions!$D$54:$F$54,$I$4),Assumptions!$E$54))</f>
        <v/>
      </c>
      <c r="J14" s="47">
        <f>IF($J$5="WAPricePerMsg",$J$6,IF(OR($J$7="ALL",Assumptions!$N$54="Y"),INDEX(Assumptions!$D$54:$F$54,$J$4),Assumptions!$E$54))</f>
        <v/>
      </c>
      <c r="K14" s="47">
        <f>IF($K$5="WAPricePerMsg",$K$6,IF(OR($K$7="ALL",Assumptions!$N$54="Y"),INDEX(Assumptions!$D$54:$F$54,$K$4),Assumptions!$E$54))</f>
        <v/>
      </c>
      <c r="L14" s="47">
        <f>IF($L$5="WAPricePerMsg",$L$6,IF(OR($L$7="ALL",Assumptions!$N$54="Y"),INDEX(Assumptions!$D$54:$F$54,$L$4),Assumptions!$E$54))</f>
        <v/>
      </c>
      <c r="M14" s="47">
        <f>IF($M$5="WAPricePerMsg",$M$6,IF(OR($M$7="ALL",Assumptions!$N$54="Y"),INDEX(Assumptions!$D$54:$F$54,$M$4),Assumptions!$E$54))</f>
        <v/>
      </c>
      <c r="N14" s="47">
        <f>IF($N$5="WAPricePerMsg",$N$6,IF(OR($N$7="ALL",Assumptions!$N$54="Y"),INDEX(Assumptions!$D$54:$F$54,$N$4),Assumptions!$E$54))</f>
        <v/>
      </c>
      <c r="O14" s="47">
        <f>IF($O$5="WAPricePerMsg",$O$6,IF(OR($O$7="ALL",Assumptions!$N$54="Y"),INDEX(Assumptions!$D$54:$F$54,$O$4),Assumptions!$E$54))</f>
        <v/>
      </c>
      <c r="P14" s="47">
        <f>IF($P$5="WAPricePerMsg",$P$6,IF(OR($P$7="ALL",Assumptions!$N$54="Y"),INDEX(Assumptions!$D$54:$F$54,$P$4),Assumptions!$E$54))</f>
        <v/>
      </c>
      <c r="Q14" s="47">
        <f>IF($Q$5="WAPricePerMsg",$Q$6,IF(OR($Q$7="ALL",Assumptions!$N$54="Y"),INDEX(Assumptions!$D$54:$F$54,$Q$4),Assumptions!$E$54))</f>
        <v/>
      </c>
      <c r="R14" s="47">
        <f>IF($R$5="WAPricePerMsg",$R$6,IF(OR($R$7="ALL",Assumptions!$N$54="Y"),INDEX(Assumptions!$D$54:$F$54,$R$4),Assumptions!$E$54))</f>
        <v/>
      </c>
      <c r="S14" s="47">
        <f>IF($S$5="WAPricePerMsg",$S$6,IF(OR($S$7="ALL",Assumptions!$N$54="Y"),INDEX(Assumptions!$D$54:$F$54,$S$4),Assumptions!$E$54))</f>
        <v/>
      </c>
      <c r="T14" s="47">
        <f>IF($T$5="WAPricePerMsg",$T$6,IF(OR($T$7="ALL",Assumptions!$N$54="Y"),INDEX(Assumptions!$D$54:$F$54,$T$4),Assumptions!$E$54))</f>
        <v/>
      </c>
      <c r="U14" s="47">
        <f>IF($U$5="WAPricePerMsg",$U$6,IF(OR($U$7="ALL",Assumptions!$N$54="Y"),INDEX(Assumptions!$D$54:$F$54,$U$4),Assumptions!$E$54))</f>
        <v/>
      </c>
      <c r="V14" s="47">
        <f>IF($V$5="WAPricePerMsg",$V$6,IF(OR($V$7="ALL",Assumptions!$N$54="Y"),INDEX(Assumptions!$D$54:$F$54,$V$4),Assumptions!$E$54))</f>
        <v/>
      </c>
      <c r="W14" s="47">
        <f>IF($W$5="WAPricePerMsg",$W$6,IF(OR($W$7="ALL",Assumptions!$N$54="Y"),INDEX(Assumptions!$D$54:$F$54,$W$4),Assumptions!$E$54))</f>
        <v/>
      </c>
      <c r="X14" s="47">
        <f>IF($X$5="WAPricePerMsg",$X$6,IF(OR($X$7="ALL",Assumptions!$N$54="Y"),INDEX(Assumptions!$D$54:$F$54,$X$4),Assumptions!$E$54))</f>
        <v/>
      </c>
      <c r="Y14" s="47">
        <f>IF($Y$5="WAPricePerMsg",$Y$6,IF(OR($Y$7="ALL",Assumptions!$N$54="Y"),INDEX(Assumptions!$D$54:$F$54,$Y$4),Assumptions!$E$54))</f>
        <v/>
      </c>
      <c r="Z14" s="47">
        <f>IF($Z$5="WAPricePerMsg",$Z$6,IF(OR($Z$7="ALL",Assumptions!$N$54="Y"),INDEX(Assumptions!$D$54:$F$54,$Z$4),Assumptions!$E$54))</f>
        <v/>
      </c>
      <c r="AA14" s="47">
        <f>IF($AA$5="WAPricePerMsg",$AA$6,IF(OR($AA$7="ALL",Assumptions!$N$54="Y"),INDEX(Assumptions!$D$54:$F$54,$AA$4),Assumptions!$E$54))</f>
        <v/>
      </c>
      <c r="AB14" s="47">
        <f>IF($AB$5="WAPricePerMsg",$AB$6,IF(OR($AB$7="ALL",Assumptions!$N$54="Y"),INDEX(Assumptions!$D$54:$F$54,$AB$4),Assumptions!$E$54))</f>
        <v/>
      </c>
      <c r="AC14" s="47">
        <f>IF($AC$5="WAPricePerMsg",$AC$6,IF(OR($AC$7="ALL",Assumptions!$N$54="Y"),INDEX(Assumptions!$D$54:$F$54,$AC$4),Assumptions!$E$54))</f>
        <v/>
      </c>
      <c r="AD14" s="47">
        <f>IF($AD$5="WAPricePerMsg",$AD$6,IF(OR($AD$7="ALL",Assumptions!$N$54="Y"),INDEX(Assumptions!$D$54:$F$54,$AD$4),Assumptions!$E$54))</f>
        <v/>
      </c>
      <c r="AE14" s="47">
        <f>IF($AE$5="WAPricePerMsg",$AE$6,IF(OR($AE$7="ALL",Assumptions!$N$54="Y"),INDEX(Assumptions!$D$54:$F$54,$AE$4),Assumptions!$E$54))</f>
        <v/>
      </c>
      <c r="AF14" s="47">
        <f>IF($AF$5="WAPricePerMsg",$AF$6,IF(OR($AF$7="ALL",Assumptions!$N$54="Y"),INDEX(Assumptions!$D$54:$F$54,$AF$4),Assumptions!$E$54))</f>
        <v/>
      </c>
      <c r="AG14" s="47">
        <f>IF($AG$5="WAPricePerMsg",$AG$6,IF(OR($AG$7="ALL",Assumptions!$N$54="Y"),INDEX(Assumptions!$D$54:$F$54,$AG$4),Assumptions!$E$54))</f>
        <v/>
      </c>
      <c r="AH14" s="47">
        <f>IF($AH$5="WAPricePerMsg",$AH$6,IF(OR($AH$7="ALL",Assumptions!$N$54="Y"),INDEX(Assumptions!$D$54:$F$54,$AH$4),Assumptions!$E$54))</f>
        <v/>
      </c>
      <c r="AI14" s="47">
        <f>IF($AI$5="WAPricePerMsg",$AI$6,IF(OR($AI$7="ALL",Assumptions!$N$54="Y"),INDEX(Assumptions!$D$54:$F$54,$AI$4),Assumptions!$E$54))</f>
        <v/>
      </c>
      <c r="AJ14" s="47">
        <f>IF($AJ$5="WAPricePerMsg",$AJ$6,IF(OR($AJ$7="ALL",Assumptions!$N$54="Y"),INDEX(Assumptions!$D$54:$F$54,$AJ$4),Assumptions!$E$54))</f>
        <v/>
      </c>
      <c r="AK14" s="47">
        <f>IF($AK$5="WAPricePerMsg",$AK$6,IF(OR($AK$7="ALL",Assumptions!$N$54="Y"),INDEX(Assumptions!$D$54:$F$54,$AK$4),Assumptions!$E$54))</f>
        <v/>
      </c>
      <c r="AL14" s="47">
        <f>IF($AL$5="WAPricePerMsg",$AL$6,IF(OR($AL$7="ALL",Assumptions!$N$54="Y"),INDEX(Assumptions!$D$54:$F$54,$AL$4),Assumptions!$E$54))</f>
        <v/>
      </c>
      <c r="AM14" s="47">
        <f>IF($AM$5="WAPricePerMsg",$AM$6,IF(OR($AM$7="ALL",Assumptions!$N$54="Y"),INDEX(Assumptions!$D$54:$F$54,$AM$4),Assumptions!$E$54))</f>
        <v/>
      </c>
      <c r="AN14" s="47">
        <f>IF($AN$5="WAPricePerMsg",$AN$6,IF(OR($AN$7="ALL",Assumptions!$N$54="Y"),INDEX(Assumptions!$D$54:$F$54,$AN$4),Assumptions!$E$54))</f>
        <v/>
      </c>
      <c r="AO14" s="47">
        <f>IF($AO$5="WAPricePerMsg",$AO$6,IF(OR($AO$7="ALL",Assumptions!$N$54="Y"),INDEX(Assumptions!$D$54:$F$54,$AO$4),Assumptions!$E$54))</f>
        <v/>
      </c>
      <c r="AP14" s="47">
        <f>IF($AP$5="WAPricePerMsg",$AP$6,IF(OR($AP$7="ALL",Assumptions!$N$54="Y"),INDEX(Assumptions!$D$54:$F$54,$AP$4),Assumptions!$E$54))</f>
        <v/>
      </c>
      <c r="AQ14" s="47">
        <f>IF($AQ$5="WAPricePerMsg",$AQ$6,IF(OR($AQ$7="ALL",Assumptions!$N$54="Y"),INDEX(Assumptions!$D$54:$F$54,$AQ$4),Assumptions!$E$54))</f>
        <v/>
      </c>
      <c r="AR14" s="47">
        <f>IF($AR$5="WAPricePerMsg",$AR$6,IF(OR($AR$7="ALL",Assumptions!$N$54="Y"),INDEX(Assumptions!$D$54:$F$54,$AR$4),Assumptions!$E$54))</f>
        <v/>
      </c>
      <c r="AS14" s="47">
        <f>IF($AS$5="WAPricePerMsg",$AS$6,IF(OR($AS$7="ALL",Assumptions!$N$54="Y"),INDEX(Assumptions!$D$54:$F$54,$AS$4),Assumptions!$E$54))</f>
        <v/>
      </c>
      <c r="AT14" s="47">
        <f>IF($AT$5="WAPricePerMsg",$AT$6,IF(OR($AT$7="ALL",Assumptions!$N$54="Y"),INDEX(Assumptions!$D$54:$F$54,$AT$4),Assumptions!$E$54))</f>
        <v/>
      </c>
      <c r="AU14" s="47">
        <f>IF($AU$5="WAPricePerMsg",$AU$6,IF(OR($AU$7="ALL",Assumptions!$N$54="Y"),INDEX(Assumptions!$D$54:$F$54,$AU$4),Assumptions!$E$54))</f>
        <v/>
      </c>
      <c r="AV14" s="47">
        <f>IF($AV$5="WAPricePerMsg",$AV$6,IF(OR($AV$7="ALL",Assumptions!$N$54="Y"),INDEX(Assumptions!$D$54:$F$54,$AV$4),Assumptions!$E$54))</f>
        <v/>
      </c>
      <c r="AW14" s="47">
        <f>IF($AW$5="WAPricePerMsg",$AW$6,IF(OR($AW$7="ALL",Assumptions!$N$54="Y"),INDEX(Assumptions!$D$54:$F$54,$AW$4),Assumptions!$E$54))</f>
        <v/>
      </c>
      <c r="AX14" s="47">
        <f>IF($AX$5="WAPricePerMsg",$AX$6,IF(OR($AX$7="ALL",Assumptions!$N$54="Y"),INDEX(Assumptions!$D$54:$F$54,$AX$4),Assumptions!$E$54))</f>
        <v/>
      </c>
      <c r="AY14" s="47">
        <f>IF($AY$5="WAPricePerMsg",$AY$6,IF(OR($AY$7="ALL",Assumptions!$N$54="Y"),INDEX(Assumptions!$D$54:$F$54,$AY$4),Assumptions!$E$54))</f>
        <v/>
      </c>
      <c r="AZ14" s="47">
        <f>IF($AZ$5="WAPricePerMsg",$AZ$6,IF(OR($AZ$7="ALL",Assumptions!$N$54="Y"),INDEX(Assumptions!$D$54:$F$54,$AZ$4),Assumptions!$E$54))</f>
        <v/>
      </c>
      <c r="BA14" s="47">
        <f>IF($BA$5="WAPricePerMsg",$BA$6,IF(OR($BA$7="ALL",Assumptions!$N$54="Y"),INDEX(Assumptions!$D$54:$F$54,$BA$4),Assumptions!$E$54))</f>
        <v/>
      </c>
      <c r="BB14" s="47">
        <f>IF($BB$5="WAPricePerMsg",$BB$6,IF(OR($BB$7="ALL",Assumptions!$N$54="Y"),INDEX(Assumptions!$D$54:$F$54,$BB$4),Assumptions!$E$54))</f>
        <v/>
      </c>
      <c r="BC14" s="47">
        <f>IF($BC$5="WAPricePerMsg",$BC$6,IF(OR($BC$7="ALL",Assumptions!$N$54="Y"),INDEX(Assumptions!$D$54:$F$54,$BC$4),Assumptions!$E$54))</f>
        <v/>
      </c>
      <c r="BD14" s="47">
        <f>IF($BD$5="WAPricePerMsg",$BD$6,IF(OR($BD$7="ALL",Assumptions!$N$54="Y"),INDEX(Assumptions!$D$54:$F$54,$BD$4),Assumptions!$E$54))</f>
        <v/>
      </c>
      <c r="BE14" s="47">
        <f>IF($BE$5="WAPricePerMsg",$BE$6,IF(OR($BE$7="ALL",Assumptions!$N$54="Y"),INDEX(Assumptions!$D$54:$F$54,$BE$4),Assumptions!$E$54))</f>
        <v/>
      </c>
    </row>
    <row r="15">
      <c r="B15" s="5" t="inlineStr">
        <is>
          <t>ComputePerStudentMonth</t>
        </is>
      </c>
      <c r="D15" s="47">
        <f>IF($D$5="ComputePerStudentMonth",$D$6,IF(OR($D$7="ALL",Assumptions!$N$55="Y"),INDEX(Assumptions!$D$55:$F$55,$D$4),Assumptions!$E$55))</f>
        <v/>
      </c>
      <c r="E15" s="47">
        <f>IF($E$5="ComputePerStudentMonth",$E$6,IF(OR($E$7="ALL",Assumptions!$N$55="Y"),INDEX(Assumptions!$D$55:$F$55,$E$4),Assumptions!$E$55))</f>
        <v/>
      </c>
      <c r="F15" s="47">
        <f>IF($F$5="ComputePerStudentMonth",$F$6,IF(OR($F$7="ALL",Assumptions!$N$55="Y"),INDEX(Assumptions!$D$55:$F$55,$F$4),Assumptions!$E$55))</f>
        <v/>
      </c>
      <c r="G15" s="47">
        <f>IF($G$5="ComputePerStudentMonth",$G$6,IF(OR($G$7="ALL",Assumptions!$N$55="Y"),INDEX(Assumptions!$D$55:$F$55,$G$4),Assumptions!$E$55))</f>
        <v/>
      </c>
      <c r="H15" s="47">
        <f>IF($H$5="ComputePerStudentMonth",$H$6,IF(OR($H$7="ALL",Assumptions!$N$55="Y"),INDEX(Assumptions!$D$55:$F$55,$H$4),Assumptions!$E$55))</f>
        <v/>
      </c>
      <c r="I15" s="47">
        <f>IF($I$5="ComputePerStudentMonth",$I$6,IF(OR($I$7="ALL",Assumptions!$N$55="Y"),INDEX(Assumptions!$D$55:$F$55,$I$4),Assumptions!$E$55))</f>
        <v/>
      </c>
      <c r="J15" s="47">
        <f>IF($J$5="ComputePerStudentMonth",$J$6,IF(OR($J$7="ALL",Assumptions!$N$55="Y"),INDEX(Assumptions!$D$55:$F$55,$J$4),Assumptions!$E$55))</f>
        <v/>
      </c>
      <c r="K15" s="47">
        <f>IF($K$5="ComputePerStudentMonth",$K$6,IF(OR($K$7="ALL",Assumptions!$N$55="Y"),INDEX(Assumptions!$D$55:$F$55,$K$4),Assumptions!$E$55))</f>
        <v/>
      </c>
      <c r="L15" s="47">
        <f>IF($L$5="ComputePerStudentMonth",$L$6,IF(OR($L$7="ALL",Assumptions!$N$55="Y"),INDEX(Assumptions!$D$55:$F$55,$L$4),Assumptions!$E$55))</f>
        <v/>
      </c>
      <c r="M15" s="47">
        <f>IF($M$5="ComputePerStudentMonth",$M$6,IF(OR($M$7="ALL",Assumptions!$N$55="Y"),INDEX(Assumptions!$D$55:$F$55,$M$4),Assumptions!$E$55))</f>
        <v/>
      </c>
      <c r="N15" s="47">
        <f>IF($N$5="ComputePerStudentMonth",$N$6,IF(OR($N$7="ALL",Assumptions!$N$55="Y"),INDEX(Assumptions!$D$55:$F$55,$N$4),Assumptions!$E$55))</f>
        <v/>
      </c>
      <c r="O15" s="47">
        <f>IF($O$5="ComputePerStudentMonth",$O$6,IF(OR($O$7="ALL",Assumptions!$N$55="Y"),INDEX(Assumptions!$D$55:$F$55,$O$4),Assumptions!$E$55))</f>
        <v/>
      </c>
      <c r="P15" s="47">
        <f>IF($P$5="ComputePerStudentMonth",$P$6,IF(OR($P$7="ALL",Assumptions!$N$55="Y"),INDEX(Assumptions!$D$55:$F$55,$P$4),Assumptions!$E$55))</f>
        <v/>
      </c>
      <c r="Q15" s="47">
        <f>IF($Q$5="ComputePerStudentMonth",$Q$6,IF(OR($Q$7="ALL",Assumptions!$N$55="Y"),INDEX(Assumptions!$D$55:$F$55,$Q$4),Assumptions!$E$55))</f>
        <v/>
      </c>
      <c r="R15" s="47">
        <f>IF($R$5="ComputePerStudentMonth",$R$6,IF(OR($R$7="ALL",Assumptions!$N$55="Y"),INDEX(Assumptions!$D$55:$F$55,$R$4),Assumptions!$E$55))</f>
        <v/>
      </c>
      <c r="S15" s="47">
        <f>IF($S$5="ComputePerStudentMonth",$S$6,IF(OR($S$7="ALL",Assumptions!$N$55="Y"),INDEX(Assumptions!$D$55:$F$55,$S$4),Assumptions!$E$55))</f>
        <v/>
      </c>
      <c r="T15" s="47">
        <f>IF($T$5="ComputePerStudentMonth",$T$6,IF(OR($T$7="ALL",Assumptions!$N$55="Y"),INDEX(Assumptions!$D$55:$F$55,$T$4),Assumptions!$E$55))</f>
        <v/>
      </c>
      <c r="U15" s="47">
        <f>IF($U$5="ComputePerStudentMonth",$U$6,IF(OR($U$7="ALL",Assumptions!$N$55="Y"),INDEX(Assumptions!$D$55:$F$55,$U$4),Assumptions!$E$55))</f>
        <v/>
      </c>
      <c r="V15" s="47">
        <f>IF($V$5="ComputePerStudentMonth",$V$6,IF(OR($V$7="ALL",Assumptions!$N$55="Y"),INDEX(Assumptions!$D$55:$F$55,$V$4),Assumptions!$E$55))</f>
        <v/>
      </c>
      <c r="W15" s="47">
        <f>IF($W$5="ComputePerStudentMonth",$W$6,IF(OR($W$7="ALL",Assumptions!$N$55="Y"),INDEX(Assumptions!$D$55:$F$55,$W$4),Assumptions!$E$55))</f>
        <v/>
      </c>
      <c r="X15" s="47">
        <f>IF($X$5="ComputePerStudentMonth",$X$6,IF(OR($X$7="ALL",Assumptions!$N$55="Y"),INDEX(Assumptions!$D$55:$F$55,$X$4),Assumptions!$E$55))</f>
        <v/>
      </c>
      <c r="Y15" s="47">
        <f>IF($Y$5="ComputePerStudentMonth",$Y$6,IF(OR($Y$7="ALL",Assumptions!$N$55="Y"),INDEX(Assumptions!$D$55:$F$55,$Y$4),Assumptions!$E$55))</f>
        <v/>
      </c>
      <c r="Z15" s="47">
        <f>IF($Z$5="ComputePerStudentMonth",$Z$6,IF(OR($Z$7="ALL",Assumptions!$N$55="Y"),INDEX(Assumptions!$D$55:$F$55,$Z$4),Assumptions!$E$55))</f>
        <v/>
      </c>
      <c r="AA15" s="47">
        <f>IF($AA$5="ComputePerStudentMonth",$AA$6,IF(OR($AA$7="ALL",Assumptions!$N$55="Y"),INDEX(Assumptions!$D$55:$F$55,$AA$4),Assumptions!$E$55))</f>
        <v/>
      </c>
      <c r="AB15" s="47">
        <f>IF($AB$5="ComputePerStudentMonth",$AB$6,IF(OR($AB$7="ALL",Assumptions!$N$55="Y"),INDEX(Assumptions!$D$55:$F$55,$AB$4),Assumptions!$E$55))</f>
        <v/>
      </c>
      <c r="AC15" s="47">
        <f>IF($AC$5="ComputePerStudentMonth",$AC$6,IF(OR($AC$7="ALL",Assumptions!$N$55="Y"),INDEX(Assumptions!$D$55:$F$55,$AC$4),Assumptions!$E$55))</f>
        <v/>
      </c>
      <c r="AD15" s="47">
        <f>IF($AD$5="ComputePerStudentMonth",$AD$6,IF(OR($AD$7="ALL",Assumptions!$N$55="Y"),INDEX(Assumptions!$D$55:$F$55,$AD$4),Assumptions!$E$55))</f>
        <v/>
      </c>
      <c r="AE15" s="47">
        <f>IF($AE$5="ComputePerStudentMonth",$AE$6,IF(OR($AE$7="ALL",Assumptions!$N$55="Y"),INDEX(Assumptions!$D$55:$F$55,$AE$4),Assumptions!$E$55))</f>
        <v/>
      </c>
      <c r="AF15" s="47">
        <f>IF($AF$5="ComputePerStudentMonth",$AF$6,IF(OR($AF$7="ALL",Assumptions!$N$55="Y"),INDEX(Assumptions!$D$55:$F$55,$AF$4),Assumptions!$E$55))</f>
        <v/>
      </c>
      <c r="AG15" s="47">
        <f>IF($AG$5="ComputePerStudentMonth",$AG$6,IF(OR($AG$7="ALL",Assumptions!$N$55="Y"),INDEX(Assumptions!$D$55:$F$55,$AG$4),Assumptions!$E$55))</f>
        <v/>
      </c>
      <c r="AH15" s="47">
        <f>IF($AH$5="ComputePerStudentMonth",$AH$6,IF(OR($AH$7="ALL",Assumptions!$N$55="Y"),INDEX(Assumptions!$D$55:$F$55,$AH$4),Assumptions!$E$55))</f>
        <v/>
      </c>
      <c r="AI15" s="47">
        <f>IF($AI$5="ComputePerStudentMonth",$AI$6,IF(OR($AI$7="ALL",Assumptions!$N$55="Y"),INDEX(Assumptions!$D$55:$F$55,$AI$4),Assumptions!$E$55))</f>
        <v/>
      </c>
      <c r="AJ15" s="47">
        <f>IF($AJ$5="ComputePerStudentMonth",$AJ$6,IF(OR($AJ$7="ALL",Assumptions!$N$55="Y"),INDEX(Assumptions!$D$55:$F$55,$AJ$4),Assumptions!$E$55))</f>
        <v/>
      </c>
      <c r="AK15" s="47">
        <f>IF($AK$5="ComputePerStudentMonth",$AK$6,IF(OR($AK$7="ALL",Assumptions!$N$55="Y"),INDEX(Assumptions!$D$55:$F$55,$AK$4),Assumptions!$E$55))</f>
        <v/>
      </c>
      <c r="AL15" s="47">
        <f>IF($AL$5="ComputePerStudentMonth",$AL$6,IF(OR($AL$7="ALL",Assumptions!$N$55="Y"),INDEX(Assumptions!$D$55:$F$55,$AL$4),Assumptions!$E$55))</f>
        <v/>
      </c>
      <c r="AM15" s="47">
        <f>IF($AM$5="ComputePerStudentMonth",$AM$6,IF(OR($AM$7="ALL",Assumptions!$N$55="Y"),INDEX(Assumptions!$D$55:$F$55,$AM$4),Assumptions!$E$55))</f>
        <v/>
      </c>
      <c r="AN15" s="47">
        <f>IF($AN$5="ComputePerStudentMonth",$AN$6,IF(OR($AN$7="ALL",Assumptions!$N$55="Y"),INDEX(Assumptions!$D$55:$F$55,$AN$4),Assumptions!$E$55))</f>
        <v/>
      </c>
      <c r="AO15" s="47">
        <f>IF($AO$5="ComputePerStudentMonth",$AO$6,IF(OR($AO$7="ALL",Assumptions!$N$55="Y"),INDEX(Assumptions!$D$55:$F$55,$AO$4),Assumptions!$E$55))</f>
        <v/>
      </c>
      <c r="AP15" s="47">
        <f>IF($AP$5="ComputePerStudentMonth",$AP$6,IF(OR($AP$7="ALL",Assumptions!$N$55="Y"),INDEX(Assumptions!$D$55:$F$55,$AP$4),Assumptions!$E$55))</f>
        <v/>
      </c>
      <c r="AQ15" s="47">
        <f>IF($AQ$5="ComputePerStudentMonth",$AQ$6,IF(OR($AQ$7="ALL",Assumptions!$N$55="Y"),INDEX(Assumptions!$D$55:$F$55,$AQ$4),Assumptions!$E$55))</f>
        <v/>
      </c>
      <c r="AR15" s="47">
        <f>IF($AR$5="ComputePerStudentMonth",$AR$6,IF(OR($AR$7="ALL",Assumptions!$N$55="Y"),INDEX(Assumptions!$D$55:$F$55,$AR$4),Assumptions!$E$55))</f>
        <v/>
      </c>
      <c r="AS15" s="47">
        <f>IF($AS$5="ComputePerStudentMonth",$AS$6,IF(OR($AS$7="ALL",Assumptions!$N$55="Y"),INDEX(Assumptions!$D$55:$F$55,$AS$4),Assumptions!$E$55))</f>
        <v/>
      </c>
      <c r="AT15" s="47">
        <f>IF($AT$5="ComputePerStudentMonth",$AT$6,IF(OR($AT$7="ALL",Assumptions!$N$55="Y"),INDEX(Assumptions!$D$55:$F$55,$AT$4),Assumptions!$E$55))</f>
        <v/>
      </c>
      <c r="AU15" s="47">
        <f>IF($AU$5="ComputePerStudentMonth",$AU$6,IF(OR($AU$7="ALL",Assumptions!$N$55="Y"),INDEX(Assumptions!$D$55:$F$55,$AU$4),Assumptions!$E$55))</f>
        <v/>
      </c>
      <c r="AV15" s="47">
        <f>IF($AV$5="ComputePerStudentMonth",$AV$6,IF(OR($AV$7="ALL",Assumptions!$N$55="Y"),INDEX(Assumptions!$D$55:$F$55,$AV$4),Assumptions!$E$55))</f>
        <v/>
      </c>
      <c r="AW15" s="47">
        <f>IF($AW$5="ComputePerStudentMonth",$AW$6,IF(OR($AW$7="ALL",Assumptions!$N$55="Y"),INDEX(Assumptions!$D$55:$F$55,$AW$4),Assumptions!$E$55))</f>
        <v/>
      </c>
      <c r="AX15" s="47">
        <f>IF($AX$5="ComputePerStudentMonth",$AX$6,IF(OR($AX$7="ALL",Assumptions!$N$55="Y"),INDEX(Assumptions!$D$55:$F$55,$AX$4),Assumptions!$E$55))</f>
        <v/>
      </c>
      <c r="AY15" s="47">
        <f>IF($AY$5="ComputePerStudentMonth",$AY$6,IF(OR($AY$7="ALL",Assumptions!$N$55="Y"),INDEX(Assumptions!$D$55:$F$55,$AY$4),Assumptions!$E$55))</f>
        <v/>
      </c>
      <c r="AZ15" s="47">
        <f>IF($AZ$5="ComputePerStudentMonth",$AZ$6,IF(OR($AZ$7="ALL",Assumptions!$N$55="Y"),INDEX(Assumptions!$D$55:$F$55,$AZ$4),Assumptions!$E$55))</f>
        <v/>
      </c>
      <c r="BA15" s="47">
        <f>IF($BA$5="ComputePerStudentMonth",$BA$6,IF(OR($BA$7="ALL",Assumptions!$N$55="Y"),INDEX(Assumptions!$D$55:$F$55,$BA$4),Assumptions!$E$55))</f>
        <v/>
      </c>
      <c r="BB15" s="47">
        <f>IF($BB$5="ComputePerStudentMonth",$BB$6,IF(OR($BB$7="ALL",Assumptions!$N$55="Y"),INDEX(Assumptions!$D$55:$F$55,$BB$4),Assumptions!$E$55))</f>
        <v/>
      </c>
      <c r="BC15" s="47">
        <f>IF($BC$5="ComputePerStudentMonth",$BC$6,IF(OR($BC$7="ALL",Assumptions!$N$55="Y"),INDEX(Assumptions!$D$55:$F$55,$BC$4),Assumptions!$E$55))</f>
        <v/>
      </c>
      <c r="BD15" s="47">
        <f>IF($BD$5="ComputePerStudentMonth",$BD$6,IF(OR($BD$7="ALL",Assumptions!$N$55="Y"),INDEX(Assumptions!$D$55:$F$55,$BD$4),Assumptions!$E$55))</f>
        <v/>
      </c>
      <c r="BE15" s="47">
        <f>IF($BE$5="ComputePerStudentMonth",$BE$6,IF(OR($BE$7="ALL",Assumptions!$N$55="Y"),INDEX(Assumptions!$D$55:$F$55,$BE$4),Assumptions!$E$55))</f>
        <v/>
      </c>
    </row>
    <row r="16">
      <c r="B16" s="5" t="inlineStr">
        <is>
          <t>ConsentCostPerStudentYear</t>
        </is>
      </c>
      <c r="D16" s="47">
        <f>IF($D$5="ConsentCostPerStudentYear",$D$6,IF(OR($D$7="ALL",Assumptions!$N$56="Y"),INDEX(Assumptions!$D$56:$F$56,$D$4),Assumptions!$E$56))</f>
        <v/>
      </c>
      <c r="E16" s="47">
        <f>IF($E$5="ConsentCostPerStudentYear",$E$6,IF(OR($E$7="ALL",Assumptions!$N$56="Y"),INDEX(Assumptions!$D$56:$F$56,$E$4),Assumptions!$E$56))</f>
        <v/>
      </c>
      <c r="F16" s="47">
        <f>IF($F$5="ConsentCostPerStudentYear",$F$6,IF(OR($F$7="ALL",Assumptions!$N$56="Y"),INDEX(Assumptions!$D$56:$F$56,$F$4),Assumptions!$E$56))</f>
        <v/>
      </c>
      <c r="G16" s="47">
        <f>IF($G$5="ConsentCostPerStudentYear",$G$6,IF(OR($G$7="ALL",Assumptions!$N$56="Y"),INDEX(Assumptions!$D$56:$F$56,$G$4),Assumptions!$E$56))</f>
        <v/>
      </c>
      <c r="H16" s="47">
        <f>IF($H$5="ConsentCostPerStudentYear",$H$6,IF(OR($H$7="ALL",Assumptions!$N$56="Y"),INDEX(Assumptions!$D$56:$F$56,$H$4),Assumptions!$E$56))</f>
        <v/>
      </c>
      <c r="I16" s="47">
        <f>IF($I$5="ConsentCostPerStudentYear",$I$6,IF(OR($I$7="ALL",Assumptions!$N$56="Y"),INDEX(Assumptions!$D$56:$F$56,$I$4),Assumptions!$E$56))</f>
        <v/>
      </c>
      <c r="J16" s="47">
        <f>IF($J$5="ConsentCostPerStudentYear",$J$6,IF(OR($J$7="ALL",Assumptions!$N$56="Y"),INDEX(Assumptions!$D$56:$F$56,$J$4),Assumptions!$E$56))</f>
        <v/>
      </c>
      <c r="K16" s="47">
        <f>IF($K$5="ConsentCostPerStudentYear",$K$6,IF(OR($K$7="ALL",Assumptions!$N$56="Y"),INDEX(Assumptions!$D$56:$F$56,$K$4),Assumptions!$E$56))</f>
        <v/>
      </c>
      <c r="L16" s="47">
        <f>IF($L$5="ConsentCostPerStudentYear",$L$6,IF(OR($L$7="ALL",Assumptions!$N$56="Y"),INDEX(Assumptions!$D$56:$F$56,$L$4),Assumptions!$E$56))</f>
        <v/>
      </c>
      <c r="M16" s="47">
        <f>IF($M$5="ConsentCostPerStudentYear",$M$6,IF(OR($M$7="ALL",Assumptions!$N$56="Y"),INDEX(Assumptions!$D$56:$F$56,$M$4),Assumptions!$E$56))</f>
        <v/>
      </c>
      <c r="N16" s="47">
        <f>IF($N$5="ConsentCostPerStudentYear",$N$6,IF(OR($N$7="ALL",Assumptions!$N$56="Y"),INDEX(Assumptions!$D$56:$F$56,$N$4),Assumptions!$E$56))</f>
        <v/>
      </c>
      <c r="O16" s="47">
        <f>IF($O$5="ConsentCostPerStudentYear",$O$6,IF(OR($O$7="ALL",Assumptions!$N$56="Y"),INDEX(Assumptions!$D$56:$F$56,$O$4),Assumptions!$E$56))</f>
        <v/>
      </c>
      <c r="P16" s="47">
        <f>IF($P$5="ConsentCostPerStudentYear",$P$6,IF(OR($P$7="ALL",Assumptions!$N$56="Y"),INDEX(Assumptions!$D$56:$F$56,$P$4),Assumptions!$E$56))</f>
        <v/>
      </c>
      <c r="Q16" s="47">
        <f>IF($Q$5="ConsentCostPerStudentYear",$Q$6,IF(OR($Q$7="ALL",Assumptions!$N$56="Y"),INDEX(Assumptions!$D$56:$F$56,$Q$4),Assumptions!$E$56))</f>
        <v/>
      </c>
      <c r="R16" s="47">
        <f>IF($R$5="ConsentCostPerStudentYear",$R$6,IF(OR($R$7="ALL",Assumptions!$N$56="Y"),INDEX(Assumptions!$D$56:$F$56,$R$4),Assumptions!$E$56))</f>
        <v/>
      </c>
      <c r="S16" s="47">
        <f>IF($S$5="ConsentCostPerStudentYear",$S$6,IF(OR($S$7="ALL",Assumptions!$N$56="Y"),INDEX(Assumptions!$D$56:$F$56,$S$4),Assumptions!$E$56))</f>
        <v/>
      </c>
      <c r="T16" s="47">
        <f>IF($T$5="ConsentCostPerStudentYear",$T$6,IF(OR($T$7="ALL",Assumptions!$N$56="Y"),INDEX(Assumptions!$D$56:$F$56,$T$4),Assumptions!$E$56))</f>
        <v/>
      </c>
      <c r="U16" s="47">
        <f>IF($U$5="ConsentCostPerStudentYear",$U$6,IF(OR($U$7="ALL",Assumptions!$N$56="Y"),INDEX(Assumptions!$D$56:$F$56,$U$4),Assumptions!$E$56))</f>
        <v/>
      </c>
      <c r="V16" s="47">
        <f>IF($V$5="ConsentCostPerStudentYear",$V$6,IF(OR($V$7="ALL",Assumptions!$N$56="Y"),INDEX(Assumptions!$D$56:$F$56,$V$4),Assumptions!$E$56))</f>
        <v/>
      </c>
      <c r="W16" s="47">
        <f>IF($W$5="ConsentCostPerStudentYear",$W$6,IF(OR($W$7="ALL",Assumptions!$N$56="Y"),INDEX(Assumptions!$D$56:$F$56,$W$4),Assumptions!$E$56))</f>
        <v/>
      </c>
      <c r="X16" s="47">
        <f>IF($X$5="ConsentCostPerStudentYear",$X$6,IF(OR($X$7="ALL",Assumptions!$N$56="Y"),INDEX(Assumptions!$D$56:$F$56,$X$4),Assumptions!$E$56))</f>
        <v/>
      </c>
      <c r="Y16" s="47">
        <f>IF($Y$5="ConsentCostPerStudentYear",$Y$6,IF(OR($Y$7="ALL",Assumptions!$N$56="Y"),INDEX(Assumptions!$D$56:$F$56,$Y$4),Assumptions!$E$56))</f>
        <v/>
      </c>
      <c r="Z16" s="47">
        <f>IF($Z$5="ConsentCostPerStudentYear",$Z$6,IF(OR($Z$7="ALL",Assumptions!$N$56="Y"),INDEX(Assumptions!$D$56:$F$56,$Z$4),Assumptions!$E$56))</f>
        <v/>
      </c>
      <c r="AA16" s="47">
        <f>IF($AA$5="ConsentCostPerStudentYear",$AA$6,IF(OR($AA$7="ALL",Assumptions!$N$56="Y"),INDEX(Assumptions!$D$56:$F$56,$AA$4),Assumptions!$E$56))</f>
        <v/>
      </c>
      <c r="AB16" s="47">
        <f>IF($AB$5="ConsentCostPerStudentYear",$AB$6,IF(OR($AB$7="ALL",Assumptions!$N$56="Y"),INDEX(Assumptions!$D$56:$F$56,$AB$4),Assumptions!$E$56))</f>
        <v/>
      </c>
      <c r="AC16" s="47">
        <f>IF($AC$5="ConsentCostPerStudentYear",$AC$6,IF(OR($AC$7="ALL",Assumptions!$N$56="Y"),INDEX(Assumptions!$D$56:$F$56,$AC$4),Assumptions!$E$56))</f>
        <v/>
      </c>
      <c r="AD16" s="47">
        <f>IF($AD$5="ConsentCostPerStudentYear",$AD$6,IF(OR($AD$7="ALL",Assumptions!$N$56="Y"),INDEX(Assumptions!$D$56:$F$56,$AD$4),Assumptions!$E$56))</f>
        <v/>
      </c>
      <c r="AE16" s="47">
        <f>IF($AE$5="ConsentCostPerStudentYear",$AE$6,IF(OR($AE$7="ALL",Assumptions!$N$56="Y"),INDEX(Assumptions!$D$56:$F$56,$AE$4),Assumptions!$E$56))</f>
        <v/>
      </c>
      <c r="AF16" s="47">
        <f>IF($AF$5="ConsentCostPerStudentYear",$AF$6,IF(OR($AF$7="ALL",Assumptions!$N$56="Y"),INDEX(Assumptions!$D$56:$F$56,$AF$4),Assumptions!$E$56))</f>
        <v/>
      </c>
      <c r="AG16" s="47">
        <f>IF($AG$5="ConsentCostPerStudentYear",$AG$6,IF(OR($AG$7="ALL",Assumptions!$N$56="Y"),INDEX(Assumptions!$D$56:$F$56,$AG$4),Assumptions!$E$56))</f>
        <v/>
      </c>
      <c r="AH16" s="47">
        <f>IF($AH$5="ConsentCostPerStudentYear",$AH$6,IF(OR($AH$7="ALL",Assumptions!$N$56="Y"),INDEX(Assumptions!$D$56:$F$56,$AH$4),Assumptions!$E$56))</f>
        <v/>
      </c>
      <c r="AI16" s="47">
        <f>IF($AI$5="ConsentCostPerStudentYear",$AI$6,IF(OR($AI$7="ALL",Assumptions!$N$56="Y"),INDEX(Assumptions!$D$56:$F$56,$AI$4),Assumptions!$E$56))</f>
        <v/>
      </c>
      <c r="AJ16" s="47">
        <f>IF($AJ$5="ConsentCostPerStudentYear",$AJ$6,IF(OR($AJ$7="ALL",Assumptions!$N$56="Y"),INDEX(Assumptions!$D$56:$F$56,$AJ$4),Assumptions!$E$56))</f>
        <v/>
      </c>
      <c r="AK16" s="47">
        <f>IF($AK$5="ConsentCostPerStudentYear",$AK$6,IF(OR($AK$7="ALL",Assumptions!$N$56="Y"),INDEX(Assumptions!$D$56:$F$56,$AK$4),Assumptions!$E$56))</f>
        <v/>
      </c>
      <c r="AL16" s="47">
        <f>IF($AL$5="ConsentCostPerStudentYear",$AL$6,IF(OR($AL$7="ALL",Assumptions!$N$56="Y"),INDEX(Assumptions!$D$56:$F$56,$AL$4),Assumptions!$E$56))</f>
        <v/>
      </c>
      <c r="AM16" s="47">
        <f>IF($AM$5="ConsentCostPerStudentYear",$AM$6,IF(OR($AM$7="ALL",Assumptions!$N$56="Y"),INDEX(Assumptions!$D$56:$F$56,$AM$4),Assumptions!$E$56))</f>
        <v/>
      </c>
      <c r="AN16" s="47">
        <f>IF($AN$5="ConsentCostPerStudentYear",$AN$6,IF(OR($AN$7="ALL",Assumptions!$N$56="Y"),INDEX(Assumptions!$D$56:$F$56,$AN$4),Assumptions!$E$56))</f>
        <v/>
      </c>
      <c r="AO16" s="47">
        <f>IF($AO$5="ConsentCostPerStudentYear",$AO$6,IF(OR($AO$7="ALL",Assumptions!$N$56="Y"),INDEX(Assumptions!$D$56:$F$56,$AO$4),Assumptions!$E$56))</f>
        <v/>
      </c>
      <c r="AP16" s="47">
        <f>IF($AP$5="ConsentCostPerStudentYear",$AP$6,IF(OR($AP$7="ALL",Assumptions!$N$56="Y"),INDEX(Assumptions!$D$56:$F$56,$AP$4),Assumptions!$E$56))</f>
        <v/>
      </c>
      <c r="AQ16" s="47">
        <f>IF($AQ$5="ConsentCostPerStudentYear",$AQ$6,IF(OR($AQ$7="ALL",Assumptions!$N$56="Y"),INDEX(Assumptions!$D$56:$F$56,$AQ$4),Assumptions!$E$56))</f>
        <v/>
      </c>
      <c r="AR16" s="47">
        <f>IF($AR$5="ConsentCostPerStudentYear",$AR$6,IF(OR($AR$7="ALL",Assumptions!$N$56="Y"),INDEX(Assumptions!$D$56:$F$56,$AR$4),Assumptions!$E$56))</f>
        <v/>
      </c>
      <c r="AS16" s="47">
        <f>IF($AS$5="ConsentCostPerStudentYear",$AS$6,IF(OR($AS$7="ALL",Assumptions!$N$56="Y"),INDEX(Assumptions!$D$56:$F$56,$AS$4),Assumptions!$E$56))</f>
        <v/>
      </c>
      <c r="AT16" s="47">
        <f>IF($AT$5="ConsentCostPerStudentYear",$AT$6,IF(OR($AT$7="ALL",Assumptions!$N$56="Y"),INDEX(Assumptions!$D$56:$F$56,$AT$4),Assumptions!$E$56))</f>
        <v/>
      </c>
      <c r="AU16" s="47">
        <f>IF($AU$5="ConsentCostPerStudentYear",$AU$6,IF(OR($AU$7="ALL",Assumptions!$N$56="Y"),INDEX(Assumptions!$D$56:$F$56,$AU$4),Assumptions!$E$56))</f>
        <v/>
      </c>
      <c r="AV16" s="47">
        <f>IF($AV$5="ConsentCostPerStudentYear",$AV$6,IF(OR($AV$7="ALL",Assumptions!$N$56="Y"),INDEX(Assumptions!$D$56:$F$56,$AV$4),Assumptions!$E$56))</f>
        <v/>
      </c>
      <c r="AW16" s="47">
        <f>IF($AW$5="ConsentCostPerStudentYear",$AW$6,IF(OR($AW$7="ALL",Assumptions!$N$56="Y"),INDEX(Assumptions!$D$56:$F$56,$AW$4),Assumptions!$E$56))</f>
        <v/>
      </c>
      <c r="AX16" s="47">
        <f>IF($AX$5="ConsentCostPerStudentYear",$AX$6,IF(OR($AX$7="ALL",Assumptions!$N$56="Y"),INDEX(Assumptions!$D$56:$F$56,$AX$4),Assumptions!$E$56))</f>
        <v/>
      </c>
      <c r="AY16" s="47">
        <f>IF($AY$5="ConsentCostPerStudentYear",$AY$6,IF(OR($AY$7="ALL",Assumptions!$N$56="Y"),INDEX(Assumptions!$D$56:$F$56,$AY$4),Assumptions!$E$56))</f>
        <v/>
      </c>
      <c r="AZ16" s="47">
        <f>IF($AZ$5="ConsentCostPerStudentYear",$AZ$6,IF(OR($AZ$7="ALL",Assumptions!$N$56="Y"),INDEX(Assumptions!$D$56:$F$56,$AZ$4),Assumptions!$E$56))</f>
        <v/>
      </c>
      <c r="BA16" s="47">
        <f>IF($BA$5="ConsentCostPerStudentYear",$BA$6,IF(OR($BA$7="ALL",Assumptions!$N$56="Y"),INDEX(Assumptions!$D$56:$F$56,$BA$4),Assumptions!$E$56))</f>
        <v/>
      </c>
      <c r="BB16" s="47">
        <f>IF($BB$5="ConsentCostPerStudentYear",$BB$6,IF(OR($BB$7="ALL",Assumptions!$N$56="Y"),INDEX(Assumptions!$D$56:$F$56,$BB$4),Assumptions!$E$56))</f>
        <v/>
      </c>
      <c r="BC16" s="47">
        <f>IF($BC$5="ConsentCostPerStudentYear",$BC$6,IF(OR($BC$7="ALL",Assumptions!$N$56="Y"),INDEX(Assumptions!$D$56:$F$56,$BC$4),Assumptions!$E$56))</f>
        <v/>
      </c>
      <c r="BD16" s="47">
        <f>IF($BD$5="ConsentCostPerStudentYear",$BD$6,IF(OR($BD$7="ALL",Assumptions!$N$56="Y"),INDEX(Assumptions!$D$56:$F$56,$BD$4),Assumptions!$E$56))</f>
        <v/>
      </c>
      <c r="BE16" s="47">
        <f>IF($BE$5="ConsentCostPerStudentYear",$BE$6,IF(OR($BE$7="ALL",Assumptions!$N$56="Y"),INDEX(Assumptions!$D$56:$F$56,$BE$4),Assumptions!$E$56))</f>
        <v/>
      </c>
    </row>
    <row r="17">
      <c r="B17" s="5" t="inlineStr">
        <is>
          <t>ServerCostMonth</t>
        </is>
      </c>
      <c r="D17" s="50">
        <f>IF($D$5="ServerCostMonth",$D$6,IF(OR($D$7="ALL",Assumptions!$N$57="Y"),INDEX(Assumptions!$D$57:$F$57,$D$4),Assumptions!$E$57))</f>
        <v/>
      </c>
      <c r="E17" s="50">
        <f>IF($E$5="ServerCostMonth",$E$6,IF(OR($E$7="ALL",Assumptions!$N$57="Y"),INDEX(Assumptions!$D$57:$F$57,$E$4),Assumptions!$E$57))</f>
        <v/>
      </c>
      <c r="F17" s="50">
        <f>IF($F$5="ServerCostMonth",$F$6,IF(OR($F$7="ALL",Assumptions!$N$57="Y"),INDEX(Assumptions!$D$57:$F$57,$F$4),Assumptions!$E$57))</f>
        <v/>
      </c>
      <c r="G17" s="50">
        <f>IF($G$5="ServerCostMonth",$G$6,IF(OR($G$7="ALL",Assumptions!$N$57="Y"),INDEX(Assumptions!$D$57:$F$57,$G$4),Assumptions!$E$57))</f>
        <v/>
      </c>
      <c r="H17" s="50">
        <f>IF($H$5="ServerCostMonth",$H$6,IF(OR($H$7="ALL",Assumptions!$N$57="Y"),INDEX(Assumptions!$D$57:$F$57,$H$4),Assumptions!$E$57))</f>
        <v/>
      </c>
      <c r="I17" s="50">
        <f>IF($I$5="ServerCostMonth",$I$6,IF(OR($I$7="ALL",Assumptions!$N$57="Y"),INDEX(Assumptions!$D$57:$F$57,$I$4),Assumptions!$E$57))</f>
        <v/>
      </c>
      <c r="J17" s="50">
        <f>IF($J$5="ServerCostMonth",$J$6,IF(OR($J$7="ALL",Assumptions!$N$57="Y"),INDEX(Assumptions!$D$57:$F$57,$J$4),Assumptions!$E$57))</f>
        <v/>
      </c>
      <c r="K17" s="50">
        <f>IF($K$5="ServerCostMonth",$K$6,IF(OR($K$7="ALL",Assumptions!$N$57="Y"),INDEX(Assumptions!$D$57:$F$57,$K$4),Assumptions!$E$57))</f>
        <v/>
      </c>
      <c r="L17" s="50">
        <f>IF($L$5="ServerCostMonth",$L$6,IF(OR($L$7="ALL",Assumptions!$N$57="Y"),INDEX(Assumptions!$D$57:$F$57,$L$4),Assumptions!$E$57))</f>
        <v/>
      </c>
      <c r="M17" s="50">
        <f>IF($M$5="ServerCostMonth",$M$6,IF(OR($M$7="ALL",Assumptions!$N$57="Y"),INDEX(Assumptions!$D$57:$F$57,$M$4),Assumptions!$E$57))</f>
        <v/>
      </c>
      <c r="N17" s="50">
        <f>IF($N$5="ServerCostMonth",$N$6,IF(OR($N$7="ALL",Assumptions!$N$57="Y"),INDEX(Assumptions!$D$57:$F$57,$N$4),Assumptions!$E$57))</f>
        <v/>
      </c>
      <c r="O17" s="50">
        <f>IF($O$5="ServerCostMonth",$O$6,IF(OR($O$7="ALL",Assumptions!$N$57="Y"),INDEX(Assumptions!$D$57:$F$57,$O$4),Assumptions!$E$57))</f>
        <v/>
      </c>
      <c r="P17" s="50">
        <f>IF($P$5="ServerCostMonth",$P$6,IF(OR($P$7="ALL",Assumptions!$N$57="Y"),INDEX(Assumptions!$D$57:$F$57,$P$4),Assumptions!$E$57))</f>
        <v/>
      </c>
      <c r="Q17" s="50">
        <f>IF($Q$5="ServerCostMonth",$Q$6,IF(OR($Q$7="ALL",Assumptions!$N$57="Y"),INDEX(Assumptions!$D$57:$F$57,$Q$4),Assumptions!$E$57))</f>
        <v/>
      </c>
      <c r="R17" s="50">
        <f>IF($R$5="ServerCostMonth",$R$6,IF(OR($R$7="ALL",Assumptions!$N$57="Y"),INDEX(Assumptions!$D$57:$F$57,$R$4),Assumptions!$E$57))</f>
        <v/>
      </c>
      <c r="S17" s="50">
        <f>IF($S$5="ServerCostMonth",$S$6,IF(OR($S$7="ALL",Assumptions!$N$57="Y"),INDEX(Assumptions!$D$57:$F$57,$S$4),Assumptions!$E$57))</f>
        <v/>
      </c>
      <c r="T17" s="50">
        <f>IF($T$5="ServerCostMonth",$T$6,IF(OR($T$7="ALL",Assumptions!$N$57="Y"),INDEX(Assumptions!$D$57:$F$57,$T$4),Assumptions!$E$57))</f>
        <v/>
      </c>
      <c r="U17" s="50">
        <f>IF($U$5="ServerCostMonth",$U$6,IF(OR($U$7="ALL",Assumptions!$N$57="Y"),INDEX(Assumptions!$D$57:$F$57,$U$4),Assumptions!$E$57))</f>
        <v/>
      </c>
      <c r="V17" s="50">
        <f>IF($V$5="ServerCostMonth",$V$6,IF(OR($V$7="ALL",Assumptions!$N$57="Y"),INDEX(Assumptions!$D$57:$F$57,$V$4),Assumptions!$E$57))</f>
        <v/>
      </c>
      <c r="W17" s="50">
        <f>IF($W$5="ServerCostMonth",$W$6,IF(OR($W$7="ALL",Assumptions!$N$57="Y"),INDEX(Assumptions!$D$57:$F$57,$W$4),Assumptions!$E$57))</f>
        <v/>
      </c>
      <c r="X17" s="50">
        <f>IF($X$5="ServerCostMonth",$X$6,IF(OR($X$7="ALL",Assumptions!$N$57="Y"),INDEX(Assumptions!$D$57:$F$57,$X$4),Assumptions!$E$57))</f>
        <v/>
      </c>
      <c r="Y17" s="50">
        <f>IF($Y$5="ServerCostMonth",$Y$6,IF(OR($Y$7="ALL",Assumptions!$N$57="Y"),INDEX(Assumptions!$D$57:$F$57,$Y$4),Assumptions!$E$57))</f>
        <v/>
      </c>
      <c r="Z17" s="50">
        <f>IF($Z$5="ServerCostMonth",$Z$6,IF(OR($Z$7="ALL",Assumptions!$N$57="Y"),INDEX(Assumptions!$D$57:$F$57,$Z$4),Assumptions!$E$57))</f>
        <v/>
      </c>
      <c r="AA17" s="50">
        <f>IF($AA$5="ServerCostMonth",$AA$6,IF(OR($AA$7="ALL",Assumptions!$N$57="Y"),INDEX(Assumptions!$D$57:$F$57,$AA$4),Assumptions!$E$57))</f>
        <v/>
      </c>
      <c r="AB17" s="50">
        <f>IF($AB$5="ServerCostMonth",$AB$6,IF(OR($AB$7="ALL",Assumptions!$N$57="Y"),INDEX(Assumptions!$D$57:$F$57,$AB$4),Assumptions!$E$57))</f>
        <v/>
      </c>
      <c r="AC17" s="50">
        <f>IF($AC$5="ServerCostMonth",$AC$6,IF(OR($AC$7="ALL",Assumptions!$N$57="Y"),INDEX(Assumptions!$D$57:$F$57,$AC$4),Assumptions!$E$57))</f>
        <v/>
      </c>
      <c r="AD17" s="50">
        <f>IF($AD$5="ServerCostMonth",$AD$6,IF(OR($AD$7="ALL",Assumptions!$N$57="Y"),INDEX(Assumptions!$D$57:$F$57,$AD$4),Assumptions!$E$57))</f>
        <v/>
      </c>
      <c r="AE17" s="50">
        <f>IF($AE$5="ServerCostMonth",$AE$6,IF(OR($AE$7="ALL",Assumptions!$N$57="Y"),INDEX(Assumptions!$D$57:$F$57,$AE$4),Assumptions!$E$57))</f>
        <v/>
      </c>
      <c r="AF17" s="50">
        <f>IF($AF$5="ServerCostMonth",$AF$6,IF(OR($AF$7="ALL",Assumptions!$N$57="Y"),INDEX(Assumptions!$D$57:$F$57,$AF$4),Assumptions!$E$57))</f>
        <v/>
      </c>
      <c r="AG17" s="50">
        <f>IF($AG$5="ServerCostMonth",$AG$6,IF(OR($AG$7="ALL",Assumptions!$N$57="Y"),INDEX(Assumptions!$D$57:$F$57,$AG$4),Assumptions!$E$57))</f>
        <v/>
      </c>
      <c r="AH17" s="50">
        <f>IF($AH$5="ServerCostMonth",$AH$6,IF(OR($AH$7="ALL",Assumptions!$N$57="Y"),INDEX(Assumptions!$D$57:$F$57,$AH$4),Assumptions!$E$57))</f>
        <v/>
      </c>
      <c r="AI17" s="50">
        <f>IF($AI$5="ServerCostMonth",$AI$6,IF(OR($AI$7="ALL",Assumptions!$N$57="Y"),INDEX(Assumptions!$D$57:$F$57,$AI$4),Assumptions!$E$57))</f>
        <v/>
      </c>
      <c r="AJ17" s="50">
        <f>IF($AJ$5="ServerCostMonth",$AJ$6,IF(OR($AJ$7="ALL",Assumptions!$N$57="Y"),INDEX(Assumptions!$D$57:$F$57,$AJ$4),Assumptions!$E$57))</f>
        <v/>
      </c>
      <c r="AK17" s="50">
        <f>IF($AK$5="ServerCostMonth",$AK$6,IF(OR($AK$7="ALL",Assumptions!$N$57="Y"),INDEX(Assumptions!$D$57:$F$57,$AK$4),Assumptions!$E$57))</f>
        <v/>
      </c>
      <c r="AL17" s="50">
        <f>IF($AL$5="ServerCostMonth",$AL$6,IF(OR($AL$7="ALL",Assumptions!$N$57="Y"),INDEX(Assumptions!$D$57:$F$57,$AL$4),Assumptions!$E$57))</f>
        <v/>
      </c>
      <c r="AM17" s="50">
        <f>IF($AM$5="ServerCostMonth",$AM$6,IF(OR($AM$7="ALL",Assumptions!$N$57="Y"),INDEX(Assumptions!$D$57:$F$57,$AM$4),Assumptions!$E$57))</f>
        <v/>
      </c>
      <c r="AN17" s="50">
        <f>IF($AN$5="ServerCostMonth",$AN$6,IF(OR($AN$7="ALL",Assumptions!$N$57="Y"),INDEX(Assumptions!$D$57:$F$57,$AN$4),Assumptions!$E$57))</f>
        <v/>
      </c>
      <c r="AO17" s="50">
        <f>IF($AO$5="ServerCostMonth",$AO$6,IF(OR($AO$7="ALL",Assumptions!$N$57="Y"),INDEX(Assumptions!$D$57:$F$57,$AO$4),Assumptions!$E$57))</f>
        <v/>
      </c>
      <c r="AP17" s="50">
        <f>IF($AP$5="ServerCostMonth",$AP$6,IF(OR($AP$7="ALL",Assumptions!$N$57="Y"),INDEX(Assumptions!$D$57:$F$57,$AP$4),Assumptions!$E$57))</f>
        <v/>
      </c>
      <c r="AQ17" s="50">
        <f>IF($AQ$5="ServerCostMonth",$AQ$6,IF(OR($AQ$7="ALL",Assumptions!$N$57="Y"),INDEX(Assumptions!$D$57:$F$57,$AQ$4),Assumptions!$E$57))</f>
        <v/>
      </c>
      <c r="AR17" s="50">
        <f>IF($AR$5="ServerCostMonth",$AR$6,IF(OR($AR$7="ALL",Assumptions!$N$57="Y"),INDEX(Assumptions!$D$57:$F$57,$AR$4),Assumptions!$E$57))</f>
        <v/>
      </c>
      <c r="AS17" s="50">
        <f>IF($AS$5="ServerCostMonth",$AS$6,IF(OR($AS$7="ALL",Assumptions!$N$57="Y"),INDEX(Assumptions!$D$57:$F$57,$AS$4),Assumptions!$E$57))</f>
        <v/>
      </c>
      <c r="AT17" s="50">
        <f>IF($AT$5="ServerCostMonth",$AT$6,IF(OR($AT$7="ALL",Assumptions!$N$57="Y"),INDEX(Assumptions!$D$57:$F$57,$AT$4),Assumptions!$E$57))</f>
        <v/>
      </c>
      <c r="AU17" s="50">
        <f>IF($AU$5="ServerCostMonth",$AU$6,IF(OR($AU$7="ALL",Assumptions!$N$57="Y"),INDEX(Assumptions!$D$57:$F$57,$AU$4),Assumptions!$E$57))</f>
        <v/>
      </c>
      <c r="AV17" s="50">
        <f>IF($AV$5="ServerCostMonth",$AV$6,IF(OR($AV$7="ALL",Assumptions!$N$57="Y"),INDEX(Assumptions!$D$57:$F$57,$AV$4),Assumptions!$E$57))</f>
        <v/>
      </c>
      <c r="AW17" s="50">
        <f>IF($AW$5="ServerCostMonth",$AW$6,IF(OR($AW$7="ALL",Assumptions!$N$57="Y"),INDEX(Assumptions!$D$57:$F$57,$AW$4),Assumptions!$E$57))</f>
        <v/>
      </c>
      <c r="AX17" s="50">
        <f>IF($AX$5="ServerCostMonth",$AX$6,IF(OR($AX$7="ALL",Assumptions!$N$57="Y"),INDEX(Assumptions!$D$57:$F$57,$AX$4),Assumptions!$E$57))</f>
        <v/>
      </c>
      <c r="AY17" s="50">
        <f>IF($AY$5="ServerCostMonth",$AY$6,IF(OR($AY$7="ALL",Assumptions!$N$57="Y"),INDEX(Assumptions!$D$57:$F$57,$AY$4),Assumptions!$E$57))</f>
        <v/>
      </c>
      <c r="AZ17" s="50">
        <f>IF($AZ$5="ServerCostMonth",$AZ$6,IF(OR($AZ$7="ALL",Assumptions!$N$57="Y"),INDEX(Assumptions!$D$57:$F$57,$AZ$4),Assumptions!$E$57))</f>
        <v/>
      </c>
      <c r="BA17" s="50">
        <f>IF($BA$5="ServerCostMonth",$BA$6,IF(OR($BA$7="ALL",Assumptions!$N$57="Y"),INDEX(Assumptions!$D$57:$F$57,$BA$4),Assumptions!$E$57))</f>
        <v/>
      </c>
      <c r="BB17" s="50">
        <f>IF($BB$5="ServerCostMonth",$BB$6,IF(OR($BB$7="ALL",Assumptions!$N$57="Y"),INDEX(Assumptions!$D$57:$F$57,$BB$4),Assumptions!$E$57))</f>
        <v/>
      </c>
      <c r="BC17" s="50">
        <f>IF($BC$5="ServerCostMonth",$BC$6,IF(OR($BC$7="ALL",Assumptions!$N$57="Y"),INDEX(Assumptions!$D$57:$F$57,$BC$4),Assumptions!$E$57))</f>
        <v/>
      </c>
      <c r="BD17" s="50">
        <f>IF($BD$5="ServerCostMonth",$BD$6,IF(OR($BD$7="ALL",Assumptions!$N$57="Y"),INDEX(Assumptions!$D$57:$F$57,$BD$4),Assumptions!$E$57))</f>
        <v/>
      </c>
      <c r="BE17" s="50">
        <f>IF($BE$5="ServerCostMonth",$BE$6,IF(OR($BE$7="ALL",Assumptions!$N$57="Y"),INDEX(Assumptions!$D$57:$F$57,$BE$4),Assumptions!$E$57))</f>
        <v/>
      </c>
    </row>
    <row r="18">
      <c r="B18" s="5" t="inlineStr">
        <is>
          <t>BSPFeeMonth</t>
        </is>
      </c>
      <c r="D18" s="50">
        <f>IF($D$5="BSPFeeMonth",$D$6,IF(OR($D$7="ALL",Assumptions!$N$58="Y"),INDEX(Assumptions!$D$58:$F$58,$D$4),Assumptions!$E$58))</f>
        <v/>
      </c>
      <c r="E18" s="50">
        <f>IF($E$5="BSPFeeMonth",$E$6,IF(OR($E$7="ALL",Assumptions!$N$58="Y"),INDEX(Assumptions!$D$58:$F$58,$E$4),Assumptions!$E$58))</f>
        <v/>
      </c>
      <c r="F18" s="50">
        <f>IF($F$5="BSPFeeMonth",$F$6,IF(OR($F$7="ALL",Assumptions!$N$58="Y"),INDEX(Assumptions!$D$58:$F$58,$F$4),Assumptions!$E$58))</f>
        <v/>
      </c>
      <c r="G18" s="50">
        <f>IF($G$5="BSPFeeMonth",$G$6,IF(OR($G$7="ALL",Assumptions!$N$58="Y"),INDEX(Assumptions!$D$58:$F$58,$G$4),Assumptions!$E$58))</f>
        <v/>
      </c>
      <c r="H18" s="50">
        <f>IF($H$5="BSPFeeMonth",$H$6,IF(OR($H$7="ALL",Assumptions!$N$58="Y"),INDEX(Assumptions!$D$58:$F$58,$H$4),Assumptions!$E$58))</f>
        <v/>
      </c>
      <c r="I18" s="50">
        <f>IF($I$5="BSPFeeMonth",$I$6,IF(OR($I$7="ALL",Assumptions!$N$58="Y"),INDEX(Assumptions!$D$58:$F$58,$I$4),Assumptions!$E$58))</f>
        <v/>
      </c>
      <c r="J18" s="50">
        <f>IF($J$5="BSPFeeMonth",$J$6,IF(OR($J$7="ALL",Assumptions!$N$58="Y"),INDEX(Assumptions!$D$58:$F$58,$J$4),Assumptions!$E$58))</f>
        <v/>
      </c>
      <c r="K18" s="50">
        <f>IF($K$5="BSPFeeMonth",$K$6,IF(OR($K$7="ALL",Assumptions!$N$58="Y"),INDEX(Assumptions!$D$58:$F$58,$K$4),Assumptions!$E$58))</f>
        <v/>
      </c>
      <c r="L18" s="50">
        <f>IF($L$5="BSPFeeMonth",$L$6,IF(OR($L$7="ALL",Assumptions!$N$58="Y"),INDEX(Assumptions!$D$58:$F$58,$L$4),Assumptions!$E$58))</f>
        <v/>
      </c>
      <c r="M18" s="50">
        <f>IF($M$5="BSPFeeMonth",$M$6,IF(OR($M$7="ALL",Assumptions!$N$58="Y"),INDEX(Assumptions!$D$58:$F$58,$M$4),Assumptions!$E$58))</f>
        <v/>
      </c>
      <c r="N18" s="50">
        <f>IF($N$5="BSPFeeMonth",$N$6,IF(OR($N$7="ALL",Assumptions!$N$58="Y"),INDEX(Assumptions!$D$58:$F$58,$N$4),Assumptions!$E$58))</f>
        <v/>
      </c>
      <c r="O18" s="50">
        <f>IF($O$5="BSPFeeMonth",$O$6,IF(OR($O$7="ALL",Assumptions!$N$58="Y"),INDEX(Assumptions!$D$58:$F$58,$O$4),Assumptions!$E$58))</f>
        <v/>
      </c>
      <c r="P18" s="50">
        <f>IF($P$5="BSPFeeMonth",$P$6,IF(OR($P$7="ALL",Assumptions!$N$58="Y"),INDEX(Assumptions!$D$58:$F$58,$P$4),Assumptions!$E$58))</f>
        <v/>
      </c>
      <c r="Q18" s="50">
        <f>IF($Q$5="BSPFeeMonth",$Q$6,IF(OR($Q$7="ALL",Assumptions!$N$58="Y"),INDEX(Assumptions!$D$58:$F$58,$Q$4),Assumptions!$E$58))</f>
        <v/>
      </c>
      <c r="R18" s="50">
        <f>IF($R$5="BSPFeeMonth",$R$6,IF(OR($R$7="ALL",Assumptions!$N$58="Y"),INDEX(Assumptions!$D$58:$F$58,$R$4),Assumptions!$E$58))</f>
        <v/>
      </c>
      <c r="S18" s="50">
        <f>IF($S$5="BSPFeeMonth",$S$6,IF(OR($S$7="ALL",Assumptions!$N$58="Y"),INDEX(Assumptions!$D$58:$F$58,$S$4),Assumptions!$E$58))</f>
        <v/>
      </c>
      <c r="T18" s="50">
        <f>IF($T$5="BSPFeeMonth",$T$6,IF(OR($T$7="ALL",Assumptions!$N$58="Y"),INDEX(Assumptions!$D$58:$F$58,$T$4),Assumptions!$E$58))</f>
        <v/>
      </c>
      <c r="U18" s="50">
        <f>IF($U$5="BSPFeeMonth",$U$6,IF(OR($U$7="ALL",Assumptions!$N$58="Y"),INDEX(Assumptions!$D$58:$F$58,$U$4),Assumptions!$E$58))</f>
        <v/>
      </c>
      <c r="V18" s="50">
        <f>IF($V$5="BSPFeeMonth",$V$6,IF(OR($V$7="ALL",Assumptions!$N$58="Y"),INDEX(Assumptions!$D$58:$F$58,$V$4),Assumptions!$E$58))</f>
        <v/>
      </c>
      <c r="W18" s="50">
        <f>IF($W$5="BSPFeeMonth",$W$6,IF(OR($W$7="ALL",Assumptions!$N$58="Y"),INDEX(Assumptions!$D$58:$F$58,$W$4),Assumptions!$E$58))</f>
        <v/>
      </c>
      <c r="X18" s="50">
        <f>IF($X$5="BSPFeeMonth",$X$6,IF(OR($X$7="ALL",Assumptions!$N$58="Y"),INDEX(Assumptions!$D$58:$F$58,$X$4),Assumptions!$E$58))</f>
        <v/>
      </c>
      <c r="Y18" s="50">
        <f>IF($Y$5="BSPFeeMonth",$Y$6,IF(OR($Y$7="ALL",Assumptions!$N$58="Y"),INDEX(Assumptions!$D$58:$F$58,$Y$4),Assumptions!$E$58))</f>
        <v/>
      </c>
      <c r="Z18" s="50">
        <f>IF($Z$5="BSPFeeMonth",$Z$6,IF(OR($Z$7="ALL",Assumptions!$N$58="Y"),INDEX(Assumptions!$D$58:$F$58,$Z$4),Assumptions!$E$58))</f>
        <v/>
      </c>
      <c r="AA18" s="50">
        <f>IF($AA$5="BSPFeeMonth",$AA$6,IF(OR($AA$7="ALL",Assumptions!$N$58="Y"),INDEX(Assumptions!$D$58:$F$58,$AA$4),Assumptions!$E$58))</f>
        <v/>
      </c>
      <c r="AB18" s="50">
        <f>IF($AB$5="BSPFeeMonth",$AB$6,IF(OR($AB$7="ALL",Assumptions!$N$58="Y"),INDEX(Assumptions!$D$58:$F$58,$AB$4),Assumptions!$E$58))</f>
        <v/>
      </c>
      <c r="AC18" s="50">
        <f>IF($AC$5="BSPFeeMonth",$AC$6,IF(OR($AC$7="ALL",Assumptions!$N$58="Y"),INDEX(Assumptions!$D$58:$F$58,$AC$4),Assumptions!$E$58))</f>
        <v/>
      </c>
      <c r="AD18" s="50">
        <f>IF($AD$5="BSPFeeMonth",$AD$6,IF(OR($AD$7="ALL",Assumptions!$N$58="Y"),INDEX(Assumptions!$D$58:$F$58,$AD$4),Assumptions!$E$58))</f>
        <v/>
      </c>
      <c r="AE18" s="50">
        <f>IF($AE$5="BSPFeeMonth",$AE$6,IF(OR($AE$7="ALL",Assumptions!$N$58="Y"),INDEX(Assumptions!$D$58:$F$58,$AE$4),Assumptions!$E$58))</f>
        <v/>
      </c>
      <c r="AF18" s="50">
        <f>IF($AF$5="BSPFeeMonth",$AF$6,IF(OR($AF$7="ALL",Assumptions!$N$58="Y"),INDEX(Assumptions!$D$58:$F$58,$AF$4),Assumptions!$E$58))</f>
        <v/>
      </c>
      <c r="AG18" s="50">
        <f>IF($AG$5="BSPFeeMonth",$AG$6,IF(OR($AG$7="ALL",Assumptions!$N$58="Y"),INDEX(Assumptions!$D$58:$F$58,$AG$4),Assumptions!$E$58))</f>
        <v/>
      </c>
      <c r="AH18" s="50">
        <f>IF($AH$5="BSPFeeMonth",$AH$6,IF(OR($AH$7="ALL",Assumptions!$N$58="Y"),INDEX(Assumptions!$D$58:$F$58,$AH$4),Assumptions!$E$58))</f>
        <v/>
      </c>
      <c r="AI18" s="50">
        <f>IF($AI$5="BSPFeeMonth",$AI$6,IF(OR($AI$7="ALL",Assumptions!$N$58="Y"),INDEX(Assumptions!$D$58:$F$58,$AI$4),Assumptions!$E$58))</f>
        <v/>
      </c>
      <c r="AJ18" s="50">
        <f>IF($AJ$5="BSPFeeMonth",$AJ$6,IF(OR($AJ$7="ALL",Assumptions!$N$58="Y"),INDEX(Assumptions!$D$58:$F$58,$AJ$4),Assumptions!$E$58))</f>
        <v/>
      </c>
      <c r="AK18" s="50">
        <f>IF($AK$5="BSPFeeMonth",$AK$6,IF(OR($AK$7="ALL",Assumptions!$N$58="Y"),INDEX(Assumptions!$D$58:$F$58,$AK$4),Assumptions!$E$58))</f>
        <v/>
      </c>
      <c r="AL18" s="50">
        <f>IF($AL$5="BSPFeeMonth",$AL$6,IF(OR($AL$7="ALL",Assumptions!$N$58="Y"),INDEX(Assumptions!$D$58:$F$58,$AL$4),Assumptions!$E$58))</f>
        <v/>
      </c>
      <c r="AM18" s="50">
        <f>IF($AM$5="BSPFeeMonth",$AM$6,IF(OR($AM$7="ALL",Assumptions!$N$58="Y"),INDEX(Assumptions!$D$58:$F$58,$AM$4),Assumptions!$E$58))</f>
        <v/>
      </c>
      <c r="AN18" s="50">
        <f>IF($AN$5="BSPFeeMonth",$AN$6,IF(OR($AN$7="ALL",Assumptions!$N$58="Y"),INDEX(Assumptions!$D$58:$F$58,$AN$4),Assumptions!$E$58))</f>
        <v/>
      </c>
      <c r="AO18" s="50">
        <f>IF($AO$5="BSPFeeMonth",$AO$6,IF(OR($AO$7="ALL",Assumptions!$N$58="Y"),INDEX(Assumptions!$D$58:$F$58,$AO$4),Assumptions!$E$58))</f>
        <v/>
      </c>
      <c r="AP18" s="50">
        <f>IF($AP$5="BSPFeeMonth",$AP$6,IF(OR($AP$7="ALL",Assumptions!$N$58="Y"),INDEX(Assumptions!$D$58:$F$58,$AP$4),Assumptions!$E$58))</f>
        <v/>
      </c>
      <c r="AQ18" s="50">
        <f>IF($AQ$5="BSPFeeMonth",$AQ$6,IF(OR($AQ$7="ALL",Assumptions!$N$58="Y"),INDEX(Assumptions!$D$58:$F$58,$AQ$4),Assumptions!$E$58))</f>
        <v/>
      </c>
      <c r="AR18" s="50">
        <f>IF($AR$5="BSPFeeMonth",$AR$6,IF(OR($AR$7="ALL",Assumptions!$N$58="Y"),INDEX(Assumptions!$D$58:$F$58,$AR$4),Assumptions!$E$58))</f>
        <v/>
      </c>
      <c r="AS18" s="50">
        <f>IF($AS$5="BSPFeeMonth",$AS$6,IF(OR($AS$7="ALL",Assumptions!$N$58="Y"),INDEX(Assumptions!$D$58:$F$58,$AS$4),Assumptions!$E$58))</f>
        <v/>
      </c>
      <c r="AT18" s="50">
        <f>IF($AT$5="BSPFeeMonth",$AT$6,IF(OR($AT$7="ALL",Assumptions!$N$58="Y"),INDEX(Assumptions!$D$58:$F$58,$AT$4),Assumptions!$E$58))</f>
        <v/>
      </c>
      <c r="AU18" s="50">
        <f>IF($AU$5="BSPFeeMonth",$AU$6,IF(OR($AU$7="ALL",Assumptions!$N$58="Y"),INDEX(Assumptions!$D$58:$F$58,$AU$4),Assumptions!$E$58))</f>
        <v/>
      </c>
      <c r="AV18" s="50">
        <f>IF($AV$5="BSPFeeMonth",$AV$6,IF(OR($AV$7="ALL",Assumptions!$N$58="Y"),INDEX(Assumptions!$D$58:$F$58,$AV$4),Assumptions!$E$58))</f>
        <v/>
      </c>
      <c r="AW18" s="50">
        <f>IF($AW$5="BSPFeeMonth",$AW$6,IF(OR($AW$7="ALL",Assumptions!$N$58="Y"),INDEX(Assumptions!$D$58:$F$58,$AW$4),Assumptions!$E$58))</f>
        <v/>
      </c>
      <c r="AX18" s="50">
        <f>IF($AX$5="BSPFeeMonth",$AX$6,IF(OR($AX$7="ALL",Assumptions!$N$58="Y"),INDEX(Assumptions!$D$58:$F$58,$AX$4),Assumptions!$E$58))</f>
        <v/>
      </c>
      <c r="AY18" s="50">
        <f>IF($AY$5="BSPFeeMonth",$AY$6,IF(OR($AY$7="ALL",Assumptions!$N$58="Y"),INDEX(Assumptions!$D$58:$F$58,$AY$4),Assumptions!$E$58))</f>
        <v/>
      </c>
      <c r="AZ18" s="50">
        <f>IF($AZ$5="BSPFeeMonth",$AZ$6,IF(OR($AZ$7="ALL",Assumptions!$N$58="Y"),INDEX(Assumptions!$D$58:$F$58,$AZ$4),Assumptions!$E$58))</f>
        <v/>
      </c>
      <c r="BA18" s="50">
        <f>IF($BA$5="BSPFeeMonth",$BA$6,IF(OR($BA$7="ALL",Assumptions!$N$58="Y"),INDEX(Assumptions!$D$58:$F$58,$BA$4),Assumptions!$E$58))</f>
        <v/>
      </c>
      <c r="BB18" s="50">
        <f>IF($BB$5="BSPFeeMonth",$BB$6,IF(OR($BB$7="ALL",Assumptions!$N$58="Y"),INDEX(Assumptions!$D$58:$F$58,$BB$4),Assumptions!$E$58))</f>
        <v/>
      </c>
      <c r="BC18" s="50">
        <f>IF($BC$5="BSPFeeMonth",$BC$6,IF(OR($BC$7="ALL",Assumptions!$N$58="Y"),INDEX(Assumptions!$D$58:$F$58,$BC$4),Assumptions!$E$58))</f>
        <v/>
      </c>
      <c r="BD18" s="50">
        <f>IF($BD$5="BSPFeeMonth",$BD$6,IF(OR($BD$7="ALL",Assumptions!$N$58="Y"),INDEX(Assumptions!$D$58:$F$58,$BD$4),Assumptions!$E$58))</f>
        <v/>
      </c>
      <c r="BE18" s="50">
        <f>IF($BE$5="BSPFeeMonth",$BE$6,IF(OR($BE$7="ALL",Assumptions!$N$58="Y"),INDEX(Assumptions!$D$58:$F$58,$BE$4),Assumptions!$E$58))</f>
        <v/>
      </c>
    </row>
    <row r="19">
      <c r="B19" s="5" t="inlineStr">
        <is>
          <t>InstPerStack</t>
        </is>
      </c>
      <c r="D19" s="57">
        <f>IF($D$5="InstPerStack",$D$6,IF(OR($D$7="ALL",Assumptions!$N$59="Y"),INDEX(Assumptions!$D$59:$F$59,$D$4),Assumptions!$E$59))</f>
        <v/>
      </c>
      <c r="E19" s="57">
        <f>IF($E$5="InstPerStack",$E$6,IF(OR($E$7="ALL",Assumptions!$N$59="Y"),INDEX(Assumptions!$D$59:$F$59,$E$4),Assumptions!$E$59))</f>
        <v/>
      </c>
      <c r="F19" s="57">
        <f>IF($F$5="InstPerStack",$F$6,IF(OR($F$7="ALL",Assumptions!$N$59="Y"),INDEX(Assumptions!$D$59:$F$59,$F$4),Assumptions!$E$59))</f>
        <v/>
      </c>
      <c r="G19" s="57">
        <f>IF($G$5="InstPerStack",$G$6,IF(OR($G$7="ALL",Assumptions!$N$59="Y"),INDEX(Assumptions!$D$59:$F$59,$G$4),Assumptions!$E$59))</f>
        <v/>
      </c>
      <c r="H19" s="57">
        <f>IF($H$5="InstPerStack",$H$6,IF(OR($H$7="ALL",Assumptions!$N$59="Y"),INDEX(Assumptions!$D$59:$F$59,$H$4),Assumptions!$E$59))</f>
        <v/>
      </c>
      <c r="I19" s="57">
        <f>IF($I$5="InstPerStack",$I$6,IF(OR($I$7="ALL",Assumptions!$N$59="Y"),INDEX(Assumptions!$D$59:$F$59,$I$4),Assumptions!$E$59))</f>
        <v/>
      </c>
      <c r="J19" s="57">
        <f>IF($J$5="InstPerStack",$J$6,IF(OR($J$7="ALL",Assumptions!$N$59="Y"),INDEX(Assumptions!$D$59:$F$59,$J$4),Assumptions!$E$59))</f>
        <v/>
      </c>
      <c r="K19" s="57">
        <f>IF($K$5="InstPerStack",$K$6,IF(OR($K$7="ALL",Assumptions!$N$59="Y"),INDEX(Assumptions!$D$59:$F$59,$K$4),Assumptions!$E$59))</f>
        <v/>
      </c>
      <c r="L19" s="57">
        <f>IF($L$5="InstPerStack",$L$6,IF(OR($L$7="ALL",Assumptions!$N$59="Y"),INDEX(Assumptions!$D$59:$F$59,$L$4),Assumptions!$E$59))</f>
        <v/>
      </c>
      <c r="M19" s="57">
        <f>IF($M$5="InstPerStack",$M$6,IF(OR($M$7="ALL",Assumptions!$N$59="Y"),INDEX(Assumptions!$D$59:$F$59,$M$4),Assumptions!$E$59))</f>
        <v/>
      </c>
      <c r="N19" s="57">
        <f>IF($N$5="InstPerStack",$N$6,IF(OR($N$7="ALL",Assumptions!$N$59="Y"),INDEX(Assumptions!$D$59:$F$59,$N$4),Assumptions!$E$59))</f>
        <v/>
      </c>
      <c r="O19" s="57">
        <f>IF($O$5="InstPerStack",$O$6,IF(OR($O$7="ALL",Assumptions!$N$59="Y"),INDEX(Assumptions!$D$59:$F$59,$O$4),Assumptions!$E$59))</f>
        <v/>
      </c>
      <c r="P19" s="57">
        <f>IF($P$5="InstPerStack",$P$6,IF(OR($P$7="ALL",Assumptions!$N$59="Y"),INDEX(Assumptions!$D$59:$F$59,$P$4),Assumptions!$E$59))</f>
        <v/>
      </c>
      <c r="Q19" s="57">
        <f>IF($Q$5="InstPerStack",$Q$6,IF(OR($Q$7="ALL",Assumptions!$N$59="Y"),INDEX(Assumptions!$D$59:$F$59,$Q$4),Assumptions!$E$59))</f>
        <v/>
      </c>
      <c r="R19" s="57">
        <f>IF($R$5="InstPerStack",$R$6,IF(OR($R$7="ALL",Assumptions!$N$59="Y"),INDEX(Assumptions!$D$59:$F$59,$R$4),Assumptions!$E$59))</f>
        <v/>
      </c>
      <c r="S19" s="57">
        <f>IF($S$5="InstPerStack",$S$6,IF(OR($S$7="ALL",Assumptions!$N$59="Y"),INDEX(Assumptions!$D$59:$F$59,$S$4),Assumptions!$E$59))</f>
        <v/>
      </c>
      <c r="T19" s="57">
        <f>IF($T$5="InstPerStack",$T$6,IF(OR($T$7="ALL",Assumptions!$N$59="Y"),INDEX(Assumptions!$D$59:$F$59,$T$4),Assumptions!$E$59))</f>
        <v/>
      </c>
      <c r="U19" s="57">
        <f>IF($U$5="InstPerStack",$U$6,IF(OR($U$7="ALL",Assumptions!$N$59="Y"),INDEX(Assumptions!$D$59:$F$59,$U$4),Assumptions!$E$59))</f>
        <v/>
      </c>
      <c r="V19" s="57">
        <f>IF($V$5="InstPerStack",$V$6,IF(OR($V$7="ALL",Assumptions!$N$59="Y"),INDEX(Assumptions!$D$59:$F$59,$V$4),Assumptions!$E$59))</f>
        <v/>
      </c>
      <c r="W19" s="57">
        <f>IF($W$5="InstPerStack",$W$6,IF(OR($W$7="ALL",Assumptions!$N$59="Y"),INDEX(Assumptions!$D$59:$F$59,$W$4),Assumptions!$E$59))</f>
        <v/>
      </c>
      <c r="X19" s="57">
        <f>IF($X$5="InstPerStack",$X$6,IF(OR($X$7="ALL",Assumptions!$N$59="Y"),INDEX(Assumptions!$D$59:$F$59,$X$4),Assumptions!$E$59))</f>
        <v/>
      </c>
      <c r="Y19" s="57">
        <f>IF($Y$5="InstPerStack",$Y$6,IF(OR($Y$7="ALL",Assumptions!$N$59="Y"),INDEX(Assumptions!$D$59:$F$59,$Y$4),Assumptions!$E$59))</f>
        <v/>
      </c>
      <c r="Z19" s="57">
        <f>IF($Z$5="InstPerStack",$Z$6,IF(OR($Z$7="ALL",Assumptions!$N$59="Y"),INDEX(Assumptions!$D$59:$F$59,$Z$4),Assumptions!$E$59))</f>
        <v/>
      </c>
      <c r="AA19" s="57">
        <f>IF($AA$5="InstPerStack",$AA$6,IF(OR($AA$7="ALL",Assumptions!$N$59="Y"),INDEX(Assumptions!$D$59:$F$59,$AA$4),Assumptions!$E$59))</f>
        <v/>
      </c>
      <c r="AB19" s="57">
        <f>IF($AB$5="InstPerStack",$AB$6,IF(OR($AB$7="ALL",Assumptions!$N$59="Y"),INDEX(Assumptions!$D$59:$F$59,$AB$4),Assumptions!$E$59))</f>
        <v/>
      </c>
      <c r="AC19" s="57">
        <f>IF($AC$5="InstPerStack",$AC$6,IF(OR($AC$7="ALL",Assumptions!$N$59="Y"),INDEX(Assumptions!$D$59:$F$59,$AC$4),Assumptions!$E$59))</f>
        <v/>
      </c>
      <c r="AD19" s="57">
        <f>IF($AD$5="InstPerStack",$AD$6,IF(OR($AD$7="ALL",Assumptions!$N$59="Y"),INDEX(Assumptions!$D$59:$F$59,$AD$4),Assumptions!$E$59))</f>
        <v/>
      </c>
      <c r="AE19" s="57">
        <f>IF($AE$5="InstPerStack",$AE$6,IF(OR($AE$7="ALL",Assumptions!$N$59="Y"),INDEX(Assumptions!$D$59:$F$59,$AE$4),Assumptions!$E$59))</f>
        <v/>
      </c>
      <c r="AF19" s="57">
        <f>IF($AF$5="InstPerStack",$AF$6,IF(OR($AF$7="ALL",Assumptions!$N$59="Y"),INDEX(Assumptions!$D$59:$F$59,$AF$4),Assumptions!$E$59))</f>
        <v/>
      </c>
      <c r="AG19" s="57">
        <f>IF($AG$5="InstPerStack",$AG$6,IF(OR($AG$7="ALL",Assumptions!$N$59="Y"),INDEX(Assumptions!$D$59:$F$59,$AG$4),Assumptions!$E$59))</f>
        <v/>
      </c>
      <c r="AH19" s="57">
        <f>IF($AH$5="InstPerStack",$AH$6,IF(OR($AH$7="ALL",Assumptions!$N$59="Y"),INDEX(Assumptions!$D$59:$F$59,$AH$4),Assumptions!$E$59))</f>
        <v/>
      </c>
      <c r="AI19" s="57">
        <f>IF($AI$5="InstPerStack",$AI$6,IF(OR($AI$7="ALL",Assumptions!$N$59="Y"),INDEX(Assumptions!$D$59:$F$59,$AI$4),Assumptions!$E$59))</f>
        <v/>
      </c>
      <c r="AJ19" s="57">
        <f>IF($AJ$5="InstPerStack",$AJ$6,IF(OR($AJ$7="ALL",Assumptions!$N$59="Y"),INDEX(Assumptions!$D$59:$F$59,$AJ$4),Assumptions!$E$59))</f>
        <v/>
      </c>
      <c r="AK19" s="57">
        <f>IF($AK$5="InstPerStack",$AK$6,IF(OR($AK$7="ALL",Assumptions!$N$59="Y"),INDEX(Assumptions!$D$59:$F$59,$AK$4),Assumptions!$E$59))</f>
        <v/>
      </c>
      <c r="AL19" s="57">
        <f>IF($AL$5="InstPerStack",$AL$6,IF(OR($AL$7="ALL",Assumptions!$N$59="Y"),INDEX(Assumptions!$D$59:$F$59,$AL$4),Assumptions!$E$59))</f>
        <v/>
      </c>
      <c r="AM19" s="57">
        <f>IF($AM$5="InstPerStack",$AM$6,IF(OR($AM$7="ALL",Assumptions!$N$59="Y"),INDEX(Assumptions!$D$59:$F$59,$AM$4),Assumptions!$E$59))</f>
        <v/>
      </c>
      <c r="AN19" s="57">
        <f>IF($AN$5="InstPerStack",$AN$6,IF(OR($AN$7="ALL",Assumptions!$N$59="Y"),INDEX(Assumptions!$D$59:$F$59,$AN$4),Assumptions!$E$59))</f>
        <v/>
      </c>
      <c r="AO19" s="57">
        <f>IF($AO$5="InstPerStack",$AO$6,IF(OR($AO$7="ALL",Assumptions!$N$59="Y"),INDEX(Assumptions!$D$59:$F$59,$AO$4),Assumptions!$E$59))</f>
        <v/>
      </c>
      <c r="AP19" s="57">
        <f>IF($AP$5="InstPerStack",$AP$6,IF(OR($AP$7="ALL",Assumptions!$N$59="Y"),INDEX(Assumptions!$D$59:$F$59,$AP$4),Assumptions!$E$59))</f>
        <v/>
      </c>
      <c r="AQ19" s="57">
        <f>IF($AQ$5="InstPerStack",$AQ$6,IF(OR($AQ$7="ALL",Assumptions!$N$59="Y"),INDEX(Assumptions!$D$59:$F$59,$AQ$4),Assumptions!$E$59))</f>
        <v/>
      </c>
      <c r="AR19" s="57">
        <f>IF($AR$5="InstPerStack",$AR$6,IF(OR($AR$7="ALL",Assumptions!$N$59="Y"),INDEX(Assumptions!$D$59:$F$59,$AR$4),Assumptions!$E$59))</f>
        <v/>
      </c>
      <c r="AS19" s="57">
        <f>IF($AS$5="InstPerStack",$AS$6,IF(OR($AS$7="ALL",Assumptions!$N$59="Y"),INDEX(Assumptions!$D$59:$F$59,$AS$4),Assumptions!$E$59))</f>
        <v/>
      </c>
      <c r="AT19" s="57">
        <f>IF($AT$5="InstPerStack",$AT$6,IF(OR($AT$7="ALL",Assumptions!$N$59="Y"),INDEX(Assumptions!$D$59:$F$59,$AT$4),Assumptions!$E$59))</f>
        <v/>
      </c>
      <c r="AU19" s="57">
        <f>IF($AU$5="InstPerStack",$AU$6,IF(OR($AU$7="ALL",Assumptions!$N$59="Y"),INDEX(Assumptions!$D$59:$F$59,$AU$4),Assumptions!$E$59))</f>
        <v/>
      </c>
      <c r="AV19" s="57">
        <f>IF($AV$5="InstPerStack",$AV$6,IF(OR($AV$7="ALL",Assumptions!$N$59="Y"),INDEX(Assumptions!$D$59:$F$59,$AV$4),Assumptions!$E$59))</f>
        <v/>
      </c>
      <c r="AW19" s="57">
        <f>IF($AW$5="InstPerStack",$AW$6,IF(OR($AW$7="ALL",Assumptions!$N$59="Y"),INDEX(Assumptions!$D$59:$F$59,$AW$4),Assumptions!$E$59))</f>
        <v/>
      </c>
      <c r="AX19" s="57">
        <f>IF($AX$5="InstPerStack",$AX$6,IF(OR($AX$7="ALL",Assumptions!$N$59="Y"),INDEX(Assumptions!$D$59:$F$59,$AX$4),Assumptions!$E$59))</f>
        <v/>
      </c>
      <c r="AY19" s="57">
        <f>IF($AY$5="InstPerStack",$AY$6,IF(OR($AY$7="ALL",Assumptions!$N$59="Y"),INDEX(Assumptions!$D$59:$F$59,$AY$4),Assumptions!$E$59))</f>
        <v/>
      </c>
      <c r="AZ19" s="57">
        <f>IF($AZ$5="InstPerStack",$AZ$6,IF(OR($AZ$7="ALL",Assumptions!$N$59="Y"),INDEX(Assumptions!$D$59:$F$59,$AZ$4),Assumptions!$E$59))</f>
        <v/>
      </c>
      <c r="BA19" s="57">
        <f>IF($BA$5="InstPerStack",$BA$6,IF(OR($BA$7="ALL",Assumptions!$N$59="Y"),INDEX(Assumptions!$D$59:$F$59,$BA$4),Assumptions!$E$59))</f>
        <v/>
      </c>
      <c r="BB19" s="57">
        <f>IF($BB$5="InstPerStack",$BB$6,IF(OR($BB$7="ALL",Assumptions!$N$59="Y"),INDEX(Assumptions!$D$59:$F$59,$BB$4),Assumptions!$E$59))</f>
        <v/>
      </c>
      <c r="BC19" s="57">
        <f>IF($BC$5="InstPerStack",$BC$6,IF(OR($BC$7="ALL",Assumptions!$N$59="Y"),INDEX(Assumptions!$D$59:$F$59,$BC$4),Assumptions!$E$59))</f>
        <v/>
      </c>
      <c r="BD19" s="57">
        <f>IF($BD$5="InstPerStack",$BD$6,IF(OR($BD$7="ALL",Assumptions!$N$59="Y"),INDEX(Assumptions!$D$59:$F$59,$BD$4),Assumptions!$E$59))</f>
        <v/>
      </c>
      <c r="BE19" s="57">
        <f>IF($BE$5="InstPerStack",$BE$6,IF(OR($BE$7="ALL",Assumptions!$N$59="Y"),INDEX(Assumptions!$D$59:$F$59,$BE$4),Assumptions!$E$59))</f>
        <v/>
      </c>
    </row>
    <row r="20">
      <c r="B20" s="5" t="inlineStr">
        <is>
          <t>CompliancePerInstMonth</t>
        </is>
      </c>
      <c r="D20" s="50">
        <f>IF($D$5="CompliancePerInstMonth",$D$6,IF(OR($D$7="ALL",Assumptions!$N$60="Y"),INDEX(Assumptions!$D$60:$F$60,$D$4),Assumptions!$E$60))</f>
        <v/>
      </c>
      <c r="E20" s="50">
        <f>IF($E$5="CompliancePerInstMonth",$E$6,IF(OR($E$7="ALL",Assumptions!$N$60="Y"),INDEX(Assumptions!$D$60:$F$60,$E$4),Assumptions!$E$60))</f>
        <v/>
      </c>
      <c r="F20" s="50">
        <f>IF($F$5="CompliancePerInstMonth",$F$6,IF(OR($F$7="ALL",Assumptions!$N$60="Y"),INDEX(Assumptions!$D$60:$F$60,$F$4),Assumptions!$E$60))</f>
        <v/>
      </c>
      <c r="G20" s="50">
        <f>IF($G$5="CompliancePerInstMonth",$G$6,IF(OR($G$7="ALL",Assumptions!$N$60="Y"),INDEX(Assumptions!$D$60:$F$60,$G$4),Assumptions!$E$60))</f>
        <v/>
      </c>
      <c r="H20" s="50">
        <f>IF($H$5="CompliancePerInstMonth",$H$6,IF(OR($H$7="ALL",Assumptions!$N$60="Y"),INDEX(Assumptions!$D$60:$F$60,$H$4),Assumptions!$E$60))</f>
        <v/>
      </c>
      <c r="I20" s="50">
        <f>IF($I$5="CompliancePerInstMonth",$I$6,IF(OR($I$7="ALL",Assumptions!$N$60="Y"),INDEX(Assumptions!$D$60:$F$60,$I$4),Assumptions!$E$60))</f>
        <v/>
      </c>
      <c r="J20" s="50">
        <f>IF($J$5="CompliancePerInstMonth",$J$6,IF(OR($J$7="ALL",Assumptions!$N$60="Y"),INDEX(Assumptions!$D$60:$F$60,$J$4),Assumptions!$E$60))</f>
        <v/>
      </c>
      <c r="K20" s="50">
        <f>IF($K$5="CompliancePerInstMonth",$K$6,IF(OR($K$7="ALL",Assumptions!$N$60="Y"),INDEX(Assumptions!$D$60:$F$60,$K$4),Assumptions!$E$60))</f>
        <v/>
      </c>
      <c r="L20" s="50">
        <f>IF($L$5="CompliancePerInstMonth",$L$6,IF(OR($L$7="ALL",Assumptions!$N$60="Y"),INDEX(Assumptions!$D$60:$F$60,$L$4),Assumptions!$E$60))</f>
        <v/>
      </c>
      <c r="M20" s="50">
        <f>IF($M$5="CompliancePerInstMonth",$M$6,IF(OR($M$7="ALL",Assumptions!$N$60="Y"),INDEX(Assumptions!$D$60:$F$60,$M$4),Assumptions!$E$60))</f>
        <v/>
      </c>
      <c r="N20" s="50">
        <f>IF($N$5="CompliancePerInstMonth",$N$6,IF(OR($N$7="ALL",Assumptions!$N$60="Y"),INDEX(Assumptions!$D$60:$F$60,$N$4),Assumptions!$E$60))</f>
        <v/>
      </c>
      <c r="O20" s="50">
        <f>IF($O$5="CompliancePerInstMonth",$O$6,IF(OR($O$7="ALL",Assumptions!$N$60="Y"),INDEX(Assumptions!$D$60:$F$60,$O$4),Assumptions!$E$60))</f>
        <v/>
      </c>
      <c r="P20" s="50">
        <f>IF($P$5="CompliancePerInstMonth",$P$6,IF(OR($P$7="ALL",Assumptions!$N$60="Y"),INDEX(Assumptions!$D$60:$F$60,$P$4),Assumptions!$E$60))</f>
        <v/>
      </c>
      <c r="Q20" s="50">
        <f>IF($Q$5="CompliancePerInstMonth",$Q$6,IF(OR($Q$7="ALL",Assumptions!$N$60="Y"),INDEX(Assumptions!$D$60:$F$60,$Q$4),Assumptions!$E$60))</f>
        <v/>
      </c>
      <c r="R20" s="50">
        <f>IF($R$5="CompliancePerInstMonth",$R$6,IF(OR($R$7="ALL",Assumptions!$N$60="Y"),INDEX(Assumptions!$D$60:$F$60,$R$4),Assumptions!$E$60))</f>
        <v/>
      </c>
      <c r="S20" s="50">
        <f>IF($S$5="CompliancePerInstMonth",$S$6,IF(OR($S$7="ALL",Assumptions!$N$60="Y"),INDEX(Assumptions!$D$60:$F$60,$S$4),Assumptions!$E$60))</f>
        <v/>
      </c>
      <c r="T20" s="50">
        <f>IF($T$5="CompliancePerInstMonth",$T$6,IF(OR($T$7="ALL",Assumptions!$N$60="Y"),INDEX(Assumptions!$D$60:$F$60,$T$4),Assumptions!$E$60))</f>
        <v/>
      </c>
      <c r="U20" s="50">
        <f>IF($U$5="CompliancePerInstMonth",$U$6,IF(OR($U$7="ALL",Assumptions!$N$60="Y"),INDEX(Assumptions!$D$60:$F$60,$U$4),Assumptions!$E$60))</f>
        <v/>
      </c>
      <c r="V20" s="50">
        <f>IF($V$5="CompliancePerInstMonth",$V$6,IF(OR($V$7="ALL",Assumptions!$N$60="Y"),INDEX(Assumptions!$D$60:$F$60,$V$4),Assumptions!$E$60))</f>
        <v/>
      </c>
      <c r="W20" s="50">
        <f>IF($W$5="CompliancePerInstMonth",$W$6,IF(OR($W$7="ALL",Assumptions!$N$60="Y"),INDEX(Assumptions!$D$60:$F$60,$W$4),Assumptions!$E$60))</f>
        <v/>
      </c>
      <c r="X20" s="50">
        <f>IF($X$5="CompliancePerInstMonth",$X$6,IF(OR($X$7="ALL",Assumptions!$N$60="Y"),INDEX(Assumptions!$D$60:$F$60,$X$4),Assumptions!$E$60))</f>
        <v/>
      </c>
      <c r="Y20" s="50">
        <f>IF($Y$5="CompliancePerInstMonth",$Y$6,IF(OR($Y$7="ALL",Assumptions!$N$60="Y"),INDEX(Assumptions!$D$60:$F$60,$Y$4),Assumptions!$E$60))</f>
        <v/>
      </c>
      <c r="Z20" s="50">
        <f>IF($Z$5="CompliancePerInstMonth",$Z$6,IF(OR($Z$7="ALL",Assumptions!$N$60="Y"),INDEX(Assumptions!$D$60:$F$60,$Z$4),Assumptions!$E$60))</f>
        <v/>
      </c>
      <c r="AA20" s="50">
        <f>IF($AA$5="CompliancePerInstMonth",$AA$6,IF(OR($AA$7="ALL",Assumptions!$N$60="Y"),INDEX(Assumptions!$D$60:$F$60,$AA$4),Assumptions!$E$60))</f>
        <v/>
      </c>
      <c r="AB20" s="50">
        <f>IF($AB$5="CompliancePerInstMonth",$AB$6,IF(OR($AB$7="ALL",Assumptions!$N$60="Y"),INDEX(Assumptions!$D$60:$F$60,$AB$4),Assumptions!$E$60))</f>
        <v/>
      </c>
      <c r="AC20" s="50">
        <f>IF($AC$5="CompliancePerInstMonth",$AC$6,IF(OR($AC$7="ALL",Assumptions!$N$60="Y"),INDEX(Assumptions!$D$60:$F$60,$AC$4),Assumptions!$E$60))</f>
        <v/>
      </c>
      <c r="AD20" s="50">
        <f>IF($AD$5="CompliancePerInstMonth",$AD$6,IF(OR($AD$7="ALL",Assumptions!$N$60="Y"),INDEX(Assumptions!$D$60:$F$60,$AD$4),Assumptions!$E$60))</f>
        <v/>
      </c>
      <c r="AE20" s="50">
        <f>IF($AE$5="CompliancePerInstMonth",$AE$6,IF(OR($AE$7="ALL",Assumptions!$N$60="Y"),INDEX(Assumptions!$D$60:$F$60,$AE$4),Assumptions!$E$60))</f>
        <v/>
      </c>
      <c r="AF20" s="50">
        <f>IF($AF$5="CompliancePerInstMonth",$AF$6,IF(OR($AF$7="ALL",Assumptions!$N$60="Y"),INDEX(Assumptions!$D$60:$F$60,$AF$4),Assumptions!$E$60))</f>
        <v/>
      </c>
      <c r="AG20" s="50">
        <f>IF($AG$5="CompliancePerInstMonth",$AG$6,IF(OR($AG$7="ALL",Assumptions!$N$60="Y"),INDEX(Assumptions!$D$60:$F$60,$AG$4),Assumptions!$E$60))</f>
        <v/>
      </c>
      <c r="AH20" s="50">
        <f>IF($AH$5="CompliancePerInstMonth",$AH$6,IF(OR($AH$7="ALL",Assumptions!$N$60="Y"),INDEX(Assumptions!$D$60:$F$60,$AH$4),Assumptions!$E$60))</f>
        <v/>
      </c>
      <c r="AI20" s="50">
        <f>IF($AI$5="CompliancePerInstMonth",$AI$6,IF(OR($AI$7="ALL",Assumptions!$N$60="Y"),INDEX(Assumptions!$D$60:$F$60,$AI$4),Assumptions!$E$60))</f>
        <v/>
      </c>
      <c r="AJ20" s="50">
        <f>IF($AJ$5="CompliancePerInstMonth",$AJ$6,IF(OR($AJ$7="ALL",Assumptions!$N$60="Y"),INDEX(Assumptions!$D$60:$F$60,$AJ$4),Assumptions!$E$60))</f>
        <v/>
      </c>
      <c r="AK20" s="50">
        <f>IF($AK$5="CompliancePerInstMonth",$AK$6,IF(OR($AK$7="ALL",Assumptions!$N$60="Y"),INDEX(Assumptions!$D$60:$F$60,$AK$4),Assumptions!$E$60))</f>
        <v/>
      </c>
      <c r="AL20" s="50">
        <f>IF($AL$5="CompliancePerInstMonth",$AL$6,IF(OR($AL$7="ALL",Assumptions!$N$60="Y"),INDEX(Assumptions!$D$60:$F$60,$AL$4),Assumptions!$E$60))</f>
        <v/>
      </c>
      <c r="AM20" s="50">
        <f>IF($AM$5="CompliancePerInstMonth",$AM$6,IF(OR($AM$7="ALL",Assumptions!$N$60="Y"),INDEX(Assumptions!$D$60:$F$60,$AM$4),Assumptions!$E$60))</f>
        <v/>
      </c>
      <c r="AN20" s="50">
        <f>IF($AN$5="CompliancePerInstMonth",$AN$6,IF(OR($AN$7="ALL",Assumptions!$N$60="Y"),INDEX(Assumptions!$D$60:$F$60,$AN$4),Assumptions!$E$60))</f>
        <v/>
      </c>
      <c r="AO20" s="50">
        <f>IF($AO$5="CompliancePerInstMonth",$AO$6,IF(OR($AO$7="ALL",Assumptions!$N$60="Y"),INDEX(Assumptions!$D$60:$F$60,$AO$4),Assumptions!$E$60))</f>
        <v/>
      </c>
      <c r="AP20" s="50">
        <f>IF($AP$5="CompliancePerInstMonth",$AP$6,IF(OR($AP$7="ALL",Assumptions!$N$60="Y"),INDEX(Assumptions!$D$60:$F$60,$AP$4),Assumptions!$E$60))</f>
        <v/>
      </c>
      <c r="AQ20" s="50">
        <f>IF($AQ$5="CompliancePerInstMonth",$AQ$6,IF(OR($AQ$7="ALL",Assumptions!$N$60="Y"),INDEX(Assumptions!$D$60:$F$60,$AQ$4),Assumptions!$E$60))</f>
        <v/>
      </c>
      <c r="AR20" s="50">
        <f>IF($AR$5="CompliancePerInstMonth",$AR$6,IF(OR($AR$7="ALL",Assumptions!$N$60="Y"),INDEX(Assumptions!$D$60:$F$60,$AR$4),Assumptions!$E$60))</f>
        <v/>
      </c>
      <c r="AS20" s="50">
        <f>IF($AS$5="CompliancePerInstMonth",$AS$6,IF(OR($AS$7="ALL",Assumptions!$N$60="Y"),INDEX(Assumptions!$D$60:$F$60,$AS$4),Assumptions!$E$60))</f>
        <v/>
      </c>
      <c r="AT20" s="50">
        <f>IF($AT$5="CompliancePerInstMonth",$AT$6,IF(OR($AT$7="ALL",Assumptions!$N$60="Y"),INDEX(Assumptions!$D$60:$F$60,$AT$4),Assumptions!$E$60))</f>
        <v/>
      </c>
      <c r="AU20" s="50">
        <f>IF($AU$5="CompliancePerInstMonth",$AU$6,IF(OR($AU$7="ALL",Assumptions!$N$60="Y"),INDEX(Assumptions!$D$60:$F$60,$AU$4),Assumptions!$E$60))</f>
        <v/>
      </c>
      <c r="AV20" s="50">
        <f>IF($AV$5="CompliancePerInstMonth",$AV$6,IF(OR($AV$7="ALL",Assumptions!$N$60="Y"),INDEX(Assumptions!$D$60:$F$60,$AV$4),Assumptions!$E$60))</f>
        <v/>
      </c>
      <c r="AW20" s="50">
        <f>IF($AW$5="CompliancePerInstMonth",$AW$6,IF(OR($AW$7="ALL",Assumptions!$N$60="Y"),INDEX(Assumptions!$D$60:$F$60,$AW$4),Assumptions!$E$60))</f>
        <v/>
      </c>
      <c r="AX20" s="50">
        <f>IF($AX$5="CompliancePerInstMonth",$AX$6,IF(OR($AX$7="ALL",Assumptions!$N$60="Y"),INDEX(Assumptions!$D$60:$F$60,$AX$4),Assumptions!$E$60))</f>
        <v/>
      </c>
      <c r="AY20" s="50">
        <f>IF($AY$5="CompliancePerInstMonth",$AY$6,IF(OR($AY$7="ALL",Assumptions!$N$60="Y"),INDEX(Assumptions!$D$60:$F$60,$AY$4),Assumptions!$E$60))</f>
        <v/>
      </c>
      <c r="AZ20" s="50">
        <f>IF($AZ$5="CompliancePerInstMonth",$AZ$6,IF(OR($AZ$7="ALL",Assumptions!$N$60="Y"),INDEX(Assumptions!$D$60:$F$60,$AZ$4),Assumptions!$E$60))</f>
        <v/>
      </c>
      <c r="BA20" s="50">
        <f>IF($BA$5="CompliancePerInstMonth",$BA$6,IF(OR($BA$7="ALL",Assumptions!$N$60="Y"),INDEX(Assumptions!$D$60:$F$60,$BA$4),Assumptions!$E$60))</f>
        <v/>
      </c>
      <c r="BB20" s="50">
        <f>IF($BB$5="CompliancePerInstMonth",$BB$6,IF(OR($BB$7="ALL",Assumptions!$N$60="Y"),INDEX(Assumptions!$D$60:$F$60,$BB$4),Assumptions!$E$60))</f>
        <v/>
      </c>
      <c r="BC20" s="50">
        <f>IF($BC$5="CompliancePerInstMonth",$BC$6,IF(OR($BC$7="ALL",Assumptions!$N$60="Y"),INDEX(Assumptions!$D$60:$F$60,$BC$4),Assumptions!$E$60))</f>
        <v/>
      </c>
      <c r="BD20" s="50">
        <f>IF($BD$5="CompliancePerInstMonth",$BD$6,IF(OR($BD$7="ALL",Assumptions!$N$60="Y"),INDEX(Assumptions!$D$60:$F$60,$BD$4),Assumptions!$E$60))</f>
        <v/>
      </c>
      <c r="BE20" s="50">
        <f>IF($BE$5="CompliancePerInstMonth",$BE$6,IF(OR($BE$7="ALL",Assumptions!$N$60="Y"),INDEX(Assumptions!$D$60:$F$60,$BE$4),Assumptions!$E$60))</f>
        <v/>
      </c>
    </row>
    <row r="21">
      <c r="B21" s="5" t="inlineStr">
        <is>
          <t>Students</t>
        </is>
      </c>
      <c r="D21" s="57">
        <f>IF($D$5="Students",$D$6,IF(OR($D$7="ALL",Assumptions!$N$6="Y"),INDEX(Assumptions!$D$6:$F$6,$D$4),Assumptions!$E$6))</f>
        <v/>
      </c>
      <c r="E21" s="57">
        <f>IF($E$5="Students",$E$6,IF(OR($E$7="ALL",Assumptions!$N$7="Y"),INDEX(Assumptions!$D$7:$F$7,$E$4),Assumptions!$E$7))</f>
        <v/>
      </c>
      <c r="F21" s="57">
        <f>IF($F$5="Students",$F$6,IF(OR($F$7="ALL",Assumptions!$N$8="Y"),INDEX(Assumptions!$D$8:$F$8,$F$4),Assumptions!$E$8))</f>
        <v/>
      </c>
      <c r="G21" s="57">
        <f>IF($G$5="Students",$G$6,IF(OR($G$7="ALL",Assumptions!$N$6="Y"),INDEX(Assumptions!$D$6:$F$6,$G$4),Assumptions!$E$6))</f>
        <v/>
      </c>
      <c r="H21" s="57">
        <f>IF($H$5="Students",$H$6,IF(OR($H$7="ALL",Assumptions!$N$7="Y"),INDEX(Assumptions!$D$7:$F$7,$H$4),Assumptions!$E$7))</f>
        <v/>
      </c>
      <c r="I21" s="57">
        <f>IF($I$5="Students",$I$6,IF(OR($I$7="ALL",Assumptions!$N$8="Y"),INDEX(Assumptions!$D$8:$F$8,$I$4),Assumptions!$E$8))</f>
        <v/>
      </c>
      <c r="J21" s="57">
        <f>IF($J$5="Students",$J$6,IF(OR($J$7="ALL",Assumptions!$N$6="Y"),INDEX(Assumptions!$D$6:$F$6,$J$4),Assumptions!$E$6))</f>
        <v/>
      </c>
      <c r="K21" s="57">
        <f>IF($K$5="Students",$K$6,IF(OR($K$7="ALL",Assumptions!$N$7="Y"),INDEX(Assumptions!$D$7:$F$7,$K$4),Assumptions!$E$7))</f>
        <v/>
      </c>
      <c r="L21" s="57">
        <f>IF($L$5="Students",$L$6,IF(OR($L$7="ALL",Assumptions!$N$8="Y"),INDEX(Assumptions!$D$8:$F$8,$L$4),Assumptions!$E$8))</f>
        <v/>
      </c>
      <c r="M21" s="57">
        <f>IF($M$5="Students",$M$6,IF(OR($M$7="ALL",Assumptions!$N$6="Y"),INDEX(Assumptions!$D$6:$F$6,$M$4),Assumptions!$E$6))</f>
        <v/>
      </c>
      <c r="N21" s="57">
        <f>IF($N$5="Students",$N$6,IF(OR($N$7="ALL",Assumptions!$N$7="Y"),INDEX(Assumptions!$D$7:$F$7,$N$4),Assumptions!$E$7))</f>
        <v/>
      </c>
      <c r="O21" s="57">
        <f>IF($O$5="Students",$O$6,IF(OR($O$7="ALL",Assumptions!$N$8="Y"),INDEX(Assumptions!$D$8:$F$8,$O$4),Assumptions!$E$8))</f>
        <v/>
      </c>
      <c r="P21" s="57">
        <f>IF($P$5="Students",$P$6,IF(OR($P$7="ALL",Assumptions!$N$6="Y"),INDEX(Assumptions!$D$6:$F$6,$P$4),Assumptions!$E$6))</f>
        <v/>
      </c>
      <c r="Q21" s="57">
        <f>IF($Q$5="Students",$Q$6,IF(OR($Q$7="ALL",Assumptions!$N$7="Y"),INDEX(Assumptions!$D$7:$F$7,$Q$4),Assumptions!$E$7))</f>
        <v/>
      </c>
      <c r="R21" s="57">
        <f>IF($R$5="Students",$R$6,IF(OR($R$7="ALL",Assumptions!$N$8="Y"),INDEX(Assumptions!$D$8:$F$8,$R$4),Assumptions!$E$8))</f>
        <v/>
      </c>
      <c r="S21" s="57">
        <f>IF($S$5="Students",$S$6,IF(OR($S$7="ALL",Assumptions!$N$7="Y"),INDEX(Assumptions!$D$7:$F$7,$S$4),Assumptions!$E$7))</f>
        <v/>
      </c>
      <c r="T21" s="57">
        <f>IF($T$5="Students",$T$6,IF(OR($T$7="ALL",Assumptions!$N$7="Y"),INDEX(Assumptions!$D$7:$F$7,$T$4),Assumptions!$E$7))</f>
        <v/>
      </c>
      <c r="U21" s="57">
        <f>IF($U$5="Students",$U$6,IF(OR($U$7="ALL",Assumptions!$N$7="Y"),INDEX(Assumptions!$D$7:$F$7,$U$4),Assumptions!$E$7))</f>
        <v/>
      </c>
      <c r="V21" s="57">
        <f>IF($V$5="Students",$V$6,IF(OR($V$7="ALL",Assumptions!$N$7="Y"),INDEX(Assumptions!$D$7:$F$7,$V$4),Assumptions!$E$7))</f>
        <v/>
      </c>
      <c r="W21" s="57">
        <f>IF($W$5="Students",$W$6,IF(OR($W$7="ALL",Assumptions!$N$7="Y"),INDEX(Assumptions!$D$7:$F$7,$W$4),Assumptions!$E$7))</f>
        <v/>
      </c>
      <c r="X21" s="57">
        <f>IF($X$5="Students",$X$6,IF(OR($X$7="ALL",Assumptions!$N$7="Y"),INDEX(Assumptions!$D$7:$F$7,$X$4),Assumptions!$E$7))</f>
        <v/>
      </c>
      <c r="Y21" s="57">
        <f>IF($Y$5="Students",$Y$6,IF(OR($Y$7="ALL",Assumptions!$N$7="Y"),INDEX(Assumptions!$D$7:$F$7,$Y$4),Assumptions!$E$7))</f>
        <v/>
      </c>
      <c r="Z21" s="57">
        <f>IF($Z$5="Students",$Z$6,IF(OR($Z$7="ALL",Assumptions!$N$7="Y"),INDEX(Assumptions!$D$7:$F$7,$Z$4),Assumptions!$E$7))</f>
        <v/>
      </c>
      <c r="AA21" s="57">
        <f>IF($AA$5="Students",$AA$6,IF(OR($AA$7="ALL",Assumptions!$N$7="Y"),INDEX(Assumptions!$D$7:$F$7,$AA$4),Assumptions!$E$7))</f>
        <v/>
      </c>
      <c r="AB21" s="57">
        <f>IF($AB$5="Students",$AB$6,IF(OR($AB$7="ALL",Assumptions!$N$7="Y"),INDEX(Assumptions!$D$7:$F$7,$AB$4),Assumptions!$E$7))</f>
        <v/>
      </c>
      <c r="AC21" s="57">
        <f>IF($AC$5="Students",$AC$6,IF(OR($AC$7="ALL",Assumptions!$N$7="Y"),INDEX(Assumptions!$D$7:$F$7,$AC$4),Assumptions!$E$7))</f>
        <v/>
      </c>
      <c r="AD21" s="57">
        <f>IF($AD$5="Students",$AD$6,IF(OR($AD$7="ALL",Assumptions!$N$7="Y"),INDEX(Assumptions!$D$7:$F$7,$AD$4),Assumptions!$E$7))</f>
        <v/>
      </c>
      <c r="AE21" s="57">
        <f>IF($AE$5="Students",$AE$6,IF(OR($AE$7="ALL",Assumptions!$N$7="Y"),INDEX(Assumptions!$D$7:$F$7,$AE$4),Assumptions!$E$7))</f>
        <v/>
      </c>
      <c r="AF21" s="57">
        <f>IF($AF$5="Students",$AF$6,IF(OR($AF$7="ALL",Assumptions!$N$7="Y"),INDEX(Assumptions!$D$7:$F$7,$AF$4),Assumptions!$E$7))</f>
        <v/>
      </c>
      <c r="AG21" s="57">
        <f>IF($AG$5="Students",$AG$6,IF(OR($AG$7="ALL",Assumptions!$N$7="Y"),INDEX(Assumptions!$D$7:$F$7,$AG$4),Assumptions!$E$7))</f>
        <v/>
      </c>
      <c r="AH21" s="57">
        <f>IF($AH$5="Students",$AH$6,IF(OR($AH$7="ALL",Assumptions!$N$7="Y"),INDEX(Assumptions!$D$7:$F$7,$AH$4),Assumptions!$E$7))</f>
        <v/>
      </c>
      <c r="AI21" s="57">
        <f>IF($AI$5="Students",$AI$6,IF(OR($AI$7="ALL",Assumptions!$N$7="Y"),INDEX(Assumptions!$D$7:$F$7,$AI$4),Assumptions!$E$7))</f>
        <v/>
      </c>
      <c r="AJ21" s="57">
        <f>IF($AJ$5="Students",$AJ$6,IF(OR($AJ$7="ALL",Assumptions!$N$7="Y"),INDEX(Assumptions!$D$7:$F$7,$AJ$4),Assumptions!$E$7))</f>
        <v/>
      </c>
      <c r="AK21" s="57">
        <f>IF($AK$5="Students",$AK$6,IF(OR($AK$7="ALL",Assumptions!$N$7="Y"),INDEX(Assumptions!$D$7:$F$7,$AK$4),Assumptions!$E$7))</f>
        <v/>
      </c>
      <c r="AL21" s="57">
        <f>IF($AL$5="Students",$AL$6,IF(OR($AL$7="ALL",Assumptions!$N$7="Y"),INDEX(Assumptions!$D$7:$F$7,$AL$4),Assumptions!$E$7))</f>
        <v/>
      </c>
      <c r="AM21" s="57">
        <f>IF($AM$5="Students",$AM$6,IF(OR($AM$7="ALL",Assumptions!$N$7="Y"),INDEX(Assumptions!$D$7:$F$7,$AM$4),Assumptions!$E$7))</f>
        <v/>
      </c>
      <c r="AN21" s="57">
        <f>IF($AN$5="Students",$AN$6,IF(OR($AN$7="ALL",Assumptions!$N$7="Y"),INDEX(Assumptions!$D$7:$F$7,$AN$4),Assumptions!$E$7))</f>
        <v/>
      </c>
      <c r="AO21" s="57">
        <f>IF($AO$5="Students",$AO$6,IF(OR($AO$7="ALL",Assumptions!$N$7="Y"),INDEX(Assumptions!$D$7:$F$7,$AO$4),Assumptions!$E$7))</f>
        <v/>
      </c>
      <c r="AP21" s="57">
        <f>IF($AP$5="Students",$AP$6,IF(OR($AP$7="ALL",Assumptions!$N$7="Y"),INDEX(Assumptions!$D$7:$F$7,$AP$4),Assumptions!$E$7))</f>
        <v/>
      </c>
      <c r="AQ21" s="57">
        <f>IF($AQ$5="Students",$AQ$6,IF(OR($AQ$7="ALL",Assumptions!$N$7="Y"),INDEX(Assumptions!$D$7:$F$7,$AQ$4),Assumptions!$E$7))</f>
        <v/>
      </c>
      <c r="AR21" s="57">
        <f>IF($AR$5="Students",$AR$6,IF(OR($AR$7="ALL",Assumptions!$N$7="Y"),INDEX(Assumptions!$D$7:$F$7,$AR$4),Assumptions!$E$7))</f>
        <v/>
      </c>
      <c r="AS21" s="57">
        <f>IF($AS$5="Students",$AS$6,IF(OR($AS$7="ALL",Assumptions!$N$7="Y"),INDEX(Assumptions!$D$7:$F$7,$AS$4),Assumptions!$E$7))</f>
        <v/>
      </c>
      <c r="AT21" s="57">
        <f>IF($AT$5="Students",$AT$6,IF(OR($AT$7="ALL",Assumptions!$N$7="Y"),INDEX(Assumptions!$D$7:$F$7,$AT$4),Assumptions!$E$7))</f>
        <v/>
      </c>
      <c r="AU21" s="57">
        <f>IF($AU$5="Students",$AU$6,IF(OR($AU$7="ALL",Assumptions!$N$7="Y"),INDEX(Assumptions!$D$7:$F$7,$AU$4),Assumptions!$E$7))</f>
        <v/>
      </c>
      <c r="AV21" s="57">
        <f>IF($AV$5="Students",$AV$6,IF(OR($AV$7="ALL",Assumptions!$N$7="Y"),INDEX(Assumptions!$D$7:$F$7,$AV$4),Assumptions!$E$7))</f>
        <v/>
      </c>
      <c r="AW21" s="57">
        <f>IF($AW$5="Students",$AW$6,IF(OR($AW$7="ALL",Assumptions!$N$7="Y"),INDEX(Assumptions!$D$7:$F$7,$AW$4),Assumptions!$E$7))</f>
        <v/>
      </c>
      <c r="AX21" s="57">
        <f>IF($AX$5="Students",$AX$6,IF(OR($AX$7="ALL",Assumptions!$N$7="Y"),INDEX(Assumptions!$D$7:$F$7,$AX$4),Assumptions!$E$7))</f>
        <v/>
      </c>
      <c r="AY21" s="57">
        <f>IF($AY$5="Students",$AY$6,IF(OR($AY$7="ALL",Assumptions!$N$7="Y"),INDEX(Assumptions!$D$7:$F$7,$AY$4),Assumptions!$E$7))</f>
        <v/>
      </c>
      <c r="AZ21" s="57">
        <f>IF($AZ$5="Students",$AZ$6,IF(OR($AZ$7="ALL",Assumptions!$N$7="Y"),INDEX(Assumptions!$D$7:$F$7,$AZ$4),Assumptions!$E$7))</f>
        <v/>
      </c>
      <c r="BA21" s="57">
        <f>IF($BA$5="Students",$BA$6,IF(OR($BA$7="ALL",Assumptions!$N$7="Y"),INDEX(Assumptions!$D$7:$F$7,$BA$4),Assumptions!$E$7))</f>
        <v/>
      </c>
      <c r="BB21" s="57">
        <f>IF($BB$5="Students",$BB$6,IF(OR($BB$7="ALL",Assumptions!$N$7="Y"),INDEX(Assumptions!$D$7:$F$7,$BB$4),Assumptions!$E$7))</f>
        <v/>
      </c>
      <c r="BC21" s="57">
        <f>IF($BC$5="Students",$BC$6,IF(OR($BC$7="ALL",Assumptions!$N$7="Y"),INDEX(Assumptions!$D$7:$F$7,$BC$4),Assumptions!$E$7))</f>
        <v/>
      </c>
      <c r="BD21" s="57">
        <f>IF($BD$5="Students",$BD$6,IF(OR($BD$7="ALL",Assumptions!$N$7="Y"),INDEX(Assumptions!$D$7:$F$7,$BD$4),Assumptions!$E$7))</f>
        <v/>
      </c>
      <c r="BE21" s="57">
        <f>IF($BE$5="Students",$BE$6,IF(OR($BE$7="ALL",Assumptions!$N$7="Y"),INDEX(Assumptions!$D$7:$F$7,$BE$4),Assumptions!$E$7))</f>
        <v/>
      </c>
    </row>
    <row r="22">
      <c r="B22" s="5" t="inlineStr">
        <is>
          <t>ListPrice</t>
        </is>
      </c>
      <c r="D22" s="50">
        <f>IF($D$5="ListPrice",$D$6,IF(OR($D$7="ALL",Assumptions!$N$38="Y"),INDEX(Assumptions!$D$38:$F$38,$D$4),Assumptions!$E$38))</f>
        <v/>
      </c>
      <c r="E22" s="50">
        <f>IF($E$5="ListPrice",$E$6,IF(OR($E$7="ALL",Assumptions!$N$38="Y"),INDEX(Assumptions!$D$38:$F$38,$E$4),Assumptions!$E$38))</f>
        <v/>
      </c>
      <c r="F22" s="50">
        <f>IF($F$5="ListPrice",$F$6,IF(OR($F$7="ALL",Assumptions!$N$38="Y"),INDEX(Assumptions!$D$38:$F$38,$F$4),Assumptions!$E$38))</f>
        <v/>
      </c>
      <c r="G22" s="50">
        <f>IF($G$5="ListPrice",$G$6,IF(OR($G$7="ALL",Assumptions!$N$38="Y"),INDEX(Assumptions!$D$38:$F$38,$G$4),Assumptions!$E$38))</f>
        <v/>
      </c>
      <c r="H22" s="50">
        <f>IF($H$5="ListPrice",$H$6,IF(OR($H$7="ALL",Assumptions!$N$38="Y"),INDEX(Assumptions!$D$38:$F$38,$H$4),Assumptions!$E$38))</f>
        <v/>
      </c>
      <c r="I22" s="50">
        <f>IF($I$5="ListPrice",$I$6,IF(OR($I$7="ALL",Assumptions!$N$38="Y"),INDEX(Assumptions!$D$38:$F$38,$I$4),Assumptions!$E$38))</f>
        <v/>
      </c>
      <c r="J22" s="50">
        <f>IF($J$5="ListPrice",$J$6,IF(OR($J$7="ALL",Assumptions!$N$38="Y"),INDEX(Assumptions!$D$38:$F$38,$J$4),Assumptions!$E$38))</f>
        <v/>
      </c>
      <c r="K22" s="50">
        <f>IF($K$5="ListPrice",$K$6,IF(OR($K$7="ALL",Assumptions!$N$38="Y"),INDEX(Assumptions!$D$38:$F$38,$K$4),Assumptions!$E$38))</f>
        <v/>
      </c>
      <c r="L22" s="50">
        <f>IF($L$5="ListPrice",$L$6,IF(OR($L$7="ALL",Assumptions!$N$38="Y"),INDEX(Assumptions!$D$38:$F$38,$L$4),Assumptions!$E$38))</f>
        <v/>
      </c>
      <c r="M22" s="50">
        <f>IF($M$5="ListPrice",$M$6,IF(OR($M$7="ALL",Assumptions!$N$38="Y"),INDEX(Assumptions!$D$38:$F$38,$M$4),Assumptions!$E$38))</f>
        <v/>
      </c>
      <c r="N22" s="50">
        <f>IF($N$5="ListPrice",$N$6,IF(OR($N$7="ALL",Assumptions!$N$38="Y"),INDEX(Assumptions!$D$38:$F$38,$N$4),Assumptions!$E$38))</f>
        <v/>
      </c>
      <c r="O22" s="50">
        <f>IF($O$5="ListPrice",$O$6,IF(OR($O$7="ALL",Assumptions!$N$38="Y"),INDEX(Assumptions!$D$38:$F$38,$O$4),Assumptions!$E$38))</f>
        <v/>
      </c>
      <c r="P22" s="50">
        <f>IF($P$5="ListPrice",$P$6,IF(OR($P$7="ALL",Assumptions!$N$38="Y"),INDEX(Assumptions!$D$38:$F$38,$P$4),Assumptions!$E$38))</f>
        <v/>
      </c>
      <c r="Q22" s="50">
        <f>IF($Q$5="ListPrice",$Q$6,IF(OR($Q$7="ALL",Assumptions!$N$38="Y"),INDEX(Assumptions!$D$38:$F$38,$Q$4),Assumptions!$E$38))</f>
        <v/>
      </c>
      <c r="R22" s="50">
        <f>IF($R$5="ListPrice",$R$6,IF(OR($R$7="ALL",Assumptions!$N$38="Y"),INDEX(Assumptions!$D$38:$F$38,$R$4),Assumptions!$E$38))</f>
        <v/>
      </c>
      <c r="S22" s="50">
        <f>IF($S$5="ListPrice",$S$6,IF(OR($S$7="ALL",Assumptions!$N$38="Y"),INDEX(Assumptions!$D$38:$F$38,$S$4),Assumptions!$E$38))</f>
        <v/>
      </c>
      <c r="T22" s="50">
        <f>IF($T$5="ListPrice",$T$6,IF(OR($T$7="ALL",Assumptions!$N$38="Y"),INDEX(Assumptions!$D$38:$F$38,$T$4),Assumptions!$E$38))</f>
        <v/>
      </c>
      <c r="U22" s="50">
        <f>IF($U$5="ListPrice",$U$6,IF(OR($U$7="ALL",Assumptions!$N$38="Y"),INDEX(Assumptions!$D$38:$F$38,$U$4),Assumptions!$E$38))</f>
        <v/>
      </c>
      <c r="V22" s="50">
        <f>IF($V$5="ListPrice",$V$6,IF(OR($V$7="ALL",Assumptions!$N$38="Y"),INDEX(Assumptions!$D$38:$F$38,$V$4),Assumptions!$E$38))</f>
        <v/>
      </c>
      <c r="W22" s="50">
        <f>IF($W$5="ListPrice",$W$6,IF(OR($W$7="ALL",Assumptions!$N$38="Y"),INDEX(Assumptions!$D$38:$F$38,$W$4),Assumptions!$E$38))</f>
        <v/>
      </c>
      <c r="X22" s="50">
        <f>IF($X$5="ListPrice",$X$6,IF(OR($X$7="ALL",Assumptions!$N$38="Y"),INDEX(Assumptions!$D$38:$F$38,$X$4),Assumptions!$E$38))</f>
        <v/>
      </c>
      <c r="Y22" s="50">
        <f>IF($Y$5="ListPrice",$Y$6,IF(OR($Y$7="ALL",Assumptions!$N$38="Y"),INDEX(Assumptions!$D$38:$F$38,$Y$4),Assumptions!$E$38))</f>
        <v/>
      </c>
      <c r="Z22" s="50">
        <f>IF($Z$5="ListPrice",$Z$6,IF(OR($Z$7="ALL",Assumptions!$N$38="Y"),INDEX(Assumptions!$D$38:$F$38,$Z$4),Assumptions!$E$38))</f>
        <v/>
      </c>
      <c r="AA22" s="50">
        <f>IF($AA$5="ListPrice",$AA$6,IF(OR($AA$7="ALL",Assumptions!$N$38="Y"),INDEX(Assumptions!$D$38:$F$38,$AA$4),Assumptions!$E$38))</f>
        <v/>
      </c>
      <c r="AB22" s="50">
        <f>IF($AB$5="ListPrice",$AB$6,IF(OR($AB$7="ALL",Assumptions!$N$38="Y"),INDEX(Assumptions!$D$38:$F$38,$AB$4),Assumptions!$E$38))</f>
        <v/>
      </c>
      <c r="AC22" s="50">
        <f>IF($AC$5="ListPrice",$AC$6,IF(OR($AC$7="ALL",Assumptions!$N$38="Y"),INDEX(Assumptions!$D$38:$F$38,$AC$4),Assumptions!$E$38))</f>
        <v/>
      </c>
      <c r="AD22" s="50">
        <f>IF($AD$5="ListPrice",$AD$6,IF(OR($AD$7="ALL",Assumptions!$N$38="Y"),INDEX(Assumptions!$D$38:$F$38,$AD$4),Assumptions!$E$38))</f>
        <v/>
      </c>
      <c r="AE22" s="50">
        <f>IF($AE$5="ListPrice",$AE$6,IF(OR($AE$7="ALL",Assumptions!$N$38="Y"),INDEX(Assumptions!$D$38:$F$38,$AE$4),Assumptions!$E$38))</f>
        <v/>
      </c>
      <c r="AF22" s="50">
        <f>IF($AF$5="ListPrice",$AF$6,IF(OR($AF$7="ALL",Assumptions!$N$38="Y"),INDEX(Assumptions!$D$38:$F$38,$AF$4),Assumptions!$E$38))</f>
        <v/>
      </c>
      <c r="AG22" s="50">
        <f>IF($AG$5="ListPrice",$AG$6,IF(OR($AG$7="ALL",Assumptions!$N$38="Y"),INDEX(Assumptions!$D$38:$F$38,$AG$4),Assumptions!$E$38))</f>
        <v/>
      </c>
      <c r="AH22" s="50">
        <f>IF($AH$5="ListPrice",$AH$6,IF(OR($AH$7="ALL",Assumptions!$N$38="Y"),INDEX(Assumptions!$D$38:$F$38,$AH$4),Assumptions!$E$38))</f>
        <v/>
      </c>
      <c r="AI22" s="50">
        <f>IF($AI$5="ListPrice",$AI$6,IF(OR($AI$7="ALL",Assumptions!$N$38="Y"),INDEX(Assumptions!$D$38:$F$38,$AI$4),Assumptions!$E$38))</f>
        <v/>
      </c>
      <c r="AJ22" s="50">
        <f>IF($AJ$5="ListPrice",$AJ$6,IF(OR($AJ$7="ALL",Assumptions!$N$38="Y"),INDEX(Assumptions!$D$38:$F$38,$AJ$4),Assumptions!$E$38))</f>
        <v/>
      </c>
      <c r="AK22" s="50">
        <f>IF($AK$5="ListPrice",$AK$6,IF(OR($AK$7="ALL",Assumptions!$N$38="Y"),INDEX(Assumptions!$D$38:$F$38,$AK$4),Assumptions!$E$38))</f>
        <v/>
      </c>
      <c r="AL22" s="50">
        <f>IF($AL$5="ListPrice",$AL$6,IF(OR($AL$7="ALL",Assumptions!$N$38="Y"),INDEX(Assumptions!$D$38:$F$38,$AL$4),Assumptions!$E$38))</f>
        <v/>
      </c>
      <c r="AM22" s="50">
        <f>IF($AM$5="ListPrice",$AM$6,IF(OR($AM$7="ALL",Assumptions!$N$38="Y"),INDEX(Assumptions!$D$38:$F$38,$AM$4),Assumptions!$E$38))</f>
        <v/>
      </c>
      <c r="AN22" s="50">
        <f>IF($AN$5="ListPrice",$AN$6,IF(OR($AN$7="ALL",Assumptions!$N$38="Y"),INDEX(Assumptions!$D$38:$F$38,$AN$4),Assumptions!$E$38))</f>
        <v/>
      </c>
      <c r="AO22" s="50">
        <f>IF($AO$5="ListPrice",$AO$6,IF(OR($AO$7="ALL",Assumptions!$N$38="Y"),INDEX(Assumptions!$D$38:$F$38,$AO$4),Assumptions!$E$38))</f>
        <v/>
      </c>
      <c r="AP22" s="50">
        <f>IF($AP$5="ListPrice",$AP$6,IF(OR($AP$7="ALL",Assumptions!$N$38="Y"),INDEX(Assumptions!$D$38:$F$38,$AP$4),Assumptions!$E$38))</f>
        <v/>
      </c>
      <c r="AQ22" s="50">
        <f>IF($AQ$5="ListPrice",$AQ$6,IF(OR($AQ$7="ALL",Assumptions!$N$38="Y"),INDEX(Assumptions!$D$38:$F$38,$AQ$4),Assumptions!$E$38))</f>
        <v/>
      </c>
      <c r="AR22" s="50">
        <f>IF($AR$5="ListPrice",$AR$6,IF(OR($AR$7="ALL",Assumptions!$N$38="Y"),INDEX(Assumptions!$D$38:$F$38,$AR$4),Assumptions!$E$38))</f>
        <v/>
      </c>
      <c r="AS22" s="50">
        <f>IF($AS$5="ListPrice",$AS$6,IF(OR($AS$7="ALL",Assumptions!$N$38="Y"),INDEX(Assumptions!$D$38:$F$38,$AS$4),Assumptions!$E$38))</f>
        <v/>
      </c>
      <c r="AT22" s="50">
        <f>IF($AT$5="ListPrice",$AT$6,IF(OR($AT$7="ALL",Assumptions!$N$38="Y"),INDEX(Assumptions!$D$38:$F$38,$AT$4),Assumptions!$E$38))</f>
        <v/>
      </c>
      <c r="AU22" s="50">
        <f>IF($AU$5="ListPrice",$AU$6,IF(OR($AU$7="ALL",Assumptions!$N$38="Y"),INDEX(Assumptions!$D$38:$F$38,$AU$4),Assumptions!$E$38))</f>
        <v/>
      </c>
      <c r="AV22" s="50">
        <f>IF($AV$5="ListPrice",$AV$6,IF(OR($AV$7="ALL",Assumptions!$N$38="Y"),INDEX(Assumptions!$D$38:$F$38,$AV$4),Assumptions!$E$38))</f>
        <v/>
      </c>
      <c r="AW22" s="50">
        <f>IF($AW$5="ListPrice",$AW$6,IF(OR($AW$7="ALL",Assumptions!$N$38="Y"),INDEX(Assumptions!$D$38:$F$38,$AW$4),Assumptions!$E$38))</f>
        <v/>
      </c>
      <c r="AX22" s="50">
        <f>IF($AX$5="ListPrice",$AX$6,IF(OR($AX$7="ALL",Assumptions!$N$38="Y"),INDEX(Assumptions!$D$38:$F$38,$AX$4),Assumptions!$E$38))</f>
        <v/>
      </c>
      <c r="AY22" s="50">
        <f>IF($AY$5="ListPrice",$AY$6,IF(OR($AY$7="ALL",Assumptions!$N$38="Y"),INDEX(Assumptions!$D$38:$F$38,$AY$4),Assumptions!$E$38))</f>
        <v/>
      </c>
      <c r="AZ22" s="50">
        <f>IF($AZ$5="ListPrice",$AZ$6,IF(OR($AZ$7="ALL",Assumptions!$N$38="Y"),INDEX(Assumptions!$D$38:$F$38,$AZ$4),Assumptions!$E$38))</f>
        <v/>
      </c>
      <c r="BA22" s="50">
        <f>IF($BA$5="ListPrice",$BA$6,IF(OR($BA$7="ALL",Assumptions!$N$38="Y"),INDEX(Assumptions!$D$38:$F$38,$BA$4),Assumptions!$E$38))</f>
        <v/>
      </c>
      <c r="BB22" s="50">
        <f>IF($BB$5="ListPrice",$BB$6,IF(OR($BB$7="ALL",Assumptions!$N$38="Y"),INDEX(Assumptions!$D$38:$F$38,$BB$4),Assumptions!$E$38))</f>
        <v/>
      </c>
      <c r="BC22" s="50">
        <f>IF($BC$5="ListPrice",$BC$6,IF(OR($BC$7="ALL",Assumptions!$N$38="Y"),INDEX(Assumptions!$D$38:$F$38,$BC$4),Assumptions!$E$38))</f>
        <v/>
      </c>
      <c r="BD22" s="50">
        <f>IF($BD$5="ListPrice",$BD$6,IF(OR($BD$7="ALL",Assumptions!$N$38="Y"),INDEX(Assumptions!$D$38:$F$38,$BD$4),Assumptions!$E$38))</f>
        <v/>
      </c>
      <c r="BE22" s="50">
        <f>IF($BE$5="ListPrice",$BE$6,IF(OR($BE$7="ALL",Assumptions!$N$38="Y"),INDEX(Assumptions!$D$38:$F$38,$BE$4),Assumptions!$E$38))</f>
        <v/>
      </c>
    </row>
    <row r="23">
      <c r="B23" s="5" t="inlineStr">
        <is>
          <t>MinFee</t>
        </is>
      </c>
      <c r="D23" s="50">
        <f>IF($D$5="MinFee",$D$6,IF(OR($D$7="ALL",Assumptions!$N$41="Y"),INDEX(Assumptions!$D$41:$F$41,$D$4),Assumptions!$E$41))</f>
        <v/>
      </c>
      <c r="E23" s="50">
        <f>IF($E$5="MinFee",$E$6,IF(OR($E$7="ALL",Assumptions!$N$41="Y"),INDEX(Assumptions!$D$41:$F$41,$E$4),Assumptions!$E$41))</f>
        <v/>
      </c>
      <c r="F23" s="50">
        <f>IF($F$5="MinFee",$F$6,IF(OR($F$7="ALL",Assumptions!$N$41="Y"),INDEX(Assumptions!$D$41:$F$41,$F$4),Assumptions!$E$41))</f>
        <v/>
      </c>
      <c r="G23" s="50">
        <f>IF($G$5="MinFee",$G$6,IF(OR($G$7="ALL",Assumptions!$N$41="Y"),INDEX(Assumptions!$D$41:$F$41,$G$4),Assumptions!$E$41))</f>
        <v/>
      </c>
      <c r="H23" s="50">
        <f>IF($H$5="MinFee",$H$6,IF(OR($H$7="ALL",Assumptions!$N$41="Y"),INDEX(Assumptions!$D$41:$F$41,$H$4),Assumptions!$E$41))</f>
        <v/>
      </c>
      <c r="I23" s="50">
        <f>IF($I$5="MinFee",$I$6,IF(OR($I$7="ALL",Assumptions!$N$41="Y"),INDEX(Assumptions!$D$41:$F$41,$I$4),Assumptions!$E$41))</f>
        <v/>
      </c>
      <c r="J23" s="50">
        <f>IF($J$5="MinFee",$J$6,IF(OR($J$7="ALL",Assumptions!$N$41="Y"),INDEX(Assumptions!$D$41:$F$41,$J$4),Assumptions!$E$41))</f>
        <v/>
      </c>
      <c r="K23" s="50">
        <f>IF($K$5="MinFee",$K$6,IF(OR($K$7="ALL",Assumptions!$N$41="Y"),INDEX(Assumptions!$D$41:$F$41,$K$4),Assumptions!$E$41))</f>
        <v/>
      </c>
      <c r="L23" s="50">
        <f>IF($L$5="MinFee",$L$6,IF(OR($L$7="ALL",Assumptions!$N$41="Y"),INDEX(Assumptions!$D$41:$F$41,$L$4),Assumptions!$E$41))</f>
        <v/>
      </c>
      <c r="M23" s="50">
        <f>IF($M$5="MinFee",$M$6,IF(OR($M$7="ALL",Assumptions!$N$41="Y"),INDEX(Assumptions!$D$41:$F$41,$M$4),Assumptions!$E$41))</f>
        <v/>
      </c>
      <c r="N23" s="50">
        <f>IF($N$5="MinFee",$N$6,IF(OR($N$7="ALL",Assumptions!$N$41="Y"),INDEX(Assumptions!$D$41:$F$41,$N$4),Assumptions!$E$41))</f>
        <v/>
      </c>
      <c r="O23" s="50">
        <f>IF($O$5="MinFee",$O$6,IF(OR($O$7="ALL",Assumptions!$N$41="Y"),INDEX(Assumptions!$D$41:$F$41,$O$4),Assumptions!$E$41))</f>
        <v/>
      </c>
      <c r="P23" s="50">
        <f>IF($P$5="MinFee",$P$6,IF(OR($P$7="ALL",Assumptions!$N$41="Y"),INDEX(Assumptions!$D$41:$F$41,$P$4),Assumptions!$E$41))</f>
        <v/>
      </c>
      <c r="Q23" s="50">
        <f>IF($Q$5="MinFee",$Q$6,IF(OR($Q$7="ALL",Assumptions!$N$41="Y"),INDEX(Assumptions!$D$41:$F$41,$Q$4),Assumptions!$E$41))</f>
        <v/>
      </c>
      <c r="R23" s="50">
        <f>IF($R$5="MinFee",$R$6,IF(OR($R$7="ALL",Assumptions!$N$41="Y"),INDEX(Assumptions!$D$41:$F$41,$R$4),Assumptions!$E$41))</f>
        <v/>
      </c>
      <c r="S23" s="50">
        <f>IF($S$5="MinFee",$S$6,IF(OR($S$7="ALL",Assumptions!$N$41="Y"),INDEX(Assumptions!$D$41:$F$41,$S$4),Assumptions!$E$41))</f>
        <v/>
      </c>
      <c r="T23" s="50">
        <f>IF($T$5="MinFee",$T$6,IF(OR($T$7="ALL",Assumptions!$N$41="Y"),INDEX(Assumptions!$D$41:$F$41,$T$4),Assumptions!$E$41))</f>
        <v/>
      </c>
      <c r="U23" s="50">
        <f>IF($U$5="MinFee",$U$6,IF(OR($U$7="ALL",Assumptions!$N$41="Y"),INDEX(Assumptions!$D$41:$F$41,$U$4),Assumptions!$E$41))</f>
        <v/>
      </c>
      <c r="V23" s="50">
        <f>IF($V$5="MinFee",$V$6,IF(OR($V$7="ALL",Assumptions!$N$41="Y"),INDEX(Assumptions!$D$41:$F$41,$V$4),Assumptions!$E$41))</f>
        <v/>
      </c>
      <c r="W23" s="50">
        <f>IF($W$5="MinFee",$W$6,IF(OR($W$7="ALL",Assumptions!$N$41="Y"),INDEX(Assumptions!$D$41:$F$41,$W$4),Assumptions!$E$41))</f>
        <v/>
      </c>
      <c r="X23" s="50">
        <f>IF($X$5="MinFee",$X$6,IF(OR($X$7="ALL",Assumptions!$N$41="Y"),INDEX(Assumptions!$D$41:$F$41,$X$4),Assumptions!$E$41))</f>
        <v/>
      </c>
      <c r="Y23" s="50">
        <f>IF($Y$5="MinFee",$Y$6,IF(OR($Y$7="ALL",Assumptions!$N$41="Y"),INDEX(Assumptions!$D$41:$F$41,$Y$4),Assumptions!$E$41))</f>
        <v/>
      </c>
      <c r="Z23" s="50">
        <f>IF($Z$5="MinFee",$Z$6,IF(OR($Z$7="ALL",Assumptions!$N$41="Y"),INDEX(Assumptions!$D$41:$F$41,$Z$4),Assumptions!$E$41))</f>
        <v/>
      </c>
      <c r="AA23" s="50">
        <f>IF($AA$5="MinFee",$AA$6,IF(OR($AA$7="ALL",Assumptions!$N$41="Y"),INDEX(Assumptions!$D$41:$F$41,$AA$4),Assumptions!$E$41))</f>
        <v/>
      </c>
      <c r="AB23" s="50">
        <f>IF($AB$5="MinFee",$AB$6,IF(OR($AB$7="ALL",Assumptions!$N$41="Y"),INDEX(Assumptions!$D$41:$F$41,$AB$4),Assumptions!$E$41))</f>
        <v/>
      </c>
      <c r="AC23" s="50">
        <f>IF($AC$5="MinFee",$AC$6,IF(OR($AC$7="ALL",Assumptions!$N$41="Y"),INDEX(Assumptions!$D$41:$F$41,$AC$4),Assumptions!$E$41))</f>
        <v/>
      </c>
      <c r="AD23" s="50">
        <f>IF($AD$5="MinFee",$AD$6,IF(OR($AD$7="ALL",Assumptions!$N$41="Y"),INDEX(Assumptions!$D$41:$F$41,$AD$4),Assumptions!$E$41))</f>
        <v/>
      </c>
      <c r="AE23" s="50">
        <f>IF($AE$5="MinFee",$AE$6,IF(OR($AE$7="ALL",Assumptions!$N$41="Y"),INDEX(Assumptions!$D$41:$F$41,$AE$4),Assumptions!$E$41))</f>
        <v/>
      </c>
      <c r="AF23" s="50">
        <f>IF($AF$5="MinFee",$AF$6,IF(OR($AF$7="ALL",Assumptions!$N$41="Y"),INDEX(Assumptions!$D$41:$F$41,$AF$4),Assumptions!$E$41))</f>
        <v/>
      </c>
      <c r="AG23" s="50">
        <f>IF($AG$5="MinFee",$AG$6,IF(OR($AG$7="ALL",Assumptions!$N$41="Y"),INDEX(Assumptions!$D$41:$F$41,$AG$4),Assumptions!$E$41))</f>
        <v/>
      </c>
      <c r="AH23" s="50">
        <f>IF($AH$5="MinFee",$AH$6,IF(OR($AH$7="ALL",Assumptions!$N$41="Y"),INDEX(Assumptions!$D$41:$F$41,$AH$4),Assumptions!$E$41))</f>
        <v/>
      </c>
      <c r="AI23" s="50">
        <f>IF($AI$5="MinFee",$AI$6,IF(OR($AI$7="ALL",Assumptions!$N$41="Y"),INDEX(Assumptions!$D$41:$F$41,$AI$4),Assumptions!$E$41))</f>
        <v/>
      </c>
      <c r="AJ23" s="50">
        <f>IF($AJ$5="MinFee",$AJ$6,IF(OR($AJ$7="ALL",Assumptions!$N$41="Y"),INDEX(Assumptions!$D$41:$F$41,$AJ$4),Assumptions!$E$41))</f>
        <v/>
      </c>
      <c r="AK23" s="50">
        <f>IF($AK$5="MinFee",$AK$6,IF(OR($AK$7="ALL",Assumptions!$N$41="Y"),INDEX(Assumptions!$D$41:$F$41,$AK$4),Assumptions!$E$41))</f>
        <v/>
      </c>
      <c r="AL23" s="50">
        <f>IF($AL$5="MinFee",$AL$6,IF(OR($AL$7="ALL",Assumptions!$N$41="Y"),INDEX(Assumptions!$D$41:$F$41,$AL$4),Assumptions!$E$41))</f>
        <v/>
      </c>
      <c r="AM23" s="50">
        <f>IF($AM$5="MinFee",$AM$6,IF(OR($AM$7="ALL",Assumptions!$N$41="Y"),INDEX(Assumptions!$D$41:$F$41,$AM$4),Assumptions!$E$41))</f>
        <v/>
      </c>
      <c r="AN23" s="50">
        <f>IF($AN$5="MinFee",$AN$6,IF(OR($AN$7="ALL",Assumptions!$N$41="Y"),INDEX(Assumptions!$D$41:$F$41,$AN$4),Assumptions!$E$41))</f>
        <v/>
      </c>
      <c r="AO23" s="50">
        <f>IF($AO$5="MinFee",$AO$6,IF(OR($AO$7="ALL",Assumptions!$N$41="Y"),INDEX(Assumptions!$D$41:$F$41,$AO$4),Assumptions!$E$41))</f>
        <v/>
      </c>
      <c r="AP23" s="50">
        <f>IF($AP$5="MinFee",$AP$6,IF(OR($AP$7="ALL",Assumptions!$N$41="Y"),INDEX(Assumptions!$D$41:$F$41,$AP$4),Assumptions!$E$41))</f>
        <v/>
      </c>
      <c r="AQ23" s="50">
        <f>IF($AQ$5="MinFee",$AQ$6,IF(OR($AQ$7="ALL",Assumptions!$N$41="Y"),INDEX(Assumptions!$D$41:$F$41,$AQ$4),Assumptions!$E$41))</f>
        <v/>
      </c>
      <c r="AR23" s="50">
        <f>IF($AR$5="MinFee",$AR$6,IF(OR($AR$7="ALL",Assumptions!$N$41="Y"),INDEX(Assumptions!$D$41:$F$41,$AR$4),Assumptions!$E$41))</f>
        <v/>
      </c>
      <c r="AS23" s="50">
        <f>IF($AS$5="MinFee",$AS$6,IF(OR($AS$7="ALL",Assumptions!$N$41="Y"),INDEX(Assumptions!$D$41:$F$41,$AS$4),Assumptions!$E$41))</f>
        <v/>
      </c>
      <c r="AT23" s="50">
        <f>IF($AT$5="MinFee",$AT$6,IF(OR($AT$7="ALL",Assumptions!$N$41="Y"),INDEX(Assumptions!$D$41:$F$41,$AT$4),Assumptions!$E$41))</f>
        <v/>
      </c>
      <c r="AU23" s="50">
        <f>IF($AU$5="MinFee",$AU$6,IF(OR($AU$7="ALL",Assumptions!$N$41="Y"),INDEX(Assumptions!$D$41:$F$41,$AU$4),Assumptions!$E$41))</f>
        <v/>
      </c>
      <c r="AV23" s="50">
        <f>IF($AV$5="MinFee",$AV$6,IF(OR($AV$7="ALL",Assumptions!$N$41="Y"),INDEX(Assumptions!$D$41:$F$41,$AV$4),Assumptions!$E$41))</f>
        <v/>
      </c>
      <c r="AW23" s="50">
        <f>IF($AW$5="MinFee",$AW$6,IF(OR($AW$7="ALL",Assumptions!$N$41="Y"),INDEX(Assumptions!$D$41:$F$41,$AW$4),Assumptions!$E$41))</f>
        <v/>
      </c>
      <c r="AX23" s="50">
        <f>IF($AX$5="MinFee",$AX$6,IF(OR($AX$7="ALL",Assumptions!$N$41="Y"),INDEX(Assumptions!$D$41:$F$41,$AX$4),Assumptions!$E$41))</f>
        <v/>
      </c>
      <c r="AY23" s="50">
        <f>IF($AY$5="MinFee",$AY$6,IF(OR($AY$7="ALL",Assumptions!$N$41="Y"),INDEX(Assumptions!$D$41:$F$41,$AY$4),Assumptions!$E$41))</f>
        <v/>
      </c>
      <c r="AZ23" s="50">
        <f>IF($AZ$5="MinFee",$AZ$6,IF(OR($AZ$7="ALL",Assumptions!$N$41="Y"),INDEX(Assumptions!$D$41:$F$41,$AZ$4),Assumptions!$E$41))</f>
        <v/>
      </c>
      <c r="BA23" s="50">
        <f>IF($BA$5="MinFee",$BA$6,IF(OR($BA$7="ALL",Assumptions!$N$41="Y"),INDEX(Assumptions!$D$41:$F$41,$BA$4),Assumptions!$E$41))</f>
        <v/>
      </c>
      <c r="BB23" s="50">
        <f>IF($BB$5="MinFee",$BB$6,IF(OR($BB$7="ALL",Assumptions!$N$41="Y"),INDEX(Assumptions!$D$41:$F$41,$BB$4),Assumptions!$E$41))</f>
        <v/>
      </c>
      <c r="BC23" s="50">
        <f>IF($BC$5="MinFee",$BC$6,IF(OR($BC$7="ALL",Assumptions!$N$41="Y"),INDEX(Assumptions!$D$41:$F$41,$BC$4),Assumptions!$E$41))</f>
        <v/>
      </c>
      <c r="BD23" s="50">
        <f>IF($BD$5="MinFee",$BD$6,IF(OR($BD$7="ALL",Assumptions!$N$41="Y"),INDEX(Assumptions!$D$41:$F$41,$BD$4),Assumptions!$E$41))</f>
        <v/>
      </c>
      <c r="BE23" s="50">
        <f>IF($BE$5="MinFee",$BE$6,IF(OR($BE$7="ALL",Assumptions!$N$41="Y"),INDEX(Assumptions!$D$41:$F$41,$BE$4),Assumptions!$E$41))</f>
        <v/>
      </c>
    </row>
    <row r="24">
      <c r="B24" s="5" t="inlineStr">
        <is>
          <t>NegotiationDisc</t>
        </is>
      </c>
      <c r="D24" s="39">
        <f>IF($D$5="NegotiationDisc",$D$6,IF(OR($D$7="ALL",Assumptions!$N$42="Y"),INDEX(Assumptions!$D$42:$F$42,$D$4),Assumptions!$E$42))</f>
        <v/>
      </c>
      <c r="E24" s="39">
        <f>IF($E$5="NegotiationDisc",$E$6,IF(OR($E$7="ALL",Assumptions!$N$42="Y"),INDEX(Assumptions!$D$42:$F$42,$E$4),Assumptions!$E$42))</f>
        <v/>
      </c>
      <c r="F24" s="39">
        <f>IF($F$5="NegotiationDisc",$F$6,IF(OR($F$7="ALL",Assumptions!$N$42="Y"),INDEX(Assumptions!$D$42:$F$42,$F$4),Assumptions!$E$42))</f>
        <v/>
      </c>
      <c r="G24" s="39">
        <f>IF($G$5="NegotiationDisc",$G$6,IF(OR($G$7="ALL",Assumptions!$N$42="Y"),INDEX(Assumptions!$D$42:$F$42,$G$4),Assumptions!$E$42))</f>
        <v/>
      </c>
      <c r="H24" s="39">
        <f>IF($H$5="NegotiationDisc",$H$6,IF(OR($H$7="ALL",Assumptions!$N$42="Y"),INDEX(Assumptions!$D$42:$F$42,$H$4),Assumptions!$E$42))</f>
        <v/>
      </c>
      <c r="I24" s="39">
        <f>IF($I$5="NegotiationDisc",$I$6,IF(OR($I$7="ALL",Assumptions!$N$42="Y"),INDEX(Assumptions!$D$42:$F$42,$I$4),Assumptions!$E$42))</f>
        <v/>
      </c>
      <c r="J24" s="39">
        <f>IF($J$5="NegotiationDisc",$J$6,IF(OR($J$7="ALL",Assumptions!$N$42="Y"),INDEX(Assumptions!$D$42:$F$42,$J$4),Assumptions!$E$42))</f>
        <v/>
      </c>
      <c r="K24" s="39">
        <f>IF($K$5="NegotiationDisc",$K$6,IF(OR($K$7="ALL",Assumptions!$N$42="Y"),INDEX(Assumptions!$D$42:$F$42,$K$4),Assumptions!$E$42))</f>
        <v/>
      </c>
      <c r="L24" s="39">
        <f>IF($L$5="NegotiationDisc",$L$6,IF(OR($L$7="ALL",Assumptions!$N$42="Y"),INDEX(Assumptions!$D$42:$F$42,$L$4),Assumptions!$E$42))</f>
        <v/>
      </c>
      <c r="M24" s="39">
        <f>IF($M$5="NegotiationDisc",$M$6,IF(OR($M$7="ALL",Assumptions!$N$42="Y"),INDEX(Assumptions!$D$42:$F$42,$M$4),Assumptions!$E$42))</f>
        <v/>
      </c>
      <c r="N24" s="39">
        <f>IF($N$5="NegotiationDisc",$N$6,IF(OR($N$7="ALL",Assumptions!$N$42="Y"),INDEX(Assumptions!$D$42:$F$42,$N$4),Assumptions!$E$42))</f>
        <v/>
      </c>
      <c r="O24" s="39">
        <f>IF($O$5="NegotiationDisc",$O$6,IF(OR($O$7="ALL",Assumptions!$N$42="Y"),INDEX(Assumptions!$D$42:$F$42,$O$4),Assumptions!$E$42))</f>
        <v/>
      </c>
      <c r="P24" s="39">
        <f>IF($P$5="NegotiationDisc",$P$6,IF(OR($P$7="ALL",Assumptions!$N$42="Y"),INDEX(Assumptions!$D$42:$F$42,$P$4),Assumptions!$E$42))</f>
        <v/>
      </c>
      <c r="Q24" s="39">
        <f>IF($Q$5="NegotiationDisc",$Q$6,IF(OR($Q$7="ALL",Assumptions!$N$42="Y"),INDEX(Assumptions!$D$42:$F$42,$Q$4),Assumptions!$E$42))</f>
        <v/>
      </c>
      <c r="R24" s="39">
        <f>IF($R$5="NegotiationDisc",$R$6,IF(OR($R$7="ALL",Assumptions!$N$42="Y"),INDEX(Assumptions!$D$42:$F$42,$R$4),Assumptions!$E$42))</f>
        <v/>
      </c>
      <c r="S24" s="39">
        <f>IF($S$5="NegotiationDisc",$S$6,IF(OR($S$7="ALL",Assumptions!$N$42="Y"),INDEX(Assumptions!$D$42:$F$42,$S$4),Assumptions!$E$42))</f>
        <v/>
      </c>
      <c r="T24" s="39">
        <f>IF($T$5="NegotiationDisc",$T$6,IF(OR($T$7="ALL",Assumptions!$N$42="Y"),INDEX(Assumptions!$D$42:$F$42,$T$4),Assumptions!$E$42))</f>
        <v/>
      </c>
      <c r="U24" s="39">
        <f>IF($U$5="NegotiationDisc",$U$6,IF(OR($U$7="ALL",Assumptions!$N$42="Y"),INDEX(Assumptions!$D$42:$F$42,$U$4),Assumptions!$E$42))</f>
        <v/>
      </c>
      <c r="V24" s="39">
        <f>IF($V$5="NegotiationDisc",$V$6,IF(OR($V$7="ALL",Assumptions!$N$42="Y"),INDEX(Assumptions!$D$42:$F$42,$V$4),Assumptions!$E$42))</f>
        <v/>
      </c>
      <c r="W24" s="39">
        <f>IF($W$5="NegotiationDisc",$W$6,IF(OR($W$7="ALL",Assumptions!$N$42="Y"),INDEX(Assumptions!$D$42:$F$42,$W$4),Assumptions!$E$42))</f>
        <v/>
      </c>
      <c r="X24" s="39">
        <f>IF($X$5="NegotiationDisc",$X$6,IF(OR($X$7="ALL",Assumptions!$N$42="Y"),INDEX(Assumptions!$D$42:$F$42,$X$4),Assumptions!$E$42))</f>
        <v/>
      </c>
      <c r="Y24" s="39">
        <f>IF($Y$5="NegotiationDisc",$Y$6,IF(OR($Y$7="ALL",Assumptions!$N$42="Y"),INDEX(Assumptions!$D$42:$F$42,$Y$4),Assumptions!$E$42))</f>
        <v/>
      </c>
      <c r="Z24" s="39">
        <f>IF($Z$5="NegotiationDisc",$Z$6,IF(OR($Z$7="ALL",Assumptions!$N$42="Y"),INDEX(Assumptions!$D$42:$F$42,$Z$4),Assumptions!$E$42))</f>
        <v/>
      </c>
      <c r="AA24" s="39">
        <f>IF($AA$5="NegotiationDisc",$AA$6,IF(OR($AA$7="ALL",Assumptions!$N$42="Y"),INDEX(Assumptions!$D$42:$F$42,$AA$4),Assumptions!$E$42))</f>
        <v/>
      </c>
      <c r="AB24" s="39">
        <f>IF($AB$5="NegotiationDisc",$AB$6,IF(OR($AB$7="ALL",Assumptions!$N$42="Y"),INDEX(Assumptions!$D$42:$F$42,$AB$4),Assumptions!$E$42))</f>
        <v/>
      </c>
      <c r="AC24" s="39">
        <f>IF($AC$5="NegotiationDisc",$AC$6,IF(OR($AC$7="ALL",Assumptions!$N$42="Y"),INDEX(Assumptions!$D$42:$F$42,$AC$4),Assumptions!$E$42))</f>
        <v/>
      </c>
      <c r="AD24" s="39">
        <f>IF($AD$5="NegotiationDisc",$AD$6,IF(OR($AD$7="ALL",Assumptions!$N$42="Y"),INDEX(Assumptions!$D$42:$F$42,$AD$4),Assumptions!$E$42))</f>
        <v/>
      </c>
      <c r="AE24" s="39">
        <f>IF($AE$5="NegotiationDisc",$AE$6,IF(OR($AE$7="ALL",Assumptions!$N$42="Y"),INDEX(Assumptions!$D$42:$F$42,$AE$4),Assumptions!$E$42))</f>
        <v/>
      </c>
      <c r="AF24" s="39">
        <f>IF($AF$5="NegotiationDisc",$AF$6,IF(OR($AF$7="ALL",Assumptions!$N$42="Y"),INDEX(Assumptions!$D$42:$F$42,$AF$4),Assumptions!$E$42))</f>
        <v/>
      </c>
      <c r="AG24" s="39">
        <f>IF($AG$5="NegotiationDisc",$AG$6,IF(OR($AG$7="ALL",Assumptions!$N$42="Y"),INDEX(Assumptions!$D$42:$F$42,$AG$4),Assumptions!$E$42))</f>
        <v/>
      </c>
      <c r="AH24" s="39">
        <f>IF($AH$5="NegotiationDisc",$AH$6,IF(OR($AH$7="ALL",Assumptions!$N$42="Y"),INDEX(Assumptions!$D$42:$F$42,$AH$4),Assumptions!$E$42))</f>
        <v/>
      </c>
      <c r="AI24" s="39">
        <f>IF($AI$5="NegotiationDisc",$AI$6,IF(OR($AI$7="ALL",Assumptions!$N$42="Y"),INDEX(Assumptions!$D$42:$F$42,$AI$4),Assumptions!$E$42))</f>
        <v/>
      </c>
      <c r="AJ24" s="39">
        <f>IF($AJ$5="NegotiationDisc",$AJ$6,IF(OR($AJ$7="ALL",Assumptions!$N$42="Y"),INDEX(Assumptions!$D$42:$F$42,$AJ$4),Assumptions!$E$42))</f>
        <v/>
      </c>
      <c r="AK24" s="39">
        <f>IF($AK$5="NegotiationDisc",$AK$6,IF(OR($AK$7="ALL",Assumptions!$N$42="Y"),INDEX(Assumptions!$D$42:$F$42,$AK$4),Assumptions!$E$42))</f>
        <v/>
      </c>
      <c r="AL24" s="39">
        <f>IF($AL$5="NegotiationDisc",$AL$6,IF(OR($AL$7="ALL",Assumptions!$N$42="Y"),INDEX(Assumptions!$D$42:$F$42,$AL$4),Assumptions!$E$42))</f>
        <v/>
      </c>
      <c r="AM24" s="39">
        <f>IF($AM$5="NegotiationDisc",$AM$6,IF(OR($AM$7="ALL",Assumptions!$N$42="Y"),INDEX(Assumptions!$D$42:$F$42,$AM$4),Assumptions!$E$42))</f>
        <v/>
      </c>
      <c r="AN24" s="39">
        <f>IF($AN$5="NegotiationDisc",$AN$6,IF(OR($AN$7="ALL",Assumptions!$N$42="Y"),INDEX(Assumptions!$D$42:$F$42,$AN$4),Assumptions!$E$42))</f>
        <v/>
      </c>
      <c r="AO24" s="39">
        <f>IF($AO$5="NegotiationDisc",$AO$6,IF(OR($AO$7="ALL",Assumptions!$N$42="Y"),INDEX(Assumptions!$D$42:$F$42,$AO$4),Assumptions!$E$42))</f>
        <v/>
      </c>
      <c r="AP24" s="39">
        <f>IF($AP$5="NegotiationDisc",$AP$6,IF(OR($AP$7="ALL",Assumptions!$N$42="Y"),INDEX(Assumptions!$D$42:$F$42,$AP$4),Assumptions!$E$42))</f>
        <v/>
      </c>
      <c r="AQ24" s="39">
        <f>IF($AQ$5="NegotiationDisc",$AQ$6,IF(OR($AQ$7="ALL",Assumptions!$N$42="Y"),INDEX(Assumptions!$D$42:$F$42,$AQ$4),Assumptions!$E$42))</f>
        <v/>
      </c>
      <c r="AR24" s="39">
        <f>IF($AR$5="NegotiationDisc",$AR$6,IF(OR($AR$7="ALL",Assumptions!$N$42="Y"),INDEX(Assumptions!$D$42:$F$42,$AR$4),Assumptions!$E$42))</f>
        <v/>
      </c>
      <c r="AS24" s="39">
        <f>IF($AS$5="NegotiationDisc",$AS$6,IF(OR($AS$7="ALL",Assumptions!$N$42="Y"),INDEX(Assumptions!$D$42:$F$42,$AS$4),Assumptions!$E$42))</f>
        <v/>
      </c>
      <c r="AT24" s="39">
        <f>IF($AT$5="NegotiationDisc",$AT$6,IF(OR($AT$7="ALL",Assumptions!$N$42="Y"),INDEX(Assumptions!$D$42:$F$42,$AT$4),Assumptions!$E$42))</f>
        <v/>
      </c>
      <c r="AU24" s="39">
        <f>IF($AU$5="NegotiationDisc",$AU$6,IF(OR($AU$7="ALL",Assumptions!$N$42="Y"),INDEX(Assumptions!$D$42:$F$42,$AU$4),Assumptions!$E$42))</f>
        <v/>
      </c>
      <c r="AV24" s="39">
        <f>IF($AV$5="NegotiationDisc",$AV$6,IF(OR($AV$7="ALL",Assumptions!$N$42="Y"),INDEX(Assumptions!$D$42:$F$42,$AV$4),Assumptions!$E$42))</f>
        <v/>
      </c>
      <c r="AW24" s="39">
        <f>IF($AW$5="NegotiationDisc",$AW$6,IF(OR($AW$7="ALL",Assumptions!$N$42="Y"),INDEX(Assumptions!$D$42:$F$42,$AW$4),Assumptions!$E$42))</f>
        <v/>
      </c>
      <c r="AX24" s="39">
        <f>IF($AX$5="NegotiationDisc",$AX$6,IF(OR($AX$7="ALL",Assumptions!$N$42="Y"),INDEX(Assumptions!$D$42:$F$42,$AX$4),Assumptions!$E$42))</f>
        <v/>
      </c>
      <c r="AY24" s="39">
        <f>IF($AY$5="NegotiationDisc",$AY$6,IF(OR($AY$7="ALL",Assumptions!$N$42="Y"),INDEX(Assumptions!$D$42:$F$42,$AY$4),Assumptions!$E$42))</f>
        <v/>
      </c>
      <c r="AZ24" s="39">
        <f>IF($AZ$5="NegotiationDisc",$AZ$6,IF(OR($AZ$7="ALL",Assumptions!$N$42="Y"),INDEX(Assumptions!$D$42:$F$42,$AZ$4),Assumptions!$E$42))</f>
        <v/>
      </c>
      <c r="BA24" s="39">
        <f>IF($BA$5="NegotiationDisc",$BA$6,IF(OR($BA$7="ALL",Assumptions!$N$42="Y"),INDEX(Assumptions!$D$42:$F$42,$BA$4),Assumptions!$E$42))</f>
        <v/>
      </c>
      <c r="BB24" s="39">
        <f>IF($BB$5="NegotiationDisc",$BB$6,IF(OR($BB$7="ALL",Assumptions!$N$42="Y"),INDEX(Assumptions!$D$42:$F$42,$BB$4),Assumptions!$E$42))</f>
        <v/>
      </c>
      <c r="BC24" s="39">
        <f>IF($BC$5="NegotiationDisc",$BC$6,IF(OR($BC$7="ALL",Assumptions!$N$42="Y"),INDEX(Assumptions!$D$42:$F$42,$BC$4),Assumptions!$E$42))</f>
        <v/>
      </c>
      <c r="BD24" s="39">
        <f>IF($BD$5="NegotiationDisc",$BD$6,IF(OR($BD$7="ALL",Assumptions!$N$42="Y"),INDEX(Assumptions!$D$42:$F$42,$BD$4),Assumptions!$E$42))</f>
        <v/>
      </c>
      <c r="BE24" s="39">
        <f>IF($BE$5="NegotiationDisc",$BE$6,IF(OR($BE$7="ALL",Assumptions!$N$42="Y"),INDEX(Assumptions!$D$42:$F$42,$BE$4),Assumptions!$E$42))</f>
        <v/>
      </c>
    </row>
    <row r="25">
      <c r="B25" s="5" t="inlineStr">
        <is>
          <t>PrepayUptake</t>
        </is>
      </c>
      <c r="D25" s="39">
        <f>IF($D$5="PrepayUptake",$D$6,IF(OR($D$7="ALL",Assumptions!$N$43="Y"),INDEX(Assumptions!$D$43:$F$43,$D$4),Assumptions!$E$43))</f>
        <v/>
      </c>
      <c r="E25" s="39">
        <f>IF($E$5="PrepayUptake",$E$6,IF(OR($E$7="ALL",Assumptions!$N$43="Y"),INDEX(Assumptions!$D$43:$F$43,$E$4),Assumptions!$E$43))</f>
        <v/>
      </c>
      <c r="F25" s="39">
        <f>IF($F$5="PrepayUptake",$F$6,IF(OR($F$7="ALL",Assumptions!$N$43="Y"),INDEX(Assumptions!$D$43:$F$43,$F$4),Assumptions!$E$43))</f>
        <v/>
      </c>
      <c r="G25" s="39">
        <f>IF($G$5="PrepayUptake",$G$6,IF(OR($G$7="ALL",Assumptions!$N$43="Y"),INDEX(Assumptions!$D$43:$F$43,$G$4),Assumptions!$E$43))</f>
        <v/>
      </c>
      <c r="H25" s="39">
        <f>IF($H$5="PrepayUptake",$H$6,IF(OR($H$7="ALL",Assumptions!$N$43="Y"),INDEX(Assumptions!$D$43:$F$43,$H$4),Assumptions!$E$43))</f>
        <v/>
      </c>
      <c r="I25" s="39">
        <f>IF($I$5="PrepayUptake",$I$6,IF(OR($I$7="ALL",Assumptions!$N$43="Y"),INDEX(Assumptions!$D$43:$F$43,$I$4),Assumptions!$E$43))</f>
        <v/>
      </c>
      <c r="J25" s="39">
        <f>IF($J$5="PrepayUptake",$J$6,IF(OR($J$7="ALL",Assumptions!$N$43="Y"),INDEX(Assumptions!$D$43:$F$43,$J$4),Assumptions!$E$43))</f>
        <v/>
      </c>
      <c r="K25" s="39">
        <f>IF($K$5="PrepayUptake",$K$6,IF(OR($K$7="ALL",Assumptions!$N$43="Y"),INDEX(Assumptions!$D$43:$F$43,$K$4),Assumptions!$E$43))</f>
        <v/>
      </c>
      <c r="L25" s="39">
        <f>IF($L$5="PrepayUptake",$L$6,IF(OR($L$7="ALL",Assumptions!$N$43="Y"),INDEX(Assumptions!$D$43:$F$43,$L$4),Assumptions!$E$43))</f>
        <v/>
      </c>
      <c r="M25" s="39">
        <f>IF($M$5="PrepayUptake",$M$6,IF(OR($M$7="ALL",Assumptions!$N$43="Y"),INDEX(Assumptions!$D$43:$F$43,$M$4),Assumptions!$E$43))</f>
        <v/>
      </c>
      <c r="N25" s="39">
        <f>IF($N$5="PrepayUptake",$N$6,IF(OR($N$7="ALL",Assumptions!$N$43="Y"),INDEX(Assumptions!$D$43:$F$43,$N$4),Assumptions!$E$43))</f>
        <v/>
      </c>
      <c r="O25" s="39">
        <f>IF($O$5="PrepayUptake",$O$6,IF(OR($O$7="ALL",Assumptions!$N$43="Y"),INDEX(Assumptions!$D$43:$F$43,$O$4),Assumptions!$E$43))</f>
        <v/>
      </c>
      <c r="P25" s="39">
        <f>IF($P$5="PrepayUptake",$P$6,IF(OR($P$7="ALL",Assumptions!$N$43="Y"),INDEX(Assumptions!$D$43:$F$43,$P$4),Assumptions!$E$43))</f>
        <v/>
      </c>
      <c r="Q25" s="39">
        <f>IF($Q$5="PrepayUptake",$Q$6,IF(OR($Q$7="ALL",Assumptions!$N$43="Y"),INDEX(Assumptions!$D$43:$F$43,$Q$4),Assumptions!$E$43))</f>
        <v/>
      </c>
      <c r="R25" s="39">
        <f>IF($R$5="PrepayUptake",$R$6,IF(OR($R$7="ALL",Assumptions!$N$43="Y"),INDEX(Assumptions!$D$43:$F$43,$R$4),Assumptions!$E$43))</f>
        <v/>
      </c>
      <c r="S25" s="39">
        <f>IF($S$5="PrepayUptake",$S$6,IF(OR($S$7="ALL",Assumptions!$N$43="Y"),INDEX(Assumptions!$D$43:$F$43,$S$4),Assumptions!$E$43))</f>
        <v/>
      </c>
      <c r="T25" s="39">
        <f>IF($T$5="PrepayUptake",$T$6,IF(OR($T$7="ALL",Assumptions!$N$43="Y"),INDEX(Assumptions!$D$43:$F$43,$T$4),Assumptions!$E$43))</f>
        <v/>
      </c>
      <c r="U25" s="39">
        <f>IF($U$5="PrepayUptake",$U$6,IF(OR($U$7="ALL",Assumptions!$N$43="Y"),INDEX(Assumptions!$D$43:$F$43,$U$4),Assumptions!$E$43))</f>
        <v/>
      </c>
      <c r="V25" s="39">
        <f>IF($V$5="PrepayUptake",$V$6,IF(OR($V$7="ALL",Assumptions!$N$43="Y"),INDEX(Assumptions!$D$43:$F$43,$V$4),Assumptions!$E$43))</f>
        <v/>
      </c>
      <c r="W25" s="39">
        <f>IF($W$5="PrepayUptake",$W$6,IF(OR($W$7="ALL",Assumptions!$N$43="Y"),INDEX(Assumptions!$D$43:$F$43,$W$4),Assumptions!$E$43))</f>
        <v/>
      </c>
      <c r="X25" s="39">
        <f>IF($X$5="PrepayUptake",$X$6,IF(OR($X$7="ALL",Assumptions!$N$43="Y"),INDEX(Assumptions!$D$43:$F$43,$X$4),Assumptions!$E$43))</f>
        <v/>
      </c>
      <c r="Y25" s="39">
        <f>IF($Y$5="PrepayUptake",$Y$6,IF(OR($Y$7="ALL",Assumptions!$N$43="Y"),INDEX(Assumptions!$D$43:$F$43,$Y$4),Assumptions!$E$43))</f>
        <v/>
      </c>
      <c r="Z25" s="39">
        <f>IF($Z$5="PrepayUptake",$Z$6,IF(OR($Z$7="ALL",Assumptions!$N$43="Y"),INDEX(Assumptions!$D$43:$F$43,$Z$4),Assumptions!$E$43))</f>
        <v/>
      </c>
      <c r="AA25" s="39">
        <f>IF($AA$5="PrepayUptake",$AA$6,IF(OR($AA$7="ALL",Assumptions!$N$43="Y"),INDEX(Assumptions!$D$43:$F$43,$AA$4),Assumptions!$E$43))</f>
        <v/>
      </c>
      <c r="AB25" s="39">
        <f>IF($AB$5="PrepayUptake",$AB$6,IF(OR($AB$7="ALL",Assumptions!$N$43="Y"),INDEX(Assumptions!$D$43:$F$43,$AB$4),Assumptions!$E$43))</f>
        <v/>
      </c>
      <c r="AC25" s="39">
        <f>IF($AC$5="PrepayUptake",$AC$6,IF(OR($AC$7="ALL",Assumptions!$N$43="Y"),INDEX(Assumptions!$D$43:$F$43,$AC$4),Assumptions!$E$43))</f>
        <v/>
      </c>
      <c r="AD25" s="39">
        <f>IF($AD$5="PrepayUptake",$AD$6,IF(OR($AD$7="ALL",Assumptions!$N$43="Y"),INDEX(Assumptions!$D$43:$F$43,$AD$4),Assumptions!$E$43))</f>
        <v/>
      </c>
      <c r="AE25" s="39">
        <f>IF($AE$5="PrepayUptake",$AE$6,IF(OR($AE$7="ALL",Assumptions!$N$43="Y"),INDEX(Assumptions!$D$43:$F$43,$AE$4),Assumptions!$E$43))</f>
        <v/>
      </c>
      <c r="AF25" s="39">
        <f>IF($AF$5="PrepayUptake",$AF$6,IF(OR($AF$7="ALL",Assumptions!$N$43="Y"),INDEX(Assumptions!$D$43:$F$43,$AF$4),Assumptions!$E$43))</f>
        <v/>
      </c>
      <c r="AG25" s="39">
        <f>IF($AG$5="PrepayUptake",$AG$6,IF(OR($AG$7="ALL",Assumptions!$N$43="Y"),INDEX(Assumptions!$D$43:$F$43,$AG$4),Assumptions!$E$43))</f>
        <v/>
      </c>
      <c r="AH25" s="39">
        <f>IF($AH$5="PrepayUptake",$AH$6,IF(OR($AH$7="ALL",Assumptions!$N$43="Y"),INDEX(Assumptions!$D$43:$F$43,$AH$4),Assumptions!$E$43))</f>
        <v/>
      </c>
      <c r="AI25" s="39">
        <f>IF($AI$5="PrepayUptake",$AI$6,IF(OR($AI$7="ALL",Assumptions!$N$43="Y"),INDEX(Assumptions!$D$43:$F$43,$AI$4),Assumptions!$E$43))</f>
        <v/>
      </c>
      <c r="AJ25" s="39">
        <f>IF($AJ$5="PrepayUptake",$AJ$6,IF(OR($AJ$7="ALL",Assumptions!$N$43="Y"),INDEX(Assumptions!$D$43:$F$43,$AJ$4),Assumptions!$E$43))</f>
        <v/>
      </c>
      <c r="AK25" s="39">
        <f>IF($AK$5="PrepayUptake",$AK$6,IF(OR($AK$7="ALL",Assumptions!$N$43="Y"),INDEX(Assumptions!$D$43:$F$43,$AK$4),Assumptions!$E$43))</f>
        <v/>
      </c>
      <c r="AL25" s="39">
        <f>IF($AL$5="PrepayUptake",$AL$6,IF(OR($AL$7="ALL",Assumptions!$N$43="Y"),INDEX(Assumptions!$D$43:$F$43,$AL$4),Assumptions!$E$43))</f>
        <v/>
      </c>
      <c r="AM25" s="39">
        <f>IF($AM$5="PrepayUptake",$AM$6,IF(OR($AM$7="ALL",Assumptions!$N$43="Y"),INDEX(Assumptions!$D$43:$F$43,$AM$4),Assumptions!$E$43))</f>
        <v/>
      </c>
      <c r="AN25" s="39">
        <f>IF($AN$5="PrepayUptake",$AN$6,IF(OR($AN$7="ALL",Assumptions!$N$43="Y"),INDEX(Assumptions!$D$43:$F$43,$AN$4),Assumptions!$E$43))</f>
        <v/>
      </c>
      <c r="AO25" s="39">
        <f>IF($AO$5="PrepayUptake",$AO$6,IF(OR($AO$7="ALL",Assumptions!$N$43="Y"),INDEX(Assumptions!$D$43:$F$43,$AO$4),Assumptions!$E$43))</f>
        <v/>
      </c>
      <c r="AP25" s="39">
        <f>IF($AP$5="PrepayUptake",$AP$6,IF(OR($AP$7="ALL",Assumptions!$N$43="Y"),INDEX(Assumptions!$D$43:$F$43,$AP$4),Assumptions!$E$43))</f>
        <v/>
      </c>
      <c r="AQ25" s="39">
        <f>IF($AQ$5="PrepayUptake",$AQ$6,IF(OR($AQ$7="ALL",Assumptions!$N$43="Y"),INDEX(Assumptions!$D$43:$F$43,$AQ$4),Assumptions!$E$43))</f>
        <v/>
      </c>
      <c r="AR25" s="39">
        <f>IF($AR$5="PrepayUptake",$AR$6,IF(OR($AR$7="ALL",Assumptions!$N$43="Y"),INDEX(Assumptions!$D$43:$F$43,$AR$4),Assumptions!$E$43))</f>
        <v/>
      </c>
      <c r="AS25" s="39">
        <f>IF($AS$5="PrepayUptake",$AS$6,IF(OR($AS$7="ALL",Assumptions!$N$43="Y"),INDEX(Assumptions!$D$43:$F$43,$AS$4),Assumptions!$E$43))</f>
        <v/>
      </c>
      <c r="AT25" s="39">
        <f>IF($AT$5="PrepayUptake",$AT$6,IF(OR($AT$7="ALL",Assumptions!$N$43="Y"),INDEX(Assumptions!$D$43:$F$43,$AT$4),Assumptions!$E$43))</f>
        <v/>
      </c>
      <c r="AU25" s="39">
        <f>IF($AU$5="PrepayUptake",$AU$6,IF(OR($AU$7="ALL",Assumptions!$N$43="Y"),INDEX(Assumptions!$D$43:$F$43,$AU$4),Assumptions!$E$43))</f>
        <v/>
      </c>
      <c r="AV25" s="39">
        <f>IF($AV$5="PrepayUptake",$AV$6,IF(OR($AV$7="ALL",Assumptions!$N$43="Y"),INDEX(Assumptions!$D$43:$F$43,$AV$4),Assumptions!$E$43))</f>
        <v/>
      </c>
      <c r="AW25" s="39">
        <f>IF($AW$5="PrepayUptake",$AW$6,IF(OR($AW$7="ALL",Assumptions!$N$43="Y"),INDEX(Assumptions!$D$43:$F$43,$AW$4),Assumptions!$E$43))</f>
        <v/>
      </c>
      <c r="AX25" s="39">
        <f>IF($AX$5="PrepayUptake",$AX$6,IF(OR($AX$7="ALL",Assumptions!$N$43="Y"),INDEX(Assumptions!$D$43:$F$43,$AX$4),Assumptions!$E$43))</f>
        <v/>
      </c>
      <c r="AY25" s="39">
        <f>IF($AY$5="PrepayUptake",$AY$6,IF(OR($AY$7="ALL",Assumptions!$N$43="Y"),INDEX(Assumptions!$D$43:$F$43,$AY$4),Assumptions!$E$43))</f>
        <v/>
      </c>
      <c r="AZ25" s="39">
        <f>IF($AZ$5="PrepayUptake",$AZ$6,IF(OR($AZ$7="ALL",Assumptions!$N$43="Y"),INDEX(Assumptions!$D$43:$F$43,$AZ$4),Assumptions!$E$43))</f>
        <v/>
      </c>
      <c r="BA25" s="39">
        <f>IF($BA$5="PrepayUptake",$BA$6,IF(OR($BA$7="ALL",Assumptions!$N$43="Y"),INDEX(Assumptions!$D$43:$F$43,$BA$4),Assumptions!$E$43))</f>
        <v/>
      </c>
      <c r="BB25" s="39">
        <f>IF($BB$5="PrepayUptake",$BB$6,IF(OR($BB$7="ALL",Assumptions!$N$43="Y"),INDEX(Assumptions!$D$43:$F$43,$BB$4),Assumptions!$E$43))</f>
        <v/>
      </c>
      <c r="BC25" s="39">
        <f>IF($BC$5="PrepayUptake",$BC$6,IF(OR($BC$7="ALL",Assumptions!$N$43="Y"),INDEX(Assumptions!$D$43:$F$43,$BC$4),Assumptions!$E$43))</f>
        <v/>
      </c>
      <c r="BD25" s="39">
        <f>IF($BD$5="PrepayUptake",$BD$6,IF(OR($BD$7="ALL",Assumptions!$N$43="Y"),INDEX(Assumptions!$D$43:$F$43,$BD$4),Assumptions!$E$43))</f>
        <v/>
      </c>
      <c r="BE25" s="39">
        <f>IF($BE$5="PrepayUptake",$BE$6,IF(OR($BE$7="ALL",Assumptions!$N$43="Y"),INDEX(Assumptions!$D$43:$F$43,$BE$4),Assumptions!$E$43))</f>
        <v/>
      </c>
    </row>
    <row r="26">
      <c r="B26" s="5" t="inlineStr">
        <is>
          <t>PrepayDisc</t>
        </is>
      </c>
      <c r="D26" s="39">
        <f>IF($D$5="PrepayDisc",$D$6,IF(OR($D$7="ALL",Assumptions!$N$44="Y"),INDEX(Assumptions!$D$44:$F$44,$D$4),Assumptions!$E$44))</f>
        <v/>
      </c>
      <c r="E26" s="39">
        <f>IF($E$5="PrepayDisc",$E$6,IF(OR($E$7="ALL",Assumptions!$N$44="Y"),INDEX(Assumptions!$D$44:$F$44,$E$4),Assumptions!$E$44))</f>
        <v/>
      </c>
      <c r="F26" s="39">
        <f>IF($F$5="PrepayDisc",$F$6,IF(OR($F$7="ALL",Assumptions!$N$44="Y"),INDEX(Assumptions!$D$44:$F$44,$F$4),Assumptions!$E$44))</f>
        <v/>
      </c>
      <c r="G26" s="39">
        <f>IF($G$5="PrepayDisc",$G$6,IF(OR($G$7="ALL",Assumptions!$N$44="Y"),INDEX(Assumptions!$D$44:$F$44,$G$4),Assumptions!$E$44))</f>
        <v/>
      </c>
      <c r="H26" s="39">
        <f>IF($H$5="PrepayDisc",$H$6,IF(OR($H$7="ALL",Assumptions!$N$44="Y"),INDEX(Assumptions!$D$44:$F$44,$H$4),Assumptions!$E$44))</f>
        <v/>
      </c>
      <c r="I26" s="39">
        <f>IF($I$5="PrepayDisc",$I$6,IF(OR($I$7="ALL",Assumptions!$N$44="Y"),INDEX(Assumptions!$D$44:$F$44,$I$4),Assumptions!$E$44))</f>
        <v/>
      </c>
      <c r="J26" s="39">
        <f>IF($J$5="PrepayDisc",$J$6,IF(OR($J$7="ALL",Assumptions!$N$44="Y"),INDEX(Assumptions!$D$44:$F$44,$J$4),Assumptions!$E$44))</f>
        <v/>
      </c>
      <c r="K26" s="39">
        <f>IF($K$5="PrepayDisc",$K$6,IF(OR($K$7="ALL",Assumptions!$N$44="Y"),INDEX(Assumptions!$D$44:$F$44,$K$4),Assumptions!$E$44))</f>
        <v/>
      </c>
      <c r="L26" s="39">
        <f>IF($L$5="PrepayDisc",$L$6,IF(OR($L$7="ALL",Assumptions!$N$44="Y"),INDEX(Assumptions!$D$44:$F$44,$L$4),Assumptions!$E$44))</f>
        <v/>
      </c>
      <c r="M26" s="39">
        <f>IF($M$5="PrepayDisc",$M$6,IF(OR($M$7="ALL",Assumptions!$N$44="Y"),INDEX(Assumptions!$D$44:$F$44,$M$4),Assumptions!$E$44))</f>
        <v/>
      </c>
      <c r="N26" s="39">
        <f>IF($N$5="PrepayDisc",$N$6,IF(OR($N$7="ALL",Assumptions!$N$44="Y"),INDEX(Assumptions!$D$44:$F$44,$N$4),Assumptions!$E$44))</f>
        <v/>
      </c>
      <c r="O26" s="39">
        <f>IF($O$5="PrepayDisc",$O$6,IF(OR($O$7="ALL",Assumptions!$N$44="Y"),INDEX(Assumptions!$D$44:$F$44,$O$4),Assumptions!$E$44))</f>
        <v/>
      </c>
      <c r="P26" s="39">
        <f>IF($P$5="PrepayDisc",$P$6,IF(OR($P$7="ALL",Assumptions!$N$44="Y"),INDEX(Assumptions!$D$44:$F$44,$P$4),Assumptions!$E$44))</f>
        <v/>
      </c>
      <c r="Q26" s="39">
        <f>IF($Q$5="PrepayDisc",$Q$6,IF(OR($Q$7="ALL",Assumptions!$N$44="Y"),INDEX(Assumptions!$D$44:$F$44,$Q$4),Assumptions!$E$44))</f>
        <v/>
      </c>
      <c r="R26" s="39">
        <f>IF($R$5="PrepayDisc",$R$6,IF(OR($R$7="ALL",Assumptions!$N$44="Y"),INDEX(Assumptions!$D$44:$F$44,$R$4),Assumptions!$E$44))</f>
        <v/>
      </c>
      <c r="S26" s="39">
        <f>IF($S$5="PrepayDisc",$S$6,IF(OR($S$7="ALL",Assumptions!$N$44="Y"),INDEX(Assumptions!$D$44:$F$44,$S$4),Assumptions!$E$44))</f>
        <v/>
      </c>
      <c r="T26" s="39">
        <f>IF($T$5="PrepayDisc",$T$6,IF(OR($T$7="ALL",Assumptions!$N$44="Y"),INDEX(Assumptions!$D$44:$F$44,$T$4),Assumptions!$E$44))</f>
        <v/>
      </c>
      <c r="U26" s="39">
        <f>IF($U$5="PrepayDisc",$U$6,IF(OR($U$7="ALL",Assumptions!$N$44="Y"),INDEX(Assumptions!$D$44:$F$44,$U$4),Assumptions!$E$44))</f>
        <v/>
      </c>
      <c r="V26" s="39">
        <f>IF($V$5="PrepayDisc",$V$6,IF(OR($V$7="ALL",Assumptions!$N$44="Y"),INDEX(Assumptions!$D$44:$F$44,$V$4),Assumptions!$E$44))</f>
        <v/>
      </c>
      <c r="W26" s="39">
        <f>IF($W$5="PrepayDisc",$W$6,IF(OR($W$7="ALL",Assumptions!$N$44="Y"),INDEX(Assumptions!$D$44:$F$44,$W$4),Assumptions!$E$44))</f>
        <v/>
      </c>
      <c r="X26" s="39">
        <f>IF($X$5="PrepayDisc",$X$6,IF(OR($X$7="ALL",Assumptions!$N$44="Y"),INDEX(Assumptions!$D$44:$F$44,$X$4),Assumptions!$E$44))</f>
        <v/>
      </c>
      <c r="Y26" s="39">
        <f>IF($Y$5="PrepayDisc",$Y$6,IF(OR($Y$7="ALL",Assumptions!$N$44="Y"),INDEX(Assumptions!$D$44:$F$44,$Y$4),Assumptions!$E$44))</f>
        <v/>
      </c>
      <c r="Z26" s="39">
        <f>IF($Z$5="PrepayDisc",$Z$6,IF(OR($Z$7="ALL",Assumptions!$N$44="Y"),INDEX(Assumptions!$D$44:$F$44,$Z$4),Assumptions!$E$44))</f>
        <v/>
      </c>
      <c r="AA26" s="39">
        <f>IF($AA$5="PrepayDisc",$AA$6,IF(OR($AA$7="ALL",Assumptions!$N$44="Y"),INDEX(Assumptions!$D$44:$F$44,$AA$4),Assumptions!$E$44))</f>
        <v/>
      </c>
      <c r="AB26" s="39">
        <f>IF($AB$5="PrepayDisc",$AB$6,IF(OR($AB$7="ALL",Assumptions!$N$44="Y"),INDEX(Assumptions!$D$44:$F$44,$AB$4),Assumptions!$E$44))</f>
        <v/>
      </c>
      <c r="AC26" s="39">
        <f>IF($AC$5="PrepayDisc",$AC$6,IF(OR($AC$7="ALL",Assumptions!$N$44="Y"),INDEX(Assumptions!$D$44:$F$44,$AC$4),Assumptions!$E$44))</f>
        <v/>
      </c>
      <c r="AD26" s="39">
        <f>IF($AD$5="PrepayDisc",$AD$6,IF(OR($AD$7="ALL",Assumptions!$N$44="Y"),INDEX(Assumptions!$D$44:$F$44,$AD$4),Assumptions!$E$44))</f>
        <v/>
      </c>
      <c r="AE26" s="39">
        <f>IF($AE$5="PrepayDisc",$AE$6,IF(OR($AE$7="ALL",Assumptions!$N$44="Y"),INDEX(Assumptions!$D$44:$F$44,$AE$4),Assumptions!$E$44))</f>
        <v/>
      </c>
      <c r="AF26" s="39">
        <f>IF($AF$5="PrepayDisc",$AF$6,IF(OR($AF$7="ALL",Assumptions!$N$44="Y"),INDEX(Assumptions!$D$44:$F$44,$AF$4),Assumptions!$E$44))</f>
        <v/>
      </c>
      <c r="AG26" s="39">
        <f>IF($AG$5="PrepayDisc",$AG$6,IF(OR($AG$7="ALL",Assumptions!$N$44="Y"),INDEX(Assumptions!$D$44:$F$44,$AG$4),Assumptions!$E$44))</f>
        <v/>
      </c>
      <c r="AH26" s="39">
        <f>IF($AH$5="PrepayDisc",$AH$6,IF(OR($AH$7="ALL",Assumptions!$N$44="Y"),INDEX(Assumptions!$D$44:$F$44,$AH$4),Assumptions!$E$44))</f>
        <v/>
      </c>
      <c r="AI26" s="39">
        <f>IF($AI$5="PrepayDisc",$AI$6,IF(OR($AI$7="ALL",Assumptions!$N$44="Y"),INDEX(Assumptions!$D$44:$F$44,$AI$4),Assumptions!$E$44))</f>
        <v/>
      </c>
      <c r="AJ26" s="39">
        <f>IF($AJ$5="PrepayDisc",$AJ$6,IF(OR($AJ$7="ALL",Assumptions!$N$44="Y"),INDEX(Assumptions!$D$44:$F$44,$AJ$4),Assumptions!$E$44))</f>
        <v/>
      </c>
      <c r="AK26" s="39">
        <f>IF($AK$5="PrepayDisc",$AK$6,IF(OR($AK$7="ALL",Assumptions!$N$44="Y"),INDEX(Assumptions!$D$44:$F$44,$AK$4),Assumptions!$E$44))</f>
        <v/>
      </c>
      <c r="AL26" s="39">
        <f>IF($AL$5="PrepayDisc",$AL$6,IF(OR($AL$7="ALL",Assumptions!$N$44="Y"),INDEX(Assumptions!$D$44:$F$44,$AL$4),Assumptions!$E$44))</f>
        <v/>
      </c>
      <c r="AM26" s="39">
        <f>IF($AM$5="PrepayDisc",$AM$6,IF(OR($AM$7="ALL",Assumptions!$N$44="Y"),INDEX(Assumptions!$D$44:$F$44,$AM$4),Assumptions!$E$44))</f>
        <v/>
      </c>
      <c r="AN26" s="39">
        <f>IF($AN$5="PrepayDisc",$AN$6,IF(OR($AN$7="ALL",Assumptions!$N$44="Y"),INDEX(Assumptions!$D$44:$F$44,$AN$4),Assumptions!$E$44))</f>
        <v/>
      </c>
      <c r="AO26" s="39">
        <f>IF($AO$5="PrepayDisc",$AO$6,IF(OR($AO$7="ALL",Assumptions!$N$44="Y"),INDEX(Assumptions!$D$44:$F$44,$AO$4),Assumptions!$E$44))</f>
        <v/>
      </c>
      <c r="AP26" s="39">
        <f>IF($AP$5="PrepayDisc",$AP$6,IF(OR($AP$7="ALL",Assumptions!$N$44="Y"),INDEX(Assumptions!$D$44:$F$44,$AP$4),Assumptions!$E$44))</f>
        <v/>
      </c>
      <c r="AQ26" s="39">
        <f>IF($AQ$5="PrepayDisc",$AQ$6,IF(OR($AQ$7="ALL",Assumptions!$N$44="Y"),INDEX(Assumptions!$D$44:$F$44,$AQ$4),Assumptions!$E$44))</f>
        <v/>
      </c>
      <c r="AR26" s="39">
        <f>IF($AR$5="PrepayDisc",$AR$6,IF(OR($AR$7="ALL",Assumptions!$N$44="Y"),INDEX(Assumptions!$D$44:$F$44,$AR$4),Assumptions!$E$44))</f>
        <v/>
      </c>
      <c r="AS26" s="39">
        <f>IF($AS$5="PrepayDisc",$AS$6,IF(OR($AS$7="ALL",Assumptions!$N$44="Y"),INDEX(Assumptions!$D$44:$F$44,$AS$4),Assumptions!$E$44))</f>
        <v/>
      </c>
      <c r="AT26" s="39">
        <f>IF($AT$5="PrepayDisc",$AT$6,IF(OR($AT$7="ALL",Assumptions!$N$44="Y"),INDEX(Assumptions!$D$44:$F$44,$AT$4),Assumptions!$E$44))</f>
        <v/>
      </c>
      <c r="AU26" s="39">
        <f>IF($AU$5="PrepayDisc",$AU$6,IF(OR($AU$7="ALL",Assumptions!$N$44="Y"),INDEX(Assumptions!$D$44:$F$44,$AU$4),Assumptions!$E$44))</f>
        <v/>
      </c>
      <c r="AV26" s="39">
        <f>IF($AV$5="PrepayDisc",$AV$6,IF(OR($AV$7="ALL",Assumptions!$N$44="Y"),INDEX(Assumptions!$D$44:$F$44,$AV$4),Assumptions!$E$44))</f>
        <v/>
      </c>
      <c r="AW26" s="39">
        <f>IF($AW$5="PrepayDisc",$AW$6,IF(OR($AW$7="ALL",Assumptions!$N$44="Y"),INDEX(Assumptions!$D$44:$F$44,$AW$4),Assumptions!$E$44))</f>
        <v/>
      </c>
      <c r="AX26" s="39">
        <f>IF($AX$5="PrepayDisc",$AX$6,IF(OR($AX$7="ALL",Assumptions!$N$44="Y"),INDEX(Assumptions!$D$44:$F$44,$AX$4),Assumptions!$E$44))</f>
        <v/>
      </c>
      <c r="AY26" s="39">
        <f>IF($AY$5="PrepayDisc",$AY$6,IF(OR($AY$7="ALL",Assumptions!$N$44="Y"),INDEX(Assumptions!$D$44:$F$44,$AY$4),Assumptions!$E$44))</f>
        <v/>
      </c>
      <c r="AZ26" s="39">
        <f>IF($AZ$5="PrepayDisc",$AZ$6,IF(OR($AZ$7="ALL",Assumptions!$N$44="Y"),INDEX(Assumptions!$D$44:$F$44,$AZ$4),Assumptions!$E$44))</f>
        <v/>
      </c>
      <c r="BA26" s="39">
        <f>IF($BA$5="PrepayDisc",$BA$6,IF(OR($BA$7="ALL",Assumptions!$N$44="Y"),INDEX(Assumptions!$D$44:$F$44,$BA$4),Assumptions!$E$44))</f>
        <v/>
      </c>
      <c r="BB26" s="39">
        <f>IF($BB$5="PrepayDisc",$BB$6,IF(OR($BB$7="ALL",Assumptions!$N$44="Y"),INDEX(Assumptions!$D$44:$F$44,$BB$4),Assumptions!$E$44))</f>
        <v/>
      </c>
      <c r="BC26" s="39">
        <f>IF($BC$5="PrepayDisc",$BC$6,IF(OR($BC$7="ALL",Assumptions!$N$44="Y"),INDEX(Assumptions!$D$44:$F$44,$BC$4),Assumptions!$E$44))</f>
        <v/>
      </c>
      <c r="BD26" s="39">
        <f>IF($BD$5="PrepayDisc",$BD$6,IF(OR($BD$7="ALL",Assumptions!$N$44="Y"),INDEX(Assumptions!$D$44:$F$44,$BD$4),Assumptions!$E$44))</f>
        <v/>
      </c>
      <c r="BE26" s="39">
        <f>IF($BE$5="PrepayDisc",$BE$6,IF(OR($BE$7="ALL",Assumptions!$N$44="Y"),INDEX(Assumptions!$D$44:$F$44,$BE$4),Assumptions!$E$44))</f>
        <v/>
      </c>
    </row>
    <row r="27">
      <c r="B27" s="5" t="inlineStr">
        <is>
          <t>GST</t>
        </is>
      </c>
      <c r="D27" s="39">
        <f>IF($D$5="GST",$D$6,IF(OR($D$7="ALL",Assumptions!$N$35="Y"),INDEX(Assumptions!$D$35:$F$35,$D$4),Assumptions!$E$35))</f>
        <v/>
      </c>
      <c r="E27" s="39">
        <f>IF($E$5="GST",$E$6,IF(OR($E$7="ALL",Assumptions!$N$35="Y"),INDEX(Assumptions!$D$35:$F$35,$E$4),Assumptions!$E$35))</f>
        <v/>
      </c>
      <c r="F27" s="39">
        <f>IF($F$5="GST",$F$6,IF(OR($F$7="ALL",Assumptions!$N$35="Y"),INDEX(Assumptions!$D$35:$F$35,$F$4),Assumptions!$E$35))</f>
        <v/>
      </c>
      <c r="G27" s="39">
        <f>IF($G$5="GST",$G$6,IF(OR($G$7="ALL",Assumptions!$N$35="Y"),INDEX(Assumptions!$D$35:$F$35,$G$4),Assumptions!$E$35))</f>
        <v/>
      </c>
      <c r="H27" s="39">
        <f>IF($H$5="GST",$H$6,IF(OR($H$7="ALL",Assumptions!$N$35="Y"),INDEX(Assumptions!$D$35:$F$35,$H$4),Assumptions!$E$35))</f>
        <v/>
      </c>
      <c r="I27" s="39">
        <f>IF($I$5="GST",$I$6,IF(OR($I$7="ALL",Assumptions!$N$35="Y"),INDEX(Assumptions!$D$35:$F$35,$I$4),Assumptions!$E$35))</f>
        <v/>
      </c>
      <c r="J27" s="39">
        <f>IF($J$5="GST",$J$6,IF(OR($J$7="ALL",Assumptions!$N$35="Y"),INDEX(Assumptions!$D$35:$F$35,$J$4),Assumptions!$E$35))</f>
        <v/>
      </c>
      <c r="K27" s="39">
        <f>IF($K$5="GST",$K$6,IF(OR($K$7="ALL",Assumptions!$N$35="Y"),INDEX(Assumptions!$D$35:$F$35,$K$4),Assumptions!$E$35))</f>
        <v/>
      </c>
      <c r="L27" s="39">
        <f>IF($L$5="GST",$L$6,IF(OR($L$7="ALL",Assumptions!$N$35="Y"),INDEX(Assumptions!$D$35:$F$35,$L$4),Assumptions!$E$35))</f>
        <v/>
      </c>
      <c r="M27" s="39">
        <f>IF($M$5="GST",$M$6,IF(OR($M$7="ALL",Assumptions!$N$35="Y"),INDEX(Assumptions!$D$35:$F$35,$M$4),Assumptions!$E$35))</f>
        <v/>
      </c>
      <c r="N27" s="39">
        <f>IF($N$5="GST",$N$6,IF(OR($N$7="ALL",Assumptions!$N$35="Y"),INDEX(Assumptions!$D$35:$F$35,$N$4),Assumptions!$E$35))</f>
        <v/>
      </c>
      <c r="O27" s="39">
        <f>IF($O$5="GST",$O$6,IF(OR($O$7="ALL",Assumptions!$N$35="Y"),INDEX(Assumptions!$D$35:$F$35,$O$4),Assumptions!$E$35))</f>
        <v/>
      </c>
      <c r="P27" s="39">
        <f>IF($P$5="GST",$P$6,IF(OR($P$7="ALL",Assumptions!$N$35="Y"),INDEX(Assumptions!$D$35:$F$35,$P$4),Assumptions!$E$35))</f>
        <v/>
      </c>
      <c r="Q27" s="39">
        <f>IF($Q$5="GST",$Q$6,IF(OR($Q$7="ALL",Assumptions!$N$35="Y"),INDEX(Assumptions!$D$35:$F$35,$Q$4),Assumptions!$E$35))</f>
        <v/>
      </c>
      <c r="R27" s="39">
        <f>IF($R$5="GST",$R$6,IF(OR($R$7="ALL",Assumptions!$N$35="Y"),INDEX(Assumptions!$D$35:$F$35,$R$4),Assumptions!$E$35))</f>
        <v/>
      </c>
      <c r="S27" s="39">
        <f>IF($S$5="GST",$S$6,IF(OR($S$7="ALL",Assumptions!$N$35="Y"),INDEX(Assumptions!$D$35:$F$35,$S$4),Assumptions!$E$35))</f>
        <v/>
      </c>
      <c r="T27" s="39">
        <f>IF($T$5="GST",$T$6,IF(OR($T$7="ALL",Assumptions!$N$35="Y"),INDEX(Assumptions!$D$35:$F$35,$T$4),Assumptions!$E$35))</f>
        <v/>
      </c>
      <c r="U27" s="39">
        <f>IF($U$5="GST",$U$6,IF(OR($U$7="ALL",Assumptions!$N$35="Y"),INDEX(Assumptions!$D$35:$F$35,$U$4),Assumptions!$E$35))</f>
        <v/>
      </c>
      <c r="V27" s="39">
        <f>IF($V$5="GST",$V$6,IF(OR($V$7="ALL",Assumptions!$N$35="Y"),INDEX(Assumptions!$D$35:$F$35,$V$4),Assumptions!$E$35))</f>
        <v/>
      </c>
      <c r="W27" s="39">
        <f>IF($W$5="GST",$W$6,IF(OR($W$7="ALL",Assumptions!$N$35="Y"),INDEX(Assumptions!$D$35:$F$35,$W$4),Assumptions!$E$35))</f>
        <v/>
      </c>
      <c r="X27" s="39">
        <f>IF($X$5="GST",$X$6,IF(OR($X$7="ALL",Assumptions!$N$35="Y"),INDEX(Assumptions!$D$35:$F$35,$X$4),Assumptions!$E$35))</f>
        <v/>
      </c>
      <c r="Y27" s="39">
        <f>IF($Y$5="GST",$Y$6,IF(OR($Y$7="ALL",Assumptions!$N$35="Y"),INDEX(Assumptions!$D$35:$F$35,$Y$4),Assumptions!$E$35))</f>
        <v/>
      </c>
      <c r="Z27" s="39">
        <f>IF($Z$5="GST",$Z$6,IF(OR($Z$7="ALL",Assumptions!$N$35="Y"),INDEX(Assumptions!$D$35:$F$35,$Z$4),Assumptions!$E$35))</f>
        <v/>
      </c>
      <c r="AA27" s="39">
        <f>IF($AA$5="GST",$AA$6,IF(OR($AA$7="ALL",Assumptions!$N$35="Y"),INDEX(Assumptions!$D$35:$F$35,$AA$4),Assumptions!$E$35))</f>
        <v/>
      </c>
      <c r="AB27" s="39">
        <f>IF($AB$5="GST",$AB$6,IF(OR($AB$7="ALL",Assumptions!$N$35="Y"),INDEX(Assumptions!$D$35:$F$35,$AB$4),Assumptions!$E$35))</f>
        <v/>
      </c>
      <c r="AC27" s="39">
        <f>IF($AC$5="GST",$AC$6,IF(OR($AC$7="ALL",Assumptions!$N$35="Y"),INDEX(Assumptions!$D$35:$F$35,$AC$4),Assumptions!$E$35))</f>
        <v/>
      </c>
      <c r="AD27" s="39">
        <f>IF($AD$5="GST",$AD$6,IF(OR($AD$7="ALL",Assumptions!$N$35="Y"),INDEX(Assumptions!$D$35:$F$35,$AD$4),Assumptions!$E$35))</f>
        <v/>
      </c>
      <c r="AE27" s="39">
        <f>IF($AE$5="GST",$AE$6,IF(OR($AE$7="ALL",Assumptions!$N$35="Y"),INDEX(Assumptions!$D$35:$F$35,$AE$4),Assumptions!$E$35))</f>
        <v/>
      </c>
      <c r="AF27" s="39">
        <f>IF($AF$5="GST",$AF$6,IF(OR($AF$7="ALL",Assumptions!$N$35="Y"),INDEX(Assumptions!$D$35:$F$35,$AF$4),Assumptions!$E$35))</f>
        <v/>
      </c>
      <c r="AG27" s="39">
        <f>IF($AG$5="GST",$AG$6,IF(OR($AG$7="ALL",Assumptions!$N$35="Y"),INDEX(Assumptions!$D$35:$F$35,$AG$4),Assumptions!$E$35))</f>
        <v/>
      </c>
      <c r="AH27" s="39">
        <f>IF($AH$5="GST",$AH$6,IF(OR($AH$7="ALL",Assumptions!$N$35="Y"),INDEX(Assumptions!$D$35:$F$35,$AH$4),Assumptions!$E$35))</f>
        <v/>
      </c>
      <c r="AI27" s="39">
        <f>IF($AI$5="GST",$AI$6,IF(OR($AI$7="ALL",Assumptions!$N$35="Y"),INDEX(Assumptions!$D$35:$F$35,$AI$4),Assumptions!$E$35))</f>
        <v/>
      </c>
      <c r="AJ27" s="39">
        <f>IF($AJ$5="GST",$AJ$6,IF(OR($AJ$7="ALL",Assumptions!$N$35="Y"),INDEX(Assumptions!$D$35:$F$35,$AJ$4),Assumptions!$E$35))</f>
        <v/>
      </c>
      <c r="AK27" s="39">
        <f>IF($AK$5="GST",$AK$6,IF(OR($AK$7="ALL",Assumptions!$N$35="Y"),INDEX(Assumptions!$D$35:$F$35,$AK$4),Assumptions!$E$35))</f>
        <v/>
      </c>
      <c r="AL27" s="39">
        <f>IF($AL$5="GST",$AL$6,IF(OR($AL$7="ALL",Assumptions!$N$35="Y"),INDEX(Assumptions!$D$35:$F$35,$AL$4),Assumptions!$E$35))</f>
        <v/>
      </c>
      <c r="AM27" s="39">
        <f>IF($AM$5="GST",$AM$6,IF(OR($AM$7="ALL",Assumptions!$N$35="Y"),INDEX(Assumptions!$D$35:$F$35,$AM$4),Assumptions!$E$35))</f>
        <v/>
      </c>
      <c r="AN27" s="39">
        <f>IF($AN$5="GST",$AN$6,IF(OR($AN$7="ALL",Assumptions!$N$35="Y"),INDEX(Assumptions!$D$35:$F$35,$AN$4),Assumptions!$E$35))</f>
        <v/>
      </c>
      <c r="AO27" s="39">
        <f>IF($AO$5="GST",$AO$6,IF(OR($AO$7="ALL",Assumptions!$N$35="Y"),INDEX(Assumptions!$D$35:$F$35,$AO$4),Assumptions!$E$35))</f>
        <v/>
      </c>
      <c r="AP27" s="39">
        <f>IF($AP$5="GST",$AP$6,IF(OR($AP$7="ALL",Assumptions!$N$35="Y"),INDEX(Assumptions!$D$35:$F$35,$AP$4),Assumptions!$E$35))</f>
        <v/>
      </c>
      <c r="AQ27" s="39">
        <f>IF($AQ$5="GST",$AQ$6,IF(OR($AQ$7="ALL",Assumptions!$N$35="Y"),INDEX(Assumptions!$D$35:$F$35,$AQ$4),Assumptions!$E$35))</f>
        <v/>
      </c>
      <c r="AR27" s="39">
        <f>IF($AR$5="GST",$AR$6,IF(OR($AR$7="ALL",Assumptions!$N$35="Y"),INDEX(Assumptions!$D$35:$F$35,$AR$4),Assumptions!$E$35))</f>
        <v/>
      </c>
      <c r="AS27" s="39">
        <f>IF($AS$5="GST",$AS$6,IF(OR($AS$7="ALL",Assumptions!$N$35="Y"),INDEX(Assumptions!$D$35:$F$35,$AS$4),Assumptions!$E$35))</f>
        <v/>
      </c>
      <c r="AT27" s="39">
        <f>IF($AT$5="GST",$AT$6,IF(OR($AT$7="ALL",Assumptions!$N$35="Y"),INDEX(Assumptions!$D$35:$F$35,$AT$4),Assumptions!$E$35))</f>
        <v/>
      </c>
      <c r="AU27" s="39">
        <f>IF($AU$5="GST",$AU$6,IF(OR($AU$7="ALL",Assumptions!$N$35="Y"),INDEX(Assumptions!$D$35:$F$35,$AU$4),Assumptions!$E$35))</f>
        <v/>
      </c>
      <c r="AV27" s="39">
        <f>IF($AV$5="GST",$AV$6,IF(OR($AV$7="ALL",Assumptions!$N$35="Y"),INDEX(Assumptions!$D$35:$F$35,$AV$4),Assumptions!$E$35))</f>
        <v/>
      </c>
      <c r="AW27" s="39">
        <f>IF($AW$5="GST",$AW$6,IF(OR($AW$7="ALL",Assumptions!$N$35="Y"),INDEX(Assumptions!$D$35:$F$35,$AW$4),Assumptions!$E$35))</f>
        <v/>
      </c>
      <c r="AX27" s="39">
        <f>IF($AX$5="GST",$AX$6,IF(OR($AX$7="ALL",Assumptions!$N$35="Y"),INDEX(Assumptions!$D$35:$F$35,$AX$4),Assumptions!$E$35))</f>
        <v/>
      </c>
      <c r="AY27" s="39">
        <f>IF($AY$5="GST",$AY$6,IF(OR($AY$7="ALL",Assumptions!$N$35="Y"),INDEX(Assumptions!$D$35:$F$35,$AY$4),Assumptions!$E$35))</f>
        <v/>
      </c>
      <c r="AZ27" s="39">
        <f>IF($AZ$5="GST",$AZ$6,IF(OR($AZ$7="ALL",Assumptions!$N$35="Y"),INDEX(Assumptions!$D$35:$F$35,$AZ$4),Assumptions!$E$35))</f>
        <v/>
      </c>
      <c r="BA27" s="39">
        <f>IF($BA$5="GST",$BA$6,IF(OR($BA$7="ALL",Assumptions!$N$35="Y"),INDEX(Assumptions!$D$35:$F$35,$BA$4),Assumptions!$E$35))</f>
        <v/>
      </c>
      <c r="BB27" s="39">
        <f>IF($BB$5="GST",$BB$6,IF(OR($BB$7="ALL",Assumptions!$N$35="Y"),INDEX(Assumptions!$D$35:$F$35,$BB$4),Assumptions!$E$35))</f>
        <v/>
      </c>
      <c r="BC27" s="39">
        <f>IF($BC$5="GST",$BC$6,IF(OR($BC$7="ALL",Assumptions!$N$35="Y"),INDEX(Assumptions!$D$35:$F$35,$BC$4),Assumptions!$E$35))</f>
        <v/>
      </c>
      <c r="BD27" s="39">
        <f>IF($BD$5="GST",$BD$6,IF(OR($BD$7="ALL",Assumptions!$N$35="Y"),INDEX(Assumptions!$D$35:$F$35,$BD$4),Assumptions!$E$35))</f>
        <v/>
      </c>
      <c r="BE27" s="39">
        <f>IF($BE$5="GST",$BE$6,IF(OR($BE$7="ALL",Assumptions!$N$35="Y"),INDEX(Assumptions!$D$35:$F$35,$BE$4),Assumptions!$E$35))</f>
        <v/>
      </c>
    </row>
    <row r="28">
      <c r="B28" s="5" t="inlineStr">
        <is>
          <t>CompetitorAnchor</t>
        </is>
      </c>
      <c r="D28" s="47">
        <f>IF($D$5="CompetitorAnchor",$D$6,IF(OR($D$7="ALL",Assumptions!$N$39="Y"),INDEX(Assumptions!$D$39:$F$39,$D$4),Assumptions!$E$39))</f>
        <v/>
      </c>
      <c r="E28" s="47">
        <f>IF($E$5="CompetitorAnchor",$E$6,IF(OR($E$7="ALL",Assumptions!$N$39="Y"),INDEX(Assumptions!$D$39:$F$39,$E$4),Assumptions!$E$39))</f>
        <v/>
      </c>
      <c r="F28" s="47">
        <f>IF($F$5="CompetitorAnchor",$F$6,IF(OR($F$7="ALL",Assumptions!$N$39="Y"),INDEX(Assumptions!$D$39:$F$39,$F$4),Assumptions!$E$39))</f>
        <v/>
      </c>
      <c r="G28" s="47">
        <f>IF($G$5="CompetitorAnchor",$G$6,IF(OR($G$7="ALL",Assumptions!$N$39="Y"),INDEX(Assumptions!$D$39:$F$39,$G$4),Assumptions!$E$39))</f>
        <v/>
      </c>
      <c r="H28" s="47">
        <f>IF($H$5="CompetitorAnchor",$H$6,IF(OR($H$7="ALL",Assumptions!$N$39="Y"),INDEX(Assumptions!$D$39:$F$39,$H$4),Assumptions!$E$39))</f>
        <v/>
      </c>
      <c r="I28" s="47">
        <f>IF($I$5="CompetitorAnchor",$I$6,IF(OR($I$7="ALL",Assumptions!$N$39="Y"),INDEX(Assumptions!$D$39:$F$39,$I$4),Assumptions!$E$39))</f>
        <v/>
      </c>
      <c r="J28" s="47">
        <f>IF($J$5="CompetitorAnchor",$J$6,IF(OR($J$7="ALL",Assumptions!$N$39="Y"),INDEX(Assumptions!$D$39:$F$39,$J$4),Assumptions!$E$39))</f>
        <v/>
      </c>
      <c r="K28" s="47">
        <f>IF($K$5="CompetitorAnchor",$K$6,IF(OR($K$7="ALL",Assumptions!$N$39="Y"),INDEX(Assumptions!$D$39:$F$39,$K$4),Assumptions!$E$39))</f>
        <v/>
      </c>
      <c r="L28" s="47">
        <f>IF($L$5="CompetitorAnchor",$L$6,IF(OR($L$7="ALL",Assumptions!$N$39="Y"),INDEX(Assumptions!$D$39:$F$39,$L$4),Assumptions!$E$39))</f>
        <v/>
      </c>
      <c r="M28" s="47">
        <f>IF($M$5="CompetitorAnchor",$M$6,IF(OR($M$7="ALL",Assumptions!$N$39="Y"),INDEX(Assumptions!$D$39:$F$39,$M$4),Assumptions!$E$39))</f>
        <v/>
      </c>
      <c r="N28" s="47">
        <f>IF($N$5="CompetitorAnchor",$N$6,IF(OR($N$7="ALL",Assumptions!$N$39="Y"),INDEX(Assumptions!$D$39:$F$39,$N$4),Assumptions!$E$39))</f>
        <v/>
      </c>
      <c r="O28" s="47">
        <f>IF($O$5="CompetitorAnchor",$O$6,IF(OR($O$7="ALL",Assumptions!$N$39="Y"),INDEX(Assumptions!$D$39:$F$39,$O$4),Assumptions!$E$39))</f>
        <v/>
      </c>
      <c r="P28" s="47">
        <f>IF($P$5="CompetitorAnchor",$P$6,IF(OR($P$7="ALL",Assumptions!$N$39="Y"),INDEX(Assumptions!$D$39:$F$39,$P$4),Assumptions!$E$39))</f>
        <v/>
      </c>
      <c r="Q28" s="47">
        <f>IF($Q$5="CompetitorAnchor",$Q$6,IF(OR($Q$7="ALL",Assumptions!$N$39="Y"),INDEX(Assumptions!$D$39:$F$39,$Q$4),Assumptions!$E$39))</f>
        <v/>
      </c>
      <c r="R28" s="47">
        <f>IF($R$5="CompetitorAnchor",$R$6,IF(OR($R$7="ALL",Assumptions!$N$39="Y"),INDEX(Assumptions!$D$39:$F$39,$R$4),Assumptions!$E$39))</f>
        <v/>
      </c>
      <c r="S28" s="47">
        <f>IF($S$5="CompetitorAnchor",$S$6,IF(OR($S$7="ALL",Assumptions!$N$39="Y"),INDEX(Assumptions!$D$39:$F$39,$S$4),Assumptions!$E$39))</f>
        <v/>
      </c>
      <c r="T28" s="47">
        <f>IF($T$5="CompetitorAnchor",$T$6,IF(OR($T$7="ALL",Assumptions!$N$39="Y"),INDEX(Assumptions!$D$39:$F$39,$T$4),Assumptions!$E$39))</f>
        <v/>
      </c>
      <c r="U28" s="47">
        <f>IF($U$5="CompetitorAnchor",$U$6,IF(OR($U$7="ALL",Assumptions!$N$39="Y"),INDEX(Assumptions!$D$39:$F$39,$U$4),Assumptions!$E$39))</f>
        <v/>
      </c>
      <c r="V28" s="47">
        <f>IF($V$5="CompetitorAnchor",$V$6,IF(OR($V$7="ALL",Assumptions!$N$39="Y"),INDEX(Assumptions!$D$39:$F$39,$V$4),Assumptions!$E$39))</f>
        <v/>
      </c>
      <c r="W28" s="47">
        <f>IF($W$5="CompetitorAnchor",$W$6,IF(OR($W$7="ALL",Assumptions!$N$39="Y"),INDEX(Assumptions!$D$39:$F$39,$W$4),Assumptions!$E$39))</f>
        <v/>
      </c>
      <c r="X28" s="47">
        <f>IF($X$5="CompetitorAnchor",$X$6,IF(OR($X$7="ALL",Assumptions!$N$39="Y"),INDEX(Assumptions!$D$39:$F$39,$X$4),Assumptions!$E$39))</f>
        <v/>
      </c>
      <c r="Y28" s="47">
        <f>IF($Y$5="CompetitorAnchor",$Y$6,IF(OR($Y$7="ALL",Assumptions!$N$39="Y"),INDEX(Assumptions!$D$39:$F$39,$Y$4),Assumptions!$E$39))</f>
        <v/>
      </c>
      <c r="Z28" s="47">
        <f>IF($Z$5="CompetitorAnchor",$Z$6,IF(OR($Z$7="ALL",Assumptions!$N$39="Y"),INDEX(Assumptions!$D$39:$F$39,$Z$4),Assumptions!$E$39))</f>
        <v/>
      </c>
      <c r="AA28" s="47">
        <f>IF($AA$5="CompetitorAnchor",$AA$6,IF(OR($AA$7="ALL",Assumptions!$N$39="Y"),INDEX(Assumptions!$D$39:$F$39,$AA$4),Assumptions!$E$39))</f>
        <v/>
      </c>
      <c r="AB28" s="47">
        <f>IF($AB$5="CompetitorAnchor",$AB$6,IF(OR($AB$7="ALL",Assumptions!$N$39="Y"),INDEX(Assumptions!$D$39:$F$39,$AB$4),Assumptions!$E$39))</f>
        <v/>
      </c>
      <c r="AC28" s="47">
        <f>IF($AC$5="CompetitorAnchor",$AC$6,IF(OR($AC$7="ALL",Assumptions!$N$39="Y"),INDEX(Assumptions!$D$39:$F$39,$AC$4),Assumptions!$E$39))</f>
        <v/>
      </c>
      <c r="AD28" s="47">
        <f>IF($AD$5="CompetitorAnchor",$AD$6,IF(OR($AD$7="ALL",Assumptions!$N$39="Y"),INDEX(Assumptions!$D$39:$F$39,$AD$4),Assumptions!$E$39))</f>
        <v/>
      </c>
      <c r="AE28" s="47">
        <f>IF($AE$5="CompetitorAnchor",$AE$6,IF(OR($AE$7="ALL",Assumptions!$N$39="Y"),INDEX(Assumptions!$D$39:$F$39,$AE$4),Assumptions!$E$39))</f>
        <v/>
      </c>
      <c r="AF28" s="47">
        <f>IF($AF$5="CompetitorAnchor",$AF$6,IF(OR($AF$7="ALL",Assumptions!$N$39="Y"),INDEX(Assumptions!$D$39:$F$39,$AF$4),Assumptions!$E$39))</f>
        <v/>
      </c>
      <c r="AG28" s="47">
        <f>IF($AG$5="CompetitorAnchor",$AG$6,IF(OR($AG$7="ALL",Assumptions!$N$39="Y"),INDEX(Assumptions!$D$39:$F$39,$AG$4),Assumptions!$E$39))</f>
        <v/>
      </c>
      <c r="AH28" s="47">
        <f>IF($AH$5="CompetitorAnchor",$AH$6,IF(OR($AH$7="ALL",Assumptions!$N$39="Y"),INDEX(Assumptions!$D$39:$F$39,$AH$4),Assumptions!$E$39))</f>
        <v/>
      </c>
      <c r="AI28" s="47">
        <f>IF($AI$5="CompetitorAnchor",$AI$6,IF(OR($AI$7="ALL",Assumptions!$N$39="Y"),INDEX(Assumptions!$D$39:$F$39,$AI$4),Assumptions!$E$39))</f>
        <v/>
      </c>
      <c r="AJ28" s="47">
        <f>IF($AJ$5="CompetitorAnchor",$AJ$6,IF(OR($AJ$7="ALL",Assumptions!$N$39="Y"),INDEX(Assumptions!$D$39:$F$39,$AJ$4),Assumptions!$E$39))</f>
        <v/>
      </c>
      <c r="AK28" s="47">
        <f>IF($AK$5="CompetitorAnchor",$AK$6,IF(OR($AK$7="ALL",Assumptions!$N$39="Y"),INDEX(Assumptions!$D$39:$F$39,$AK$4),Assumptions!$E$39))</f>
        <v/>
      </c>
      <c r="AL28" s="47">
        <f>IF($AL$5="CompetitorAnchor",$AL$6,IF(OR($AL$7="ALL",Assumptions!$N$39="Y"),INDEX(Assumptions!$D$39:$F$39,$AL$4),Assumptions!$E$39))</f>
        <v/>
      </c>
      <c r="AM28" s="47">
        <f>IF($AM$5="CompetitorAnchor",$AM$6,IF(OR($AM$7="ALL",Assumptions!$N$39="Y"),INDEX(Assumptions!$D$39:$F$39,$AM$4),Assumptions!$E$39))</f>
        <v/>
      </c>
      <c r="AN28" s="47">
        <f>IF($AN$5="CompetitorAnchor",$AN$6,IF(OR($AN$7="ALL",Assumptions!$N$39="Y"),INDEX(Assumptions!$D$39:$F$39,$AN$4),Assumptions!$E$39))</f>
        <v/>
      </c>
      <c r="AO28" s="47">
        <f>IF($AO$5="CompetitorAnchor",$AO$6,IF(OR($AO$7="ALL",Assumptions!$N$39="Y"),INDEX(Assumptions!$D$39:$F$39,$AO$4),Assumptions!$E$39))</f>
        <v/>
      </c>
      <c r="AP28" s="47">
        <f>IF($AP$5="CompetitorAnchor",$AP$6,IF(OR($AP$7="ALL",Assumptions!$N$39="Y"),INDEX(Assumptions!$D$39:$F$39,$AP$4),Assumptions!$E$39))</f>
        <v/>
      </c>
      <c r="AQ28" s="47">
        <f>IF($AQ$5="CompetitorAnchor",$AQ$6,IF(OR($AQ$7="ALL",Assumptions!$N$39="Y"),INDEX(Assumptions!$D$39:$F$39,$AQ$4),Assumptions!$E$39))</f>
        <v/>
      </c>
      <c r="AR28" s="47">
        <f>IF($AR$5="CompetitorAnchor",$AR$6,IF(OR($AR$7="ALL",Assumptions!$N$39="Y"),INDEX(Assumptions!$D$39:$F$39,$AR$4),Assumptions!$E$39))</f>
        <v/>
      </c>
      <c r="AS28" s="47">
        <f>IF($AS$5="CompetitorAnchor",$AS$6,IF(OR($AS$7="ALL",Assumptions!$N$39="Y"),INDEX(Assumptions!$D$39:$F$39,$AS$4),Assumptions!$E$39))</f>
        <v/>
      </c>
      <c r="AT28" s="47">
        <f>IF($AT$5="CompetitorAnchor",$AT$6,IF(OR($AT$7="ALL",Assumptions!$N$39="Y"),INDEX(Assumptions!$D$39:$F$39,$AT$4),Assumptions!$E$39))</f>
        <v/>
      </c>
      <c r="AU28" s="47">
        <f>IF($AU$5="CompetitorAnchor",$AU$6,IF(OR($AU$7="ALL",Assumptions!$N$39="Y"),INDEX(Assumptions!$D$39:$F$39,$AU$4),Assumptions!$E$39))</f>
        <v/>
      </c>
      <c r="AV28" s="47">
        <f>IF($AV$5="CompetitorAnchor",$AV$6,IF(OR($AV$7="ALL",Assumptions!$N$39="Y"),INDEX(Assumptions!$D$39:$F$39,$AV$4),Assumptions!$E$39))</f>
        <v/>
      </c>
      <c r="AW28" s="47">
        <f>IF($AW$5="CompetitorAnchor",$AW$6,IF(OR($AW$7="ALL",Assumptions!$N$39="Y"),INDEX(Assumptions!$D$39:$F$39,$AW$4),Assumptions!$E$39))</f>
        <v/>
      </c>
      <c r="AX28" s="47">
        <f>IF($AX$5="CompetitorAnchor",$AX$6,IF(OR($AX$7="ALL",Assumptions!$N$39="Y"),INDEX(Assumptions!$D$39:$F$39,$AX$4),Assumptions!$E$39))</f>
        <v/>
      </c>
      <c r="AY28" s="47">
        <f>IF($AY$5="CompetitorAnchor",$AY$6,IF(OR($AY$7="ALL",Assumptions!$N$39="Y"),INDEX(Assumptions!$D$39:$F$39,$AY$4),Assumptions!$E$39))</f>
        <v/>
      </c>
      <c r="AZ28" s="47">
        <f>IF($AZ$5="CompetitorAnchor",$AZ$6,IF(OR($AZ$7="ALL",Assumptions!$N$39="Y"),INDEX(Assumptions!$D$39:$F$39,$AZ$4),Assumptions!$E$39))</f>
        <v/>
      </c>
      <c r="BA28" s="47">
        <f>IF($BA$5="CompetitorAnchor",$BA$6,IF(OR($BA$7="ALL",Assumptions!$N$39="Y"),INDEX(Assumptions!$D$39:$F$39,$BA$4),Assumptions!$E$39))</f>
        <v/>
      </c>
      <c r="BB28" s="47">
        <f>IF($BB$5="CompetitorAnchor",$BB$6,IF(OR($BB$7="ALL",Assumptions!$N$39="Y"),INDEX(Assumptions!$D$39:$F$39,$BB$4),Assumptions!$E$39))</f>
        <v/>
      </c>
      <c r="BC28" s="47">
        <f>IF($BC$5="CompetitorAnchor",$BC$6,IF(OR($BC$7="ALL",Assumptions!$N$39="Y"),INDEX(Assumptions!$D$39:$F$39,$BC$4),Assumptions!$E$39))</f>
        <v/>
      </c>
      <c r="BD28" s="47">
        <f>IF($BD$5="CompetitorAnchor",$BD$6,IF(OR($BD$7="ALL",Assumptions!$N$39="Y"),INDEX(Assumptions!$D$39:$F$39,$BD$4),Assumptions!$E$39))</f>
        <v/>
      </c>
      <c r="BE28" s="47">
        <f>IF($BE$5="CompetitorAnchor",$BE$6,IF(OR($BE$7="ALL",Assumptions!$N$39="Y"),INDEX(Assumptions!$D$39:$F$39,$BE$4),Assumptions!$E$39))</f>
        <v/>
      </c>
    </row>
    <row r="29">
      <c r="B29" s="5" t="inlineStr">
        <is>
          <t>Fee</t>
        </is>
      </c>
      <c r="D29" s="50">
        <f>IF($D$5="Fee",$D$6,IF(OR($D$7="ALL",Assumptions!$N$9="Y"),INDEX(Assumptions!$D$9:$F$9,$D$4),Assumptions!$E$9))</f>
        <v/>
      </c>
      <c r="E29" s="50">
        <f>IF($E$5="Fee",$E$6,IF(OR($E$7="ALL",Assumptions!$N$10="Y"),INDEX(Assumptions!$D$10:$F$10,$E$4),Assumptions!$E$10))</f>
        <v/>
      </c>
      <c r="F29" s="50">
        <f>IF($F$5="Fee",$F$6,IF(OR($F$7="ALL",Assumptions!$N$11="Y"),INDEX(Assumptions!$D$11:$F$11,$F$4),Assumptions!$E$11))</f>
        <v/>
      </c>
      <c r="G29" s="50">
        <f>IF($G$5="Fee",$G$6,IF(OR($G$7="ALL",Assumptions!$N$9="Y"),INDEX(Assumptions!$D$9:$F$9,$G$4),Assumptions!$E$9))</f>
        <v/>
      </c>
      <c r="H29" s="50">
        <f>IF($H$5="Fee",$H$6,IF(OR($H$7="ALL",Assumptions!$N$10="Y"),INDEX(Assumptions!$D$10:$F$10,$H$4),Assumptions!$E$10))</f>
        <v/>
      </c>
      <c r="I29" s="50">
        <f>IF($I$5="Fee",$I$6,IF(OR($I$7="ALL",Assumptions!$N$11="Y"),INDEX(Assumptions!$D$11:$F$11,$I$4),Assumptions!$E$11))</f>
        <v/>
      </c>
      <c r="J29" s="50">
        <f>IF($J$5="Fee",$J$6,IF(OR($J$7="ALL",Assumptions!$N$9="Y"),INDEX(Assumptions!$D$9:$F$9,$J$4),Assumptions!$E$9))</f>
        <v/>
      </c>
      <c r="K29" s="50">
        <f>IF($K$5="Fee",$K$6,IF(OR($K$7="ALL",Assumptions!$N$10="Y"),INDEX(Assumptions!$D$10:$F$10,$K$4),Assumptions!$E$10))</f>
        <v/>
      </c>
      <c r="L29" s="50">
        <f>IF($L$5="Fee",$L$6,IF(OR($L$7="ALL",Assumptions!$N$11="Y"),INDEX(Assumptions!$D$11:$F$11,$L$4),Assumptions!$E$11))</f>
        <v/>
      </c>
      <c r="M29" s="50">
        <f>IF($M$5="Fee",$M$6,IF(OR($M$7="ALL",Assumptions!$N$9="Y"),INDEX(Assumptions!$D$9:$F$9,$M$4),Assumptions!$E$9))</f>
        <v/>
      </c>
      <c r="N29" s="50">
        <f>IF($N$5="Fee",$N$6,IF(OR($N$7="ALL",Assumptions!$N$10="Y"),INDEX(Assumptions!$D$10:$F$10,$N$4),Assumptions!$E$10))</f>
        <v/>
      </c>
      <c r="O29" s="50">
        <f>IF($O$5="Fee",$O$6,IF(OR($O$7="ALL",Assumptions!$N$11="Y"),INDEX(Assumptions!$D$11:$F$11,$O$4),Assumptions!$E$11))</f>
        <v/>
      </c>
      <c r="P29" s="50">
        <f>IF($P$5="Fee",$P$6,IF(OR($P$7="ALL",Assumptions!$N$9="Y"),INDEX(Assumptions!$D$9:$F$9,$P$4),Assumptions!$E$9))</f>
        <v/>
      </c>
      <c r="Q29" s="50">
        <f>IF($Q$5="Fee",$Q$6,IF(OR($Q$7="ALL",Assumptions!$N$10="Y"),INDEX(Assumptions!$D$10:$F$10,$Q$4),Assumptions!$E$10))</f>
        <v/>
      </c>
      <c r="R29" s="50">
        <f>IF($R$5="Fee",$R$6,IF(OR($R$7="ALL",Assumptions!$N$11="Y"),INDEX(Assumptions!$D$11:$F$11,$R$4),Assumptions!$E$11))</f>
        <v/>
      </c>
      <c r="S29" s="50">
        <f>IF($S$5="Fee",$S$6,IF(OR($S$7="ALL",Assumptions!$N$10="Y"),INDEX(Assumptions!$D$10:$F$10,$S$4),Assumptions!$E$10))</f>
        <v/>
      </c>
      <c r="T29" s="50">
        <f>IF($T$5="Fee",$T$6,IF(OR($T$7="ALL",Assumptions!$N$10="Y"),INDEX(Assumptions!$D$10:$F$10,$T$4),Assumptions!$E$10))</f>
        <v/>
      </c>
      <c r="U29" s="50">
        <f>IF($U$5="Fee",$U$6,IF(OR($U$7="ALL",Assumptions!$N$10="Y"),INDEX(Assumptions!$D$10:$F$10,$U$4),Assumptions!$E$10))</f>
        <v/>
      </c>
      <c r="V29" s="50">
        <f>IF($V$5="Fee",$V$6,IF(OR($V$7="ALL",Assumptions!$N$10="Y"),INDEX(Assumptions!$D$10:$F$10,$V$4),Assumptions!$E$10))</f>
        <v/>
      </c>
      <c r="W29" s="50">
        <f>IF($W$5="Fee",$W$6,IF(OR($W$7="ALL",Assumptions!$N$10="Y"),INDEX(Assumptions!$D$10:$F$10,$W$4),Assumptions!$E$10))</f>
        <v/>
      </c>
      <c r="X29" s="50">
        <f>IF($X$5="Fee",$X$6,IF(OR($X$7="ALL",Assumptions!$N$10="Y"),INDEX(Assumptions!$D$10:$F$10,$X$4),Assumptions!$E$10))</f>
        <v/>
      </c>
      <c r="Y29" s="50">
        <f>IF($Y$5="Fee",$Y$6,IF(OR($Y$7="ALL",Assumptions!$N$10="Y"),INDEX(Assumptions!$D$10:$F$10,$Y$4),Assumptions!$E$10))</f>
        <v/>
      </c>
      <c r="Z29" s="50">
        <f>IF($Z$5="Fee",$Z$6,IF(OR($Z$7="ALL",Assumptions!$N$10="Y"),INDEX(Assumptions!$D$10:$F$10,$Z$4),Assumptions!$E$10))</f>
        <v/>
      </c>
      <c r="AA29" s="50">
        <f>IF($AA$5="Fee",$AA$6,IF(OR($AA$7="ALL",Assumptions!$N$10="Y"),INDEX(Assumptions!$D$10:$F$10,$AA$4),Assumptions!$E$10))</f>
        <v/>
      </c>
      <c r="AB29" s="50">
        <f>IF($AB$5="Fee",$AB$6,IF(OR($AB$7="ALL",Assumptions!$N$10="Y"),INDEX(Assumptions!$D$10:$F$10,$AB$4),Assumptions!$E$10))</f>
        <v/>
      </c>
      <c r="AC29" s="50">
        <f>IF($AC$5="Fee",$AC$6,IF(OR($AC$7="ALL",Assumptions!$N$10="Y"),INDEX(Assumptions!$D$10:$F$10,$AC$4),Assumptions!$E$10))</f>
        <v/>
      </c>
      <c r="AD29" s="50">
        <f>IF($AD$5="Fee",$AD$6,IF(OR($AD$7="ALL",Assumptions!$N$10="Y"),INDEX(Assumptions!$D$10:$F$10,$AD$4),Assumptions!$E$10))</f>
        <v/>
      </c>
      <c r="AE29" s="50">
        <f>IF($AE$5="Fee",$AE$6,IF(OR($AE$7="ALL",Assumptions!$N$10="Y"),INDEX(Assumptions!$D$10:$F$10,$AE$4),Assumptions!$E$10))</f>
        <v/>
      </c>
      <c r="AF29" s="50">
        <f>IF($AF$5="Fee",$AF$6,IF(OR($AF$7="ALL",Assumptions!$N$10="Y"),INDEX(Assumptions!$D$10:$F$10,$AF$4),Assumptions!$E$10))</f>
        <v/>
      </c>
      <c r="AG29" s="50">
        <f>IF($AG$5="Fee",$AG$6,IF(OR($AG$7="ALL",Assumptions!$N$10="Y"),INDEX(Assumptions!$D$10:$F$10,$AG$4),Assumptions!$E$10))</f>
        <v/>
      </c>
      <c r="AH29" s="50">
        <f>IF($AH$5="Fee",$AH$6,IF(OR($AH$7="ALL",Assumptions!$N$10="Y"),INDEX(Assumptions!$D$10:$F$10,$AH$4),Assumptions!$E$10))</f>
        <v/>
      </c>
      <c r="AI29" s="50">
        <f>IF($AI$5="Fee",$AI$6,IF(OR($AI$7="ALL",Assumptions!$N$10="Y"),INDEX(Assumptions!$D$10:$F$10,$AI$4),Assumptions!$E$10))</f>
        <v/>
      </c>
      <c r="AJ29" s="50">
        <f>IF($AJ$5="Fee",$AJ$6,IF(OR($AJ$7="ALL",Assumptions!$N$10="Y"),INDEX(Assumptions!$D$10:$F$10,$AJ$4),Assumptions!$E$10))</f>
        <v/>
      </c>
      <c r="AK29" s="50">
        <f>IF($AK$5="Fee",$AK$6,IF(OR($AK$7="ALL",Assumptions!$N$10="Y"),INDEX(Assumptions!$D$10:$F$10,$AK$4),Assumptions!$E$10))</f>
        <v/>
      </c>
      <c r="AL29" s="50">
        <f>IF($AL$5="Fee",$AL$6,IF(OR($AL$7="ALL",Assumptions!$N$10="Y"),INDEX(Assumptions!$D$10:$F$10,$AL$4),Assumptions!$E$10))</f>
        <v/>
      </c>
      <c r="AM29" s="50">
        <f>IF($AM$5="Fee",$AM$6,IF(OR($AM$7="ALL",Assumptions!$N$10="Y"),INDEX(Assumptions!$D$10:$F$10,$AM$4),Assumptions!$E$10))</f>
        <v/>
      </c>
      <c r="AN29" s="50">
        <f>IF($AN$5="Fee",$AN$6,IF(OR($AN$7="ALL",Assumptions!$N$10="Y"),INDEX(Assumptions!$D$10:$F$10,$AN$4),Assumptions!$E$10))</f>
        <v/>
      </c>
      <c r="AO29" s="50">
        <f>IF($AO$5="Fee",$AO$6,IF(OR($AO$7="ALL",Assumptions!$N$10="Y"),INDEX(Assumptions!$D$10:$F$10,$AO$4),Assumptions!$E$10))</f>
        <v/>
      </c>
      <c r="AP29" s="50">
        <f>IF($AP$5="Fee",$AP$6,IF(OR($AP$7="ALL",Assumptions!$N$10="Y"),INDEX(Assumptions!$D$10:$F$10,$AP$4),Assumptions!$E$10))</f>
        <v/>
      </c>
      <c r="AQ29" s="50">
        <f>IF($AQ$5="Fee",$AQ$6,IF(OR($AQ$7="ALL",Assumptions!$N$10="Y"),INDEX(Assumptions!$D$10:$F$10,$AQ$4),Assumptions!$E$10))</f>
        <v/>
      </c>
      <c r="AR29" s="50">
        <f>IF($AR$5="Fee",$AR$6,IF(OR($AR$7="ALL",Assumptions!$N$10="Y"),INDEX(Assumptions!$D$10:$F$10,$AR$4),Assumptions!$E$10))</f>
        <v/>
      </c>
      <c r="AS29" s="50">
        <f>IF($AS$5="Fee",$AS$6,IF(OR($AS$7="ALL",Assumptions!$N$10="Y"),INDEX(Assumptions!$D$10:$F$10,$AS$4),Assumptions!$E$10))</f>
        <v/>
      </c>
      <c r="AT29" s="50">
        <f>IF($AT$5="Fee",$AT$6,IF(OR($AT$7="ALL",Assumptions!$N$10="Y"),INDEX(Assumptions!$D$10:$F$10,$AT$4),Assumptions!$E$10))</f>
        <v/>
      </c>
      <c r="AU29" s="50">
        <f>IF($AU$5="Fee",$AU$6,IF(OR($AU$7="ALL",Assumptions!$N$10="Y"),INDEX(Assumptions!$D$10:$F$10,$AU$4),Assumptions!$E$10))</f>
        <v/>
      </c>
      <c r="AV29" s="50">
        <f>IF($AV$5="Fee",$AV$6,IF(OR($AV$7="ALL",Assumptions!$N$10="Y"),INDEX(Assumptions!$D$10:$F$10,$AV$4),Assumptions!$E$10))</f>
        <v/>
      </c>
      <c r="AW29" s="50">
        <f>IF($AW$5="Fee",$AW$6,IF(OR($AW$7="ALL",Assumptions!$N$10="Y"),INDEX(Assumptions!$D$10:$F$10,$AW$4),Assumptions!$E$10))</f>
        <v/>
      </c>
      <c r="AX29" s="50">
        <f>IF($AX$5="Fee",$AX$6,IF(OR($AX$7="ALL",Assumptions!$N$10="Y"),INDEX(Assumptions!$D$10:$F$10,$AX$4),Assumptions!$E$10))</f>
        <v/>
      </c>
      <c r="AY29" s="50">
        <f>IF($AY$5="Fee",$AY$6,IF(OR($AY$7="ALL",Assumptions!$N$10="Y"),INDEX(Assumptions!$D$10:$F$10,$AY$4),Assumptions!$E$10))</f>
        <v/>
      </c>
      <c r="AZ29" s="50">
        <f>IF($AZ$5="Fee",$AZ$6,IF(OR($AZ$7="ALL",Assumptions!$N$10="Y"),INDEX(Assumptions!$D$10:$F$10,$AZ$4),Assumptions!$E$10))</f>
        <v/>
      </c>
      <c r="BA29" s="50">
        <f>IF($BA$5="Fee",$BA$6,IF(OR($BA$7="ALL",Assumptions!$N$10="Y"),INDEX(Assumptions!$D$10:$F$10,$BA$4),Assumptions!$E$10))</f>
        <v/>
      </c>
      <c r="BB29" s="50">
        <f>IF($BB$5="Fee",$BB$6,IF(OR($BB$7="ALL",Assumptions!$N$10="Y"),INDEX(Assumptions!$D$10:$F$10,$BB$4),Assumptions!$E$10))</f>
        <v/>
      </c>
      <c r="BC29" s="50">
        <f>IF($BC$5="Fee",$BC$6,IF(OR($BC$7="ALL",Assumptions!$N$10="Y"),INDEX(Assumptions!$D$10:$F$10,$BC$4),Assumptions!$E$10))</f>
        <v/>
      </c>
      <c r="BD29" s="50">
        <f>IF($BD$5="Fee",$BD$6,IF(OR($BD$7="ALL",Assumptions!$N$10="Y"),INDEX(Assumptions!$D$10:$F$10,$BD$4),Assumptions!$E$10))</f>
        <v/>
      </c>
      <c r="BE29" s="50">
        <f>IF($BE$5="Fee",$BE$6,IF(OR($BE$7="ALL",Assumptions!$N$10="Y"),INDEX(Assumptions!$D$10:$F$10,$BE$4),Assumptions!$E$10))</f>
        <v/>
      </c>
    </row>
    <row r="30">
      <c r="B30" s="5" t="inlineStr">
        <is>
          <t>DropoutRate</t>
        </is>
      </c>
      <c r="D30" s="39">
        <f>IF($D$5="DropoutRate",$D$6,IF(OR($D$7="ALL",Assumptions!$N$16="Y"),INDEX(Assumptions!$D$16:$F$16,$D$4),Assumptions!$E$16))</f>
        <v/>
      </c>
      <c r="E30" s="39">
        <f>IF($E$5="DropoutRate",$E$6,IF(OR($E$7="ALL",Assumptions!$N$16="Y"),INDEX(Assumptions!$D$16:$F$16,$E$4),Assumptions!$E$16))</f>
        <v/>
      </c>
      <c r="F30" s="39">
        <f>IF($F$5="DropoutRate",$F$6,IF(OR($F$7="ALL",Assumptions!$N$16="Y"),INDEX(Assumptions!$D$16:$F$16,$F$4),Assumptions!$E$16))</f>
        <v/>
      </c>
      <c r="G30" s="39">
        <f>IF($G$5="DropoutRate",$G$6,IF(OR($G$7="ALL",Assumptions!$N$16="Y"),INDEX(Assumptions!$D$16:$F$16,$G$4),Assumptions!$E$16))</f>
        <v/>
      </c>
      <c r="H30" s="39">
        <f>IF($H$5="DropoutRate",$H$6,IF(OR($H$7="ALL",Assumptions!$N$16="Y"),INDEX(Assumptions!$D$16:$F$16,$H$4),Assumptions!$E$16))</f>
        <v/>
      </c>
      <c r="I30" s="39">
        <f>IF($I$5="DropoutRate",$I$6,IF(OR($I$7="ALL",Assumptions!$N$16="Y"),INDEX(Assumptions!$D$16:$F$16,$I$4),Assumptions!$E$16))</f>
        <v/>
      </c>
      <c r="J30" s="39">
        <f>IF($J$5="DropoutRate",$J$6,IF(OR($J$7="ALL",Assumptions!$N$16="Y"),INDEX(Assumptions!$D$16:$F$16,$J$4),Assumptions!$E$16))</f>
        <v/>
      </c>
      <c r="K30" s="39">
        <f>IF($K$5="DropoutRate",$K$6,IF(OR($K$7="ALL",Assumptions!$N$16="Y"),INDEX(Assumptions!$D$16:$F$16,$K$4),Assumptions!$E$16))</f>
        <v/>
      </c>
      <c r="L30" s="39">
        <f>IF($L$5="DropoutRate",$L$6,IF(OR($L$7="ALL",Assumptions!$N$16="Y"),INDEX(Assumptions!$D$16:$F$16,$L$4),Assumptions!$E$16))</f>
        <v/>
      </c>
      <c r="M30" s="39">
        <f>IF($M$5="DropoutRate",$M$6,IF(OR($M$7="ALL",Assumptions!$N$16="Y"),INDEX(Assumptions!$D$16:$F$16,$M$4),Assumptions!$E$16))</f>
        <v/>
      </c>
      <c r="N30" s="39">
        <f>IF($N$5="DropoutRate",$N$6,IF(OR($N$7="ALL",Assumptions!$N$16="Y"),INDEX(Assumptions!$D$16:$F$16,$N$4),Assumptions!$E$16))</f>
        <v/>
      </c>
      <c r="O30" s="39">
        <f>IF($O$5="DropoutRate",$O$6,IF(OR($O$7="ALL",Assumptions!$N$16="Y"),INDEX(Assumptions!$D$16:$F$16,$O$4),Assumptions!$E$16))</f>
        <v/>
      </c>
      <c r="P30" s="39">
        <f>IF($P$5="DropoutRate",$P$6,IF(OR($P$7="ALL",Assumptions!$N$16="Y"),INDEX(Assumptions!$D$16:$F$16,$P$4),Assumptions!$E$16))</f>
        <v/>
      </c>
      <c r="Q30" s="39">
        <f>IF($Q$5="DropoutRate",$Q$6,IF(OR($Q$7="ALL",Assumptions!$N$16="Y"),INDEX(Assumptions!$D$16:$F$16,$Q$4),Assumptions!$E$16))</f>
        <v/>
      </c>
      <c r="R30" s="39">
        <f>IF($R$5="DropoutRate",$R$6,IF(OR($R$7="ALL",Assumptions!$N$16="Y"),INDEX(Assumptions!$D$16:$F$16,$R$4),Assumptions!$E$16))</f>
        <v/>
      </c>
      <c r="S30" s="39">
        <f>IF($S$5="DropoutRate",$S$6,IF(OR($S$7="ALL",Assumptions!$N$16="Y"),INDEX(Assumptions!$D$16:$F$16,$S$4),Assumptions!$E$16))</f>
        <v/>
      </c>
      <c r="T30" s="39">
        <f>IF($T$5="DropoutRate",$T$6,IF(OR($T$7="ALL",Assumptions!$N$16="Y"),INDEX(Assumptions!$D$16:$F$16,$T$4),Assumptions!$E$16))</f>
        <v/>
      </c>
      <c r="U30" s="39">
        <f>IF($U$5="DropoutRate",$U$6,IF(OR($U$7="ALL",Assumptions!$N$16="Y"),INDEX(Assumptions!$D$16:$F$16,$U$4),Assumptions!$E$16))</f>
        <v/>
      </c>
      <c r="V30" s="39">
        <f>IF($V$5="DropoutRate",$V$6,IF(OR($V$7="ALL",Assumptions!$N$16="Y"),INDEX(Assumptions!$D$16:$F$16,$V$4),Assumptions!$E$16))</f>
        <v/>
      </c>
      <c r="W30" s="39">
        <f>IF($W$5="DropoutRate",$W$6,IF(OR($W$7="ALL",Assumptions!$N$16="Y"),INDEX(Assumptions!$D$16:$F$16,$W$4),Assumptions!$E$16))</f>
        <v/>
      </c>
      <c r="X30" s="39">
        <f>IF($X$5="DropoutRate",$X$6,IF(OR($X$7="ALL",Assumptions!$N$16="Y"),INDEX(Assumptions!$D$16:$F$16,$X$4),Assumptions!$E$16))</f>
        <v/>
      </c>
      <c r="Y30" s="39">
        <f>IF($Y$5="DropoutRate",$Y$6,IF(OR($Y$7="ALL",Assumptions!$N$16="Y"),INDEX(Assumptions!$D$16:$F$16,$Y$4),Assumptions!$E$16))</f>
        <v/>
      </c>
      <c r="Z30" s="39">
        <f>IF($Z$5="DropoutRate",$Z$6,IF(OR($Z$7="ALL",Assumptions!$N$16="Y"),INDEX(Assumptions!$D$16:$F$16,$Z$4),Assumptions!$E$16))</f>
        <v/>
      </c>
      <c r="AA30" s="39">
        <f>IF($AA$5="DropoutRate",$AA$6,IF(OR($AA$7="ALL",Assumptions!$N$16="Y"),INDEX(Assumptions!$D$16:$F$16,$AA$4),Assumptions!$E$16))</f>
        <v/>
      </c>
      <c r="AB30" s="39">
        <f>IF($AB$5="DropoutRate",$AB$6,IF(OR($AB$7="ALL",Assumptions!$N$16="Y"),INDEX(Assumptions!$D$16:$F$16,$AB$4),Assumptions!$E$16))</f>
        <v/>
      </c>
      <c r="AC30" s="39">
        <f>IF($AC$5="DropoutRate",$AC$6,IF(OR($AC$7="ALL",Assumptions!$N$16="Y"),INDEX(Assumptions!$D$16:$F$16,$AC$4),Assumptions!$E$16))</f>
        <v/>
      </c>
      <c r="AD30" s="39">
        <f>IF($AD$5="DropoutRate",$AD$6,IF(OR($AD$7="ALL",Assumptions!$N$16="Y"),INDEX(Assumptions!$D$16:$F$16,$AD$4),Assumptions!$E$16))</f>
        <v/>
      </c>
      <c r="AE30" s="39">
        <f>IF($AE$5="DropoutRate",$AE$6,IF(OR($AE$7="ALL",Assumptions!$N$16="Y"),INDEX(Assumptions!$D$16:$F$16,$AE$4),Assumptions!$E$16))</f>
        <v/>
      </c>
      <c r="AF30" s="39">
        <f>IF($AF$5="DropoutRate",$AF$6,IF(OR($AF$7="ALL",Assumptions!$N$16="Y"),INDEX(Assumptions!$D$16:$F$16,$AF$4),Assumptions!$E$16))</f>
        <v/>
      </c>
      <c r="AG30" s="39">
        <f>IF($AG$5="DropoutRate",$AG$6,IF(OR($AG$7="ALL",Assumptions!$N$16="Y"),INDEX(Assumptions!$D$16:$F$16,$AG$4),Assumptions!$E$16))</f>
        <v/>
      </c>
      <c r="AH30" s="39">
        <f>IF($AH$5="DropoutRate",$AH$6,IF(OR($AH$7="ALL",Assumptions!$N$16="Y"),INDEX(Assumptions!$D$16:$F$16,$AH$4),Assumptions!$E$16))</f>
        <v/>
      </c>
      <c r="AI30" s="39">
        <f>IF($AI$5="DropoutRate",$AI$6,IF(OR($AI$7="ALL",Assumptions!$N$16="Y"),INDEX(Assumptions!$D$16:$F$16,$AI$4),Assumptions!$E$16))</f>
        <v/>
      </c>
      <c r="AJ30" s="39">
        <f>IF($AJ$5="DropoutRate",$AJ$6,IF(OR($AJ$7="ALL",Assumptions!$N$16="Y"),INDEX(Assumptions!$D$16:$F$16,$AJ$4),Assumptions!$E$16))</f>
        <v/>
      </c>
      <c r="AK30" s="39">
        <f>IF($AK$5="DropoutRate",$AK$6,IF(OR($AK$7="ALL",Assumptions!$N$16="Y"),INDEX(Assumptions!$D$16:$F$16,$AK$4),Assumptions!$E$16))</f>
        <v/>
      </c>
      <c r="AL30" s="39">
        <f>IF($AL$5="DropoutRate",$AL$6,IF(OR($AL$7="ALL",Assumptions!$N$16="Y"),INDEX(Assumptions!$D$16:$F$16,$AL$4),Assumptions!$E$16))</f>
        <v/>
      </c>
      <c r="AM30" s="39">
        <f>IF($AM$5="DropoutRate",$AM$6,IF(OR($AM$7="ALL",Assumptions!$N$16="Y"),INDEX(Assumptions!$D$16:$F$16,$AM$4),Assumptions!$E$16))</f>
        <v/>
      </c>
      <c r="AN30" s="39">
        <f>IF($AN$5="DropoutRate",$AN$6,IF(OR($AN$7="ALL",Assumptions!$N$16="Y"),INDEX(Assumptions!$D$16:$F$16,$AN$4),Assumptions!$E$16))</f>
        <v/>
      </c>
      <c r="AO30" s="39">
        <f>IF($AO$5="DropoutRate",$AO$6,IF(OR($AO$7="ALL",Assumptions!$N$16="Y"),INDEX(Assumptions!$D$16:$F$16,$AO$4),Assumptions!$E$16))</f>
        <v/>
      </c>
      <c r="AP30" s="39">
        <f>IF($AP$5="DropoutRate",$AP$6,IF(OR($AP$7="ALL",Assumptions!$N$16="Y"),INDEX(Assumptions!$D$16:$F$16,$AP$4),Assumptions!$E$16))</f>
        <v/>
      </c>
      <c r="AQ30" s="39">
        <f>IF($AQ$5="DropoutRate",$AQ$6,IF(OR($AQ$7="ALL",Assumptions!$N$16="Y"),INDEX(Assumptions!$D$16:$F$16,$AQ$4),Assumptions!$E$16))</f>
        <v/>
      </c>
      <c r="AR30" s="39">
        <f>IF($AR$5="DropoutRate",$AR$6,IF(OR($AR$7="ALL",Assumptions!$N$16="Y"),INDEX(Assumptions!$D$16:$F$16,$AR$4),Assumptions!$E$16))</f>
        <v/>
      </c>
      <c r="AS30" s="39">
        <f>IF($AS$5="DropoutRate",$AS$6,IF(OR($AS$7="ALL",Assumptions!$N$16="Y"),INDEX(Assumptions!$D$16:$F$16,$AS$4),Assumptions!$E$16))</f>
        <v/>
      </c>
      <c r="AT30" s="39">
        <f>IF($AT$5="DropoutRate",$AT$6,IF(OR($AT$7="ALL",Assumptions!$N$16="Y"),INDEX(Assumptions!$D$16:$F$16,$AT$4),Assumptions!$E$16))</f>
        <v/>
      </c>
      <c r="AU30" s="39">
        <f>IF($AU$5="DropoutRate",$AU$6,IF(OR($AU$7="ALL",Assumptions!$N$16="Y"),INDEX(Assumptions!$D$16:$F$16,$AU$4),Assumptions!$E$16))</f>
        <v/>
      </c>
      <c r="AV30" s="39">
        <f>IF($AV$5="DropoutRate",$AV$6,IF(OR($AV$7="ALL",Assumptions!$N$16="Y"),INDEX(Assumptions!$D$16:$F$16,$AV$4),Assumptions!$E$16))</f>
        <v/>
      </c>
      <c r="AW30" s="39">
        <f>IF($AW$5="DropoutRate",$AW$6,IF(OR($AW$7="ALL",Assumptions!$N$16="Y"),INDEX(Assumptions!$D$16:$F$16,$AW$4),Assumptions!$E$16))</f>
        <v/>
      </c>
      <c r="AX30" s="39">
        <f>IF($AX$5="DropoutRate",$AX$6,IF(OR($AX$7="ALL",Assumptions!$N$16="Y"),INDEX(Assumptions!$D$16:$F$16,$AX$4),Assumptions!$E$16))</f>
        <v/>
      </c>
      <c r="AY30" s="39">
        <f>IF($AY$5="DropoutRate",$AY$6,IF(OR($AY$7="ALL",Assumptions!$N$16="Y"),INDEX(Assumptions!$D$16:$F$16,$AY$4),Assumptions!$E$16))</f>
        <v/>
      </c>
      <c r="AZ30" s="39">
        <f>IF($AZ$5="DropoutRate",$AZ$6,IF(OR($AZ$7="ALL",Assumptions!$N$16="Y"),INDEX(Assumptions!$D$16:$F$16,$AZ$4),Assumptions!$E$16))</f>
        <v/>
      </c>
      <c r="BA30" s="39">
        <f>IF($BA$5="DropoutRate",$BA$6,IF(OR($BA$7="ALL",Assumptions!$N$16="Y"),INDEX(Assumptions!$D$16:$F$16,$BA$4),Assumptions!$E$16))</f>
        <v/>
      </c>
      <c r="BB30" s="39">
        <f>IF($BB$5="DropoutRate",$BB$6,IF(OR($BB$7="ALL",Assumptions!$N$16="Y"),INDEX(Assumptions!$D$16:$F$16,$BB$4),Assumptions!$E$16))</f>
        <v/>
      </c>
      <c r="BC30" s="39">
        <f>IF($BC$5="DropoutRate",$BC$6,IF(OR($BC$7="ALL",Assumptions!$N$16="Y"),INDEX(Assumptions!$D$16:$F$16,$BC$4),Assumptions!$E$16))</f>
        <v/>
      </c>
      <c r="BD30" s="39">
        <f>IF($BD$5="DropoutRate",$BD$6,IF(OR($BD$7="ALL",Assumptions!$N$16="Y"),INDEX(Assumptions!$D$16:$F$16,$BD$4),Assumptions!$E$16))</f>
        <v/>
      </c>
      <c r="BE30" s="39">
        <f>IF($BE$5="DropoutRate",$BE$6,IF(OR($BE$7="ALL",Assumptions!$N$16="Y"),INDEX(Assumptions!$D$16:$F$16,$BE$4),Assumptions!$E$16))</f>
        <v/>
      </c>
    </row>
    <row r="31">
      <c r="B31" s="5" t="inlineStr">
        <is>
          <t>UpfrontShare</t>
        </is>
      </c>
      <c r="D31" s="39">
        <f>IF($D$5="UpfrontShare",$D$6,IF(OR($D$7="ALL",Assumptions!$N$17="Y"),INDEX(Assumptions!$D$17:$F$17,$D$4),Assumptions!$E$17))</f>
        <v/>
      </c>
      <c r="E31" s="39">
        <f>IF($E$5="UpfrontShare",$E$6,IF(OR($E$7="ALL",Assumptions!$N$17="Y"),INDEX(Assumptions!$D$17:$F$17,$E$4),Assumptions!$E$17))</f>
        <v/>
      </c>
      <c r="F31" s="39">
        <f>IF($F$5="UpfrontShare",$F$6,IF(OR($F$7="ALL",Assumptions!$N$17="Y"),INDEX(Assumptions!$D$17:$F$17,$F$4),Assumptions!$E$17))</f>
        <v/>
      </c>
      <c r="G31" s="39">
        <f>IF($G$5="UpfrontShare",$G$6,IF(OR($G$7="ALL",Assumptions!$N$17="Y"),INDEX(Assumptions!$D$17:$F$17,$G$4),Assumptions!$E$17))</f>
        <v/>
      </c>
      <c r="H31" s="39">
        <f>IF($H$5="UpfrontShare",$H$6,IF(OR($H$7="ALL",Assumptions!$N$17="Y"),INDEX(Assumptions!$D$17:$F$17,$H$4),Assumptions!$E$17))</f>
        <v/>
      </c>
      <c r="I31" s="39">
        <f>IF($I$5="UpfrontShare",$I$6,IF(OR($I$7="ALL",Assumptions!$N$17="Y"),INDEX(Assumptions!$D$17:$F$17,$I$4),Assumptions!$E$17))</f>
        <v/>
      </c>
      <c r="J31" s="39">
        <f>IF($J$5="UpfrontShare",$J$6,IF(OR($J$7="ALL",Assumptions!$N$17="Y"),INDEX(Assumptions!$D$17:$F$17,$J$4),Assumptions!$E$17))</f>
        <v/>
      </c>
      <c r="K31" s="39">
        <f>IF($K$5="UpfrontShare",$K$6,IF(OR($K$7="ALL",Assumptions!$N$17="Y"),INDEX(Assumptions!$D$17:$F$17,$K$4),Assumptions!$E$17))</f>
        <v/>
      </c>
      <c r="L31" s="39">
        <f>IF($L$5="UpfrontShare",$L$6,IF(OR($L$7="ALL",Assumptions!$N$17="Y"),INDEX(Assumptions!$D$17:$F$17,$L$4),Assumptions!$E$17))</f>
        <v/>
      </c>
      <c r="M31" s="39">
        <f>IF($M$5="UpfrontShare",$M$6,IF(OR($M$7="ALL",Assumptions!$N$17="Y"),INDEX(Assumptions!$D$17:$F$17,$M$4),Assumptions!$E$17))</f>
        <v/>
      </c>
      <c r="N31" s="39">
        <f>IF($N$5="UpfrontShare",$N$6,IF(OR($N$7="ALL",Assumptions!$N$17="Y"),INDEX(Assumptions!$D$17:$F$17,$N$4),Assumptions!$E$17))</f>
        <v/>
      </c>
      <c r="O31" s="39">
        <f>IF($O$5="UpfrontShare",$O$6,IF(OR($O$7="ALL",Assumptions!$N$17="Y"),INDEX(Assumptions!$D$17:$F$17,$O$4),Assumptions!$E$17))</f>
        <v/>
      </c>
      <c r="P31" s="39">
        <f>IF($P$5="UpfrontShare",$P$6,IF(OR($P$7="ALL",Assumptions!$N$17="Y"),INDEX(Assumptions!$D$17:$F$17,$P$4),Assumptions!$E$17))</f>
        <v/>
      </c>
      <c r="Q31" s="39">
        <f>IF($Q$5="UpfrontShare",$Q$6,IF(OR($Q$7="ALL",Assumptions!$N$17="Y"),INDEX(Assumptions!$D$17:$F$17,$Q$4),Assumptions!$E$17))</f>
        <v/>
      </c>
      <c r="R31" s="39">
        <f>IF($R$5="UpfrontShare",$R$6,IF(OR($R$7="ALL",Assumptions!$N$17="Y"),INDEX(Assumptions!$D$17:$F$17,$R$4),Assumptions!$E$17))</f>
        <v/>
      </c>
      <c r="S31" s="39">
        <f>IF($S$5="UpfrontShare",$S$6,IF(OR($S$7="ALL",Assumptions!$N$17="Y"),INDEX(Assumptions!$D$17:$F$17,$S$4),Assumptions!$E$17))</f>
        <v/>
      </c>
      <c r="T31" s="39">
        <f>IF($T$5="UpfrontShare",$T$6,IF(OR($T$7="ALL",Assumptions!$N$17="Y"),INDEX(Assumptions!$D$17:$F$17,$T$4),Assumptions!$E$17))</f>
        <v/>
      </c>
      <c r="U31" s="39">
        <f>IF($U$5="UpfrontShare",$U$6,IF(OR($U$7="ALL",Assumptions!$N$17="Y"),INDEX(Assumptions!$D$17:$F$17,$U$4),Assumptions!$E$17))</f>
        <v/>
      </c>
      <c r="V31" s="39">
        <f>IF($V$5="UpfrontShare",$V$6,IF(OR($V$7="ALL",Assumptions!$N$17="Y"),INDEX(Assumptions!$D$17:$F$17,$V$4),Assumptions!$E$17))</f>
        <v/>
      </c>
      <c r="W31" s="39">
        <f>IF($W$5="UpfrontShare",$W$6,IF(OR($W$7="ALL",Assumptions!$N$17="Y"),INDEX(Assumptions!$D$17:$F$17,$W$4),Assumptions!$E$17))</f>
        <v/>
      </c>
      <c r="X31" s="39">
        <f>IF($X$5="UpfrontShare",$X$6,IF(OR($X$7="ALL",Assumptions!$N$17="Y"),INDEX(Assumptions!$D$17:$F$17,$X$4),Assumptions!$E$17))</f>
        <v/>
      </c>
      <c r="Y31" s="39">
        <f>IF($Y$5="UpfrontShare",$Y$6,IF(OR($Y$7="ALL",Assumptions!$N$17="Y"),INDEX(Assumptions!$D$17:$F$17,$Y$4),Assumptions!$E$17))</f>
        <v/>
      </c>
      <c r="Z31" s="39">
        <f>IF($Z$5="UpfrontShare",$Z$6,IF(OR($Z$7="ALL",Assumptions!$N$17="Y"),INDEX(Assumptions!$D$17:$F$17,$Z$4),Assumptions!$E$17))</f>
        <v/>
      </c>
      <c r="AA31" s="39">
        <f>IF($AA$5="UpfrontShare",$AA$6,IF(OR($AA$7="ALL",Assumptions!$N$17="Y"),INDEX(Assumptions!$D$17:$F$17,$AA$4),Assumptions!$E$17))</f>
        <v/>
      </c>
      <c r="AB31" s="39">
        <f>IF($AB$5="UpfrontShare",$AB$6,IF(OR($AB$7="ALL",Assumptions!$N$17="Y"),INDEX(Assumptions!$D$17:$F$17,$AB$4),Assumptions!$E$17))</f>
        <v/>
      </c>
      <c r="AC31" s="39">
        <f>IF($AC$5="UpfrontShare",$AC$6,IF(OR($AC$7="ALL",Assumptions!$N$17="Y"),INDEX(Assumptions!$D$17:$F$17,$AC$4),Assumptions!$E$17))</f>
        <v/>
      </c>
      <c r="AD31" s="39">
        <f>IF($AD$5="UpfrontShare",$AD$6,IF(OR($AD$7="ALL",Assumptions!$N$17="Y"),INDEX(Assumptions!$D$17:$F$17,$AD$4),Assumptions!$E$17))</f>
        <v/>
      </c>
      <c r="AE31" s="39">
        <f>IF($AE$5="UpfrontShare",$AE$6,IF(OR($AE$7="ALL",Assumptions!$N$17="Y"),INDEX(Assumptions!$D$17:$F$17,$AE$4),Assumptions!$E$17))</f>
        <v/>
      </c>
      <c r="AF31" s="39">
        <f>IF($AF$5="UpfrontShare",$AF$6,IF(OR($AF$7="ALL",Assumptions!$N$17="Y"),INDEX(Assumptions!$D$17:$F$17,$AF$4),Assumptions!$E$17))</f>
        <v/>
      </c>
      <c r="AG31" s="39">
        <f>IF($AG$5="UpfrontShare",$AG$6,IF(OR($AG$7="ALL",Assumptions!$N$17="Y"),INDEX(Assumptions!$D$17:$F$17,$AG$4),Assumptions!$E$17))</f>
        <v/>
      </c>
      <c r="AH31" s="39">
        <f>IF($AH$5="UpfrontShare",$AH$6,IF(OR($AH$7="ALL",Assumptions!$N$17="Y"),INDEX(Assumptions!$D$17:$F$17,$AH$4),Assumptions!$E$17))</f>
        <v/>
      </c>
      <c r="AI31" s="39">
        <f>IF($AI$5="UpfrontShare",$AI$6,IF(OR($AI$7="ALL",Assumptions!$N$17="Y"),INDEX(Assumptions!$D$17:$F$17,$AI$4),Assumptions!$E$17))</f>
        <v/>
      </c>
      <c r="AJ31" s="39">
        <f>IF($AJ$5="UpfrontShare",$AJ$6,IF(OR($AJ$7="ALL",Assumptions!$N$17="Y"),INDEX(Assumptions!$D$17:$F$17,$AJ$4),Assumptions!$E$17))</f>
        <v/>
      </c>
      <c r="AK31" s="39">
        <f>IF($AK$5="UpfrontShare",$AK$6,IF(OR($AK$7="ALL",Assumptions!$N$17="Y"),INDEX(Assumptions!$D$17:$F$17,$AK$4),Assumptions!$E$17))</f>
        <v/>
      </c>
      <c r="AL31" s="39">
        <f>IF($AL$5="UpfrontShare",$AL$6,IF(OR($AL$7="ALL",Assumptions!$N$17="Y"),INDEX(Assumptions!$D$17:$F$17,$AL$4),Assumptions!$E$17))</f>
        <v/>
      </c>
      <c r="AM31" s="39">
        <f>IF($AM$5="UpfrontShare",$AM$6,IF(OR($AM$7="ALL",Assumptions!$N$17="Y"),INDEX(Assumptions!$D$17:$F$17,$AM$4),Assumptions!$E$17))</f>
        <v/>
      </c>
      <c r="AN31" s="39">
        <f>IF($AN$5="UpfrontShare",$AN$6,IF(OR($AN$7="ALL",Assumptions!$N$17="Y"),INDEX(Assumptions!$D$17:$F$17,$AN$4),Assumptions!$E$17))</f>
        <v/>
      </c>
      <c r="AO31" s="39">
        <f>IF($AO$5="UpfrontShare",$AO$6,IF(OR($AO$7="ALL",Assumptions!$N$17="Y"),INDEX(Assumptions!$D$17:$F$17,$AO$4),Assumptions!$E$17))</f>
        <v/>
      </c>
      <c r="AP31" s="39">
        <f>IF($AP$5="UpfrontShare",$AP$6,IF(OR($AP$7="ALL",Assumptions!$N$17="Y"),INDEX(Assumptions!$D$17:$F$17,$AP$4),Assumptions!$E$17))</f>
        <v/>
      </c>
      <c r="AQ31" s="39">
        <f>IF($AQ$5="UpfrontShare",$AQ$6,IF(OR($AQ$7="ALL",Assumptions!$N$17="Y"),INDEX(Assumptions!$D$17:$F$17,$AQ$4),Assumptions!$E$17))</f>
        <v/>
      </c>
      <c r="AR31" s="39">
        <f>IF($AR$5="UpfrontShare",$AR$6,IF(OR($AR$7="ALL",Assumptions!$N$17="Y"),INDEX(Assumptions!$D$17:$F$17,$AR$4),Assumptions!$E$17))</f>
        <v/>
      </c>
      <c r="AS31" s="39">
        <f>IF($AS$5="UpfrontShare",$AS$6,IF(OR($AS$7="ALL",Assumptions!$N$17="Y"),INDEX(Assumptions!$D$17:$F$17,$AS$4),Assumptions!$E$17))</f>
        <v/>
      </c>
      <c r="AT31" s="39">
        <f>IF($AT$5="UpfrontShare",$AT$6,IF(OR($AT$7="ALL",Assumptions!$N$17="Y"),INDEX(Assumptions!$D$17:$F$17,$AT$4),Assumptions!$E$17))</f>
        <v/>
      </c>
      <c r="AU31" s="39">
        <f>IF($AU$5="UpfrontShare",$AU$6,IF(OR($AU$7="ALL",Assumptions!$N$17="Y"),INDEX(Assumptions!$D$17:$F$17,$AU$4),Assumptions!$E$17))</f>
        <v/>
      </c>
      <c r="AV31" s="39">
        <f>IF($AV$5="UpfrontShare",$AV$6,IF(OR($AV$7="ALL",Assumptions!$N$17="Y"),INDEX(Assumptions!$D$17:$F$17,$AV$4),Assumptions!$E$17))</f>
        <v/>
      </c>
      <c r="AW31" s="39">
        <f>IF($AW$5="UpfrontShare",$AW$6,IF(OR($AW$7="ALL",Assumptions!$N$17="Y"),INDEX(Assumptions!$D$17:$F$17,$AW$4),Assumptions!$E$17))</f>
        <v/>
      </c>
      <c r="AX31" s="39">
        <f>IF($AX$5="UpfrontShare",$AX$6,IF(OR($AX$7="ALL",Assumptions!$N$17="Y"),INDEX(Assumptions!$D$17:$F$17,$AX$4),Assumptions!$E$17))</f>
        <v/>
      </c>
      <c r="AY31" s="39">
        <f>IF($AY$5="UpfrontShare",$AY$6,IF(OR($AY$7="ALL",Assumptions!$N$17="Y"),INDEX(Assumptions!$D$17:$F$17,$AY$4),Assumptions!$E$17))</f>
        <v/>
      </c>
      <c r="AZ31" s="39">
        <f>IF($AZ$5="UpfrontShare",$AZ$6,IF(OR($AZ$7="ALL",Assumptions!$N$17="Y"),INDEX(Assumptions!$D$17:$F$17,$AZ$4),Assumptions!$E$17))</f>
        <v/>
      </c>
      <c r="BA31" s="39">
        <f>IF($BA$5="UpfrontShare",$BA$6,IF(OR($BA$7="ALL",Assumptions!$N$17="Y"),INDEX(Assumptions!$D$17:$F$17,$BA$4),Assumptions!$E$17))</f>
        <v/>
      </c>
      <c r="BB31" s="39">
        <f>IF($BB$5="UpfrontShare",$BB$6,IF(OR($BB$7="ALL",Assumptions!$N$17="Y"),INDEX(Assumptions!$D$17:$F$17,$BB$4),Assumptions!$E$17))</f>
        <v/>
      </c>
      <c r="BC31" s="39">
        <f>IF($BC$5="UpfrontShare",$BC$6,IF(OR($BC$7="ALL",Assumptions!$N$17="Y"),INDEX(Assumptions!$D$17:$F$17,$BC$4),Assumptions!$E$17))</f>
        <v/>
      </c>
      <c r="BD31" s="39">
        <f>IF($BD$5="UpfrontShare",$BD$6,IF(OR($BD$7="ALL",Assumptions!$N$17="Y"),INDEX(Assumptions!$D$17:$F$17,$BD$4),Assumptions!$E$17))</f>
        <v/>
      </c>
      <c r="BE31" s="39">
        <f>IF($BE$5="UpfrontShare",$BE$6,IF(OR($BE$7="ALL",Assumptions!$N$17="Y"),INDEX(Assumptions!$D$17:$F$17,$BE$4),Assumptions!$E$17))</f>
        <v/>
      </c>
    </row>
    <row r="32">
      <c r="B32" s="5" t="inlineStr">
        <is>
          <t>NInstalments</t>
        </is>
      </c>
      <c r="D32" s="57">
        <f>IF($D$5="NInstalments",$D$6,IF(OR($D$7="ALL",Assumptions!$N$18="Y"),INDEX(Assumptions!$D$18:$F$18,$D$4),Assumptions!$E$18))</f>
        <v/>
      </c>
      <c r="E32" s="57">
        <f>IF($E$5="NInstalments",$E$6,IF(OR($E$7="ALL",Assumptions!$N$18="Y"),INDEX(Assumptions!$D$18:$F$18,$E$4),Assumptions!$E$18))</f>
        <v/>
      </c>
      <c r="F32" s="57">
        <f>IF($F$5="NInstalments",$F$6,IF(OR($F$7="ALL",Assumptions!$N$18="Y"),INDEX(Assumptions!$D$18:$F$18,$F$4),Assumptions!$E$18))</f>
        <v/>
      </c>
      <c r="G32" s="57">
        <f>IF($G$5="NInstalments",$G$6,IF(OR($G$7="ALL",Assumptions!$N$18="Y"),INDEX(Assumptions!$D$18:$F$18,$G$4),Assumptions!$E$18))</f>
        <v/>
      </c>
      <c r="H32" s="57">
        <f>IF($H$5="NInstalments",$H$6,IF(OR($H$7="ALL",Assumptions!$N$18="Y"),INDEX(Assumptions!$D$18:$F$18,$H$4),Assumptions!$E$18))</f>
        <v/>
      </c>
      <c r="I32" s="57">
        <f>IF($I$5="NInstalments",$I$6,IF(OR($I$7="ALL",Assumptions!$N$18="Y"),INDEX(Assumptions!$D$18:$F$18,$I$4),Assumptions!$E$18))</f>
        <v/>
      </c>
      <c r="J32" s="57">
        <f>IF($J$5="NInstalments",$J$6,IF(OR($J$7="ALL",Assumptions!$N$18="Y"),INDEX(Assumptions!$D$18:$F$18,$J$4),Assumptions!$E$18))</f>
        <v/>
      </c>
      <c r="K32" s="57">
        <f>IF($K$5="NInstalments",$K$6,IF(OR($K$7="ALL",Assumptions!$N$18="Y"),INDEX(Assumptions!$D$18:$F$18,$K$4),Assumptions!$E$18))</f>
        <v/>
      </c>
      <c r="L32" s="57">
        <f>IF($L$5="NInstalments",$L$6,IF(OR($L$7="ALL",Assumptions!$N$18="Y"),INDEX(Assumptions!$D$18:$F$18,$L$4),Assumptions!$E$18))</f>
        <v/>
      </c>
      <c r="M32" s="57">
        <f>IF($M$5="NInstalments",$M$6,IF(OR($M$7="ALL",Assumptions!$N$18="Y"),INDEX(Assumptions!$D$18:$F$18,$M$4),Assumptions!$E$18))</f>
        <v/>
      </c>
      <c r="N32" s="57">
        <f>IF($N$5="NInstalments",$N$6,IF(OR($N$7="ALL",Assumptions!$N$18="Y"),INDEX(Assumptions!$D$18:$F$18,$N$4),Assumptions!$E$18))</f>
        <v/>
      </c>
      <c r="O32" s="57">
        <f>IF($O$5="NInstalments",$O$6,IF(OR($O$7="ALL",Assumptions!$N$18="Y"),INDEX(Assumptions!$D$18:$F$18,$O$4),Assumptions!$E$18))</f>
        <v/>
      </c>
      <c r="P32" s="57">
        <f>IF($P$5="NInstalments",$P$6,IF(OR($P$7="ALL",Assumptions!$N$18="Y"),INDEX(Assumptions!$D$18:$F$18,$P$4),Assumptions!$E$18))</f>
        <v/>
      </c>
      <c r="Q32" s="57">
        <f>IF($Q$5="NInstalments",$Q$6,IF(OR($Q$7="ALL",Assumptions!$N$18="Y"),INDEX(Assumptions!$D$18:$F$18,$Q$4),Assumptions!$E$18))</f>
        <v/>
      </c>
      <c r="R32" s="57">
        <f>IF($R$5="NInstalments",$R$6,IF(OR($R$7="ALL",Assumptions!$N$18="Y"),INDEX(Assumptions!$D$18:$F$18,$R$4),Assumptions!$E$18))</f>
        <v/>
      </c>
      <c r="S32" s="57">
        <f>IF($S$5="NInstalments",$S$6,IF(OR($S$7="ALL",Assumptions!$N$18="Y"),INDEX(Assumptions!$D$18:$F$18,$S$4),Assumptions!$E$18))</f>
        <v/>
      </c>
      <c r="T32" s="57">
        <f>IF($T$5="NInstalments",$T$6,IF(OR($T$7="ALL",Assumptions!$N$18="Y"),INDEX(Assumptions!$D$18:$F$18,$T$4),Assumptions!$E$18))</f>
        <v/>
      </c>
      <c r="U32" s="57">
        <f>IF($U$5="NInstalments",$U$6,IF(OR($U$7="ALL",Assumptions!$N$18="Y"),INDEX(Assumptions!$D$18:$F$18,$U$4),Assumptions!$E$18))</f>
        <v/>
      </c>
      <c r="V32" s="57">
        <f>IF($V$5="NInstalments",$V$6,IF(OR($V$7="ALL",Assumptions!$N$18="Y"),INDEX(Assumptions!$D$18:$F$18,$V$4),Assumptions!$E$18))</f>
        <v/>
      </c>
      <c r="W32" s="57">
        <f>IF($W$5="NInstalments",$W$6,IF(OR($W$7="ALL",Assumptions!$N$18="Y"),INDEX(Assumptions!$D$18:$F$18,$W$4),Assumptions!$E$18))</f>
        <v/>
      </c>
      <c r="X32" s="57">
        <f>IF($X$5="NInstalments",$X$6,IF(OR($X$7="ALL",Assumptions!$N$18="Y"),INDEX(Assumptions!$D$18:$F$18,$X$4),Assumptions!$E$18))</f>
        <v/>
      </c>
      <c r="Y32" s="57">
        <f>IF($Y$5="NInstalments",$Y$6,IF(OR($Y$7="ALL",Assumptions!$N$18="Y"),INDEX(Assumptions!$D$18:$F$18,$Y$4),Assumptions!$E$18))</f>
        <v/>
      </c>
      <c r="Z32" s="57">
        <f>IF($Z$5="NInstalments",$Z$6,IF(OR($Z$7="ALL",Assumptions!$N$18="Y"),INDEX(Assumptions!$D$18:$F$18,$Z$4),Assumptions!$E$18))</f>
        <v/>
      </c>
      <c r="AA32" s="57">
        <f>IF($AA$5="NInstalments",$AA$6,IF(OR($AA$7="ALL",Assumptions!$N$18="Y"),INDEX(Assumptions!$D$18:$F$18,$AA$4),Assumptions!$E$18))</f>
        <v/>
      </c>
      <c r="AB32" s="57">
        <f>IF($AB$5="NInstalments",$AB$6,IF(OR($AB$7="ALL",Assumptions!$N$18="Y"),INDEX(Assumptions!$D$18:$F$18,$AB$4),Assumptions!$E$18))</f>
        <v/>
      </c>
      <c r="AC32" s="57">
        <f>IF($AC$5="NInstalments",$AC$6,IF(OR($AC$7="ALL",Assumptions!$N$18="Y"),INDEX(Assumptions!$D$18:$F$18,$AC$4),Assumptions!$E$18))</f>
        <v/>
      </c>
      <c r="AD32" s="57">
        <f>IF($AD$5="NInstalments",$AD$6,IF(OR($AD$7="ALL",Assumptions!$N$18="Y"),INDEX(Assumptions!$D$18:$F$18,$AD$4),Assumptions!$E$18))</f>
        <v/>
      </c>
      <c r="AE32" s="57">
        <f>IF($AE$5="NInstalments",$AE$6,IF(OR($AE$7="ALL",Assumptions!$N$18="Y"),INDEX(Assumptions!$D$18:$F$18,$AE$4),Assumptions!$E$18))</f>
        <v/>
      </c>
      <c r="AF32" s="57">
        <f>IF($AF$5="NInstalments",$AF$6,IF(OR($AF$7="ALL",Assumptions!$N$18="Y"),INDEX(Assumptions!$D$18:$F$18,$AF$4),Assumptions!$E$18))</f>
        <v/>
      </c>
      <c r="AG32" s="57">
        <f>IF($AG$5="NInstalments",$AG$6,IF(OR($AG$7="ALL",Assumptions!$N$18="Y"),INDEX(Assumptions!$D$18:$F$18,$AG$4),Assumptions!$E$18))</f>
        <v/>
      </c>
      <c r="AH32" s="57">
        <f>IF($AH$5="NInstalments",$AH$6,IF(OR($AH$7="ALL",Assumptions!$N$18="Y"),INDEX(Assumptions!$D$18:$F$18,$AH$4),Assumptions!$E$18))</f>
        <v/>
      </c>
      <c r="AI32" s="57">
        <f>IF($AI$5="NInstalments",$AI$6,IF(OR($AI$7="ALL",Assumptions!$N$18="Y"),INDEX(Assumptions!$D$18:$F$18,$AI$4),Assumptions!$E$18))</f>
        <v/>
      </c>
      <c r="AJ32" s="57">
        <f>IF($AJ$5="NInstalments",$AJ$6,IF(OR($AJ$7="ALL",Assumptions!$N$18="Y"),INDEX(Assumptions!$D$18:$F$18,$AJ$4),Assumptions!$E$18))</f>
        <v/>
      </c>
      <c r="AK32" s="57">
        <f>IF($AK$5="NInstalments",$AK$6,IF(OR($AK$7="ALL",Assumptions!$N$18="Y"),INDEX(Assumptions!$D$18:$F$18,$AK$4),Assumptions!$E$18))</f>
        <v/>
      </c>
      <c r="AL32" s="57">
        <f>IF($AL$5="NInstalments",$AL$6,IF(OR($AL$7="ALL",Assumptions!$N$18="Y"),INDEX(Assumptions!$D$18:$F$18,$AL$4),Assumptions!$E$18))</f>
        <v/>
      </c>
      <c r="AM32" s="57">
        <f>IF($AM$5="NInstalments",$AM$6,IF(OR($AM$7="ALL",Assumptions!$N$18="Y"),INDEX(Assumptions!$D$18:$F$18,$AM$4),Assumptions!$E$18))</f>
        <v/>
      </c>
      <c r="AN32" s="57">
        <f>IF($AN$5="NInstalments",$AN$6,IF(OR($AN$7="ALL",Assumptions!$N$18="Y"),INDEX(Assumptions!$D$18:$F$18,$AN$4),Assumptions!$E$18))</f>
        <v/>
      </c>
      <c r="AO32" s="57">
        <f>IF($AO$5="NInstalments",$AO$6,IF(OR($AO$7="ALL",Assumptions!$N$18="Y"),INDEX(Assumptions!$D$18:$F$18,$AO$4),Assumptions!$E$18))</f>
        <v/>
      </c>
      <c r="AP32" s="57">
        <f>IF($AP$5="NInstalments",$AP$6,IF(OR($AP$7="ALL",Assumptions!$N$18="Y"),INDEX(Assumptions!$D$18:$F$18,$AP$4),Assumptions!$E$18))</f>
        <v/>
      </c>
      <c r="AQ32" s="57">
        <f>IF($AQ$5="NInstalments",$AQ$6,IF(OR($AQ$7="ALL",Assumptions!$N$18="Y"),INDEX(Assumptions!$D$18:$F$18,$AQ$4),Assumptions!$E$18))</f>
        <v/>
      </c>
      <c r="AR32" s="57">
        <f>IF($AR$5="NInstalments",$AR$6,IF(OR($AR$7="ALL",Assumptions!$N$18="Y"),INDEX(Assumptions!$D$18:$F$18,$AR$4),Assumptions!$E$18))</f>
        <v/>
      </c>
      <c r="AS32" s="57">
        <f>IF($AS$5="NInstalments",$AS$6,IF(OR($AS$7="ALL",Assumptions!$N$18="Y"),INDEX(Assumptions!$D$18:$F$18,$AS$4),Assumptions!$E$18))</f>
        <v/>
      </c>
      <c r="AT32" s="57">
        <f>IF($AT$5="NInstalments",$AT$6,IF(OR($AT$7="ALL",Assumptions!$N$18="Y"),INDEX(Assumptions!$D$18:$F$18,$AT$4),Assumptions!$E$18))</f>
        <v/>
      </c>
      <c r="AU32" s="57">
        <f>IF($AU$5="NInstalments",$AU$6,IF(OR($AU$7="ALL",Assumptions!$N$18="Y"),INDEX(Assumptions!$D$18:$F$18,$AU$4),Assumptions!$E$18))</f>
        <v/>
      </c>
      <c r="AV32" s="57">
        <f>IF($AV$5="NInstalments",$AV$6,IF(OR($AV$7="ALL",Assumptions!$N$18="Y"),INDEX(Assumptions!$D$18:$F$18,$AV$4),Assumptions!$E$18))</f>
        <v/>
      </c>
      <c r="AW32" s="57">
        <f>IF($AW$5="NInstalments",$AW$6,IF(OR($AW$7="ALL",Assumptions!$N$18="Y"),INDEX(Assumptions!$D$18:$F$18,$AW$4),Assumptions!$E$18))</f>
        <v/>
      </c>
      <c r="AX32" s="57">
        <f>IF($AX$5="NInstalments",$AX$6,IF(OR($AX$7="ALL",Assumptions!$N$18="Y"),INDEX(Assumptions!$D$18:$F$18,$AX$4),Assumptions!$E$18))</f>
        <v/>
      </c>
      <c r="AY32" s="57">
        <f>IF($AY$5="NInstalments",$AY$6,IF(OR($AY$7="ALL",Assumptions!$N$18="Y"),INDEX(Assumptions!$D$18:$F$18,$AY$4),Assumptions!$E$18))</f>
        <v/>
      </c>
      <c r="AZ32" s="57">
        <f>IF($AZ$5="NInstalments",$AZ$6,IF(OR($AZ$7="ALL",Assumptions!$N$18="Y"),INDEX(Assumptions!$D$18:$F$18,$AZ$4),Assumptions!$E$18))</f>
        <v/>
      </c>
      <c r="BA32" s="57">
        <f>IF($BA$5="NInstalments",$BA$6,IF(OR($BA$7="ALL",Assumptions!$N$18="Y"),INDEX(Assumptions!$D$18:$F$18,$BA$4),Assumptions!$E$18))</f>
        <v/>
      </c>
      <c r="BB32" s="57">
        <f>IF($BB$5="NInstalments",$BB$6,IF(OR($BB$7="ALL",Assumptions!$N$18="Y"),INDEX(Assumptions!$D$18:$F$18,$BB$4),Assumptions!$E$18))</f>
        <v/>
      </c>
      <c r="BC32" s="57">
        <f>IF($BC$5="NInstalments",$BC$6,IF(OR($BC$7="ALL",Assumptions!$N$18="Y"),INDEX(Assumptions!$D$18:$F$18,$BC$4),Assumptions!$E$18))</f>
        <v/>
      </c>
      <c r="BD32" s="57">
        <f>IF($BD$5="NInstalments",$BD$6,IF(OR($BD$7="ALL",Assumptions!$N$18="Y"),INDEX(Assumptions!$D$18:$F$18,$BD$4),Assumptions!$E$18))</f>
        <v/>
      </c>
      <c r="BE32" s="57">
        <f>IF($BE$5="NInstalments",$BE$6,IF(OR($BE$7="ALL",Assumptions!$N$18="Y"),INDEX(Assumptions!$D$18:$F$18,$BE$4),Assumptions!$E$18))</f>
        <v/>
      </c>
    </row>
    <row r="33">
      <c r="B33" s="5" t="inlineStr">
        <is>
          <t>RefundEnforced</t>
        </is>
      </c>
      <c r="D33" s="39">
        <f>IF($D$5="RefundEnforced",$D$6,IF(OR($D$7="ALL",Assumptions!$N$19="Y"),INDEX(Assumptions!$D$19:$F$19,$D$4),Assumptions!$E$19))</f>
        <v/>
      </c>
      <c r="E33" s="39">
        <f>IF($E$5="RefundEnforced",$E$6,IF(OR($E$7="ALL",Assumptions!$N$19="Y"),INDEX(Assumptions!$D$19:$F$19,$E$4),Assumptions!$E$19))</f>
        <v/>
      </c>
      <c r="F33" s="39">
        <f>IF($F$5="RefundEnforced",$F$6,IF(OR($F$7="ALL",Assumptions!$N$19="Y"),INDEX(Assumptions!$D$19:$F$19,$F$4),Assumptions!$E$19))</f>
        <v/>
      </c>
      <c r="G33" s="39">
        <f>IF($G$5="RefundEnforced",$G$6,IF(OR($G$7="ALL",Assumptions!$N$19="Y"),INDEX(Assumptions!$D$19:$F$19,$G$4),Assumptions!$E$19))</f>
        <v/>
      </c>
      <c r="H33" s="39">
        <f>IF($H$5="RefundEnforced",$H$6,IF(OR($H$7="ALL",Assumptions!$N$19="Y"),INDEX(Assumptions!$D$19:$F$19,$H$4),Assumptions!$E$19))</f>
        <v/>
      </c>
      <c r="I33" s="39">
        <f>IF($I$5="RefundEnforced",$I$6,IF(OR($I$7="ALL",Assumptions!$N$19="Y"),INDEX(Assumptions!$D$19:$F$19,$I$4),Assumptions!$E$19))</f>
        <v/>
      </c>
      <c r="J33" s="39">
        <f>IF($J$5="RefundEnforced",$J$6,IF(OR($J$7="ALL",Assumptions!$N$19="Y"),INDEX(Assumptions!$D$19:$F$19,$J$4),Assumptions!$E$19))</f>
        <v/>
      </c>
      <c r="K33" s="39">
        <f>IF($K$5="RefundEnforced",$K$6,IF(OR($K$7="ALL",Assumptions!$N$19="Y"),INDEX(Assumptions!$D$19:$F$19,$K$4),Assumptions!$E$19))</f>
        <v/>
      </c>
      <c r="L33" s="39">
        <f>IF($L$5="RefundEnforced",$L$6,IF(OR($L$7="ALL",Assumptions!$N$19="Y"),INDEX(Assumptions!$D$19:$F$19,$L$4),Assumptions!$E$19))</f>
        <v/>
      </c>
      <c r="M33" s="39">
        <f>IF($M$5="RefundEnforced",$M$6,IF(OR($M$7="ALL",Assumptions!$N$19="Y"),INDEX(Assumptions!$D$19:$F$19,$M$4),Assumptions!$E$19))</f>
        <v/>
      </c>
      <c r="N33" s="39">
        <f>IF($N$5="RefundEnforced",$N$6,IF(OR($N$7="ALL",Assumptions!$N$19="Y"),INDEX(Assumptions!$D$19:$F$19,$N$4),Assumptions!$E$19))</f>
        <v/>
      </c>
      <c r="O33" s="39">
        <f>IF($O$5="RefundEnforced",$O$6,IF(OR($O$7="ALL",Assumptions!$N$19="Y"),INDEX(Assumptions!$D$19:$F$19,$O$4),Assumptions!$E$19))</f>
        <v/>
      </c>
      <c r="P33" s="39">
        <f>IF($P$5="RefundEnforced",$P$6,IF(OR($P$7="ALL",Assumptions!$N$19="Y"),INDEX(Assumptions!$D$19:$F$19,$P$4),Assumptions!$E$19))</f>
        <v/>
      </c>
      <c r="Q33" s="39">
        <f>IF($Q$5="RefundEnforced",$Q$6,IF(OR($Q$7="ALL",Assumptions!$N$19="Y"),INDEX(Assumptions!$D$19:$F$19,$Q$4),Assumptions!$E$19))</f>
        <v/>
      </c>
      <c r="R33" s="39">
        <f>IF($R$5="RefundEnforced",$R$6,IF(OR($R$7="ALL",Assumptions!$N$19="Y"),INDEX(Assumptions!$D$19:$F$19,$R$4),Assumptions!$E$19))</f>
        <v/>
      </c>
      <c r="S33" s="39">
        <f>IF($S$5="RefundEnforced",$S$6,IF(OR($S$7="ALL",Assumptions!$N$19="Y"),INDEX(Assumptions!$D$19:$F$19,$S$4),Assumptions!$E$19))</f>
        <v/>
      </c>
      <c r="T33" s="39">
        <f>IF($T$5="RefundEnforced",$T$6,IF(OR($T$7="ALL",Assumptions!$N$19="Y"),INDEX(Assumptions!$D$19:$F$19,$T$4),Assumptions!$E$19))</f>
        <v/>
      </c>
      <c r="U33" s="39">
        <f>IF($U$5="RefundEnforced",$U$6,IF(OR($U$7="ALL",Assumptions!$N$19="Y"),INDEX(Assumptions!$D$19:$F$19,$U$4),Assumptions!$E$19))</f>
        <v/>
      </c>
      <c r="V33" s="39">
        <f>IF($V$5="RefundEnforced",$V$6,IF(OR($V$7="ALL",Assumptions!$N$19="Y"),INDEX(Assumptions!$D$19:$F$19,$V$4),Assumptions!$E$19))</f>
        <v/>
      </c>
      <c r="W33" s="39">
        <f>IF($W$5="RefundEnforced",$W$6,IF(OR($W$7="ALL",Assumptions!$N$19="Y"),INDEX(Assumptions!$D$19:$F$19,$W$4),Assumptions!$E$19))</f>
        <v/>
      </c>
      <c r="X33" s="39">
        <f>IF($X$5="RefundEnforced",$X$6,IF(OR($X$7="ALL",Assumptions!$N$19="Y"),INDEX(Assumptions!$D$19:$F$19,$X$4),Assumptions!$E$19))</f>
        <v/>
      </c>
      <c r="Y33" s="39">
        <f>IF($Y$5="RefundEnforced",$Y$6,IF(OR($Y$7="ALL",Assumptions!$N$19="Y"),INDEX(Assumptions!$D$19:$F$19,$Y$4),Assumptions!$E$19))</f>
        <v/>
      </c>
      <c r="Z33" s="39">
        <f>IF($Z$5="RefundEnforced",$Z$6,IF(OR($Z$7="ALL",Assumptions!$N$19="Y"),INDEX(Assumptions!$D$19:$F$19,$Z$4),Assumptions!$E$19))</f>
        <v/>
      </c>
      <c r="AA33" s="39">
        <f>IF($AA$5="RefundEnforced",$AA$6,IF(OR($AA$7="ALL",Assumptions!$N$19="Y"),INDEX(Assumptions!$D$19:$F$19,$AA$4),Assumptions!$E$19))</f>
        <v/>
      </c>
      <c r="AB33" s="39">
        <f>IF($AB$5="RefundEnforced",$AB$6,IF(OR($AB$7="ALL",Assumptions!$N$19="Y"),INDEX(Assumptions!$D$19:$F$19,$AB$4),Assumptions!$E$19))</f>
        <v/>
      </c>
      <c r="AC33" s="39">
        <f>IF($AC$5="RefundEnforced",$AC$6,IF(OR($AC$7="ALL",Assumptions!$N$19="Y"),INDEX(Assumptions!$D$19:$F$19,$AC$4),Assumptions!$E$19))</f>
        <v/>
      </c>
      <c r="AD33" s="39">
        <f>IF($AD$5="RefundEnforced",$AD$6,IF(OR($AD$7="ALL",Assumptions!$N$19="Y"),INDEX(Assumptions!$D$19:$F$19,$AD$4),Assumptions!$E$19))</f>
        <v/>
      </c>
      <c r="AE33" s="39">
        <f>IF($AE$5="RefundEnforced",$AE$6,IF(OR($AE$7="ALL",Assumptions!$N$19="Y"),INDEX(Assumptions!$D$19:$F$19,$AE$4),Assumptions!$E$19))</f>
        <v/>
      </c>
      <c r="AF33" s="39">
        <f>IF($AF$5="RefundEnforced",$AF$6,IF(OR($AF$7="ALL",Assumptions!$N$19="Y"),INDEX(Assumptions!$D$19:$F$19,$AF$4),Assumptions!$E$19))</f>
        <v/>
      </c>
      <c r="AG33" s="39">
        <f>IF($AG$5="RefundEnforced",$AG$6,IF(OR($AG$7="ALL",Assumptions!$N$19="Y"),INDEX(Assumptions!$D$19:$F$19,$AG$4),Assumptions!$E$19))</f>
        <v/>
      </c>
      <c r="AH33" s="39">
        <f>IF($AH$5="RefundEnforced",$AH$6,IF(OR($AH$7="ALL",Assumptions!$N$19="Y"),INDEX(Assumptions!$D$19:$F$19,$AH$4),Assumptions!$E$19))</f>
        <v/>
      </c>
      <c r="AI33" s="39">
        <f>IF($AI$5="RefundEnforced",$AI$6,IF(OR($AI$7="ALL",Assumptions!$N$19="Y"),INDEX(Assumptions!$D$19:$F$19,$AI$4),Assumptions!$E$19))</f>
        <v/>
      </c>
      <c r="AJ33" s="39">
        <f>IF($AJ$5="RefundEnforced",$AJ$6,IF(OR($AJ$7="ALL",Assumptions!$N$19="Y"),INDEX(Assumptions!$D$19:$F$19,$AJ$4),Assumptions!$E$19))</f>
        <v/>
      </c>
      <c r="AK33" s="39">
        <f>IF($AK$5="RefundEnforced",$AK$6,IF(OR($AK$7="ALL",Assumptions!$N$19="Y"),INDEX(Assumptions!$D$19:$F$19,$AK$4),Assumptions!$E$19))</f>
        <v/>
      </c>
      <c r="AL33" s="39">
        <f>IF($AL$5="RefundEnforced",$AL$6,IF(OR($AL$7="ALL",Assumptions!$N$19="Y"),INDEX(Assumptions!$D$19:$F$19,$AL$4),Assumptions!$E$19))</f>
        <v/>
      </c>
      <c r="AM33" s="39">
        <f>IF($AM$5="RefundEnforced",$AM$6,IF(OR($AM$7="ALL",Assumptions!$N$19="Y"),INDEX(Assumptions!$D$19:$F$19,$AM$4),Assumptions!$E$19))</f>
        <v/>
      </c>
      <c r="AN33" s="39">
        <f>IF($AN$5="RefundEnforced",$AN$6,IF(OR($AN$7="ALL",Assumptions!$N$19="Y"),INDEX(Assumptions!$D$19:$F$19,$AN$4),Assumptions!$E$19))</f>
        <v/>
      </c>
      <c r="AO33" s="39">
        <f>IF($AO$5="RefundEnforced",$AO$6,IF(OR($AO$7="ALL",Assumptions!$N$19="Y"),INDEX(Assumptions!$D$19:$F$19,$AO$4),Assumptions!$E$19))</f>
        <v/>
      </c>
      <c r="AP33" s="39">
        <f>IF($AP$5="RefundEnforced",$AP$6,IF(OR($AP$7="ALL",Assumptions!$N$19="Y"),INDEX(Assumptions!$D$19:$F$19,$AP$4),Assumptions!$E$19))</f>
        <v/>
      </c>
      <c r="AQ33" s="39">
        <f>IF($AQ$5="RefundEnforced",$AQ$6,IF(OR($AQ$7="ALL",Assumptions!$N$19="Y"),INDEX(Assumptions!$D$19:$F$19,$AQ$4),Assumptions!$E$19))</f>
        <v/>
      </c>
      <c r="AR33" s="39">
        <f>IF($AR$5="RefundEnforced",$AR$6,IF(OR($AR$7="ALL",Assumptions!$N$19="Y"),INDEX(Assumptions!$D$19:$F$19,$AR$4),Assumptions!$E$19))</f>
        <v/>
      </c>
      <c r="AS33" s="39">
        <f>IF($AS$5="RefundEnforced",$AS$6,IF(OR($AS$7="ALL",Assumptions!$N$19="Y"),INDEX(Assumptions!$D$19:$F$19,$AS$4),Assumptions!$E$19))</f>
        <v/>
      </c>
      <c r="AT33" s="39">
        <f>IF($AT$5="RefundEnforced",$AT$6,IF(OR($AT$7="ALL",Assumptions!$N$19="Y"),INDEX(Assumptions!$D$19:$F$19,$AT$4),Assumptions!$E$19))</f>
        <v/>
      </c>
      <c r="AU33" s="39">
        <f>IF($AU$5="RefundEnforced",$AU$6,IF(OR($AU$7="ALL",Assumptions!$N$19="Y"),INDEX(Assumptions!$D$19:$F$19,$AU$4),Assumptions!$E$19))</f>
        <v/>
      </c>
      <c r="AV33" s="39">
        <f>IF($AV$5="RefundEnforced",$AV$6,IF(OR($AV$7="ALL",Assumptions!$N$19="Y"),INDEX(Assumptions!$D$19:$F$19,$AV$4),Assumptions!$E$19))</f>
        <v/>
      </c>
      <c r="AW33" s="39">
        <f>IF($AW$5="RefundEnforced",$AW$6,IF(OR($AW$7="ALL",Assumptions!$N$19="Y"),INDEX(Assumptions!$D$19:$F$19,$AW$4),Assumptions!$E$19))</f>
        <v/>
      </c>
      <c r="AX33" s="39">
        <f>IF($AX$5="RefundEnforced",$AX$6,IF(OR($AX$7="ALL",Assumptions!$N$19="Y"),INDEX(Assumptions!$D$19:$F$19,$AX$4),Assumptions!$E$19))</f>
        <v/>
      </c>
      <c r="AY33" s="39">
        <f>IF($AY$5="RefundEnforced",$AY$6,IF(OR($AY$7="ALL",Assumptions!$N$19="Y"),INDEX(Assumptions!$D$19:$F$19,$AY$4),Assumptions!$E$19))</f>
        <v/>
      </c>
      <c r="AZ33" s="39">
        <f>IF($AZ$5="RefundEnforced",$AZ$6,IF(OR($AZ$7="ALL",Assumptions!$N$19="Y"),INDEX(Assumptions!$D$19:$F$19,$AZ$4),Assumptions!$E$19))</f>
        <v/>
      </c>
      <c r="BA33" s="39">
        <f>IF($BA$5="RefundEnforced",$BA$6,IF(OR($BA$7="ALL",Assumptions!$N$19="Y"),INDEX(Assumptions!$D$19:$F$19,$BA$4),Assumptions!$E$19))</f>
        <v/>
      </c>
      <c r="BB33" s="39">
        <f>IF($BB$5="RefundEnforced",$BB$6,IF(OR($BB$7="ALL",Assumptions!$N$19="Y"),INDEX(Assumptions!$D$19:$F$19,$BB$4),Assumptions!$E$19))</f>
        <v/>
      </c>
      <c r="BC33" s="39">
        <f>IF($BC$5="RefundEnforced",$BC$6,IF(OR($BC$7="ALL",Assumptions!$N$19="Y"),INDEX(Assumptions!$D$19:$F$19,$BC$4),Assumptions!$E$19))</f>
        <v/>
      </c>
      <c r="BD33" s="39">
        <f>IF($BD$5="RefundEnforced",$BD$6,IF(OR($BD$7="ALL",Assumptions!$N$19="Y"),INDEX(Assumptions!$D$19:$F$19,$BD$4),Assumptions!$E$19))</f>
        <v/>
      </c>
      <c r="BE33" s="39">
        <f>IF($BE$5="RefundEnforced",$BE$6,IF(OR($BE$7="ALL",Assumptions!$N$19="Y"),INDEX(Assumptions!$D$19:$F$19,$BE$4),Assumptions!$E$19))</f>
        <v/>
      </c>
    </row>
    <row r="34">
      <c r="B34" s="5" t="inlineStr">
        <is>
          <t>BlindMonths</t>
        </is>
      </c>
      <c r="D34" s="57">
        <f>IF($D$5="BlindMonths",$D$6,IF(OR($D$7="ALL",Assumptions!$N$21="Y"),INDEX(Assumptions!$D$21:$F$21,$D$4),Assumptions!$E$21))</f>
        <v/>
      </c>
      <c r="E34" s="57">
        <f>IF($E$5="BlindMonths",$E$6,IF(OR($E$7="ALL",Assumptions!$N$21="Y"),INDEX(Assumptions!$D$21:$F$21,$E$4),Assumptions!$E$21))</f>
        <v/>
      </c>
      <c r="F34" s="57">
        <f>IF($F$5="BlindMonths",$F$6,IF(OR($F$7="ALL",Assumptions!$N$21="Y"),INDEX(Assumptions!$D$21:$F$21,$F$4),Assumptions!$E$21))</f>
        <v/>
      </c>
      <c r="G34" s="57">
        <f>IF($G$5="BlindMonths",$G$6,IF(OR($G$7="ALL",Assumptions!$N$21="Y"),INDEX(Assumptions!$D$21:$F$21,$G$4),Assumptions!$E$21))</f>
        <v/>
      </c>
      <c r="H34" s="57">
        <f>IF($H$5="BlindMonths",$H$6,IF(OR($H$7="ALL",Assumptions!$N$21="Y"),INDEX(Assumptions!$D$21:$F$21,$H$4),Assumptions!$E$21))</f>
        <v/>
      </c>
      <c r="I34" s="57">
        <f>IF($I$5="BlindMonths",$I$6,IF(OR($I$7="ALL",Assumptions!$N$21="Y"),INDEX(Assumptions!$D$21:$F$21,$I$4),Assumptions!$E$21))</f>
        <v/>
      </c>
      <c r="J34" s="57">
        <f>IF($J$5="BlindMonths",$J$6,IF(OR($J$7="ALL",Assumptions!$N$21="Y"),INDEX(Assumptions!$D$21:$F$21,$J$4),Assumptions!$E$21))</f>
        <v/>
      </c>
      <c r="K34" s="57">
        <f>IF($K$5="BlindMonths",$K$6,IF(OR($K$7="ALL",Assumptions!$N$21="Y"),INDEX(Assumptions!$D$21:$F$21,$K$4),Assumptions!$E$21))</f>
        <v/>
      </c>
      <c r="L34" s="57">
        <f>IF($L$5="BlindMonths",$L$6,IF(OR($L$7="ALL",Assumptions!$N$21="Y"),INDEX(Assumptions!$D$21:$F$21,$L$4),Assumptions!$E$21))</f>
        <v/>
      </c>
      <c r="M34" s="57">
        <f>IF($M$5="BlindMonths",$M$6,IF(OR($M$7="ALL",Assumptions!$N$21="Y"),INDEX(Assumptions!$D$21:$F$21,$M$4),Assumptions!$E$21))</f>
        <v/>
      </c>
      <c r="N34" s="57">
        <f>IF($N$5="BlindMonths",$N$6,IF(OR($N$7="ALL",Assumptions!$N$21="Y"),INDEX(Assumptions!$D$21:$F$21,$N$4),Assumptions!$E$21))</f>
        <v/>
      </c>
      <c r="O34" s="57">
        <f>IF($O$5="BlindMonths",$O$6,IF(OR($O$7="ALL",Assumptions!$N$21="Y"),INDEX(Assumptions!$D$21:$F$21,$O$4),Assumptions!$E$21))</f>
        <v/>
      </c>
      <c r="P34" s="57">
        <f>IF($P$5="BlindMonths",$P$6,IF(OR($P$7="ALL",Assumptions!$N$21="Y"),INDEX(Assumptions!$D$21:$F$21,$P$4),Assumptions!$E$21))</f>
        <v/>
      </c>
      <c r="Q34" s="57">
        <f>IF($Q$5="BlindMonths",$Q$6,IF(OR($Q$7="ALL",Assumptions!$N$21="Y"),INDEX(Assumptions!$D$21:$F$21,$Q$4),Assumptions!$E$21))</f>
        <v/>
      </c>
      <c r="R34" s="57">
        <f>IF($R$5="BlindMonths",$R$6,IF(OR($R$7="ALL",Assumptions!$N$21="Y"),INDEX(Assumptions!$D$21:$F$21,$R$4),Assumptions!$E$21))</f>
        <v/>
      </c>
      <c r="S34" s="57">
        <f>IF($S$5="BlindMonths",$S$6,IF(OR($S$7="ALL",Assumptions!$N$21="Y"),INDEX(Assumptions!$D$21:$F$21,$S$4),Assumptions!$E$21))</f>
        <v/>
      </c>
      <c r="T34" s="57">
        <f>IF($T$5="BlindMonths",$T$6,IF(OR($T$7="ALL",Assumptions!$N$21="Y"),INDEX(Assumptions!$D$21:$F$21,$T$4),Assumptions!$E$21))</f>
        <v/>
      </c>
      <c r="U34" s="57">
        <f>IF($U$5="BlindMonths",$U$6,IF(OR($U$7="ALL",Assumptions!$N$21="Y"),INDEX(Assumptions!$D$21:$F$21,$U$4),Assumptions!$E$21))</f>
        <v/>
      </c>
      <c r="V34" s="57">
        <f>IF($V$5="BlindMonths",$V$6,IF(OR($V$7="ALL",Assumptions!$N$21="Y"),INDEX(Assumptions!$D$21:$F$21,$V$4),Assumptions!$E$21))</f>
        <v/>
      </c>
      <c r="W34" s="57">
        <f>IF($W$5="BlindMonths",$W$6,IF(OR($W$7="ALL",Assumptions!$N$21="Y"),INDEX(Assumptions!$D$21:$F$21,$W$4),Assumptions!$E$21))</f>
        <v/>
      </c>
      <c r="X34" s="57">
        <f>IF($X$5="BlindMonths",$X$6,IF(OR($X$7="ALL",Assumptions!$N$21="Y"),INDEX(Assumptions!$D$21:$F$21,$X$4),Assumptions!$E$21))</f>
        <v/>
      </c>
      <c r="Y34" s="57">
        <f>IF($Y$5="BlindMonths",$Y$6,IF(OR($Y$7="ALL",Assumptions!$N$21="Y"),INDEX(Assumptions!$D$21:$F$21,$Y$4),Assumptions!$E$21))</f>
        <v/>
      </c>
      <c r="Z34" s="57">
        <f>IF($Z$5="BlindMonths",$Z$6,IF(OR($Z$7="ALL",Assumptions!$N$21="Y"),INDEX(Assumptions!$D$21:$F$21,$Z$4),Assumptions!$E$21))</f>
        <v/>
      </c>
      <c r="AA34" s="57">
        <f>IF($AA$5="BlindMonths",$AA$6,IF(OR($AA$7="ALL",Assumptions!$N$21="Y"),INDEX(Assumptions!$D$21:$F$21,$AA$4),Assumptions!$E$21))</f>
        <v/>
      </c>
      <c r="AB34" s="57">
        <f>IF($AB$5="BlindMonths",$AB$6,IF(OR($AB$7="ALL",Assumptions!$N$21="Y"),INDEX(Assumptions!$D$21:$F$21,$AB$4),Assumptions!$E$21))</f>
        <v/>
      </c>
      <c r="AC34" s="57">
        <f>IF($AC$5="BlindMonths",$AC$6,IF(OR($AC$7="ALL",Assumptions!$N$21="Y"),INDEX(Assumptions!$D$21:$F$21,$AC$4),Assumptions!$E$21))</f>
        <v/>
      </c>
      <c r="AD34" s="57">
        <f>IF($AD$5="BlindMonths",$AD$6,IF(OR($AD$7="ALL",Assumptions!$N$21="Y"),INDEX(Assumptions!$D$21:$F$21,$AD$4),Assumptions!$E$21))</f>
        <v/>
      </c>
      <c r="AE34" s="57">
        <f>IF($AE$5="BlindMonths",$AE$6,IF(OR($AE$7="ALL",Assumptions!$N$21="Y"),INDEX(Assumptions!$D$21:$F$21,$AE$4),Assumptions!$E$21))</f>
        <v/>
      </c>
      <c r="AF34" s="57">
        <f>IF($AF$5="BlindMonths",$AF$6,IF(OR($AF$7="ALL",Assumptions!$N$21="Y"),INDEX(Assumptions!$D$21:$F$21,$AF$4),Assumptions!$E$21))</f>
        <v/>
      </c>
      <c r="AG34" s="57">
        <f>IF($AG$5="BlindMonths",$AG$6,IF(OR($AG$7="ALL",Assumptions!$N$21="Y"),INDEX(Assumptions!$D$21:$F$21,$AG$4),Assumptions!$E$21))</f>
        <v/>
      </c>
      <c r="AH34" s="57">
        <f>IF($AH$5="BlindMonths",$AH$6,IF(OR($AH$7="ALL",Assumptions!$N$21="Y"),INDEX(Assumptions!$D$21:$F$21,$AH$4),Assumptions!$E$21))</f>
        <v/>
      </c>
      <c r="AI34" s="57">
        <f>IF($AI$5="BlindMonths",$AI$6,IF(OR($AI$7="ALL",Assumptions!$N$21="Y"),INDEX(Assumptions!$D$21:$F$21,$AI$4),Assumptions!$E$21))</f>
        <v/>
      </c>
      <c r="AJ34" s="57">
        <f>IF($AJ$5="BlindMonths",$AJ$6,IF(OR($AJ$7="ALL",Assumptions!$N$21="Y"),INDEX(Assumptions!$D$21:$F$21,$AJ$4),Assumptions!$E$21))</f>
        <v/>
      </c>
      <c r="AK34" s="57">
        <f>IF($AK$5="BlindMonths",$AK$6,IF(OR($AK$7="ALL",Assumptions!$N$21="Y"),INDEX(Assumptions!$D$21:$F$21,$AK$4),Assumptions!$E$21))</f>
        <v/>
      </c>
      <c r="AL34" s="57">
        <f>IF($AL$5="BlindMonths",$AL$6,IF(OR($AL$7="ALL",Assumptions!$N$21="Y"),INDEX(Assumptions!$D$21:$F$21,$AL$4),Assumptions!$E$21))</f>
        <v/>
      </c>
      <c r="AM34" s="57">
        <f>IF($AM$5="BlindMonths",$AM$6,IF(OR($AM$7="ALL",Assumptions!$N$21="Y"),INDEX(Assumptions!$D$21:$F$21,$AM$4),Assumptions!$E$21))</f>
        <v/>
      </c>
      <c r="AN34" s="57">
        <f>IF($AN$5="BlindMonths",$AN$6,IF(OR($AN$7="ALL",Assumptions!$N$21="Y"),INDEX(Assumptions!$D$21:$F$21,$AN$4),Assumptions!$E$21))</f>
        <v/>
      </c>
      <c r="AO34" s="57">
        <f>IF($AO$5="BlindMonths",$AO$6,IF(OR($AO$7="ALL",Assumptions!$N$21="Y"),INDEX(Assumptions!$D$21:$F$21,$AO$4),Assumptions!$E$21))</f>
        <v/>
      </c>
      <c r="AP34" s="57">
        <f>IF($AP$5="BlindMonths",$AP$6,IF(OR($AP$7="ALL",Assumptions!$N$21="Y"),INDEX(Assumptions!$D$21:$F$21,$AP$4),Assumptions!$E$21))</f>
        <v/>
      </c>
      <c r="AQ34" s="57">
        <f>IF($AQ$5="BlindMonths",$AQ$6,IF(OR($AQ$7="ALL",Assumptions!$N$21="Y"),INDEX(Assumptions!$D$21:$F$21,$AQ$4),Assumptions!$E$21))</f>
        <v/>
      </c>
      <c r="AR34" s="57">
        <f>IF($AR$5="BlindMonths",$AR$6,IF(OR($AR$7="ALL",Assumptions!$N$21="Y"),INDEX(Assumptions!$D$21:$F$21,$AR$4),Assumptions!$E$21))</f>
        <v/>
      </c>
      <c r="AS34" s="57">
        <f>IF($AS$5="BlindMonths",$AS$6,IF(OR($AS$7="ALL",Assumptions!$N$21="Y"),INDEX(Assumptions!$D$21:$F$21,$AS$4),Assumptions!$E$21))</f>
        <v/>
      </c>
      <c r="AT34" s="57">
        <f>IF($AT$5="BlindMonths",$AT$6,IF(OR($AT$7="ALL",Assumptions!$N$21="Y"),INDEX(Assumptions!$D$21:$F$21,$AT$4),Assumptions!$E$21))</f>
        <v/>
      </c>
      <c r="AU34" s="57">
        <f>IF($AU$5="BlindMonths",$AU$6,IF(OR($AU$7="ALL",Assumptions!$N$21="Y"),INDEX(Assumptions!$D$21:$F$21,$AU$4),Assumptions!$E$21))</f>
        <v/>
      </c>
      <c r="AV34" s="57">
        <f>IF($AV$5="BlindMonths",$AV$6,IF(OR($AV$7="ALL",Assumptions!$N$21="Y"),INDEX(Assumptions!$D$21:$F$21,$AV$4),Assumptions!$E$21))</f>
        <v/>
      </c>
      <c r="AW34" s="57">
        <f>IF($AW$5="BlindMonths",$AW$6,IF(OR($AW$7="ALL",Assumptions!$N$21="Y"),INDEX(Assumptions!$D$21:$F$21,$AW$4),Assumptions!$E$21))</f>
        <v/>
      </c>
      <c r="AX34" s="57">
        <f>IF($AX$5="BlindMonths",$AX$6,IF(OR($AX$7="ALL",Assumptions!$N$21="Y"),INDEX(Assumptions!$D$21:$F$21,$AX$4),Assumptions!$E$21))</f>
        <v/>
      </c>
      <c r="AY34" s="57">
        <f>IF($AY$5="BlindMonths",$AY$6,IF(OR($AY$7="ALL",Assumptions!$N$21="Y"),INDEX(Assumptions!$D$21:$F$21,$AY$4),Assumptions!$E$21))</f>
        <v/>
      </c>
      <c r="AZ34" s="57">
        <f>IF($AZ$5="BlindMonths",$AZ$6,IF(OR($AZ$7="ALL",Assumptions!$N$21="Y"),INDEX(Assumptions!$D$21:$F$21,$AZ$4),Assumptions!$E$21))</f>
        <v/>
      </c>
      <c r="BA34" s="57">
        <f>IF($BA$5="BlindMonths",$BA$6,IF(OR($BA$7="ALL",Assumptions!$N$21="Y"),INDEX(Assumptions!$D$21:$F$21,$BA$4),Assumptions!$E$21))</f>
        <v/>
      </c>
      <c r="BB34" s="57">
        <f>IF($BB$5="BlindMonths",$BB$6,IF(OR($BB$7="ALL",Assumptions!$N$21="Y"),INDEX(Assumptions!$D$21:$F$21,$BB$4),Assumptions!$E$21))</f>
        <v/>
      </c>
      <c r="BC34" s="57">
        <f>IF($BC$5="BlindMonths",$BC$6,IF(OR($BC$7="ALL",Assumptions!$N$21="Y"),INDEX(Assumptions!$D$21:$F$21,$BC$4),Assumptions!$E$21))</f>
        <v/>
      </c>
      <c r="BD34" s="57">
        <f>IF($BD$5="BlindMonths",$BD$6,IF(OR($BD$7="ALL",Assumptions!$N$21="Y"),INDEX(Assumptions!$D$21:$F$21,$BD$4),Assumptions!$E$21))</f>
        <v/>
      </c>
      <c r="BE34" s="57">
        <f>IF($BE$5="BlindMonths",$BE$6,IF(OR($BE$7="ALL",Assumptions!$N$21="Y"),INDEX(Assumptions!$D$21:$F$21,$BE$4),Assumptions!$E$21))</f>
        <v/>
      </c>
    </row>
    <row r="35">
      <c r="B35" s="5" t="inlineStr">
        <is>
          <t>MinorShare</t>
        </is>
      </c>
      <c r="D35" s="39">
        <f>IF($D$5="MinorShare",$D$6,IF(OR($D$7="ALL",Assumptions!$N$23="Y"),INDEX(Assumptions!$D$23:$F$23,$D$4),Assumptions!$E$23))</f>
        <v/>
      </c>
      <c r="E35" s="39">
        <f>IF($E$5="MinorShare",$E$6,IF(OR($E$7="ALL",Assumptions!$N$23="Y"),INDEX(Assumptions!$D$23:$F$23,$E$4),Assumptions!$E$23))</f>
        <v/>
      </c>
      <c r="F35" s="39">
        <f>IF($F$5="MinorShare",$F$6,IF(OR($F$7="ALL",Assumptions!$N$23="Y"),INDEX(Assumptions!$D$23:$F$23,$F$4),Assumptions!$E$23))</f>
        <v/>
      </c>
      <c r="G35" s="39">
        <f>IF($G$5="MinorShare",$G$6,IF(OR($G$7="ALL",Assumptions!$N$23="Y"),INDEX(Assumptions!$D$23:$F$23,$G$4),Assumptions!$E$23))</f>
        <v/>
      </c>
      <c r="H35" s="39">
        <f>IF($H$5="MinorShare",$H$6,IF(OR($H$7="ALL",Assumptions!$N$23="Y"),INDEX(Assumptions!$D$23:$F$23,$H$4),Assumptions!$E$23))</f>
        <v/>
      </c>
      <c r="I35" s="39">
        <f>IF($I$5="MinorShare",$I$6,IF(OR($I$7="ALL",Assumptions!$N$23="Y"),INDEX(Assumptions!$D$23:$F$23,$I$4),Assumptions!$E$23))</f>
        <v/>
      </c>
      <c r="J35" s="39">
        <f>IF($J$5="MinorShare",$J$6,IF(OR($J$7="ALL",Assumptions!$N$23="Y"),INDEX(Assumptions!$D$23:$F$23,$J$4),Assumptions!$E$23))</f>
        <v/>
      </c>
      <c r="K35" s="39">
        <f>IF($K$5="MinorShare",$K$6,IF(OR($K$7="ALL",Assumptions!$N$23="Y"),INDEX(Assumptions!$D$23:$F$23,$K$4),Assumptions!$E$23))</f>
        <v/>
      </c>
      <c r="L35" s="39">
        <f>IF($L$5="MinorShare",$L$6,IF(OR($L$7="ALL",Assumptions!$N$23="Y"),INDEX(Assumptions!$D$23:$F$23,$L$4),Assumptions!$E$23))</f>
        <v/>
      </c>
      <c r="M35" s="39">
        <f>IF($M$5="MinorShare",$M$6,IF(OR($M$7="ALL",Assumptions!$N$23="Y"),INDEX(Assumptions!$D$23:$F$23,$M$4),Assumptions!$E$23))</f>
        <v/>
      </c>
      <c r="N35" s="39">
        <f>IF($N$5="MinorShare",$N$6,IF(OR($N$7="ALL",Assumptions!$N$23="Y"),INDEX(Assumptions!$D$23:$F$23,$N$4),Assumptions!$E$23))</f>
        <v/>
      </c>
      <c r="O35" s="39">
        <f>IF($O$5="MinorShare",$O$6,IF(OR($O$7="ALL",Assumptions!$N$23="Y"),INDEX(Assumptions!$D$23:$F$23,$O$4),Assumptions!$E$23))</f>
        <v/>
      </c>
      <c r="P35" s="39">
        <f>IF($P$5="MinorShare",$P$6,IF(OR($P$7="ALL",Assumptions!$N$23="Y"),INDEX(Assumptions!$D$23:$F$23,$P$4),Assumptions!$E$23))</f>
        <v/>
      </c>
      <c r="Q35" s="39">
        <f>IF($Q$5="MinorShare",$Q$6,IF(OR($Q$7="ALL",Assumptions!$N$23="Y"),INDEX(Assumptions!$D$23:$F$23,$Q$4),Assumptions!$E$23))</f>
        <v/>
      </c>
      <c r="R35" s="39">
        <f>IF($R$5="MinorShare",$R$6,IF(OR($R$7="ALL",Assumptions!$N$23="Y"),INDEX(Assumptions!$D$23:$F$23,$R$4),Assumptions!$E$23))</f>
        <v/>
      </c>
      <c r="S35" s="39">
        <f>IF($S$5="MinorShare",$S$6,IF(OR($S$7="ALL",Assumptions!$N$23="Y"),INDEX(Assumptions!$D$23:$F$23,$S$4),Assumptions!$E$23))</f>
        <v/>
      </c>
      <c r="T35" s="39">
        <f>IF($T$5="MinorShare",$T$6,IF(OR($T$7="ALL",Assumptions!$N$23="Y"),INDEX(Assumptions!$D$23:$F$23,$T$4),Assumptions!$E$23))</f>
        <v/>
      </c>
      <c r="U35" s="39">
        <f>IF($U$5="MinorShare",$U$6,IF(OR($U$7="ALL",Assumptions!$N$23="Y"),INDEX(Assumptions!$D$23:$F$23,$U$4),Assumptions!$E$23))</f>
        <v/>
      </c>
      <c r="V35" s="39">
        <f>IF($V$5="MinorShare",$V$6,IF(OR($V$7="ALL",Assumptions!$N$23="Y"),INDEX(Assumptions!$D$23:$F$23,$V$4),Assumptions!$E$23))</f>
        <v/>
      </c>
      <c r="W35" s="39">
        <f>IF($W$5="MinorShare",$W$6,IF(OR($W$7="ALL",Assumptions!$N$23="Y"),INDEX(Assumptions!$D$23:$F$23,$W$4),Assumptions!$E$23))</f>
        <v/>
      </c>
      <c r="X35" s="39">
        <f>IF($X$5="MinorShare",$X$6,IF(OR($X$7="ALL",Assumptions!$N$23="Y"),INDEX(Assumptions!$D$23:$F$23,$X$4),Assumptions!$E$23))</f>
        <v/>
      </c>
      <c r="Y35" s="39">
        <f>IF($Y$5="MinorShare",$Y$6,IF(OR($Y$7="ALL",Assumptions!$N$23="Y"),INDEX(Assumptions!$D$23:$F$23,$Y$4),Assumptions!$E$23))</f>
        <v/>
      </c>
      <c r="Z35" s="39">
        <f>IF($Z$5="MinorShare",$Z$6,IF(OR($Z$7="ALL",Assumptions!$N$23="Y"),INDEX(Assumptions!$D$23:$F$23,$Z$4),Assumptions!$E$23))</f>
        <v/>
      </c>
      <c r="AA35" s="39">
        <f>IF($AA$5="MinorShare",$AA$6,IF(OR($AA$7="ALL",Assumptions!$N$23="Y"),INDEX(Assumptions!$D$23:$F$23,$AA$4),Assumptions!$E$23))</f>
        <v/>
      </c>
      <c r="AB35" s="39">
        <f>IF($AB$5="MinorShare",$AB$6,IF(OR($AB$7="ALL",Assumptions!$N$23="Y"),INDEX(Assumptions!$D$23:$F$23,$AB$4),Assumptions!$E$23))</f>
        <v/>
      </c>
      <c r="AC35" s="39">
        <f>IF($AC$5="MinorShare",$AC$6,IF(OR($AC$7="ALL",Assumptions!$N$23="Y"),INDEX(Assumptions!$D$23:$F$23,$AC$4),Assumptions!$E$23))</f>
        <v/>
      </c>
      <c r="AD35" s="39">
        <f>IF($AD$5="MinorShare",$AD$6,IF(OR($AD$7="ALL",Assumptions!$N$23="Y"),INDEX(Assumptions!$D$23:$F$23,$AD$4),Assumptions!$E$23))</f>
        <v/>
      </c>
      <c r="AE35" s="39">
        <f>IF($AE$5="MinorShare",$AE$6,IF(OR($AE$7="ALL",Assumptions!$N$23="Y"),INDEX(Assumptions!$D$23:$F$23,$AE$4),Assumptions!$E$23))</f>
        <v/>
      </c>
      <c r="AF35" s="39">
        <f>IF($AF$5="MinorShare",$AF$6,IF(OR($AF$7="ALL",Assumptions!$N$23="Y"),INDEX(Assumptions!$D$23:$F$23,$AF$4),Assumptions!$E$23))</f>
        <v/>
      </c>
      <c r="AG35" s="39">
        <f>IF($AG$5="MinorShare",$AG$6,IF(OR($AG$7="ALL",Assumptions!$N$23="Y"),INDEX(Assumptions!$D$23:$F$23,$AG$4),Assumptions!$E$23))</f>
        <v/>
      </c>
      <c r="AH35" s="39">
        <f>IF($AH$5="MinorShare",$AH$6,IF(OR($AH$7="ALL",Assumptions!$N$23="Y"),INDEX(Assumptions!$D$23:$F$23,$AH$4),Assumptions!$E$23))</f>
        <v/>
      </c>
      <c r="AI35" s="39">
        <f>IF($AI$5="MinorShare",$AI$6,IF(OR($AI$7="ALL",Assumptions!$N$23="Y"),INDEX(Assumptions!$D$23:$F$23,$AI$4),Assumptions!$E$23))</f>
        <v/>
      </c>
      <c r="AJ35" s="39">
        <f>IF($AJ$5="MinorShare",$AJ$6,IF(OR($AJ$7="ALL",Assumptions!$N$23="Y"),INDEX(Assumptions!$D$23:$F$23,$AJ$4),Assumptions!$E$23))</f>
        <v/>
      </c>
      <c r="AK35" s="39">
        <f>IF($AK$5="MinorShare",$AK$6,IF(OR($AK$7="ALL",Assumptions!$N$23="Y"),INDEX(Assumptions!$D$23:$F$23,$AK$4),Assumptions!$E$23))</f>
        <v/>
      </c>
      <c r="AL35" s="39">
        <f>IF($AL$5="MinorShare",$AL$6,IF(OR($AL$7="ALL",Assumptions!$N$23="Y"),INDEX(Assumptions!$D$23:$F$23,$AL$4),Assumptions!$E$23))</f>
        <v/>
      </c>
      <c r="AM35" s="39">
        <f>IF($AM$5="MinorShare",$AM$6,IF(OR($AM$7="ALL",Assumptions!$N$23="Y"),INDEX(Assumptions!$D$23:$F$23,$AM$4),Assumptions!$E$23))</f>
        <v/>
      </c>
      <c r="AN35" s="39">
        <f>IF($AN$5="MinorShare",$AN$6,IF(OR($AN$7="ALL",Assumptions!$N$23="Y"),INDEX(Assumptions!$D$23:$F$23,$AN$4),Assumptions!$E$23))</f>
        <v/>
      </c>
      <c r="AO35" s="39">
        <f>IF($AO$5="MinorShare",$AO$6,IF(OR($AO$7="ALL",Assumptions!$N$23="Y"),INDEX(Assumptions!$D$23:$F$23,$AO$4),Assumptions!$E$23))</f>
        <v/>
      </c>
      <c r="AP35" s="39">
        <f>IF($AP$5="MinorShare",$AP$6,IF(OR($AP$7="ALL",Assumptions!$N$23="Y"),INDEX(Assumptions!$D$23:$F$23,$AP$4),Assumptions!$E$23))</f>
        <v/>
      </c>
      <c r="AQ35" s="39">
        <f>IF($AQ$5="MinorShare",$AQ$6,IF(OR($AQ$7="ALL",Assumptions!$N$23="Y"),INDEX(Assumptions!$D$23:$F$23,$AQ$4),Assumptions!$E$23))</f>
        <v/>
      </c>
      <c r="AR35" s="39">
        <f>IF($AR$5="MinorShare",$AR$6,IF(OR($AR$7="ALL",Assumptions!$N$23="Y"),INDEX(Assumptions!$D$23:$F$23,$AR$4),Assumptions!$E$23))</f>
        <v/>
      </c>
      <c r="AS35" s="39">
        <f>IF($AS$5="MinorShare",$AS$6,IF(OR($AS$7="ALL",Assumptions!$N$23="Y"),INDEX(Assumptions!$D$23:$F$23,$AS$4),Assumptions!$E$23))</f>
        <v/>
      </c>
      <c r="AT35" s="39">
        <f>IF($AT$5="MinorShare",$AT$6,IF(OR($AT$7="ALL",Assumptions!$N$23="Y"),INDEX(Assumptions!$D$23:$F$23,$AT$4),Assumptions!$E$23))</f>
        <v/>
      </c>
      <c r="AU35" s="39">
        <f>IF($AU$5="MinorShare",$AU$6,IF(OR($AU$7="ALL",Assumptions!$N$23="Y"),INDEX(Assumptions!$D$23:$F$23,$AU$4),Assumptions!$E$23))</f>
        <v/>
      </c>
      <c r="AV35" s="39">
        <f>IF($AV$5="MinorShare",$AV$6,IF(OR($AV$7="ALL",Assumptions!$N$23="Y"),INDEX(Assumptions!$D$23:$F$23,$AV$4),Assumptions!$E$23))</f>
        <v/>
      </c>
      <c r="AW35" s="39">
        <f>IF($AW$5="MinorShare",$AW$6,IF(OR($AW$7="ALL",Assumptions!$N$23="Y"),INDEX(Assumptions!$D$23:$F$23,$AW$4),Assumptions!$E$23))</f>
        <v/>
      </c>
      <c r="AX35" s="39">
        <f>IF($AX$5="MinorShare",$AX$6,IF(OR($AX$7="ALL",Assumptions!$N$23="Y"),INDEX(Assumptions!$D$23:$F$23,$AX$4),Assumptions!$E$23))</f>
        <v/>
      </c>
      <c r="AY35" s="39">
        <f>IF($AY$5="MinorShare",$AY$6,IF(OR($AY$7="ALL",Assumptions!$N$23="Y"),INDEX(Assumptions!$D$23:$F$23,$AY$4),Assumptions!$E$23))</f>
        <v/>
      </c>
      <c r="AZ35" s="39">
        <f>IF($AZ$5="MinorShare",$AZ$6,IF(OR($AZ$7="ALL",Assumptions!$N$23="Y"),INDEX(Assumptions!$D$23:$F$23,$AZ$4),Assumptions!$E$23))</f>
        <v/>
      </c>
      <c r="BA35" s="39">
        <f>IF($BA$5="MinorShare",$BA$6,IF(OR($BA$7="ALL",Assumptions!$N$23="Y"),INDEX(Assumptions!$D$23:$F$23,$BA$4),Assumptions!$E$23))</f>
        <v/>
      </c>
      <c r="BB35" s="39">
        <f>IF($BB$5="MinorShare",$BB$6,IF(OR($BB$7="ALL",Assumptions!$N$23="Y"),INDEX(Assumptions!$D$23:$F$23,$BB$4),Assumptions!$E$23))</f>
        <v/>
      </c>
      <c r="BC35" s="39">
        <f>IF($BC$5="MinorShare",$BC$6,IF(OR($BC$7="ALL",Assumptions!$N$23="Y"),INDEX(Assumptions!$D$23:$F$23,$BC$4),Assumptions!$E$23))</f>
        <v/>
      </c>
      <c r="BD35" s="39">
        <f>IF($BD$5="MinorShare",$BD$6,IF(OR($BD$7="ALL",Assumptions!$N$23="Y"),INDEX(Assumptions!$D$23:$F$23,$BD$4),Assumptions!$E$23))</f>
        <v/>
      </c>
      <c r="BE35" s="39">
        <f>IF($BE$5="MinorShare",$BE$6,IF(OR($BE$7="ALL",Assumptions!$N$23="Y"),INDEX(Assumptions!$D$23:$F$23,$BE$4),Assumptions!$E$23))</f>
        <v/>
      </c>
    </row>
    <row r="36">
      <c r="B36" s="5" t="inlineStr">
        <is>
          <t>Recall_Minor</t>
        </is>
      </c>
      <c r="D36" s="39">
        <f>IF($D$5="Recall_Minor",$D$6,IF(OR($D$7="ALL",Assumptions!$N$24="Y"),INDEX(Assumptions!$D$24:$F$24,$D$4),Assumptions!$E$24))</f>
        <v/>
      </c>
      <c r="E36" s="39">
        <f>IF($E$5="Recall_Minor",$E$6,IF(OR($E$7="ALL",Assumptions!$N$24="Y"),INDEX(Assumptions!$D$24:$F$24,$E$4),Assumptions!$E$24))</f>
        <v/>
      </c>
      <c r="F36" s="39">
        <f>IF($F$5="Recall_Minor",$F$6,IF(OR($F$7="ALL",Assumptions!$N$24="Y"),INDEX(Assumptions!$D$24:$F$24,$F$4),Assumptions!$E$24))</f>
        <v/>
      </c>
      <c r="G36" s="39">
        <f>IF($G$5="Recall_Minor",$G$6,IF(OR($G$7="ALL",Assumptions!$N$24="Y"),INDEX(Assumptions!$D$24:$F$24,$G$4),Assumptions!$E$24))</f>
        <v/>
      </c>
      <c r="H36" s="39">
        <f>IF($H$5="Recall_Minor",$H$6,IF(OR($H$7="ALL",Assumptions!$N$24="Y"),INDEX(Assumptions!$D$24:$F$24,$H$4),Assumptions!$E$24))</f>
        <v/>
      </c>
      <c r="I36" s="39">
        <f>IF($I$5="Recall_Minor",$I$6,IF(OR($I$7="ALL",Assumptions!$N$24="Y"),INDEX(Assumptions!$D$24:$F$24,$I$4),Assumptions!$E$24))</f>
        <v/>
      </c>
      <c r="J36" s="39">
        <f>IF($J$5="Recall_Minor",$J$6,IF(OR($J$7="ALL",Assumptions!$N$24="Y"),INDEX(Assumptions!$D$24:$F$24,$J$4),Assumptions!$E$24))</f>
        <v/>
      </c>
      <c r="K36" s="39">
        <f>IF($K$5="Recall_Minor",$K$6,IF(OR($K$7="ALL",Assumptions!$N$24="Y"),INDEX(Assumptions!$D$24:$F$24,$K$4),Assumptions!$E$24))</f>
        <v/>
      </c>
      <c r="L36" s="39">
        <f>IF($L$5="Recall_Minor",$L$6,IF(OR($L$7="ALL",Assumptions!$N$24="Y"),INDEX(Assumptions!$D$24:$F$24,$L$4),Assumptions!$E$24))</f>
        <v/>
      </c>
      <c r="M36" s="39">
        <f>IF($M$5="Recall_Minor",$M$6,IF(OR($M$7="ALL",Assumptions!$N$24="Y"),INDEX(Assumptions!$D$24:$F$24,$M$4),Assumptions!$E$24))</f>
        <v/>
      </c>
      <c r="N36" s="39">
        <f>IF($N$5="Recall_Minor",$N$6,IF(OR($N$7="ALL",Assumptions!$N$24="Y"),INDEX(Assumptions!$D$24:$F$24,$N$4),Assumptions!$E$24))</f>
        <v/>
      </c>
      <c r="O36" s="39">
        <f>IF($O$5="Recall_Minor",$O$6,IF(OR($O$7="ALL",Assumptions!$N$24="Y"),INDEX(Assumptions!$D$24:$F$24,$O$4),Assumptions!$E$24))</f>
        <v/>
      </c>
      <c r="P36" s="39">
        <f>IF($P$5="Recall_Minor",$P$6,IF(OR($P$7="ALL",Assumptions!$N$24="Y"),INDEX(Assumptions!$D$24:$F$24,$P$4),Assumptions!$E$24))</f>
        <v/>
      </c>
      <c r="Q36" s="39">
        <f>IF($Q$5="Recall_Minor",$Q$6,IF(OR($Q$7="ALL",Assumptions!$N$24="Y"),INDEX(Assumptions!$D$24:$F$24,$Q$4),Assumptions!$E$24))</f>
        <v/>
      </c>
      <c r="R36" s="39">
        <f>IF($R$5="Recall_Minor",$R$6,IF(OR($R$7="ALL",Assumptions!$N$24="Y"),INDEX(Assumptions!$D$24:$F$24,$R$4),Assumptions!$E$24))</f>
        <v/>
      </c>
      <c r="S36" s="39">
        <f>IF($S$5="Recall_Minor",$S$6,IF(OR($S$7="ALL",Assumptions!$N$24="Y"),INDEX(Assumptions!$D$24:$F$24,$S$4),Assumptions!$E$24))</f>
        <v/>
      </c>
      <c r="T36" s="39">
        <f>IF($T$5="Recall_Minor",$T$6,IF(OR($T$7="ALL",Assumptions!$N$24="Y"),INDEX(Assumptions!$D$24:$F$24,$T$4),Assumptions!$E$24))</f>
        <v/>
      </c>
      <c r="U36" s="39">
        <f>IF($U$5="Recall_Minor",$U$6,IF(OR($U$7="ALL",Assumptions!$N$24="Y"),INDEX(Assumptions!$D$24:$F$24,$U$4),Assumptions!$E$24))</f>
        <v/>
      </c>
      <c r="V36" s="39">
        <f>IF($V$5="Recall_Minor",$V$6,IF(OR($V$7="ALL",Assumptions!$N$24="Y"),INDEX(Assumptions!$D$24:$F$24,$V$4),Assumptions!$E$24))</f>
        <v/>
      </c>
      <c r="W36" s="39">
        <f>IF($W$5="Recall_Minor",$W$6,IF(OR($W$7="ALL",Assumptions!$N$24="Y"),INDEX(Assumptions!$D$24:$F$24,$W$4),Assumptions!$E$24))</f>
        <v/>
      </c>
      <c r="X36" s="39">
        <f>IF($X$5="Recall_Minor",$X$6,IF(OR($X$7="ALL",Assumptions!$N$24="Y"),INDEX(Assumptions!$D$24:$F$24,$X$4),Assumptions!$E$24))</f>
        <v/>
      </c>
      <c r="Y36" s="39">
        <f>IF($Y$5="Recall_Minor",$Y$6,IF(OR($Y$7="ALL",Assumptions!$N$24="Y"),INDEX(Assumptions!$D$24:$F$24,$Y$4),Assumptions!$E$24))</f>
        <v/>
      </c>
      <c r="Z36" s="39">
        <f>IF($Z$5="Recall_Minor",$Z$6,IF(OR($Z$7="ALL",Assumptions!$N$24="Y"),INDEX(Assumptions!$D$24:$F$24,$Z$4),Assumptions!$E$24))</f>
        <v/>
      </c>
      <c r="AA36" s="39">
        <f>IF($AA$5="Recall_Minor",$AA$6,IF(OR($AA$7="ALL",Assumptions!$N$24="Y"),INDEX(Assumptions!$D$24:$F$24,$AA$4),Assumptions!$E$24))</f>
        <v/>
      </c>
      <c r="AB36" s="39">
        <f>IF($AB$5="Recall_Minor",$AB$6,IF(OR($AB$7="ALL",Assumptions!$N$24="Y"),INDEX(Assumptions!$D$24:$F$24,$AB$4),Assumptions!$E$24))</f>
        <v/>
      </c>
      <c r="AC36" s="39">
        <f>IF($AC$5="Recall_Minor",$AC$6,IF(OR($AC$7="ALL",Assumptions!$N$24="Y"),INDEX(Assumptions!$D$24:$F$24,$AC$4),Assumptions!$E$24))</f>
        <v/>
      </c>
      <c r="AD36" s="39">
        <f>IF($AD$5="Recall_Minor",$AD$6,IF(OR($AD$7="ALL",Assumptions!$N$24="Y"),INDEX(Assumptions!$D$24:$F$24,$AD$4),Assumptions!$E$24))</f>
        <v/>
      </c>
      <c r="AE36" s="39">
        <f>IF($AE$5="Recall_Minor",$AE$6,IF(OR($AE$7="ALL",Assumptions!$N$24="Y"),INDEX(Assumptions!$D$24:$F$24,$AE$4),Assumptions!$E$24))</f>
        <v/>
      </c>
      <c r="AF36" s="39">
        <f>IF($AF$5="Recall_Minor",$AF$6,IF(OR($AF$7="ALL",Assumptions!$N$24="Y"),INDEX(Assumptions!$D$24:$F$24,$AF$4),Assumptions!$E$24))</f>
        <v/>
      </c>
      <c r="AG36" s="39">
        <f>IF($AG$5="Recall_Minor",$AG$6,IF(OR($AG$7="ALL",Assumptions!$N$24="Y"),INDEX(Assumptions!$D$24:$F$24,$AG$4),Assumptions!$E$24))</f>
        <v/>
      </c>
      <c r="AH36" s="39">
        <f>IF($AH$5="Recall_Minor",$AH$6,IF(OR($AH$7="ALL",Assumptions!$N$24="Y"),INDEX(Assumptions!$D$24:$F$24,$AH$4),Assumptions!$E$24))</f>
        <v/>
      </c>
      <c r="AI36" s="39">
        <f>IF($AI$5="Recall_Minor",$AI$6,IF(OR($AI$7="ALL",Assumptions!$N$24="Y"),INDEX(Assumptions!$D$24:$F$24,$AI$4),Assumptions!$E$24))</f>
        <v/>
      </c>
      <c r="AJ36" s="39">
        <f>IF($AJ$5="Recall_Minor",$AJ$6,IF(OR($AJ$7="ALL",Assumptions!$N$24="Y"),INDEX(Assumptions!$D$24:$F$24,$AJ$4),Assumptions!$E$24))</f>
        <v/>
      </c>
      <c r="AK36" s="39">
        <f>IF($AK$5="Recall_Minor",$AK$6,IF(OR($AK$7="ALL",Assumptions!$N$24="Y"),INDEX(Assumptions!$D$24:$F$24,$AK$4),Assumptions!$E$24))</f>
        <v/>
      </c>
      <c r="AL36" s="39">
        <f>IF($AL$5="Recall_Minor",$AL$6,IF(OR($AL$7="ALL",Assumptions!$N$24="Y"),INDEX(Assumptions!$D$24:$F$24,$AL$4),Assumptions!$E$24))</f>
        <v/>
      </c>
      <c r="AM36" s="39">
        <f>IF($AM$5="Recall_Minor",$AM$6,IF(OR($AM$7="ALL",Assumptions!$N$24="Y"),INDEX(Assumptions!$D$24:$F$24,$AM$4),Assumptions!$E$24))</f>
        <v/>
      </c>
      <c r="AN36" s="39">
        <f>IF($AN$5="Recall_Minor",$AN$6,IF(OR($AN$7="ALL",Assumptions!$N$24="Y"),INDEX(Assumptions!$D$24:$F$24,$AN$4),Assumptions!$E$24))</f>
        <v/>
      </c>
      <c r="AO36" s="39">
        <f>IF($AO$5="Recall_Minor",$AO$6,IF(OR($AO$7="ALL",Assumptions!$N$24="Y"),INDEX(Assumptions!$D$24:$F$24,$AO$4),Assumptions!$E$24))</f>
        <v/>
      </c>
      <c r="AP36" s="39">
        <f>IF($AP$5="Recall_Minor",$AP$6,IF(OR($AP$7="ALL",Assumptions!$N$24="Y"),INDEX(Assumptions!$D$24:$F$24,$AP$4),Assumptions!$E$24))</f>
        <v/>
      </c>
      <c r="AQ36" s="39">
        <f>IF($AQ$5="Recall_Minor",$AQ$6,IF(OR($AQ$7="ALL",Assumptions!$N$24="Y"),INDEX(Assumptions!$D$24:$F$24,$AQ$4),Assumptions!$E$24))</f>
        <v/>
      </c>
      <c r="AR36" s="39">
        <f>IF($AR$5="Recall_Minor",$AR$6,IF(OR($AR$7="ALL",Assumptions!$N$24="Y"),INDEX(Assumptions!$D$24:$F$24,$AR$4),Assumptions!$E$24))</f>
        <v/>
      </c>
      <c r="AS36" s="39">
        <f>IF($AS$5="Recall_Minor",$AS$6,IF(OR($AS$7="ALL",Assumptions!$N$24="Y"),INDEX(Assumptions!$D$24:$F$24,$AS$4),Assumptions!$E$24))</f>
        <v/>
      </c>
      <c r="AT36" s="39">
        <f>IF($AT$5="Recall_Minor",$AT$6,IF(OR($AT$7="ALL",Assumptions!$N$24="Y"),INDEX(Assumptions!$D$24:$F$24,$AT$4),Assumptions!$E$24))</f>
        <v/>
      </c>
      <c r="AU36" s="39">
        <f>IF($AU$5="Recall_Minor",$AU$6,IF(OR($AU$7="ALL",Assumptions!$N$24="Y"),INDEX(Assumptions!$D$24:$F$24,$AU$4),Assumptions!$E$24))</f>
        <v/>
      </c>
      <c r="AV36" s="39">
        <f>IF($AV$5="Recall_Minor",$AV$6,IF(OR($AV$7="ALL",Assumptions!$N$24="Y"),INDEX(Assumptions!$D$24:$F$24,$AV$4),Assumptions!$E$24))</f>
        <v/>
      </c>
      <c r="AW36" s="39">
        <f>IF($AW$5="Recall_Minor",$AW$6,IF(OR($AW$7="ALL",Assumptions!$N$24="Y"),INDEX(Assumptions!$D$24:$F$24,$AW$4),Assumptions!$E$24))</f>
        <v/>
      </c>
      <c r="AX36" s="39">
        <f>IF($AX$5="Recall_Minor",$AX$6,IF(OR($AX$7="ALL",Assumptions!$N$24="Y"),INDEX(Assumptions!$D$24:$F$24,$AX$4),Assumptions!$E$24))</f>
        <v/>
      </c>
      <c r="AY36" s="39">
        <f>IF($AY$5="Recall_Minor",$AY$6,IF(OR($AY$7="ALL",Assumptions!$N$24="Y"),INDEX(Assumptions!$D$24:$F$24,$AY$4),Assumptions!$E$24))</f>
        <v/>
      </c>
      <c r="AZ36" s="39">
        <f>IF($AZ$5="Recall_Minor",$AZ$6,IF(OR($AZ$7="ALL",Assumptions!$N$24="Y"),INDEX(Assumptions!$D$24:$F$24,$AZ$4),Assumptions!$E$24))</f>
        <v/>
      </c>
      <c r="BA36" s="39">
        <f>IF($BA$5="Recall_Minor",$BA$6,IF(OR($BA$7="ALL",Assumptions!$N$24="Y"),INDEX(Assumptions!$D$24:$F$24,$BA$4),Assumptions!$E$24))</f>
        <v/>
      </c>
      <c r="BB36" s="39">
        <f>IF($BB$5="Recall_Minor",$BB$6,IF(OR($BB$7="ALL",Assumptions!$N$24="Y"),INDEX(Assumptions!$D$24:$F$24,$BB$4),Assumptions!$E$24))</f>
        <v/>
      </c>
      <c r="BC36" s="39">
        <f>IF($BC$5="Recall_Minor",$BC$6,IF(OR($BC$7="ALL",Assumptions!$N$24="Y"),INDEX(Assumptions!$D$24:$F$24,$BC$4),Assumptions!$E$24))</f>
        <v/>
      </c>
      <c r="BD36" s="39">
        <f>IF($BD$5="Recall_Minor",$BD$6,IF(OR($BD$7="ALL",Assumptions!$N$24="Y"),INDEX(Assumptions!$D$24:$F$24,$BD$4),Assumptions!$E$24))</f>
        <v/>
      </c>
      <c r="BE36" s="39">
        <f>IF($BE$5="Recall_Minor",$BE$6,IF(OR($BE$7="ALL",Assumptions!$N$24="Y"),INDEX(Assumptions!$D$24:$F$24,$BE$4),Assumptions!$E$24))</f>
        <v/>
      </c>
    </row>
    <row r="37">
      <c r="B37" s="5" t="inlineStr">
        <is>
          <t>Recall_Adult</t>
        </is>
      </c>
      <c r="D37" s="39">
        <f>IF($D$5="Recall_Adult",$D$6,IF(OR($D$7="ALL",Assumptions!$N$25="Y"),INDEX(Assumptions!$D$25:$F$25,$D$4),Assumptions!$E$25))</f>
        <v/>
      </c>
      <c r="E37" s="39">
        <f>IF($E$5="Recall_Adult",$E$6,IF(OR($E$7="ALL",Assumptions!$N$25="Y"),INDEX(Assumptions!$D$25:$F$25,$E$4),Assumptions!$E$25))</f>
        <v/>
      </c>
      <c r="F37" s="39">
        <f>IF($F$5="Recall_Adult",$F$6,IF(OR($F$7="ALL",Assumptions!$N$25="Y"),INDEX(Assumptions!$D$25:$F$25,$F$4),Assumptions!$E$25))</f>
        <v/>
      </c>
      <c r="G37" s="39">
        <f>IF($G$5="Recall_Adult",$G$6,IF(OR($G$7="ALL",Assumptions!$N$25="Y"),INDEX(Assumptions!$D$25:$F$25,$G$4),Assumptions!$E$25))</f>
        <v/>
      </c>
      <c r="H37" s="39">
        <f>IF($H$5="Recall_Adult",$H$6,IF(OR($H$7="ALL",Assumptions!$N$25="Y"),INDEX(Assumptions!$D$25:$F$25,$H$4),Assumptions!$E$25))</f>
        <v/>
      </c>
      <c r="I37" s="39">
        <f>IF($I$5="Recall_Adult",$I$6,IF(OR($I$7="ALL",Assumptions!$N$25="Y"),INDEX(Assumptions!$D$25:$F$25,$I$4),Assumptions!$E$25))</f>
        <v/>
      </c>
      <c r="J37" s="39">
        <f>IF($J$5="Recall_Adult",$J$6,IF(OR($J$7="ALL",Assumptions!$N$25="Y"),INDEX(Assumptions!$D$25:$F$25,$J$4),Assumptions!$E$25))</f>
        <v/>
      </c>
      <c r="K37" s="39">
        <f>IF($K$5="Recall_Adult",$K$6,IF(OR($K$7="ALL",Assumptions!$N$25="Y"),INDEX(Assumptions!$D$25:$F$25,$K$4),Assumptions!$E$25))</f>
        <v/>
      </c>
      <c r="L37" s="39">
        <f>IF($L$5="Recall_Adult",$L$6,IF(OR($L$7="ALL",Assumptions!$N$25="Y"),INDEX(Assumptions!$D$25:$F$25,$L$4),Assumptions!$E$25))</f>
        <v/>
      </c>
      <c r="M37" s="39">
        <f>IF($M$5="Recall_Adult",$M$6,IF(OR($M$7="ALL",Assumptions!$N$25="Y"),INDEX(Assumptions!$D$25:$F$25,$M$4),Assumptions!$E$25))</f>
        <v/>
      </c>
      <c r="N37" s="39">
        <f>IF($N$5="Recall_Adult",$N$6,IF(OR($N$7="ALL",Assumptions!$N$25="Y"),INDEX(Assumptions!$D$25:$F$25,$N$4),Assumptions!$E$25))</f>
        <v/>
      </c>
      <c r="O37" s="39">
        <f>IF($O$5="Recall_Adult",$O$6,IF(OR($O$7="ALL",Assumptions!$N$25="Y"),INDEX(Assumptions!$D$25:$F$25,$O$4),Assumptions!$E$25))</f>
        <v/>
      </c>
      <c r="P37" s="39">
        <f>IF($P$5="Recall_Adult",$P$6,IF(OR($P$7="ALL",Assumptions!$N$25="Y"),INDEX(Assumptions!$D$25:$F$25,$P$4),Assumptions!$E$25))</f>
        <v/>
      </c>
      <c r="Q37" s="39">
        <f>IF($Q$5="Recall_Adult",$Q$6,IF(OR($Q$7="ALL",Assumptions!$N$25="Y"),INDEX(Assumptions!$D$25:$F$25,$Q$4),Assumptions!$E$25))</f>
        <v/>
      </c>
      <c r="R37" s="39">
        <f>IF($R$5="Recall_Adult",$R$6,IF(OR($R$7="ALL",Assumptions!$N$25="Y"),INDEX(Assumptions!$D$25:$F$25,$R$4),Assumptions!$E$25))</f>
        <v/>
      </c>
      <c r="S37" s="39">
        <f>IF($S$5="Recall_Adult",$S$6,IF(OR($S$7="ALL",Assumptions!$N$25="Y"),INDEX(Assumptions!$D$25:$F$25,$S$4),Assumptions!$E$25))</f>
        <v/>
      </c>
      <c r="T37" s="39">
        <f>IF($T$5="Recall_Adult",$T$6,IF(OR($T$7="ALL",Assumptions!$N$25="Y"),INDEX(Assumptions!$D$25:$F$25,$T$4),Assumptions!$E$25))</f>
        <v/>
      </c>
      <c r="U37" s="39">
        <f>IF($U$5="Recall_Adult",$U$6,IF(OR($U$7="ALL",Assumptions!$N$25="Y"),INDEX(Assumptions!$D$25:$F$25,$U$4),Assumptions!$E$25))</f>
        <v/>
      </c>
      <c r="V37" s="39">
        <f>IF($V$5="Recall_Adult",$V$6,IF(OR($V$7="ALL",Assumptions!$N$25="Y"),INDEX(Assumptions!$D$25:$F$25,$V$4),Assumptions!$E$25))</f>
        <v/>
      </c>
      <c r="W37" s="39">
        <f>IF($W$5="Recall_Adult",$W$6,IF(OR($W$7="ALL",Assumptions!$N$25="Y"),INDEX(Assumptions!$D$25:$F$25,$W$4),Assumptions!$E$25))</f>
        <v/>
      </c>
      <c r="X37" s="39">
        <f>IF($X$5="Recall_Adult",$X$6,IF(OR($X$7="ALL",Assumptions!$N$25="Y"),INDEX(Assumptions!$D$25:$F$25,$X$4),Assumptions!$E$25))</f>
        <v/>
      </c>
      <c r="Y37" s="39">
        <f>IF($Y$5="Recall_Adult",$Y$6,IF(OR($Y$7="ALL",Assumptions!$N$25="Y"),INDEX(Assumptions!$D$25:$F$25,$Y$4),Assumptions!$E$25))</f>
        <v/>
      </c>
      <c r="Z37" s="39">
        <f>IF($Z$5="Recall_Adult",$Z$6,IF(OR($Z$7="ALL",Assumptions!$N$25="Y"),INDEX(Assumptions!$D$25:$F$25,$Z$4),Assumptions!$E$25))</f>
        <v/>
      </c>
      <c r="AA37" s="39">
        <f>IF($AA$5="Recall_Adult",$AA$6,IF(OR($AA$7="ALL",Assumptions!$N$25="Y"),INDEX(Assumptions!$D$25:$F$25,$AA$4),Assumptions!$E$25))</f>
        <v/>
      </c>
      <c r="AB37" s="39">
        <f>IF($AB$5="Recall_Adult",$AB$6,IF(OR($AB$7="ALL",Assumptions!$N$25="Y"),INDEX(Assumptions!$D$25:$F$25,$AB$4),Assumptions!$E$25))</f>
        <v/>
      </c>
      <c r="AC37" s="39">
        <f>IF($AC$5="Recall_Adult",$AC$6,IF(OR($AC$7="ALL",Assumptions!$N$25="Y"),INDEX(Assumptions!$D$25:$F$25,$AC$4),Assumptions!$E$25))</f>
        <v/>
      </c>
      <c r="AD37" s="39">
        <f>IF($AD$5="Recall_Adult",$AD$6,IF(OR($AD$7="ALL",Assumptions!$N$25="Y"),INDEX(Assumptions!$D$25:$F$25,$AD$4),Assumptions!$E$25))</f>
        <v/>
      </c>
      <c r="AE37" s="39">
        <f>IF($AE$5="Recall_Adult",$AE$6,IF(OR($AE$7="ALL",Assumptions!$N$25="Y"),INDEX(Assumptions!$D$25:$F$25,$AE$4),Assumptions!$E$25))</f>
        <v/>
      </c>
      <c r="AF37" s="39">
        <f>IF($AF$5="Recall_Adult",$AF$6,IF(OR($AF$7="ALL",Assumptions!$N$25="Y"),INDEX(Assumptions!$D$25:$F$25,$AF$4),Assumptions!$E$25))</f>
        <v/>
      </c>
      <c r="AG37" s="39">
        <f>IF($AG$5="Recall_Adult",$AG$6,IF(OR($AG$7="ALL",Assumptions!$N$25="Y"),INDEX(Assumptions!$D$25:$F$25,$AG$4),Assumptions!$E$25))</f>
        <v/>
      </c>
      <c r="AH37" s="39">
        <f>IF($AH$5="Recall_Adult",$AH$6,IF(OR($AH$7="ALL",Assumptions!$N$25="Y"),INDEX(Assumptions!$D$25:$F$25,$AH$4),Assumptions!$E$25))</f>
        <v/>
      </c>
      <c r="AI37" s="39">
        <f>IF($AI$5="Recall_Adult",$AI$6,IF(OR($AI$7="ALL",Assumptions!$N$25="Y"),INDEX(Assumptions!$D$25:$F$25,$AI$4),Assumptions!$E$25))</f>
        <v/>
      </c>
      <c r="AJ37" s="39">
        <f>IF($AJ$5="Recall_Adult",$AJ$6,IF(OR($AJ$7="ALL",Assumptions!$N$25="Y"),INDEX(Assumptions!$D$25:$F$25,$AJ$4),Assumptions!$E$25))</f>
        <v/>
      </c>
      <c r="AK37" s="39">
        <f>IF($AK$5="Recall_Adult",$AK$6,IF(OR($AK$7="ALL",Assumptions!$N$25="Y"),INDEX(Assumptions!$D$25:$F$25,$AK$4),Assumptions!$E$25))</f>
        <v/>
      </c>
      <c r="AL37" s="39">
        <f>IF($AL$5="Recall_Adult",$AL$6,IF(OR($AL$7="ALL",Assumptions!$N$25="Y"),INDEX(Assumptions!$D$25:$F$25,$AL$4),Assumptions!$E$25))</f>
        <v/>
      </c>
      <c r="AM37" s="39">
        <f>IF($AM$5="Recall_Adult",$AM$6,IF(OR($AM$7="ALL",Assumptions!$N$25="Y"),INDEX(Assumptions!$D$25:$F$25,$AM$4),Assumptions!$E$25))</f>
        <v/>
      </c>
      <c r="AN37" s="39">
        <f>IF($AN$5="Recall_Adult",$AN$6,IF(OR($AN$7="ALL",Assumptions!$N$25="Y"),INDEX(Assumptions!$D$25:$F$25,$AN$4),Assumptions!$E$25))</f>
        <v/>
      </c>
      <c r="AO37" s="39">
        <f>IF($AO$5="Recall_Adult",$AO$6,IF(OR($AO$7="ALL",Assumptions!$N$25="Y"),INDEX(Assumptions!$D$25:$F$25,$AO$4),Assumptions!$E$25))</f>
        <v/>
      </c>
      <c r="AP37" s="39">
        <f>IF($AP$5="Recall_Adult",$AP$6,IF(OR($AP$7="ALL",Assumptions!$N$25="Y"),INDEX(Assumptions!$D$25:$F$25,$AP$4),Assumptions!$E$25))</f>
        <v/>
      </c>
      <c r="AQ37" s="39">
        <f>IF($AQ$5="Recall_Adult",$AQ$6,IF(OR($AQ$7="ALL",Assumptions!$N$25="Y"),INDEX(Assumptions!$D$25:$F$25,$AQ$4),Assumptions!$E$25))</f>
        <v/>
      </c>
      <c r="AR37" s="39">
        <f>IF($AR$5="Recall_Adult",$AR$6,IF(OR($AR$7="ALL",Assumptions!$N$25="Y"),INDEX(Assumptions!$D$25:$F$25,$AR$4),Assumptions!$E$25))</f>
        <v/>
      </c>
      <c r="AS37" s="39">
        <f>IF($AS$5="Recall_Adult",$AS$6,IF(OR($AS$7="ALL",Assumptions!$N$25="Y"),INDEX(Assumptions!$D$25:$F$25,$AS$4),Assumptions!$E$25))</f>
        <v/>
      </c>
      <c r="AT37" s="39">
        <f>IF($AT$5="Recall_Adult",$AT$6,IF(OR($AT$7="ALL",Assumptions!$N$25="Y"),INDEX(Assumptions!$D$25:$F$25,$AT$4),Assumptions!$E$25))</f>
        <v/>
      </c>
      <c r="AU37" s="39">
        <f>IF($AU$5="Recall_Adult",$AU$6,IF(OR($AU$7="ALL",Assumptions!$N$25="Y"),INDEX(Assumptions!$D$25:$F$25,$AU$4),Assumptions!$E$25))</f>
        <v/>
      </c>
      <c r="AV37" s="39">
        <f>IF($AV$5="Recall_Adult",$AV$6,IF(OR($AV$7="ALL",Assumptions!$N$25="Y"),INDEX(Assumptions!$D$25:$F$25,$AV$4),Assumptions!$E$25))</f>
        <v/>
      </c>
      <c r="AW37" s="39">
        <f>IF($AW$5="Recall_Adult",$AW$6,IF(OR($AW$7="ALL",Assumptions!$N$25="Y"),INDEX(Assumptions!$D$25:$F$25,$AW$4),Assumptions!$E$25))</f>
        <v/>
      </c>
      <c r="AX37" s="39">
        <f>IF($AX$5="Recall_Adult",$AX$6,IF(OR($AX$7="ALL",Assumptions!$N$25="Y"),INDEX(Assumptions!$D$25:$F$25,$AX$4),Assumptions!$E$25))</f>
        <v/>
      </c>
      <c r="AY37" s="39">
        <f>IF($AY$5="Recall_Adult",$AY$6,IF(OR($AY$7="ALL",Assumptions!$N$25="Y"),INDEX(Assumptions!$D$25:$F$25,$AY$4),Assumptions!$E$25))</f>
        <v/>
      </c>
      <c r="AZ37" s="39">
        <f>IF($AZ$5="Recall_Adult",$AZ$6,IF(OR($AZ$7="ALL",Assumptions!$N$25="Y"),INDEX(Assumptions!$D$25:$F$25,$AZ$4),Assumptions!$E$25))</f>
        <v/>
      </c>
      <c r="BA37" s="39">
        <f>IF($BA$5="Recall_Adult",$BA$6,IF(OR($BA$7="ALL",Assumptions!$N$25="Y"),INDEX(Assumptions!$D$25:$F$25,$BA$4),Assumptions!$E$25))</f>
        <v/>
      </c>
      <c r="BB37" s="39">
        <f>IF($BB$5="Recall_Adult",$BB$6,IF(OR($BB$7="ALL",Assumptions!$N$25="Y"),INDEX(Assumptions!$D$25:$F$25,$BB$4),Assumptions!$E$25))</f>
        <v/>
      </c>
      <c r="BC37" s="39">
        <f>IF($BC$5="Recall_Adult",$BC$6,IF(OR($BC$7="ALL",Assumptions!$N$25="Y"),INDEX(Assumptions!$D$25:$F$25,$BC$4),Assumptions!$E$25))</f>
        <v/>
      </c>
      <c r="BD37" s="39">
        <f>IF($BD$5="Recall_Adult",$BD$6,IF(OR($BD$7="ALL",Assumptions!$N$25="Y"),INDEX(Assumptions!$D$25:$F$25,$BD$4),Assumptions!$E$25))</f>
        <v/>
      </c>
      <c r="BE37" s="39">
        <f>IF($BE$5="Recall_Adult",$BE$6,IF(OR($BE$7="ALL",Assumptions!$N$25="Y"),INDEX(Assumptions!$D$25:$F$25,$BE$4),Assumptions!$E$25))</f>
        <v/>
      </c>
    </row>
    <row r="38">
      <c r="B38" s="5" t="inlineStr">
        <is>
          <t>Precision</t>
        </is>
      </c>
      <c r="D38" s="39">
        <f>IF($D$5="Precision",$D$6,IF(OR($D$7="ALL",Assumptions!$N$26="Y"),INDEX(Assumptions!$D$26:$F$26,$D$4),Assumptions!$E$26))</f>
        <v/>
      </c>
      <c r="E38" s="39">
        <f>IF($E$5="Precision",$E$6,IF(OR($E$7="ALL",Assumptions!$N$26="Y"),INDEX(Assumptions!$D$26:$F$26,$E$4),Assumptions!$E$26))</f>
        <v/>
      </c>
      <c r="F38" s="39">
        <f>IF($F$5="Precision",$F$6,IF(OR($F$7="ALL",Assumptions!$N$26="Y"),INDEX(Assumptions!$D$26:$F$26,$F$4),Assumptions!$E$26))</f>
        <v/>
      </c>
      <c r="G38" s="39">
        <f>IF($G$5="Precision",$G$6,IF(OR($G$7="ALL",Assumptions!$N$26="Y"),INDEX(Assumptions!$D$26:$F$26,$G$4),Assumptions!$E$26))</f>
        <v/>
      </c>
      <c r="H38" s="39">
        <f>IF($H$5="Precision",$H$6,IF(OR($H$7="ALL",Assumptions!$N$26="Y"),INDEX(Assumptions!$D$26:$F$26,$H$4),Assumptions!$E$26))</f>
        <v/>
      </c>
      <c r="I38" s="39">
        <f>IF($I$5="Precision",$I$6,IF(OR($I$7="ALL",Assumptions!$N$26="Y"),INDEX(Assumptions!$D$26:$F$26,$I$4),Assumptions!$E$26))</f>
        <v/>
      </c>
      <c r="J38" s="39">
        <f>IF($J$5="Precision",$J$6,IF(OR($J$7="ALL",Assumptions!$N$26="Y"),INDEX(Assumptions!$D$26:$F$26,$J$4),Assumptions!$E$26))</f>
        <v/>
      </c>
      <c r="K38" s="39">
        <f>IF($K$5="Precision",$K$6,IF(OR($K$7="ALL",Assumptions!$N$26="Y"),INDEX(Assumptions!$D$26:$F$26,$K$4),Assumptions!$E$26))</f>
        <v/>
      </c>
      <c r="L38" s="39">
        <f>IF($L$5="Precision",$L$6,IF(OR($L$7="ALL",Assumptions!$N$26="Y"),INDEX(Assumptions!$D$26:$F$26,$L$4),Assumptions!$E$26))</f>
        <v/>
      </c>
      <c r="M38" s="39">
        <f>IF($M$5="Precision",$M$6,IF(OR($M$7="ALL",Assumptions!$N$26="Y"),INDEX(Assumptions!$D$26:$F$26,$M$4),Assumptions!$E$26))</f>
        <v/>
      </c>
      <c r="N38" s="39">
        <f>IF($N$5="Precision",$N$6,IF(OR($N$7="ALL",Assumptions!$N$26="Y"),INDEX(Assumptions!$D$26:$F$26,$N$4),Assumptions!$E$26))</f>
        <v/>
      </c>
      <c r="O38" s="39">
        <f>IF($O$5="Precision",$O$6,IF(OR($O$7="ALL",Assumptions!$N$26="Y"),INDEX(Assumptions!$D$26:$F$26,$O$4),Assumptions!$E$26))</f>
        <v/>
      </c>
      <c r="P38" s="39">
        <f>IF($P$5="Precision",$P$6,IF(OR($P$7="ALL",Assumptions!$N$26="Y"),INDEX(Assumptions!$D$26:$F$26,$P$4),Assumptions!$E$26))</f>
        <v/>
      </c>
      <c r="Q38" s="39">
        <f>IF($Q$5="Precision",$Q$6,IF(OR($Q$7="ALL",Assumptions!$N$26="Y"),INDEX(Assumptions!$D$26:$F$26,$Q$4),Assumptions!$E$26))</f>
        <v/>
      </c>
      <c r="R38" s="39">
        <f>IF($R$5="Precision",$R$6,IF(OR($R$7="ALL",Assumptions!$N$26="Y"),INDEX(Assumptions!$D$26:$F$26,$R$4),Assumptions!$E$26))</f>
        <v/>
      </c>
      <c r="S38" s="39">
        <f>IF($S$5="Precision",$S$6,IF(OR($S$7="ALL",Assumptions!$N$26="Y"),INDEX(Assumptions!$D$26:$F$26,$S$4),Assumptions!$E$26))</f>
        <v/>
      </c>
      <c r="T38" s="39">
        <f>IF($T$5="Precision",$T$6,IF(OR($T$7="ALL",Assumptions!$N$26="Y"),INDEX(Assumptions!$D$26:$F$26,$T$4),Assumptions!$E$26))</f>
        <v/>
      </c>
      <c r="U38" s="39">
        <f>IF($U$5="Precision",$U$6,IF(OR($U$7="ALL",Assumptions!$N$26="Y"),INDEX(Assumptions!$D$26:$F$26,$U$4),Assumptions!$E$26))</f>
        <v/>
      </c>
      <c r="V38" s="39">
        <f>IF($V$5="Precision",$V$6,IF(OR($V$7="ALL",Assumptions!$N$26="Y"),INDEX(Assumptions!$D$26:$F$26,$V$4),Assumptions!$E$26))</f>
        <v/>
      </c>
      <c r="W38" s="39">
        <f>IF($W$5="Precision",$W$6,IF(OR($W$7="ALL",Assumptions!$N$26="Y"),INDEX(Assumptions!$D$26:$F$26,$W$4),Assumptions!$E$26))</f>
        <v/>
      </c>
      <c r="X38" s="39">
        <f>IF($X$5="Precision",$X$6,IF(OR($X$7="ALL",Assumptions!$N$26="Y"),INDEX(Assumptions!$D$26:$F$26,$X$4),Assumptions!$E$26))</f>
        <v/>
      </c>
      <c r="Y38" s="39">
        <f>IF($Y$5="Precision",$Y$6,IF(OR($Y$7="ALL",Assumptions!$N$26="Y"),INDEX(Assumptions!$D$26:$F$26,$Y$4),Assumptions!$E$26))</f>
        <v/>
      </c>
      <c r="Z38" s="39">
        <f>IF($Z$5="Precision",$Z$6,IF(OR($Z$7="ALL",Assumptions!$N$26="Y"),INDEX(Assumptions!$D$26:$F$26,$Z$4),Assumptions!$E$26))</f>
        <v/>
      </c>
      <c r="AA38" s="39">
        <f>IF($AA$5="Precision",$AA$6,IF(OR($AA$7="ALL",Assumptions!$N$26="Y"),INDEX(Assumptions!$D$26:$F$26,$AA$4),Assumptions!$E$26))</f>
        <v/>
      </c>
      <c r="AB38" s="39">
        <f>IF($AB$5="Precision",$AB$6,IF(OR($AB$7="ALL",Assumptions!$N$26="Y"),INDEX(Assumptions!$D$26:$F$26,$AB$4),Assumptions!$E$26))</f>
        <v/>
      </c>
      <c r="AC38" s="39">
        <f>IF($AC$5="Precision",$AC$6,IF(OR($AC$7="ALL",Assumptions!$N$26="Y"),INDEX(Assumptions!$D$26:$F$26,$AC$4),Assumptions!$E$26))</f>
        <v/>
      </c>
      <c r="AD38" s="39">
        <f>IF($AD$5="Precision",$AD$6,IF(OR($AD$7="ALL",Assumptions!$N$26="Y"),INDEX(Assumptions!$D$26:$F$26,$AD$4),Assumptions!$E$26))</f>
        <v/>
      </c>
      <c r="AE38" s="39">
        <f>IF($AE$5="Precision",$AE$6,IF(OR($AE$7="ALL",Assumptions!$N$26="Y"),INDEX(Assumptions!$D$26:$F$26,$AE$4),Assumptions!$E$26))</f>
        <v/>
      </c>
      <c r="AF38" s="39">
        <f>IF($AF$5="Precision",$AF$6,IF(OR($AF$7="ALL",Assumptions!$N$26="Y"),INDEX(Assumptions!$D$26:$F$26,$AF$4),Assumptions!$E$26))</f>
        <v/>
      </c>
      <c r="AG38" s="39">
        <f>IF($AG$5="Precision",$AG$6,IF(OR($AG$7="ALL",Assumptions!$N$26="Y"),INDEX(Assumptions!$D$26:$F$26,$AG$4),Assumptions!$E$26))</f>
        <v/>
      </c>
      <c r="AH38" s="39">
        <f>IF($AH$5="Precision",$AH$6,IF(OR($AH$7="ALL",Assumptions!$N$26="Y"),INDEX(Assumptions!$D$26:$F$26,$AH$4),Assumptions!$E$26))</f>
        <v/>
      </c>
      <c r="AI38" s="39">
        <f>IF($AI$5="Precision",$AI$6,IF(OR($AI$7="ALL",Assumptions!$N$26="Y"),INDEX(Assumptions!$D$26:$F$26,$AI$4),Assumptions!$E$26))</f>
        <v/>
      </c>
      <c r="AJ38" s="39">
        <f>IF($AJ$5="Precision",$AJ$6,IF(OR($AJ$7="ALL",Assumptions!$N$26="Y"),INDEX(Assumptions!$D$26:$F$26,$AJ$4),Assumptions!$E$26))</f>
        <v/>
      </c>
      <c r="AK38" s="39">
        <f>IF($AK$5="Precision",$AK$6,IF(OR($AK$7="ALL",Assumptions!$N$26="Y"),INDEX(Assumptions!$D$26:$F$26,$AK$4),Assumptions!$E$26))</f>
        <v/>
      </c>
      <c r="AL38" s="39">
        <f>IF($AL$5="Precision",$AL$6,IF(OR($AL$7="ALL",Assumptions!$N$26="Y"),INDEX(Assumptions!$D$26:$F$26,$AL$4),Assumptions!$E$26))</f>
        <v/>
      </c>
      <c r="AM38" s="39">
        <f>IF($AM$5="Precision",$AM$6,IF(OR($AM$7="ALL",Assumptions!$N$26="Y"),INDEX(Assumptions!$D$26:$F$26,$AM$4),Assumptions!$E$26))</f>
        <v/>
      </c>
      <c r="AN38" s="39">
        <f>IF($AN$5="Precision",$AN$6,IF(OR($AN$7="ALL",Assumptions!$N$26="Y"),INDEX(Assumptions!$D$26:$F$26,$AN$4),Assumptions!$E$26))</f>
        <v/>
      </c>
      <c r="AO38" s="39">
        <f>IF($AO$5="Precision",$AO$6,IF(OR($AO$7="ALL",Assumptions!$N$26="Y"),INDEX(Assumptions!$D$26:$F$26,$AO$4),Assumptions!$E$26))</f>
        <v/>
      </c>
      <c r="AP38" s="39">
        <f>IF($AP$5="Precision",$AP$6,IF(OR($AP$7="ALL",Assumptions!$N$26="Y"),INDEX(Assumptions!$D$26:$F$26,$AP$4),Assumptions!$E$26))</f>
        <v/>
      </c>
      <c r="AQ38" s="39">
        <f>IF($AQ$5="Precision",$AQ$6,IF(OR($AQ$7="ALL",Assumptions!$N$26="Y"),INDEX(Assumptions!$D$26:$F$26,$AQ$4),Assumptions!$E$26))</f>
        <v/>
      </c>
      <c r="AR38" s="39">
        <f>IF($AR$5="Precision",$AR$6,IF(OR($AR$7="ALL",Assumptions!$N$26="Y"),INDEX(Assumptions!$D$26:$F$26,$AR$4),Assumptions!$E$26))</f>
        <v/>
      </c>
      <c r="AS38" s="39">
        <f>IF($AS$5="Precision",$AS$6,IF(OR($AS$7="ALL",Assumptions!$N$26="Y"),INDEX(Assumptions!$D$26:$F$26,$AS$4),Assumptions!$E$26))</f>
        <v/>
      </c>
      <c r="AT38" s="39">
        <f>IF($AT$5="Precision",$AT$6,IF(OR($AT$7="ALL",Assumptions!$N$26="Y"),INDEX(Assumptions!$D$26:$F$26,$AT$4),Assumptions!$E$26))</f>
        <v/>
      </c>
      <c r="AU38" s="39">
        <f>IF($AU$5="Precision",$AU$6,IF(OR($AU$7="ALL",Assumptions!$N$26="Y"),INDEX(Assumptions!$D$26:$F$26,$AU$4),Assumptions!$E$26))</f>
        <v/>
      </c>
      <c r="AV38" s="39">
        <f>IF($AV$5="Precision",$AV$6,IF(OR($AV$7="ALL",Assumptions!$N$26="Y"),INDEX(Assumptions!$D$26:$F$26,$AV$4),Assumptions!$E$26))</f>
        <v/>
      </c>
      <c r="AW38" s="39">
        <f>IF($AW$5="Precision",$AW$6,IF(OR($AW$7="ALL",Assumptions!$N$26="Y"),INDEX(Assumptions!$D$26:$F$26,$AW$4),Assumptions!$E$26))</f>
        <v/>
      </c>
      <c r="AX38" s="39">
        <f>IF($AX$5="Precision",$AX$6,IF(OR($AX$7="ALL",Assumptions!$N$26="Y"),INDEX(Assumptions!$D$26:$F$26,$AX$4),Assumptions!$E$26))</f>
        <v/>
      </c>
      <c r="AY38" s="39">
        <f>IF($AY$5="Precision",$AY$6,IF(OR($AY$7="ALL",Assumptions!$N$26="Y"),INDEX(Assumptions!$D$26:$F$26,$AY$4),Assumptions!$E$26))</f>
        <v/>
      </c>
      <c r="AZ38" s="39">
        <f>IF($AZ$5="Precision",$AZ$6,IF(OR($AZ$7="ALL",Assumptions!$N$26="Y"),INDEX(Assumptions!$D$26:$F$26,$AZ$4),Assumptions!$E$26))</f>
        <v/>
      </c>
      <c r="BA38" s="39">
        <f>IF($BA$5="Precision",$BA$6,IF(OR($BA$7="ALL",Assumptions!$N$26="Y"),INDEX(Assumptions!$D$26:$F$26,$BA$4),Assumptions!$E$26))</f>
        <v/>
      </c>
      <c r="BB38" s="39">
        <f>IF($BB$5="Precision",$BB$6,IF(OR($BB$7="ALL",Assumptions!$N$26="Y"),INDEX(Assumptions!$D$26:$F$26,$BB$4),Assumptions!$E$26))</f>
        <v/>
      </c>
      <c r="BC38" s="39">
        <f>IF($BC$5="Precision",$BC$6,IF(OR($BC$7="ALL",Assumptions!$N$26="Y"),INDEX(Assumptions!$D$26:$F$26,$BC$4),Assumptions!$E$26))</f>
        <v/>
      </c>
      <c r="BD38" s="39">
        <f>IF($BD$5="Precision",$BD$6,IF(OR($BD$7="ALL",Assumptions!$N$26="Y"),INDEX(Assumptions!$D$26:$F$26,$BD$4),Assumptions!$E$26))</f>
        <v/>
      </c>
      <c r="BE38" s="39">
        <f>IF($BE$5="Precision",$BE$6,IF(OR($BE$7="ALL",Assumptions!$N$26="Y"),INDEX(Assumptions!$D$26:$F$26,$BE$4),Assumptions!$E$26))</f>
        <v/>
      </c>
    </row>
    <row r="39">
      <c r="B39" s="5" t="inlineStr">
        <is>
          <t>ActionRate</t>
        </is>
      </c>
      <c r="D39" s="39">
        <f>IF($D$5="ActionRate",$D$6,IF(OR($D$7="ALL",Assumptions!$N$27="Y"),INDEX(Assumptions!$D$27:$F$27,$D$4),Assumptions!$E$27))</f>
        <v/>
      </c>
      <c r="E39" s="39">
        <f>IF($E$5="ActionRate",$E$6,IF(OR($E$7="ALL",Assumptions!$N$27="Y"),INDEX(Assumptions!$D$27:$F$27,$E$4),Assumptions!$E$27))</f>
        <v/>
      </c>
      <c r="F39" s="39">
        <f>IF($F$5="ActionRate",$F$6,IF(OR($F$7="ALL",Assumptions!$N$27="Y"),INDEX(Assumptions!$D$27:$F$27,$F$4),Assumptions!$E$27))</f>
        <v/>
      </c>
      <c r="G39" s="39">
        <f>IF($G$5="ActionRate",$G$6,IF(OR($G$7="ALL",Assumptions!$N$27="Y"),INDEX(Assumptions!$D$27:$F$27,$G$4),Assumptions!$E$27))</f>
        <v/>
      </c>
      <c r="H39" s="39">
        <f>IF($H$5="ActionRate",$H$6,IF(OR($H$7="ALL",Assumptions!$N$27="Y"),INDEX(Assumptions!$D$27:$F$27,$H$4),Assumptions!$E$27))</f>
        <v/>
      </c>
      <c r="I39" s="39">
        <f>IF($I$5="ActionRate",$I$6,IF(OR($I$7="ALL",Assumptions!$N$27="Y"),INDEX(Assumptions!$D$27:$F$27,$I$4),Assumptions!$E$27))</f>
        <v/>
      </c>
      <c r="J39" s="39">
        <f>IF($J$5="ActionRate",$J$6,IF(OR($J$7="ALL",Assumptions!$N$27="Y"),INDEX(Assumptions!$D$27:$F$27,$J$4),Assumptions!$E$27))</f>
        <v/>
      </c>
      <c r="K39" s="39">
        <f>IF($K$5="ActionRate",$K$6,IF(OR($K$7="ALL",Assumptions!$N$27="Y"),INDEX(Assumptions!$D$27:$F$27,$K$4),Assumptions!$E$27))</f>
        <v/>
      </c>
      <c r="L39" s="39">
        <f>IF($L$5="ActionRate",$L$6,IF(OR($L$7="ALL",Assumptions!$N$27="Y"),INDEX(Assumptions!$D$27:$F$27,$L$4),Assumptions!$E$27))</f>
        <v/>
      </c>
      <c r="M39" s="39">
        <f>IF($M$5="ActionRate",$M$6,IF(OR($M$7="ALL",Assumptions!$N$27="Y"),INDEX(Assumptions!$D$27:$F$27,$M$4),Assumptions!$E$27))</f>
        <v/>
      </c>
      <c r="N39" s="39">
        <f>IF($N$5="ActionRate",$N$6,IF(OR($N$7="ALL",Assumptions!$N$27="Y"),INDEX(Assumptions!$D$27:$F$27,$N$4),Assumptions!$E$27))</f>
        <v/>
      </c>
      <c r="O39" s="39">
        <f>IF($O$5="ActionRate",$O$6,IF(OR($O$7="ALL",Assumptions!$N$27="Y"),INDEX(Assumptions!$D$27:$F$27,$O$4),Assumptions!$E$27))</f>
        <v/>
      </c>
      <c r="P39" s="39">
        <f>IF($P$5="ActionRate",$P$6,IF(OR($P$7="ALL",Assumptions!$N$27="Y"),INDEX(Assumptions!$D$27:$F$27,$P$4),Assumptions!$E$27))</f>
        <v/>
      </c>
      <c r="Q39" s="39">
        <f>IF($Q$5="ActionRate",$Q$6,IF(OR($Q$7="ALL",Assumptions!$N$27="Y"),INDEX(Assumptions!$D$27:$F$27,$Q$4),Assumptions!$E$27))</f>
        <v/>
      </c>
      <c r="R39" s="39">
        <f>IF($R$5="ActionRate",$R$6,IF(OR($R$7="ALL",Assumptions!$N$27="Y"),INDEX(Assumptions!$D$27:$F$27,$R$4),Assumptions!$E$27))</f>
        <v/>
      </c>
      <c r="S39" s="39">
        <f>IF($S$5="ActionRate",$S$6,IF(OR($S$7="ALL",Assumptions!$N$27="Y"),INDEX(Assumptions!$D$27:$F$27,$S$4),Assumptions!$E$27))</f>
        <v/>
      </c>
      <c r="T39" s="39">
        <f>IF($T$5="ActionRate",$T$6,IF(OR($T$7="ALL",Assumptions!$N$27="Y"),INDEX(Assumptions!$D$27:$F$27,$T$4),Assumptions!$E$27))</f>
        <v/>
      </c>
      <c r="U39" s="39">
        <f>IF($U$5="ActionRate",$U$6,IF(OR($U$7="ALL",Assumptions!$N$27="Y"),INDEX(Assumptions!$D$27:$F$27,$U$4),Assumptions!$E$27))</f>
        <v/>
      </c>
      <c r="V39" s="39">
        <f>IF($V$5="ActionRate",$V$6,IF(OR($V$7="ALL",Assumptions!$N$27="Y"),INDEX(Assumptions!$D$27:$F$27,$V$4),Assumptions!$E$27))</f>
        <v/>
      </c>
      <c r="W39" s="39">
        <f>IF($W$5="ActionRate",$W$6,IF(OR($W$7="ALL",Assumptions!$N$27="Y"),INDEX(Assumptions!$D$27:$F$27,$W$4),Assumptions!$E$27))</f>
        <v/>
      </c>
      <c r="X39" s="39">
        <f>IF($X$5="ActionRate",$X$6,IF(OR($X$7="ALL",Assumptions!$N$27="Y"),INDEX(Assumptions!$D$27:$F$27,$X$4),Assumptions!$E$27))</f>
        <v/>
      </c>
      <c r="Y39" s="39">
        <f>IF($Y$5="ActionRate",$Y$6,IF(OR($Y$7="ALL",Assumptions!$N$27="Y"),INDEX(Assumptions!$D$27:$F$27,$Y$4),Assumptions!$E$27))</f>
        <v/>
      </c>
      <c r="Z39" s="39">
        <f>IF($Z$5="ActionRate",$Z$6,IF(OR($Z$7="ALL",Assumptions!$N$27="Y"),INDEX(Assumptions!$D$27:$F$27,$Z$4),Assumptions!$E$27))</f>
        <v/>
      </c>
      <c r="AA39" s="39">
        <f>IF($AA$5="ActionRate",$AA$6,IF(OR($AA$7="ALL",Assumptions!$N$27="Y"),INDEX(Assumptions!$D$27:$F$27,$AA$4),Assumptions!$E$27))</f>
        <v/>
      </c>
      <c r="AB39" s="39">
        <f>IF($AB$5="ActionRate",$AB$6,IF(OR($AB$7="ALL",Assumptions!$N$27="Y"),INDEX(Assumptions!$D$27:$F$27,$AB$4),Assumptions!$E$27))</f>
        <v/>
      </c>
      <c r="AC39" s="39">
        <f>IF($AC$5="ActionRate",$AC$6,IF(OR($AC$7="ALL",Assumptions!$N$27="Y"),INDEX(Assumptions!$D$27:$F$27,$AC$4),Assumptions!$E$27))</f>
        <v/>
      </c>
      <c r="AD39" s="39">
        <f>IF($AD$5="ActionRate",$AD$6,IF(OR($AD$7="ALL",Assumptions!$N$27="Y"),INDEX(Assumptions!$D$27:$F$27,$AD$4),Assumptions!$E$27))</f>
        <v/>
      </c>
      <c r="AE39" s="39">
        <f>IF($AE$5="ActionRate",$AE$6,IF(OR($AE$7="ALL",Assumptions!$N$27="Y"),INDEX(Assumptions!$D$27:$F$27,$AE$4),Assumptions!$E$27))</f>
        <v/>
      </c>
      <c r="AF39" s="39">
        <f>IF($AF$5="ActionRate",$AF$6,IF(OR($AF$7="ALL",Assumptions!$N$27="Y"),INDEX(Assumptions!$D$27:$F$27,$AF$4),Assumptions!$E$27))</f>
        <v/>
      </c>
      <c r="AG39" s="39">
        <f>IF($AG$5="ActionRate",$AG$6,IF(OR($AG$7="ALL",Assumptions!$N$27="Y"),INDEX(Assumptions!$D$27:$F$27,$AG$4),Assumptions!$E$27))</f>
        <v/>
      </c>
      <c r="AH39" s="39">
        <f>IF($AH$5="ActionRate",$AH$6,IF(OR($AH$7="ALL",Assumptions!$N$27="Y"),INDEX(Assumptions!$D$27:$F$27,$AH$4),Assumptions!$E$27))</f>
        <v/>
      </c>
      <c r="AI39" s="39">
        <f>IF($AI$5="ActionRate",$AI$6,IF(OR($AI$7="ALL",Assumptions!$N$27="Y"),INDEX(Assumptions!$D$27:$F$27,$AI$4),Assumptions!$E$27))</f>
        <v/>
      </c>
      <c r="AJ39" s="39">
        <f>IF($AJ$5="ActionRate",$AJ$6,IF(OR($AJ$7="ALL",Assumptions!$N$27="Y"),INDEX(Assumptions!$D$27:$F$27,$AJ$4),Assumptions!$E$27))</f>
        <v/>
      </c>
      <c r="AK39" s="39">
        <f>IF($AK$5="ActionRate",$AK$6,IF(OR($AK$7="ALL",Assumptions!$N$27="Y"),INDEX(Assumptions!$D$27:$F$27,$AK$4),Assumptions!$E$27))</f>
        <v/>
      </c>
      <c r="AL39" s="39">
        <f>IF($AL$5="ActionRate",$AL$6,IF(OR($AL$7="ALL",Assumptions!$N$27="Y"),INDEX(Assumptions!$D$27:$F$27,$AL$4),Assumptions!$E$27))</f>
        <v/>
      </c>
      <c r="AM39" s="39">
        <f>IF($AM$5="ActionRate",$AM$6,IF(OR($AM$7="ALL",Assumptions!$N$27="Y"),INDEX(Assumptions!$D$27:$F$27,$AM$4),Assumptions!$E$27))</f>
        <v/>
      </c>
      <c r="AN39" s="39">
        <f>IF($AN$5="ActionRate",$AN$6,IF(OR($AN$7="ALL",Assumptions!$N$27="Y"),INDEX(Assumptions!$D$27:$F$27,$AN$4),Assumptions!$E$27))</f>
        <v/>
      </c>
      <c r="AO39" s="39">
        <f>IF($AO$5="ActionRate",$AO$6,IF(OR($AO$7="ALL",Assumptions!$N$27="Y"),INDEX(Assumptions!$D$27:$F$27,$AO$4),Assumptions!$E$27))</f>
        <v/>
      </c>
      <c r="AP39" s="39">
        <f>IF($AP$5="ActionRate",$AP$6,IF(OR($AP$7="ALL",Assumptions!$N$27="Y"),INDEX(Assumptions!$D$27:$F$27,$AP$4),Assumptions!$E$27))</f>
        <v/>
      </c>
      <c r="AQ39" s="39">
        <f>IF($AQ$5="ActionRate",$AQ$6,IF(OR($AQ$7="ALL",Assumptions!$N$27="Y"),INDEX(Assumptions!$D$27:$F$27,$AQ$4),Assumptions!$E$27))</f>
        <v/>
      </c>
      <c r="AR39" s="39">
        <f>IF($AR$5="ActionRate",$AR$6,IF(OR($AR$7="ALL",Assumptions!$N$27="Y"),INDEX(Assumptions!$D$27:$F$27,$AR$4),Assumptions!$E$27))</f>
        <v/>
      </c>
      <c r="AS39" s="39">
        <f>IF($AS$5="ActionRate",$AS$6,IF(OR($AS$7="ALL",Assumptions!$N$27="Y"),INDEX(Assumptions!$D$27:$F$27,$AS$4),Assumptions!$E$27))</f>
        <v/>
      </c>
      <c r="AT39" s="39">
        <f>IF($AT$5="ActionRate",$AT$6,IF(OR($AT$7="ALL",Assumptions!$N$27="Y"),INDEX(Assumptions!$D$27:$F$27,$AT$4),Assumptions!$E$27))</f>
        <v/>
      </c>
      <c r="AU39" s="39">
        <f>IF($AU$5="ActionRate",$AU$6,IF(OR($AU$7="ALL",Assumptions!$N$27="Y"),INDEX(Assumptions!$D$27:$F$27,$AU$4),Assumptions!$E$27))</f>
        <v/>
      </c>
      <c r="AV39" s="39">
        <f>IF($AV$5="ActionRate",$AV$6,IF(OR($AV$7="ALL",Assumptions!$N$27="Y"),INDEX(Assumptions!$D$27:$F$27,$AV$4),Assumptions!$E$27))</f>
        <v/>
      </c>
      <c r="AW39" s="39">
        <f>IF($AW$5="ActionRate",$AW$6,IF(OR($AW$7="ALL",Assumptions!$N$27="Y"),INDEX(Assumptions!$D$27:$F$27,$AW$4),Assumptions!$E$27))</f>
        <v/>
      </c>
      <c r="AX39" s="39">
        <f>IF($AX$5="ActionRate",$AX$6,IF(OR($AX$7="ALL",Assumptions!$N$27="Y"),INDEX(Assumptions!$D$27:$F$27,$AX$4),Assumptions!$E$27))</f>
        <v/>
      </c>
      <c r="AY39" s="39">
        <f>IF($AY$5="ActionRate",$AY$6,IF(OR($AY$7="ALL",Assumptions!$N$27="Y"),INDEX(Assumptions!$D$27:$F$27,$AY$4),Assumptions!$E$27))</f>
        <v/>
      </c>
      <c r="AZ39" s="39">
        <f>IF($AZ$5="ActionRate",$AZ$6,IF(OR($AZ$7="ALL",Assumptions!$N$27="Y"),INDEX(Assumptions!$D$27:$F$27,$AZ$4),Assumptions!$E$27))</f>
        <v/>
      </c>
      <c r="BA39" s="39">
        <f>IF($BA$5="ActionRate",$BA$6,IF(OR($BA$7="ALL",Assumptions!$N$27="Y"),INDEX(Assumptions!$D$27:$F$27,$BA$4),Assumptions!$E$27))</f>
        <v/>
      </c>
      <c r="BB39" s="39">
        <f>IF($BB$5="ActionRate",$BB$6,IF(OR($BB$7="ALL",Assumptions!$N$27="Y"),INDEX(Assumptions!$D$27:$F$27,$BB$4),Assumptions!$E$27))</f>
        <v/>
      </c>
      <c r="BC39" s="39">
        <f>IF($BC$5="ActionRate",$BC$6,IF(OR($BC$7="ALL",Assumptions!$N$27="Y"),INDEX(Assumptions!$D$27:$F$27,$BC$4),Assumptions!$E$27))</f>
        <v/>
      </c>
      <c r="BD39" s="39">
        <f>IF($BD$5="ActionRate",$BD$6,IF(OR($BD$7="ALL",Assumptions!$N$27="Y"),INDEX(Assumptions!$D$27:$F$27,$BD$4),Assumptions!$E$27))</f>
        <v/>
      </c>
      <c r="BE39" s="39">
        <f>IF($BE$5="ActionRate",$BE$6,IF(OR($BE$7="ALL",Assumptions!$N$27="Y"),INDEX(Assumptions!$D$27:$F$27,$BE$4),Assumptions!$E$27))</f>
        <v/>
      </c>
    </row>
    <row r="40">
      <c r="B40" s="5" t="inlineStr">
        <is>
          <t>InterventionSuccess</t>
        </is>
      </c>
      <c r="D40" s="39">
        <f>IF($D$5="InterventionSuccess",$D$6,IF(OR($D$7="ALL",Assumptions!$N$28="Y"),INDEX(Assumptions!$D$28:$F$28,$D$4),Assumptions!$E$28))</f>
        <v/>
      </c>
      <c r="E40" s="39">
        <f>IF($E$5="InterventionSuccess",$E$6,IF(OR($E$7="ALL",Assumptions!$N$28="Y"),INDEX(Assumptions!$D$28:$F$28,$E$4),Assumptions!$E$28))</f>
        <v/>
      </c>
      <c r="F40" s="39">
        <f>IF($F$5="InterventionSuccess",$F$6,IF(OR($F$7="ALL",Assumptions!$N$28="Y"),INDEX(Assumptions!$D$28:$F$28,$F$4),Assumptions!$E$28))</f>
        <v/>
      </c>
      <c r="G40" s="39">
        <f>IF($G$5="InterventionSuccess",$G$6,IF(OR($G$7="ALL",Assumptions!$N$28="Y"),INDEX(Assumptions!$D$28:$F$28,$G$4),Assumptions!$E$28))</f>
        <v/>
      </c>
      <c r="H40" s="39">
        <f>IF($H$5="InterventionSuccess",$H$6,IF(OR($H$7="ALL",Assumptions!$N$28="Y"),INDEX(Assumptions!$D$28:$F$28,$H$4),Assumptions!$E$28))</f>
        <v/>
      </c>
      <c r="I40" s="39">
        <f>IF($I$5="InterventionSuccess",$I$6,IF(OR($I$7="ALL",Assumptions!$N$28="Y"),INDEX(Assumptions!$D$28:$F$28,$I$4),Assumptions!$E$28))</f>
        <v/>
      </c>
      <c r="J40" s="39">
        <f>IF($J$5="InterventionSuccess",$J$6,IF(OR($J$7="ALL",Assumptions!$N$28="Y"),INDEX(Assumptions!$D$28:$F$28,$J$4),Assumptions!$E$28))</f>
        <v/>
      </c>
      <c r="K40" s="39">
        <f>IF($K$5="InterventionSuccess",$K$6,IF(OR($K$7="ALL",Assumptions!$N$28="Y"),INDEX(Assumptions!$D$28:$F$28,$K$4),Assumptions!$E$28))</f>
        <v/>
      </c>
      <c r="L40" s="39">
        <f>IF($L$5="InterventionSuccess",$L$6,IF(OR($L$7="ALL",Assumptions!$N$28="Y"),INDEX(Assumptions!$D$28:$F$28,$L$4),Assumptions!$E$28))</f>
        <v/>
      </c>
      <c r="M40" s="39">
        <f>IF($M$5="InterventionSuccess",$M$6,IF(OR($M$7="ALL",Assumptions!$N$28="Y"),INDEX(Assumptions!$D$28:$F$28,$M$4),Assumptions!$E$28))</f>
        <v/>
      </c>
      <c r="N40" s="39">
        <f>IF($N$5="InterventionSuccess",$N$6,IF(OR($N$7="ALL",Assumptions!$N$28="Y"),INDEX(Assumptions!$D$28:$F$28,$N$4),Assumptions!$E$28))</f>
        <v/>
      </c>
      <c r="O40" s="39">
        <f>IF($O$5="InterventionSuccess",$O$6,IF(OR($O$7="ALL",Assumptions!$N$28="Y"),INDEX(Assumptions!$D$28:$F$28,$O$4),Assumptions!$E$28))</f>
        <v/>
      </c>
      <c r="P40" s="39">
        <f>IF($P$5="InterventionSuccess",$P$6,IF(OR($P$7="ALL",Assumptions!$N$28="Y"),INDEX(Assumptions!$D$28:$F$28,$P$4),Assumptions!$E$28))</f>
        <v/>
      </c>
      <c r="Q40" s="39">
        <f>IF($Q$5="InterventionSuccess",$Q$6,IF(OR($Q$7="ALL",Assumptions!$N$28="Y"),INDEX(Assumptions!$D$28:$F$28,$Q$4),Assumptions!$E$28))</f>
        <v/>
      </c>
      <c r="R40" s="39">
        <f>IF($R$5="InterventionSuccess",$R$6,IF(OR($R$7="ALL",Assumptions!$N$28="Y"),INDEX(Assumptions!$D$28:$F$28,$R$4),Assumptions!$E$28))</f>
        <v/>
      </c>
      <c r="S40" s="39">
        <f>IF($S$5="InterventionSuccess",$S$6,IF(OR($S$7="ALL",Assumptions!$N$28="Y"),INDEX(Assumptions!$D$28:$F$28,$S$4),Assumptions!$E$28))</f>
        <v/>
      </c>
      <c r="T40" s="39">
        <f>IF($T$5="InterventionSuccess",$T$6,IF(OR($T$7="ALL",Assumptions!$N$28="Y"),INDEX(Assumptions!$D$28:$F$28,$T$4),Assumptions!$E$28))</f>
        <v/>
      </c>
      <c r="U40" s="39">
        <f>IF($U$5="InterventionSuccess",$U$6,IF(OR($U$7="ALL",Assumptions!$N$28="Y"),INDEX(Assumptions!$D$28:$F$28,$U$4),Assumptions!$E$28))</f>
        <v/>
      </c>
      <c r="V40" s="39">
        <f>IF($V$5="InterventionSuccess",$V$6,IF(OR($V$7="ALL",Assumptions!$N$28="Y"),INDEX(Assumptions!$D$28:$F$28,$V$4),Assumptions!$E$28))</f>
        <v/>
      </c>
      <c r="W40" s="39">
        <f>IF($W$5="InterventionSuccess",$W$6,IF(OR($W$7="ALL",Assumptions!$N$28="Y"),INDEX(Assumptions!$D$28:$F$28,$W$4),Assumptions!$E$28))</f>
        <v/>
      </c>
      <c r="X40" s="39">
        <f>IF($X$5="InterventionSuccess",$X$6,IF(OR($X$7="ALL",Assumptions!$N$28="Y"),INDEX(Assumptions!$D$28:$F$28,$X$4),Assumptions!$E$28))</f>
        <v/>
      </c>
      <c r="Y40" s="39">
        <f>IF($Y$5="InterventionSuccess",$Y$6,IF(OR($Y$7="ALL",Assumptions!$N$28="Y"),INDEX(Assumptions!$D$28:$F$28,$Y$4),Assumptions!$E$28))</f>
        <v/>
      </c>
      <c r="Z40" s="39">
        <f>IF($Z$5="InterventionSuccess",$Z$6,IF(OR($Z$7="ALL",Assumptions!$N$28="Y"),INDEX(Assumptions!$D$28:$F$28,$Z$4),Assumptions!$E$28))</f>
        <v/>
      </c>
      <c r="AA40" s="39">
        <f>IF($AA$5="InterventionSuccess",$AA$6,IF(OR($AA$7="ALL",Assumptions!$N$28="Y"),INDEX(Assumptions!$D$28:$F$28,$AA$4),Assumptions!$E$28))</f>
        <v/>
      </c>
      <c r="AB40" s="39">
        <f>IF($AB$5="InterventionSuccess",$AB$6,IF(OR($AB$7="ALL",Assumptions!$N$28="Y"),INDEX(Assumptions!$D$28:$F$28,$AB$4),Assumptions!$E$28))</f>
        <v/>
      </c>
      <c r="AC40" s="39">
        <f>IF($AC$5="InterventionSuccess",$AC$6,IF(OR($AC$7="ALL",Assumptions!$N$28="Y"),INDEX(Assumptions!$D$28:$F$28,$AC$4),Assumptions!$E$28))</f>
        <v/>
      </c>
      <c r="AD40" s="39">
        <f>IF($AD$5="InterventionSuccess",$AD$6,IF(OR($AD$7="ALL",Assumptions!$N$28="Y"),INDEX(Assumptions!$D$28:$F$28,$AD$4),Assumptions!$E$28))</f>
        <v/>
      </c>
      <c r="AE40" s="39">
        <f>IF($AE$5="InterventionSuccess",$AE$6,IF(OR($AE$7="ALL",Assumptions!$N$28="Y"),INDEX(Assumptions!$D$28:$F$28,$AE$4),Assumptions!$E$28))</f>
        <v/>
      </c>
      <c r="AF40" s="39">
        <f>IF($AF$5="InterventionSuccess",$AF$6,IF(OR($AF$7="ALL",Assumptions!$N$28="Y"),INDEX(Assumptions!$D$28:$F$28,$AF$4),Assumptions!$E$28))</f>
        <v/>
      </c>
      <c r="AG40" s="39">
        <f>IF($AG$5="InterventionSuccess",$AG$6,IF(OR($AG$7="ALL",Assumptions!$N$28="Y"),INDEX(Assumptions!$D$28:$F$28,$AG$4),Assumptions!$E$28))</f>
        <v/>
      </c>
      <c r="AH40" s="39">
        <f>IF($AH$5="InterventionSuccess",$AH$6,IF(OR($AH$7="ALL",Assumptions!$N$28="Y"),INDEX(Assumptions!$D$28:$F$28,$AH$4),Assumptions!$E$28))</f>
        <v/>
      </c>
      <c r="AI40" s="39">
        <f>IF($AI$5="InterventionSuccess",$AI$6,IF(OR($AI$7="ALL",Assumptions!$N$28="Y"),INDEX(Assumptions!$D$28:$F$28,$AI$4),Assumptions!$E$28))</f>
        <v/>
      </c>
      <c r="AJ40" s="39">
        <f>IF($AJ$5="InterventionSuccess",$AJ$6,IF(OR($AJ$7="ALL",Assumptions!$N$28="Y"),INDEX(Assumptions!$D$28:$F$28,$AJ$4),Assumptions!$E$28))</f>
        <v/>
      </c>
      <c r="AK40" s="39">
        <f>IF($AK$5="InterventionSuccess",$AK$6,IF(OR($AK$7="ALL",Assumptions!$N$28="Y"),INDEX(Assumptions!$D$28:$F$28,$AK$4),Assumptions!$E$28))</f>
        <v/>
      </c>
      <c r="AL40" s="39">
        <f>IF($AL$5="InterventionSuccess",$AL$6,IF(OR($AL$7="ALL",Assumptions!$N$28="Y"),INDEX(Assumptions!$D$28:$F$28,$AL$4),Assumptions!$E$28))</f>
        <v/>
      </c>
      <c r="AM40" s="39">
        <f>IF($AM$5="InterventionSuccess",$AM$6,IF(OR($AM$7="ALL",Assumptions!$N$28="Y"),INDEX(Assumptions!$D$28:$F$28,$AM$4),Assumptions!$E$28))</f>
        <v/>
      </c>
      <c r="AN40" s="39">
        <f>IF($AN$5="InterventionSuccess",$AN$6,IF(OR($AN$7="ALL",Assumptions!$N$28="Y"),INDEX(Assumptions!$D$28:$F$28,$AN$4),Assumptions!$E$28))</f>
        <v/>
      </c>
      <c r="AO40" s="39">
        <f>IF($AO$5="InterventionSuccess",$AO$6,IF(OR($AO$7="ALL",Assumptions!$N$28="Y"),INDEX(Assumptions!$D$28:$F$28,$AO$4),Assumptions!$E$28))</f>
        <v/>
      </c>
      <c r="AP40" s="39">
        <f>IF($AP$5="InterventionSuccess",$AP$6,IF(OR($AP$7="ALL",Assumptions!$N$28="Y"),INDEX(Assumptions!$D$28:$F$28,$AP$4),Assumptions!$E$28))</f>
        <v/>
      </c>
      <c r="AQ40" s="39">
        <f>IF($AQ$5="InterventionSuccess",$AQ$6,IF(OR($AQ$7="ALL",Assumptions!$N$28="Y"),INDEX(Assumptions!$D$28:$F$28,$AQ$4),Assumptions!$E$28))</f>
        <v/>
      </c>
      <c r="AR40" s="39">
        <f>IF($AR$5="InterventionSuccess",$AR$6,IF(OR($AR$7="ALL",Assumptions!$N$28="Y"),INDEX(Assumptions!$D$28:$F$28,$AR$4),Assumptions!$E$28))</f>
        <v/>
      </c>
      <c r="AS40" s="39">
        <f>IF($AS$5="InterventionSuccess",$AS$6,IF(OR($AS$7="ALL",Assumptions!$N$28="Y"),INDEX(Assumptions!$D$28:$F$28,$AS$4),Assumptions!$E$28))</f>
        <v/>
      </c>
      <c r="AT40" s="39">
        <f>IF($AT$5="InterventionSuccess",$AT$6,IF(OR($AT$7="ALL",Assumptions!$N$28="Y"),INDEX(Assumptions!$D$28:$F$28,$AT$4),Assumptions!$E$28))</f>
        <v/>
      </c>
      <c r="AU40" s="39">
        <f>IF($AU$5="InterventionSuccess",$AU$6,IF(OR($AU$7="ALL",Assumptions!$N$28="Y"),INDEX(Assumptions!$D$28:$F$28,$AU$4),Assumptions!$E$28))</f>
        <v/>
      </c>
      <c r="AV40" s="39">
        <f>IF($AV$5="InterventionSuccess",$AV$6,IF(OR($AV$7="ALL",Assumptions!$N$28="Y"),INDEX(Assumptions!$D$28:$F$28,$AV$4),Assumptions!$E$28))</f>
        <v/>
      </c>
      <c r="AW40" s="39">
        <f>IF($AW$5="InterventionSuccess",$AW$6,IF(OR($AW$7="ALL",Assumptions!$N$28="Y"),INDEX(Assumptions!$D$28:$F$28,$AW$4),Assumptions!$E$28))</f>
        <v/>
      </c>
      <c r="AX40" s="39">
        <f>IF($AX$5="InterventionSuccess",$AX$6,IF(OR($AX$7="ALL",Assumptions!$N$28="Y"),INDEX(Assumptions!$D$28:$F$28,$AX$4),Assumptions!$E$28))</f>
        <v/>
      </c>
      <c r="AY40" s="39">
        <f>IF($AY$5="InterventionSuccess",$AY$6,IF(OR($AY$7="ALL",Assumptions!$N$28="Y"),INDEX(Assumptions!$D$28:$F$28,$AY$4),Assumptions!$E$28))</f>
        <v/>
      </c>
      <c r="AZ40" s="39">
        <f>IF($AZ$5="InterventionSuccess",$AZ$6,IF(OR($AZ$7="ALL",Assumptions!$N$28="Y"),INDEX(Assumptions!$D$28:$F$28,$AZ$4),Assumptions!$E$28))</f>
        <v/>
      </c>
      <c r="BA40" s="39">
        <f>IF($BA$5="InterventionSuccess",$BA$6,IF(OR($BA$7="ALL",Assumptions!$N$28="Y"),INDEX(Assumptions!$D$28:$F$28,$BA$4),Assumptions!$E$28))</f>
        <v/>
      </c>
      <c r="BB40" s="39">
        <f>IF($BB$5="InterventionSuccess",$BB$6,IF(OR($BB$7="ALL",Assumptions!$N$28="Y"),INDEX(Assumptions!$D$28:$F$28,$BB$4),Assumptions!$E$28))</f>
        <v/>
      </c>
      <c r="BC40" s="39">
        <f>IF($BC$5="InterventionSuccess",$BC$6,IF(OR($BC$7="ALL",Assumptions!$N$28="Y"),INDEX(Assumptions!$D$28:$F$28,$BC$4),Assumptions!$E$28))</f>
        <v/>
      </c>
      <c r="BD40" s="39">
        <f>IF($BD$5="InterventionSuccess",$BD$6,IF(OR($BD$7="ALL",Assumptions!$N$28="Y"),INDEX(Assumptions!$D$28:$F$28,$BD$4),Assumptions!$E$28))</f>
        <v/>
      </c>
      <c r="BE40" s="39">
        <f>IF($BE$5="InterventionSuccess",$BE$6,IF(OR($BE$7="ALL",Assumptions!$N$28="Y"),INDEX(Assumptions!$D$28:$F$28,$BE$4),Assumptions!$E$28))</f>
        <v/>
      </c>
    </row>
    <row r="41">
      <c r="B41" s="5" t="inlineStr">
        <is>
          <t>AdmissionUplift</t>
        </is>
      </c>
      <c r="D41" s="39">
        <f>IF($D$5="AdmissionUplift",$D$6,IF(OR($D$7="ALL",Assumptions!$N$29="Y"),INDEX(Assumptions!$D$29:$F$29,$D$4),Assumptions!$E$29))</f>
        <v/>
      </c>
      <c r="E41" s="39">
        <f>IF($E$5="AdmissionUplift",$E$6,IF(OR($E$7="ALL",Assumptions!$N$29="Y"),INDEX(Assumptions!$D$29:$F$29,$E$4),Assumptions!$E$29))</f>
        <v/>
      </c>
      <c r="F41" s="39">
        <f>IF($F$5="AdmissionUplift",$F$6,IF(OR($F$7="ALL",Assumptions!$N$29="Y"),INDEX(Assumptions!$D$29:$F$29,$F$4),Assumptions!$E$29))</f>
        <v/>
      </c>
      <c r="G41" s="39">
        <f>IF($G$5="AdmissionUplift",$G$6,IF(OR($G$7="ALL",Assumptions!$N$29="Y"),INDEX(Assumptions!$D$29:$F$29,$G$4),Assumptions!$E$29))</f>
        <v/>
      </c>
      <c r="H41" s="39">
        <f>IF($H$5="AdmissionUplift",$H$6,IF(OR($H$7="ALL",Assumptions!$N$29="Y"),INDEX(Assumptions!$D$29:$F$29,$H$4),Assumptions!$E$29))</f>
        <v/>
      </c>
      <c r="I41" s="39">
        <f>IF($I$5="AdmissionUplift",$I$6,IF(OR($I$7="ALL",Assumptions!$N$29="Y"),INDEX(Assumptions!$D$29:$F$29,$I$4),Assumptions!$E$29))</f>
        <v/>
      </c>
      <c r="J41" s="39">
        <f>IF($J$5="AdmissionUplift",$J$6,IF(OR($J$7="ALL",Assumptions!$N$29="Y"),INDEX(Assumptions!$D$29:$F$29,$J$4),Assumptions!$E$29))</f>
        <v/>
      </c>
      <c r="K41" s="39">
        <f>IF($K$5="AdmissionUplift",$K$6,IF(OR($K$7="ALL",Assumptions!$N$29="Y"),INDEX(Assumptions!$D$29:$F$29,$K$4),Assumptions!$E$29))</f>
        <v/>
      </c>
      <c r="L41" s="39">
        <f>IF($L$5="AdmissionUplift",$L$6,IF(OR($L$7="ALL",Assumptions!$N$29="Y"),INDEX(Assumptions!$D$29:$F$29,$L$4),Assumptions!$E$29))</f>
        <v/>
      </c>
      <c r="M41" s="39">
        <f>IF($M$5="AdmissionUplift",$M$6,IF(OR($M$7="ALL",Assumptions!$N$29="Y"),INDEX(Assumptions!$D$29:$F$29,$M$4),Assumptions!$E$29))</f>
        <v/>
      </c>
      <c r="N41" s="39">
        <f>IF($N$5="AdmissionUplift",$N$6,IF(OR($N$7="ALL",Assumptions!$N$29="Y"),INDEX(Assumptions!$D$29:$F$29,$N$4),Assumptions!$E$29))</f>
        <v/>
      </c>
      <c r="O41" s="39">
        <f>IF($O$5="AdmissionUplift",$O$6,IF(OR($O$7="ALL",Assumptions!$N$29="Y"),INDEX(Assumptions!$D$29:$F$29,$O$4),Assumptions!$E$29))</f>
        <v/>
      </c>
      <c r="P41" s="39">
        <f>IF($P$5="AdmissionUplift",$P$6,IF(OR($P$7="ALL",Assumptions!$N$29="Y"),INDEX(Assumptions!$D$29:$F$29,$P$4),Assumptions!$E$29))</f>
        <v/>
      </c>
      <c r="Q41" s="39">
        <f>IF($Q$5="AdmissionUplift",$Q$6,IF(OR($Q$7="ALL",Assumptions!$N$29="Y"),INDEX(Assumptions!$D$29:$F$29,$Q$4),Assumptions!$E$29))</f>
        <v/>
      </c>
      <c r="R41" s="39">
        <f>IF($R$5="AdmissionUplift",$R$6,IF(OR($R$7="ALL",Assumptions!$N$29="Y"),INDEX(Assumptions!$D$29:$F$29,$R$4),Assumptions!$E$29))</f>
        <v/>
      </c>
      <c r="S41" s="39">
        <f>IF($S$5="AdmissionUplift",$S$6,IF(OR($S$7="ALL",Assumptions!$N$29="Y"),INDEX(Assumptions!$D$29:$F$29,$S$4),Assumptions!$E$29))</f>
        <v/>
      </c>
      <c r="T41" s="39">
        <f>IF($T$5="AdmissionUplift",$T$6,IF(OR($T$7="ALL",Assumptions!$N$29="Y"),INDEX(Assumptions!$D$29:$F$29,$T$4),Assumptions!$E$29))</f>
        <v/>
      </c>
      <c r="U41" s="39">
        <f>IF($U$5="AdmissionUplift",$U$6,IF(OR($U$7="ALL",Assumptions!$N$29="Y"),INDEX(Assumptions!$D$29:$F$29,$U$4),Assumptions!$E$29))</f>
        <v/>
      </c>
      <c r="V41" s="39">
        <f>IF($V$5="AdmissionUplift",$V$6,IF(OR($V$7="ALL",Assumptions!$N$29="Y"),INDEX(Assumptions!$D$29:$F$29,$V$4),Assumptions!$E$29))</f>
        <v/>
      </c>
      <c r="W41" s="39">
        <f>IF($W$5="AdmissionUplift",$W$6,IF(OR($W$7="ALL",Assumptions!$N$29="Y"),INDEX(Assumptions!$D$29:$F$29,$W$4),Assumptions!$E$29))</f>
        <v/>
      </c>
      <c r="X41" s="39">
        <f>IF($X$5="AdmissionUplift",$X$6,IF(OR($X$7="ALL",Assumptions!$N$29="Y"),INDEX(Assumptions!$D$29:$F$29,$X$4),Assumptions!$E$29))</f>
        <v/>
      </c>
      <c r="Y41" s="39">
        <f>IF($Y$5="AdmissionUplift",$Y$6,IF(OR($Y$7="ALL",Assumptions!$N$29="Y"),INDEX(Assumptions!$D$29:$F$29,$Y$4),Assumptions!$E$29))</f>
        <v/>
      </c>
      <c r="Z41" s="39">
        <f>IF($Z$5="AdmissionUplift",$Z$6,IF(OR($Z$7="ALL",Assumptions!$N$29="Y"),INDEX(Assumptions!$D$29:$F$29,$Z$4),Assumptions!$E$29))</f>
        <v/>
      </c>
      <c r="AA41" s="39">
        <f>IF($AA$5="AdmissionUplift",$AA$6,IF(OR($AA$7="ALL",Assumptions!$N$29="Y"),INDEX(Assumptions!$D$29:$F$29,$AA$4),Assumptions!$E$29))</f>
        <v/>
      </c>
      <c r="AB41" s="39">
        <f>IF($AB$5="AdmissionUplift",$AB$6,IF(OR($AB$7="ALL",Assumptions!$N$29="Y"),INDEX(Assumptions!$D$29:$F$29,$AB$4),Assumptions!$E$29))</f>
        <v/>
      </c>
      <c r="AC41" s="39">
        <f>IF($AC$5="AdmissionUplift",$AC$6,IF(OR($AC$7="ALL",Assumptions!$N$29="Y"),INDEX(Assumptions!$D$29:$F$29,$AC$4),Assumptions!$E$29))</f>
        <v/>
      </c>
      <c r="AD41" s="39">
        <f>IF($AD$5="AdmissionUplift",$AD$6,IF(OR($AD$7="ALL",Assumptions!$N$29="Y"),INDEX(Assumptions!$D$29:$F$29,$AD$4),Assumptions!$E$29))</f>
        <v/>
      </c>
      <c r="AE41" s="39">
        <f>IF($AE$5="AdmissionUplift",$AE$6,IF(OR($AE$7="ALL",Assumptions!$N$29="Y"),INDEX(Assumptions!$D$29:$F$29,$AE$4),Assumptions!$E$29))</f>
        <v/>
      </c>
      <c r="AF41" s="39">
        <f>IF($AF$5="AdmissionUplift",$AF$6,IF(OR($AF$7="ALL",Assumptions!$N$29="Y"),INDEX(Assumptions!$D$29:$F$29,$AF$4),Assumptions!$E$29))</f>
        <v/>
      </c>
      <c r="AG41" s="39">
        <f>IF($AG$5="AdmissionUplift",$AG$6,IF(OR($AG$7="ALL",Assumptions!$N$29="Y"),INDEX(Assumptions!$D$29:$F$29,$AG$4),Assumptions!$E$29))</f>
        <v/>
      </c>
      <c r="AH41" s="39">
        <f>IF($AH$5="AdmissionUplift",$AH$6,IF(OR($AH$7="ALL",Assumptions!$N$29="Y"),INDEX(Assumptions!$D$29:$F$29,$AH$4),Assumptions!$E$29))</f>
        <v/>
      </c>
      <c r="AI41" s="39">
        <f>IF($AI$5="AdmissionUplift",$AI$6,IF(OR($AI$7="ALL",Assumptions!$N$29="Y"),INDEX(Assumptions!$D$29:$F$29,$AI$4),Assumptions!$E$29))</f>
        <v/>
      </c>
      <c r="AJ41" s="39">
        <f>IF($AJ$5="AdmissionUplift",$AJ$6,IF(OR($AJ$7="ALL",Assumptions!$N$29="Y"),INDEX(Assumptions!$D$29:$F$29,$AJ$4),Assumptions!$E$29))</f>
        <v/>
      </c>
      <c r="AK41" s="39">
        <f>IF($AK$5="AdmissionUplift",$AK$6,IF(OR($AK$7="ALL",Assumptions!$N$29="Y"),INDEX(Assumptions!$D$29:$F$29,$AK$4),Assumptions!$E$29))</f>
        <v/>
      </c>
      <c r="AL41" s="39">
        <f>IF($AL$5="AdmissionUplift",$AL$6,IF(OR($AL$7="ALL",Assumptions!$N$29="Y"),INDEX(Assumptions!$D$29:$F$29,$AL$4),Assumptions!$E$29))</f>
        <v/>
      </c>
      <c r="AM41" s="39">
        <f>IF($AM$5="AdmissionUplift",$AM$6,IF(OR($AM$7="ALL",Assumptions!$N$29="Y"),INDEX(Assumptions!$D$29:$F$29,$AM$4),Assumptions!$E$29))</f>
        <v/>
      </c>
      <c r="AN41" s="39">
        <f>IF($AN$5="AdmissionUplift",$AN$6,IF(OR($AN$7="ALL",Assumptions!$N$29="Y"),INDEX(Assumptions!$D$29:$F$29,$AN$4),Assumptions!$E$29))</f>
        <v/>
      </c>
      <c r="AO41" s="39">
        <f>IF($AO$5="AdmissionUplift",$AO$6,IF(OR($AO$7="ALL",Assumptions!$N$29="Y"),INDEX(Assumptions!$D$29:$F$29,$AO$4),Assumptions!$E$29))</f>
        <v/>
      </c>
      <c r="AP41" s="39">
        <f>IF($AP$5="AdmissionUplift",$AP$6,IF(OR($AP$7="ALL",Assumptions!$N$29="Y"),INDEX(Assumptions!$D$29:$F$29,$AP$4),Assumptions!$E$29))</f>
        <v/>
      </c>
      <c r="AQ41" s="39">
        <f>IF($AQ$5="AdmissionUplift",$AQ$6,IF(OR($AQ$7="ALL",Assumptions!$N$29="Y"),INDEX(Assumptions!$D$29:$F$29,$AQ$4),Assumptions!$E$29))</f>
        <v/>
      </c>
      <c r="AR41" s="39">
        <f>IF($AR$5="AdmissionUplift",$AR$6,IF(OR($AR$7="ALL",Assumptions!$N$29="Y"),INDEX(Assumptions!$D$29:$F$29,$AR$4),Assumptions!$E$29))</f>
        <v/>
      </c>
      <c r="AS41" s="39">
        <f>IF($AS$5="AdmissionUplift",$AS$6,IF(OR($AS$7="ALL",Assumptions!$N$29="Y"),INDEX(Assumptions!$D$29:$F$29,$AS$4),Assumptions!$E$29))</f>
        <v/>
      </c>
      <c r="AT41" s="39">
        <f>IF($AT$5="AdmissionUplift",$AT$6,IF(OR($AT$7="ALL",Assumptions!$N$29="Y"),INDEX(Assumptions!$D$29:$F$29,$AT$4),Assumptions!$E$29))</f>
        <v/>
      </c>
      <c r="AU41" s="39">
        <f>IF($AU$5="AdmissionUplift",$AU$6,IF(OR($AU$7="ALL",Assumptions!$N$29="Y"),INDEX(Assumptions!$D$29:$F$29,$AU$4),Assumptions!$E$29))</f>
        <v/>
      </c>
      <c r="AV41" s="39">
        <f>IF($AV$5="AdmissionUplift",$AV$6,IF(OR($AV$7="ALL",Assumptions!$N$29="Y"),INDEX(Assumptions!$D$29:$F$29,$AV$4),Assumptions!$E$29))</f>
        <v/>
      </c>
      <c r="AW41" s="39">
        <f>IF($AW$5="AdmissionUplift",$AW$6,IF(OR($AW$7="ALL",Assumptions!$N$29="Y"),INDEX(Assumptions!$D$29:$F$29,$AW$4),Assumptions!$E$29))</f>
        <v/>
      </c>
      <c r="AX41" s="39">
        <f>IF($AX$5="AdmissionUplift",$AX$6,IF(OR($AX$7="ALL",Assumptions!$N$29="Y"),INDEX(Assumptions!$D$29:$F$29,$AX$4),Assumptions!$E$29))</f>
        <v/>
      </c>
      <c r="AY41" s="39">
        <f>IF($AY$5="AdmissionUplift",$AY$6,IF(OR($AY$7="ALL",Assumptions!$N$29="Y"),INDEX(Assumptions!$D$29:$F$29,$AY$4),Assumptions!$E$29))</f>
        <v/>
      </c>
      <c r="AZ41" s="39">
        <f>IF($AZ$5="AdmissionUplift",$AZ$6,IF(OR($AZ$7="ALL",Assumptions!$N$29="Y"),INDEX(Assumptions!$D$29:$F$29,$AZ$4),Assumptions!$E$29))</f>
        <v/>
      </c>
      <c r="BA41" s="39">
        <f>IF($BA$5="AdmissionUplift",$BA$6,IF(OR($BA$7="ALL",Assumptions!$N$29="Y"),INDEX(Assumptions!$D$29:$F$29,$BA$4),Assumptions!$E$29))</f>
        <v/>
      </c>
      <c r="BB41" s="39">
        <f>IF($BB$5="AdmissionUplift",$BB$6,IF(OR($BB$7="ALL",Assumptions!$N$29="Y"),INDEX(Assumptions!$D$29:$F$29,$BB$4),Assumptions!$E$29))</f>
        <v/>
      </c>
      <c r="BC41" s="39">
        <f>IF($BC$5="AdmissionUplift",$BC$6,IF(OR($BC$7="ALL",Assumptions!$N$29="Y"),INDEX(Assumptions!$D$29:$F$29,$BC$4),Assumptions!$E$29))</f>
        <v/>
      </c>
      <c r="BD41" s="39">
        <f>IF($BD$5="AdmissionUplift",$BD$6,IF(OR($BD$7="ALL",Assumptions!$N$29="Y"),INDEX(Assumptions!$D$29:$F$29,$BD$4),Assumptions!$E$29))</f>
        <v/>
      </c>
      <c r="BE41" s="39">
        <f>IF($BE$5="AdmissionUplift",$BE$6,IF(OR($BE$7="ALL",Assumptions!$N$29="Y"),INDEX(Assumptions!$D$29:$F$29,$BE$4),Assumptions!$E$29))</f>
        <v/>
      </c>
    </row>
    <row r="42">
      <c r="B42" s="5" t="inlineStr">
        <is>
          <t>MarginExtraAdmission</t>
        </is>
      </c>
      <c r="D42" s="39">
        <f>IF($D$5="MarginExtraAdmission",$D$6,IF(OR($D$7="ALL",Assumptions!$N$30="Y"),INDEX(Assumptions!$D$30:$F$30,$D$4),Assumptions!$E$30))</f>
        <v/>
      </c>
      <c r="E42" s="39">
        <f>IF($E$5="MarginExtraAdmission",$E$6,IF(OR($E$7="ALL",Assumptions!$N$30="Y"),INDEX(Assumptions!$D$30:$F$30,$E$4),Assumptions!$E$30))</f>
        <v/>
      </c>
      <c r="F42" s="39">
        <f>IF($F$5="MarginExtraAdmission",$F$6,IF(OR($F$7="ALL",Assumptions!$N$30="Y"),INDEX(Assumptions!$D$30:$F$30,$F$4),Assumptions!$E$30))</f>
        <v/>
      </c>
      <c r="G42" s="39">
        <f>IF($G$5="MarginExtraAdmission",$G$6,IF(OR($G$7="ALL",Assumptions!$N$30="Y"),INDEX(Assumptions!$D$30:$F$30,$G$4),Assumptions!$E$30))</f>
        <v/>
      </c>
      <c r="H42" s="39">
        <f>IF($H$5="MarginExtraAdmission",$H$6,IF(OR($H$7="ALL",Assumptions!$N$30="Y"),INDEX(Assumptions!$D$30:$F$30,$H$4),Assumptions!$E$30))</f>
        <v/>
      </c>
      <c r="I42" s="39">
        <f>IF($I$5="MarginExtraAdmission",$I$6,IF(OR($I$7="ALL",Assumptions!$N$30="Y"),INDEX(Assumptions!$D$30:$F$30,$I$4),Assumptions!$E$30))</f>
        <v/>
      </c>
      <c r="J42" s="39">
        <f>IF($J$5="MarginExtraAdmission",$J$6,IF(OR($J$7="ALL",Assumptions!$N$30="Y"),INDEX(Assumptions!$D$30:$F$30,$J$4),Assumptions!$E$30))</f>
        <v/>
      </c>
      <c r="K42" s="39">
        <f>IF($K$5="MarginExtraAdmission",$K$6,IF(OR($K$7="ALL",Assumptions!$N$30="Y"),INDEX(Assumptions!$D$30:$F$30,$K$4),Assumptions!$E$30))</f>
        <v/>
      </c>
      <c r="L42" s="39">
        <f>IF($L$5="MarginExtraAdmission",$L$6,IF(OR($L$7="ALL",Assumptions!$N$30="Y"),INDEX(Assumptions!$D$30:$F$30,$L$4),Assumptions!$E$30))</f>
        <v/>
      </c>
      <c r="M42" s="39">
        <f>IF($M$5="MarginExtraAdmission",$M$6,IF(OR($M$7="ALL",Assumptions!$N$30="Y"),INDEX(Assumptions!$D$30:$F$30,$M$4),Assumptions!$E$30))</f>
        <v/>
      </c>
      <c r="N42" s="39">
        <f>IF($N$5="MarginExtraAdmission",$N$6,IF(OR($N$7="ALL",Assumptions!$N$30="Y"),INDEX(Assumptions!$D$30:$F$30,$N$4),Assumptions!$E$30))</f>
        <v/>
      </c>
      <c r="O42" s="39">
        <f>IF($O$5="MarginExtraAdmission",$O$6,IF(OR($O$7="ALL",Assumptions!$N$30="Y"),INDEX(Assumptions!$D$30:$F$30,$O$4),Assumptions!$E$30))</f>
        <v/>
      </c>
      <c r="P42" s="39">
        <f>IF($P$5="MarginExtraAdmission",$P$6,IF(OR($P$7="ALL",Assumptions!$N$30="Y"),INDEX(Assumptions!$D$30:$F$30,$P$4),Assumptions!$E$30))</f>
        <v/>
      </c>
      <c r="Q42" s="39">
        <f>IF($Q$5="MarginExtraAdmission",$Q$6,IF(OR($Q$7="ALL",Assumptions!$N$30="Y"),INDEX(Assumptions!$D$30:$F$30,$Q$4),Assumptions!$E$30))</f>
        <v/>
      </c>
      <c r="R42" s="39">
        <f>IF($R$5="MarginExtraAdmission",$R$6,IF(OR($R$7="ALL",Assumptions!$N$30="Y"),INDEX(Assumptions!$D$30:$F$30,$R$4),Assumptions!$E$30))</f>
        <v/>
      </c>
      <c r="S42" s="39">
        <f>IF($S$5="MarginExtraAdmission",$S$6,IF(OR($S$7="ALL",Assumptions!$N$30="Y"),INDEX(Assumptions!$D$30:$F$30,$S$4),Assumptions!$E$30))</f>
        <v/>
      </c>
      <c r="T42" s="39">
        <f>IF($T$5="MarginExtraAdmission",$T$6,IF(OR($T$7="ALL",Assumptions!$N$30="Y"),INDEX(Assumptions!$D$30:$F$30,$T$4),Assumptions!$E$30))</f>
        <v/>
      </c>
      <c r="U42" s="39">
        <f>IF($U$5="MarginExtraAdmission",$U$6,IF(OR($U$7="ALL",Assumptions!$N$30="Y"),INDEX(Assumptions!$D$30:$F$30,$U$4),Assumptions!$E$30))</f>
        <v/>
      </c>
      <c r="V42" s="39">
        <f>IF($V$5="MarginExtraAdmission",$V$6,IF(OR($V$7="ALL",Assumptions!$N$30="Y"),INDEX(Assumptions!$D$30:$F$30,$V$4),Assumptions!$E$30))</f>
        <v/>
      </c>
      <c r="W42" s="39">
        <f>IF($W$5="MarginExtraAdmission",$W$6,IF(OR($W$7="ALL",Assumptions!$N$30="Y"),INDEX(Assumptions!$D$30:$F$30,$W$4),Assumptions!$E$30))</f>
        <v/>
      </c>
      <c r="X42" s="39">
        <f>IF($X$5="MarginExtraAdmission",$X$6,IF(OR($X$7="ALL",Assumptions!$N$30="Y"),INDEX(Assumptions!$D$30:$F$30,$X$4),Assumptions!$E$30))</f>
        <v/>
      </c>
      <c r="Y42" s="39">
        <f>IF($Y$5="MarginExtraAdmission",$Y$6,IF(OR($Y$7="ALL",Assumptions!$N$30="Y"),INDEX(Assumptions!$D$30:$F$30,$Y$4),Assumptions!$E$30))</f>
        <v/>
      </c>
      <c r="Z42" s="39">
        <f>IF($Z$5="MarginExtraAdmission",$Z$6,IF(OR($Z$7="ALL",Assumptions!$N$30="Y"),INDEX(Assumptions!$D$30:$F$30,$Z$4),Assumptions!$E$30))</f>
        <v/>
      </c>
      <c r="AA42" s="39">
        <f>IF($AA$5="MarginExtraAdmission",$AA$6,IF(OR($AA$7="ALL",Assumptions!$N$30="Y"),INDEX(Assumptions!$D$30:$F$30,$AA$4),Assumptions!$E$30))</f>
        <v/>
      </c>
      <c r="AB42" s="39">
        <f>IF($AB$5="MarginExtraAdmission",$AB$6,IF(OR($AB$7="ALL",Assumptions!$N$30="Y"),INDEX(Assumptions!$D$30:$F$30,$AB$4),Assumptions!$E$30))</f>
        <v/>
      </c>
      <c r="AC42" s="39">
        <f>IF($AC$5="MarginExtraAdmission",$AC$6,IF(OR($AC$7="ALL",Assumptions!$N$30="Y"),INDEX(Assumptions!$D$30:$F$30,$AC$4),Assumptions!$E$30))</f>
        <v/>
      </c>
      <c r="AD42" s="39">
        <f>IF($AD$5="MarginExtraAdmission",$AD$6,IF(OR($AD$7="ALL",Assumptions!$N$30="Y"),INDEX(Assumptions!$D$30:$F$30,$AD$4),Assumptions!$E$30))</f>
        <v/>
      </c>
      <c r="AE42" s="39">
        <f>IF($AE$5="MarginExtraAdmission",$AE$6,IF(OR($AE$7="ALL",Assumptions!$N$30="Y"),INDEX(Assumptions!$D$30:$F$30,$AE$4),Assumptions!$E$30))</f>
        <v/>
      </c>
      <c r="AF42" s="39">
        <f>IF($AF$5="MarginExtraAdmission",$AF$6,IF(OR($AF$7="ALL",Assumptions!$N$30="Y"),INDEX(Assumptions!$D$30:$F$30,$AF$4),Assumptions!$E$30))</f>
        <v/>
      </c>
      <c r="AG42" s="39">
        <f>IF($AG$5="MarginExtraAdmission",$AG$6,IF(OR($AG$7="ALL",Assumptions!$N$30="Y"),INDEX(Assumptions!$D$30:$F$30,$AG$4),Assumptions!$E$30))</f>
        <v/>
      </c>
      <c r="AH42" s="39">
        <f>IF($AH$5="MarginExtraAdmission",$AH$6,IF(OR($AH$7="ALL",Assumptions!$N$30="Y"),INDEX(Assumptions!$D$30:$F$30,$AH$4),Assumptions!$E$30))</f>
        <v/>
      </c>
      <c r="AI42" s="39">
        <f>IF($AI$5="MarginExtraAdmission",$AI$6,IF(OR($AI$7="ALL",Assumptions!$N$30="Y"),INDEX(Assumptions!$D$30:$F$30,$AI$4),Assumptions!$E$30))</f>
        <v/>
      </c>
      <c r="AJ42" s="39">
        <f>IF($AJ$5="MarginExtraAdmission",$AJ$6,IF(OR($AJ$7="ALL",Assumptions!$N$30="Y"),INDEX(Assumptions!$D$30:$F$30,$AJ$4),Assumptions!$E$30))</f>
        <v/>
      </c>
      <c r="AK42" s="39">
        <f>IF($AK$5="MarginExtraAdmission",$AK$6,IF(OR($AK$7="ALL",Assumptions!$N$30="Y"),INDEX(Assumptions!$D$30:$F$30,$AK$4),Assumptions!$E$30))</f>
        <v/>
      </c>
      <c r="AL42" s="39">
        <f>IF($AL$5="MarginExtraAdmission",$AL$6,IF(OR($AL$7="ALL",Assumptions!$N$30="Y"),INDEX(Assumptions!$D$30:$F$30,$AL$4),Assumptions!$E$30))</f>
        <v/>
      </c>
      <c r="AM42" s="39">
        <f>IF($AM$5="MarginExtraAdmission",$AM$6,IF(OR($AM$7="ALL",Assumptions!$N$30="Y"),INDEX(Assumptions!$D$30:$F$30,$AM$4),Assumptions!$E$30))</f>
        <v/>
      </c>
      <c r="AN42" s="39">
        <f>IF($AN$5="MarginExtraAdmission",$AN$6,IF(OR($AN$7="ALL",Assumptions!$N$30="Y"),INDEX(Assumptions!$D$30:$F$30,$AN$4),Assumptions!$E$30))</f>
        <v/>
      </c>
      <c r="AO42" s="39">
        <f>IF($AO$5="MarginExtraAdmission",$AO$6,IF(OR($AO$7="ALL",Assumptions!$N$30="Y"),INDEX(Assumptions!$D$30:$F$30,$AO$4),Assumptions!$E$30))</f>
        <v/>
      </c>
      <c r="AP42" s="39">
        <f>IF($AP$5="MarginExtraAdmission",$AP$6,IF(OR($AP$7="ALL",Assumptions!$N$30="Y"),INDEX(Assumptions!$D$30:$F$30,$AP$4),Assumptions!$E$30))</f>
        <v/>
      </c>
      <c r="AQ42" s="39">
        <f>IF($AQ$5="MarginExtraAdmission",$AQ$6,IF(OR($AQ$7="ALL",Assumptions!$N$30="Y"),INDEX(Assumptions!$D$30:$F$30,$AQ$4),Assumptions!$E$30))</f>
        <v/>
      </c>
      <c r="AR42" s="39">
        <f>IF($AR$5="MarginExtraAdmission",$AR$6,IF(OR($AR$7="ALL",Assumptions!$N$30="Y"),INDEX(Assumptions!$D$30:$F$30,$AR$4),Assumptions!$E$30))</f>
        <v/>
      </c>
      <c r="AS42" s="39">
        <f>IF($AS$5="MarginExtraAdmission",$AS$6,IF(OR($AS$7="ALL",Assumptions!$N$30="Y"),INDEX(Assumptions!$D$30:$F$30,$AS$4),Assumptions!$E$30))</f>
        <v/>
      </c>
      <c r="AT42" s="39">
        <f>IF($AT$5="MarginExtraAdmission",$AT$6,IF(OR($AT$7="ALL",Assumptions!$N$30="Y"),INDEX(Assumptions!$D$30:$F$30,$AT$4),Assumptions!$E$30))</f>
        <v/>
      </c>
      <c r="AU42" s="39">
        <f>IF($AU$5="MarginExtraAdmission",$AU$6,IF(OR($AU$7="ALL",Assumptions!$N$30="Y"),INDEX(Assumptions!$D$30:$F$30,$AU$4),Assumptions!$E$30))</f>
        <v/>
      </c>
      <c r="AV42" s="39">
        <f>IF($AV$5="MarginExtraAdmission",$AV$6,IF(OR($AV$7="ALL",Assumptions!$N$30="Y"),INDEX(Assumptions!$D$30:$F$30,$AV$4),Assumptions!$E$30))</f>
        <v/>
      </c>
      <c r="AW42" s="39">
        <f>IF($AW$5="MarginExtraAdmission",$AW$6,IF(OR($AW$7="ALL",Assumptions!$N$30="Y"),INDEX(Assumptions!$D$30:$F$30,$AW$4),Assumptions!$E$30))</f>
        <v/>
      </c>
      <c r="AX42" s="39">
        <f>IF($AX$5="MarginExtraAdmission",$AX$6,IF(OR($AX$7="ALL",Assumptions!$N$30="Y"),INDEX(Assumptions!$D$30:$F$30,$AX$4),Assumptions!$E$30))</f>
        <v/>
      </c>
      <c r="AY42" s="39">
        <f>IF($AY$5="MarginExtraAdmission",$AY$6,IF(OR($AY$7="ALL",Assumptions!$N$30="Y"),INDEX(Assumptions!$D$30:$F$30,$AY$4),Assumptions!$E$30))</f>
        <v/>
      </c>
      <c r="AZ42" s="39">
        <f>IF($AZ$5="MarginExtraAdmission",$AZ$6,IF(OR($AZ$7="ALL",Assumptions!$N$30="Y"),INDEX(Assumptions!$D$30:$F$30,$AZ$4),Assumptions!$E$30))</f>
        <v/>
      </c>
      <c r="BA42" s="39">
        <f>IF($BA$5="MarginExtraAdmission",$BA$6,IF(OR($BA$7="ALL",Assumptions!$N$30="Y"),INDEX(Assumptions!$D$30:$F$30,$BA$4),Assumptions!$E$30))</f>
        <v/>
      </c>
      <c r="BB42" s="39">
        <f>IF($BB$5="MarginExtraAdmission",$BB$6,IF(OR($BB$7="ALL",Assumptions!$N$30="Y"),INDEX(Assumptions!$D$30:$F$30,$BB$4),Assumptions!$E$30))</f>
        <v/>
      </c>
      <c r="BC42" s="39">
        <f>IF($BC$5="MarginExtraAdmission",$BC$6,IF(OR($BC$7="ALL",Assumptions!$N$30="Y"),INDEX(Assumptions!$D$30:$F$30,$BC$4),Assumptions!$E$30))</f>
        <v/>
      </c>
      <c r="BD42" s="39">
        <f>IF($BD$5="MarginExtraAdmission",$BD$6,IF(OR($BD$7="ALL",Assumptions!$N$30="Y"),INDEX(Assumptions!$D$30:$F$30,$BD$4),Assumptions!$E$30))</f>
        <v/>
      </c>
      <c r="BE42" s="39">
        <f>IF($BE$5="MarginExtraAdmission",$BE$6,IF(OR($BE$7="ALL",Assumptions!$N$30="Y"),INDEX(Assumptions!$D$30:$F$30,$BE$4),Assumptions!$E$30))</f>
        <v/>
      </c>
    </row>
    <row r="43">
      <c r="B43" s="5" t="inlineStr">
        <is>
          <t>StaffHoursSaved</t>
        </is>
      </c>
      <c r="D43" s="57">
        <f>IF($D$5="StaffHoursSaved",$D$6,IF(OR($D$7="ALL",Assumptions!$N$31="Y"),INDEX(Assumptions!$D$31:$F$31,$D$4),Assumptions!$E$31))</f>
        <v/>
      </c>
      <c r="E43" s="57">
        <f>IF($E$5="StaffHoursSaved",$E$6,IF(OR($E$7="ALL",Assumptions!$N$31="Y"),INDEX(Assumptions!$D$31:$F$31,$E$4),Assumptions!$E$31))</f>
        <v/>
      </c>
      <c r="F43" s="57">
        <f>IF($F$5="StaffHoursSaved",$F$6,IF(OR($F$7="ALL",Assumptions!$N$31="Y"),INDEX(Assumptions!$D$31:$F$31,$F$4),Assumptions!$E$31))</f>
        <v/>
      </c>
      <c r="G43" s="57">
        <f>IF($G$5="StaffHoursSaved",$G$6,IF(OR($G$7="ALL",Assumptions!$N$31="Y"),INDEX(Assumptions!$D$31:$F$31,$G$4),Assumptions!$E$31))</f>
        <v/>
      </c>
      <c r="H43" s="57">
        <f>IF($H$5="StaffHoursSaved",$H$6,IF(OR($H$7="ALL",Assumptions!$N$31="Y"),INDEX(Assumptions!$D$31:$F$31,$H$4),Assumptions!$E$31))</f>
        <v/>
      </c>
      <c r="I43" s="57">
        <f>IF($I$5="StaffHoursSaved",$I$6,IF(OR($I$7="ALL",Assumptions!$N$31="Y"),INDEX(Assumptions!$D$31:$F$31,$I$4),Assumptions!$E$31))</f>
        <v/>
      </c>
      <c r="J43" s="57">
        <f>IF($J$5="StaffHoursSaved",$J$6,IF(OR($J$7="ALL",Assumptions!$N$31="Y"),INDEX(Assumptions!$D$31:$F$31,$J$4),Assumptions!$E$31))</f>
        <v/>
      </c>
      <c r="K43" s="57">
        <f>IF($K$5="StaffHoursSaved",$K$6,IF(OR($K$7="ALL",Assumptions!$N$31="Y"),INDEX(Assumptions!$D$31:$F$31,$K$4),Assumptions!$E$31))</f>
        <v/>
      </c>
      <c r="L43" s="57">
        <f>IF($L$5="StaffHoursSaved",$L$6,IF(OR($L$7="ALL",Assumptions!$N$31="Y"),INDEX(Assumptions!$D$31:$F$31,$L$4),Assumptions!$E$31))</f>
        <v/>
      </c>
      <c r="M43" s="57">
        <f>IF($M$5="StaffHoursSaved",$M$6,IF(OR($M$7="ALL",Assumptions!$N$31="Y"),INDEX(Assumptions!$D$31:$F$31,$M$4),Assumptions!$E$31))</f>
        <v/>
      </c>
      <c r="N43" s="57">
        <f>IF($N$5="StaffHoursSaved",$N$6,IF(OR($N$7="ALL",Assumptions!$N$31="Y"),INDEX(Assumptions!$D$31:$F$31,$N$4),Assumptions!$E$31))</f>
        <v/>
      </c>
      <c r="O43" s="57">
        <f>IF($O$5="StaffHoursSaved",$O$6,IF(OR($O$7="ALL",Assumptions!$N$31="Y"),INDEX(Assumptions!$D$31:$F$31,$O$4),Assumptions!$E$31))</f>
        <v/>
      </c>
      <c r="P43" s="57">
        <f>IF($P$5="StaffHoursSaved",$P$6,IF(OR($P$7="ALL",Assumptions!$N$31="Y"),INDEX(Assumptions!$D$31:$F$31,$P$4),Assumptions!$E$31))</f>
        <v/>
      </c>
      <c r="Q43" s="57">
        <f>IF($Q$5="StaffHoursSaved",$Q$6,IF(OR($Q$7="ALL",Assumptions!$N$31="Y"),INDEX(Assumptions!$D$31:$F$31,$Q$4),Assumptions!$E$31))</f>
        <v/>
      </c>
      <c r="R43" s="57">
        <f>IF($R$5="StaffHoursSaved",$R$6,IF(OR($R$7="ALL",Assumptions!$N$31="Y"),INDEX(Assumptions!$D$31:$F$31,$R$4),Assumptions!$E$31))</f>
        <v/>
      </c>
      <c r="S43" s="57">
        <f>IF($S$5="StaffHoursSaved",$S$6,IF(OR($S$7="ALL",Assumptions!$N$31="Y"),INDEX(Assumptions!$D$31:$F$31,$S$4),Assumptions!$E$31))</f>
        <v/>
      </c>
      <c r="T43" s="57">
        <f>IF($T$5="StaffHoursSaved",$T$6,IF(OR($T$7="ALL",Assumptions!$N$31="Y"),INDEX(Assumptions!$D$31:$F$31,$T$4),Assumptions!$E$31))</f>
        <v/>
      </c>
      <c r="U43" s="57">
        <f>IF($U$5="StaffHoursSaved",$U$6,IF(OR($U$7="ALL",Assumptions!$N$31="Y"),INDEX(Assumptions!$D$31:$F$31,$U$4),Assumptions!$E$31))</f>
        <v/>
      </c>
      <c r="V43" s="57">
        <f>IF($V$5="StaffHoursSaved",$V$6,IF(OR($V$7="ALL",Assumptions!$N$31="Y"),INDEX(Assumptions!$D$31:$F$31,$V$4),Assumptions!$E$31))</f>
        <v/>
      </c>
      <c r="W43" s="57">
        <f>IF($W$5="StaffHoursSaved",$W$6,IF(OR($W$7="ALL",Assumptions!$N$31="Y"),INDEX(Assumptions!$D$31:$F$31,$W$4),Assumptions!$E$31))</f>
        <v/>
      </c>
      <c r="X43" s="57">
        <f>IF($X$5="StaffHoursSaved",$X$6,IF(OR($X$7="ALL",Assumptions!$N$31="Y"),INDEX(Assumptions!$D$31:$F$31,$X$4),Assumptions!$E$31))</f>
        <v/>
      </c>
      <c r="Y43" s="57">
        <f>IF($Y$5="StaffHoursSaved",$Y$6,IF(OR($Y$7="ALL",Assumptions!$N$31="Y"),INDEX(Assumptions!$D$31:$F$31,$Y$4),Assumptions!$E$31))</f>
        <v/>
      </c>
      <c r="Z43" s="57">
        <f>IF($Z$5="StaffHoursSaved",$Z$6,IF(OR($Z$7="ALL",Assumptions!$N$31="Y"),INDEX(Assumptions!$D$31:$F$31,$Z$4),Assumptions!$E$31))</f>
        <v/>
      </c>
      <c r="AA43" s="57">
        <f>IF($AA$5="StaffHoursSaved",$AA$6,IF(OR($AA$7="ALL",Assumptions!$N$31="Y"),INDEX(Assumptions!$D$31:$F$31,$AA$4),Assumptions!$E$31))</f>
        <v/>
      </c>
      <c r="AB43" s="57">
        <f>IF($AB$5="StaffHoursSaved",$AB$6,IF(OR($AB$7="ALL",Assumptions!$N$31="Y"),INDEX(Assumptions!$D$31:$F$31,$AB$4),Assumptions!$E$31))</f>
        <v/>
      </c>
      <c r="AC43" s="57">
        <f>IF($AC$5="StaffHoursSaved",$AC$6,IF(OR($AC$7="ALL",Assumptions!$N$31="Y"),INDEX(Assumptions!$D$31:$F$31,$AC$4),Assumptions!$E$31))</f>
        <v/>
      </c>
      <c r="AD43" s="57">
        <f>IF($AD$5="StaffHoursSaved",$AD$6,IF(OR($AD$7="ALL",Assumptions!$N$31="Y"),INDEX(Assumptions!$D$31:$F$31,$AD$4),Assumptions!$E$31))</f>
        <v/>
      </c>
      <c r="AE43" s="57">
        <f>IF($AE$5="StaffHoursSaved",$AE$6,IF(OR($AE$7="ALL",Assumptions!$N$31="Y"),INDEX(Assumptions!$D$31:$F$31,$AE$4),Assumptions!$E$31))</f>
        <v/>
      </c>
      <c r="AF43" s="57">
        <f>IF($AF$5="StaffHoursSaved",$AF$6,IF(OR($AF$7="ALL",Assumptions!$N$31="Y"),INDEX(Assumptions!$D$31:$F$31,$AF$4),Assumptions!$E$31))</f>
        <v/>
      </c>
      <c r="AG43" s="57">
        <f>IF($AG$5="StaffHoursSaved",$AG$6,IF(OR($AG$7="ALL",Assumptions!$N$31="Y"),INDEX(Assumptions!$D$31:$F$31,$AG$4),Assumptions!$E$31))</f>
        <v/>
      </c>
      <c r="AH43" s="57">
        <f>IF($AH$5="StaffHoursSaved",$AH$6,IF(OR($AH$7="ALL",Assumptions!$N$31="Y"),INDEX(Assumptions!$D$31:$F$31,$AH$4),Assumptions!$E$31))</f>
        <v/>
      </c>
      <c r="AI43" s="57">
        <f>IF($AI$5="StaffHoursSaved",$AI$6,IF(OR($AI$7="ALL",Assumptions!$N$31="Y"),INDEX(Assumptions!$D$31:$F$31,$AI$4),Assumptions!$E$31))</f>
        <v/>
      </c>
      <c r="AJ43" s="57">
        <f>IF($AJ$5="StaffHoursSaved",$AJ$6,IF(OR($AJ$7="ALL",Assumptions!$N$31="Y"),INDEX(Assumptions!$D$31:$F$31,$AJ$4),Assumptions!$E$31))</f>
        <v/>
      </c>
      <c r="AK43" s="57">
        <f>IF($AK$5="StaffHoursSaved",$AK$6,IF(OR($AK$7="ALL",Assumptions!$N$31="Y"),INDEX(Assumptions!$D$31:$F$31,$AK$4),Assumptions!$E$31))</f>
        <v/>
      </c>
      <c r="AL43" s="57">
        <f>IF($AL$5="StaffHoursSaved",$AL$6,IF(OR($AL$7="ALL",Assumptions!$N$31="Y"),INDEX(Assumptions!$D$31:$F$31,$AL$4),Assumptions!$E$31))</f>
        <v/>
      </c>
      <c r="AM43" s="57">
        <f>IF($AM$5="StaffHoursSaved",$AM$6,IF(OR($AM$7="ALL",Assumptions!$N$31="Y"),INDEX(Assumptions!$D$31:$F$31,$AM$4),Assumptions!$E$31))</f>
        <v/>
      </c>
      <c r="AN43" s="57">
        <f>IF($AN$5="StaffHoursSaved",$AN$6,IF(OR($AN$7="ALL",Assumptions!$N$31="Y"),INDEX(Assumptions!$D$31:$F$31,$AN$4),Assumptions!$E$31))</f>
        <v/>
      </c>
      <c r="AO43" s="57">
        <f>IF($AO$5="StaffHoursSaved",$AO$6,IF(OR($AO$7="ALL",Assumptions!$N$31="Y"),INDEX(Assumptions!$D$31:$F$31,$AO$4),Assumptions!$E$31))</f>
        <v/>
      </c>
      <c r="AP43" s="57">
        <f>IF($AP$5="StaffHoursSaved",$AP$6,IF(OR($AP$7="ALL",Assumptions!$N$31="Y"),INDEX(Assumptions!$D$31:$F$31,$AP$4),Assumptions!$E$31))</f>
        <v/>
      </c>
      <c r="AQ43" s="57">
        <f>IF($AQ$5="StaffHoursSaved",$AQ$6,IF(OR($AQ$7="ALL",Assumptions!$N$31="Y"),INDEX(Assumptions!$D$31:$F$31,$AQ$4),Assumptions!$E$31))</f>
        <v/>
      </c>
      <c r="AR43" s="57">
        <f>IF($AR$5="StaffHoursSaved",$AR$6,IF(OR($AR$7="ALL",Assumptions!$N$31="Y"),INDEX(Assumptions!$D$31:$F$31,$AR$4),Assumptions!$E$31))</f>
        <v/>
      </c>
      <c r="AS43" s="57">
        <f>IF($AS$5="StaffHoursSaved",$AS$6,IF(OR($AS$7="ALL",Assumptions!$N$31="Y"),INDEX(Assumptions!$D$31:$F$31,$AS$4),Assumptions!$E$31))</f>
        <v/>
      </c>
      <c r="AT43" s="57">
        <f>IF($AT$5="StaffHoursSaved",$AT$6,IF(OR($AT$7="ALL",Assumptions!$N$31="Y"),INDEX(Assumptions!$D$31:$F$31,$AT$4),Assumptions!$E$31))</f>
        <v/>
      </c>
      <c r="AU43" s="57">
        <f>IF($AU$5="StaffHoursSaved",$AU$6,IF(OR($AU$7="ALL",Assumptions!$N$31="Y"),INDEX(Assumptions!$D$31:$F$31,$AU$4),Assumptions!$E$31))</f>
        <v/>
      </c>
      <c r="AV43" s="57">
        <f>IF($AV$5="StaffHoursSaved",$AV$6,IF(OR($AV$7="ALL",Assumptions!$N$31="Y"),INDEX(Assumptions!$D$31:$F$31,$AV$4),Assumptions!$E$31))</f>
        <v/>
      </c>
      <c r="AW43" s="57">
        <f>IF($AW$5="StaffHoursSaved",$AW$6,IF(OR($AW$7="ALL",Assumptions!$N$31="Y"),INDEX(Assumptions!$D$31:$F$31,$AW$4),Assumptions!$E$31))</f>
        <v/>
      </c>
      <c r="AX43" s="57">
        <f>IF($AX$5="StaffHoursSaved",$AX$6,IF(OR($AX$7="ALL",Assumptions!$N$31="Y"),INDEX(Assumptions!$D$31:$F$31,$AX$4),Assumptions!$E$31))</f>
        <v/>
      </c>
      <c r="AY43" s="57">
        <f>IF($AY$5="StaffHoursSaved",$AY$6,IF(OR($AY$7="ALL",Assumptions!$N$31="Y"),INDEX(Assumptions!$D$31:$F$31,$AY$4),Assumptions!$E$31))</f>
        <v/>
      </c>
      <c r="AZ43" s="57">
        <f>IF($AZ$5="StaffHoursSaved",$AZ$6,IF(OR($AZ$7="ALL",Assumptions!$N$31="Y"),INDEX(Assumptions!$D$31:$F$31,$AZ$4),Assumptions!$E$31))</f>
        <v/>
      </c>
      <c r="BA43" s="57">
        <f>IF($BA$5="StaffHoursSaved",$BA$6,IF(OR($BA$7="ALL",Assumptions!$N$31="Y"),INDEX(Assumptions!$D$31:$F$31,$BA$4),Assumptions!$E$31))</f>
        <v/>
      </c>
      <c r="BB43" s="57">
        <f>IF($BB$5="StaffHoursSaved",$BB$6,IF(OR($BB$7="ALL",Assumptions!$N$31="Y"),INDEX(Assumptions!$D$31:$F$31,$BB$4),Assumptions!$E$31))</f>
        <v/>
      </c>
      <c r="BC43" s="57">
        <f>IF($BC$5="StaffHoursSaved",$BC$6,IF(OR($BC$7="ALL",Assumptions!$N$31="Y"),INDEX(Assumptions!$D$31:$F$31,$BC$4),Assumptions!$E$31))</f>
        <v/>
      </c>
      <c r="BD43" s="57">
        <f>IF($BD$5="StaffHoursSaved",$BD$6,IF(OR($BD$7="ALL",Assumptions!$N$31="Y"),INDEX(Assumptions!$D$31:$F$31,$BD$4),Assumptions!$E$31))</f>
        <v/>
      </c>
      <c r="BE43" s="57">
        <f>IF($BE$5="StaffHoursSaved",$BE$6,IF(OR($BE$7="ALL",Assumptions!$N$31="Y"),INDEX(Assumptions!$D$31:$F$31,$BE$4),Assumptions!$E$31))</f>
        <v/>
      </c>
    </row>
    <row r="44">
      <c r="B44" s="5" t="inlineStr">
        <is>
          <t>StaffHourCost</t>
        </is>
      </c>
      <c r="D44" s="50">
        <f>IF($D$5="StaffHourCost",$D$6,IF(OR($D$7="ALL",Assumptions!$N$32="Y"),INDEX(Assumptions!$D$32:$F$32,$D$4),Assumptions!$E$32))</f>
        <v/>
      </c>
      <c r="E44" s="50">
        <f>IF($E$5="StaffHourCost",$E$6,IF(OR($E$7="ALL",Assumptions!$N$32="Y"),INDEX(Assumptions!$D$32:$F$32,$E$4),Assumptions!$E$32))</f>
        <v/>
      </c>
      <c r="F44" s="50">
        <f>IF($F$5="StaffHourCost",$F$6,IF(OR($F$7="ALL",Assumptions!$N$32="Y"),INDEX(Assumptions!$D$32:$F$32,$F$4),Assumptions!$E$32))</f>
        <v/>
      </c>
      <c r="G44" s="50">
        <f>IF($G$5="StaffHourCost",$G$6,IF(OR($G$7="ALL",Assumptions!$N$32="Y"),INDEX(Assumptions!$D$32:$F$32,$G$4),Assumptions!$E$32))</f>
        <v/>
      </c>
      <c r="H44" s="50">
        <f>IF($H$5="StaffHourCost",$H$6,IF(OR($H$7="ALL",Assumptions!$N$32="Y"),INDEX(Assumptions!$D$32:$F$32,$H$4),Assumptions!$E$32))</f>
        <v/>
      </c>
      <c r="I44" s="50">
        <f>IF($I$5="StaffHourCost",$I$6,IF(OR($I$7="ALL",Assumptions!$N$32="Y"),INDEX(Assumptions!$D$32:$F$32,$I$4),Assumptions!$E$32))</f>
        <v/>
      </c>
      <c r="J44" s="50">
        <f>IF($J$5="StaffHourCost",$J$6,IF(OR($J$7="ALL",Assumptions!$N$32="Y"),INDEX(Assumptions!$D$32:$F$32,$J$4),Assumptions!$E$32))</f>
        <v/>
      </c>
      <c r="K44" s="50">
        <f>IF($K$5="StaffHourCost",$K$6,IF(OR($K$7="ALL",Assumptions!$N$32="Y"),INDEX(Assumptions!$D$32:$F$32,$K$4),Assumptions!$E$32))</f>
        <v/>
      </c>
      <c r="L44" s="50">
        <f>IF($L$5="StaffHourCost",$L$6,IF(OR($L$7="ALL",Assumptions!$N$32="Y"),INDEX(Assumptions!$D$32:$F$32,$L$4),Assumptions!$E$32))</f>
        <v/>
      </c>
      <c r="M44" s="50">
        <f>IF($M$5="StaffHourCost",$M$6,IF(OR($M$7="ALL",Assumptions!$N$32="Y"),INDEX(Assumptions!$D$32:$F$32,$M$4),Assumptions!$E$32))</f>
        <v/>
      </c>
      <c r="N44" s="50">
        <f>IF($N$5="StaffHourCost",$N$6,IF(OR($N$7="ALL",Assumptions!$N$32="Y"),INDEX(Assumptions!$D$32:$F$32,$N$4),Assumptions!$E$32))</f>
        <v/>
      </c>
      <c r="O44" s="50">
        <f>IF($O$5="StaffHourCost",$O$6,IF(OR($O$7="ALL",Assumptions!$N$32="Y"),INDEX(Assumptions!$D$32:$F$32,$O$4),Assumptions!$E$32))</f>
        <v/>
      </c>
      <c r="P44" s="50">
        <f>IF($P$5="StaffHourCost",$P$6,IF(OR($P$7="ALL",Assumptions!$N$32="Y"),INDEX(Assumptions!$D$32:$F$32,$P$4),Assumptions!$E$32))</f>
        <v/>
      </c>
      <c r="Q44" s="50">
        <f>IF($Q$5="StaffHourCost",$Q$6,IF(OR($Q$7="ALL",Assumptions!$N$32="Y"),INDEX(Assumptions!$D$32:$F$32,$Q$4),Assumptions!$E$32))</f>
        <v/>
      </c>
      <c r="R44" s="50">
        <f>IF($R$5="StaffHourCost",$R$6,IF(OR($R$7="ALL",Assumptions!$N$32="Y"),INDEX(Assumptions!$D$32:$F$32,$R$4),Assumptions!$E$32))</f>
        <v/>
      </c>
      <c r="S44" s="50">
        <f>IF($S$5="StaffHourCost",$S$6,IF(OR($S$7="ALL",Assumptions!$N$32="Y"),INDEX(Assumptions!$D$32:$F$32,$S$4),Assumptions!$E$32))</f>
        <v/>
      </c>
      <c r="T44" s="50">
        <f>IF($T$5="StaffHourCost",$T$6,IF(OR($T$7="ALL",Assumptions!$N$32="Y"),INDEX(Assumptions!$D$32:$F$32,$T$4),Assumptions!$E$32))</f>
        <v/>
      </c>
      <c r="U44" s="50">
        <f>IF($U$5="StaffHourCost",$U$6,IF(OR($U$7="ALL",Assumptions!$N$32="Y"),INDEX(Assumptions!$D$32:$F$32,$U$4),Assumptions!$E$32))</f>
        <v/>
      </c>
      <c r="V44" s="50">
        <f>IF($V$5="StaffHourCost",$V$6,IF(OR($V$7="ALL",Assumptions!$N$32="Y"),INDEX(Assumptions!$D$32:$F$32,$V$4),Assumptions!$E$32))</f>
        <v/>
      </c>
      <c r="W44" s="50">
        <f>IF($W$5="StaffHourCost",$W$6,IF(OR($W$7="ALL",Assumptions!$N$32="Y"),INDEX(Assumptions!$D$32:$F$32,$W$4),Assumptions!$E$32))</f>
        <v/>
      </c>
      <c r="X44" s="50">
        <f>IF($X$5="StaffHourCost",$X$6,IF(OR($X$7="ALL",Assumptions!$N$32="Y"),INDEX(Assumptions!$D$32:$F$32,$X$4),Assumptions!$E$32))</f>
        <v/>
      </c>
      <c r="Y44" s="50">
        <f>IF($Y$5="StaffHourCost",$Y$6,IF(OR($Y$7="ALL",Assumptions!$N$32="Y"),INDEX(Assumptions!$D$32:$F$32,$Y$4),Assumptions!$E$32))</f>
        <v/>
      </c>
      <c r="Z44" s="50">
        <f>IF($Z$5="StaffHourCost",$Z$6,IF(OR($Z$7="ALL",Assumptions!$N$32="Y"),INDEX(Assumptions!$D$32:$F$32,$Z$4),Assumptions!$E$32))</f>
        <v/>
      </c>
      <c r="AA44" s="50">
        <f>IF($AA$5="StaffHourCost",$AA$6,IF(OR($AA$7="ALL",Assumptions!$N$32="Y"),INDEX(Assumptions!$D$32:$F$32,$AA$4),Assumptions!$E$32))</f>
        <v/>
      </c>
      <c r="AB44" s="50">
        <f>IF($AB$5="StaffHourCost",$AB$6,IF(OR($AB$7="ALL",Assumptions!$N$32="Y"),INDEX(Assumptions!$D$32:$F$32,$AB$4),Assumptions!$E$32))</f>
        <v/>
      </c>
      <c r="AC44" s="50">
        <f>IF($AC$5="StaffHourCost",$AC$6,IF(OR($AC$7="ALL",Assumptions!$N$32="Y"),INDEX(Assumptions!$D$32:$F$32,$AC$4),Assumptions!$E$32))</f>
        <v/>
      </c>
      <c r="AD44" s="50">
        <f>IF($AD$5="StaffHourCost",$AD$6,IF(OR($AD$7="ALL",Assumptions!$N$32="Y"),INDEX(Assumptions!$D$32:$F$32,$AD$4),Assumptions!$E$32))</f>
        <v/>
      </c>
      <c r="AE44" s="50">
        <f>IF($AE$5="StaffHourCost",$AE$6,IF(OR($AE$7="ALL",Assumptions!$N$32="Y"),INDEX(Assumptions!$D$32:$F$32,$AE$4),Assumptions!$E$32))</f>
        <v/>
      </c>
      <c r="AF44" s="50">
        <f>IF($AF$5="StaffHourCost",$AF$6,IF(OR($AF$7="ALL",Assumptions!$N$32="Y"),INDEX(Assumptions!$D$32:$F$32,$AF$4),Assumptions!$E$32))</f>
        <v/>
      </c>
      <c r="AG44" s="50">
        <f>IF($AG$5="StaffHourCost",$AG$6,IF(OR($AG$7="ALL",Assumptions!$N$32="Y"),INDEX(Assumptions!$D$32:$F$32,$AG$4),Assumptions!$E$32))</f>
        <v/>
      </c>
      <c r="AH44" s="50">
        <f>IF($AH$5="StaffHourCost",$AH$6,IF(OR($AH$7="ALL",Assumptions!$N$32="Y"),INDEX(Assumptions!$D$32:$F$32,$AH$4),Assumptions!$E$32))</f>
        <v/>
      </c>
      <c r="AI44" s="50">
        <f>IF($AI$5="StaffHourCost",$AI$6,IF(OR($AI$7="ALL",Assumptions!$N$32="Y"),INDEX(Assumptions!$D$32:$F$32,$AI$4),Assumptions!$E$32))</f>
        <v/>
      </c>
      <c r="AJ44" s="50">
        <f>IF($AJ$5="StaffHourCost",$AJ$6,IF(OR($AJ$7="ALL",Assumptions!$N$32="Y"),INDEX(Assumptions!$D$32:$F$32,$AJ$4),Assumptions!$E$32))</f>
        <v/>
      </c>
      <c r="AK44" s="50">
        <f>IF($AK$5="StaffHourCost",$AK$6,IF(OR($AK$7="ALL",Assumptions!$N$32="Y"),INDEX(Assumptions!$D$32:$F$32,$AK$4),Assumptions!$E$32))</f>
        <v/>
      </c>
      <c r="AL44" s="50">
        <f>IF($AL$5="StaffHourCost",$AL$6,IF(OR($AL$7="ALL",Assumptions!$N$32="Y"),INDEX(Assumptions!$D$32:$F$32,$AL$4),Assumptions!$E$32))</f>
        <v/>
      </c>
      <c r="AM44" s="50">
        <f>IF($AM$5="StaffHourCost",$AM$6,IF(OR($AM$7="ALL",Assumptions!$N$32="Y"),INDEX(Assumptions!$D$32:$F$32,$AM$4),Assumptions!$E$32))</f>
        <v/>
      </c>
      <c r="AN44" s="50">
        <f>IF($AN$5="StaffHourCost",$AN$6,IF(OR($AN$7="ALL",Assumptions!$N$32="Y"),INDEX(Assumptions!$D$32:$F$32,$AN$4),Assumptions!$E$32))</f>
        <v/>
      </c>
      <c r="AO44" s="50">
        <f>IF($AO$5="StaffHourCost",$AO$6,IF(OR($AO$7="ALL",Assumptions!$N$32="Y"),INDEX(Assumptions!$D$32:$F$32,$AO$4),Assumptions!$E$32))</f>
        <v/>
      </c>
      <c r="AP44" s="50">
        <f>IF($AP$5="StaffHourCost",$AP$6,IF(OR($AP$7="ALL",Assumptions!$N$32="Y"),INDEX(Assumptions!$D$32:$F$32,$AP$4),Assumptions!$E$32))</f>
        <v/>
      </c>
      <c r="AQ44" s="50">
        <f>IF($AQ$5="StaffHourCost",$AQ$6,IF(OR($AQ$7="ALL",Assumptions!$N$32="Y"),INDEX(Assumptions!$D$32:$F$32,$AQ$4),Assumptions!$E$32))</f>
        <v/>
      </c>
      <c r="AR44" s="50">
        <f>IF($AR$5="StaffHourCost",$AR$6,IF(OR($AR$7="ALL",Assumptions!$N$32="Y"),INDEX(Assumptions!$D$32:$F$32,$AR$4),Assumptions!$E$32))</f>
        <v/>
      </c>
      <c r="AS44" s="50">
        <f>IF($AS$5="StaffHourCost",$AS$6,IF(OR($AS$7="ALL",Assumptions!$N$32="Y"),INDEX(Assumptions!$D$32:$F$32,$AS$4),Assumptions!$E$32))</f>
        <v/>
      </c>
      <c r="AT44" s="50">
        <f>IF($AT$5="StaffHourCost",$AT$6,IF(OR($AT$7="ALL",Assumptions!$N$32="Y"),INDEX(Assumptions!$D$32:$F$32,$AT$4),Assumptions!$E$32))</f>
        <v/>
      </c>
      <c r="AU44" s="50">
        <f>IF($AU$5="StaffHourCost",$AU$6,IF(OR($AU$7="ALL",Assumptions!$N$32="Y"),INDEX(Assumptions!$D$32:$F$32,$AU$4),Assumptions!$E$32))</f>
        <v/>
      </c>
      <c r="AV44" s="50">
        <f>IF($AV$5="StaffHourCost",$AV$6,IF(OR($AV$7="ALL",Assumptions!$N$32="Y"),INDEX(Assumptions!$D$32:$F$32,$AV$4),Assumptions!$E$32))</f>
        <v/>
      </c>
      <c r="AW44" s="50">
        <f>IF($AW$5="StaffHourCost",$AW$6,IF(OR($AW$7="ALL",Assumptions!$N$32="Y"),INDEX(Assumptions!$D$32:$F$32,$AW$4),Assumptions!$E$32))</f>
        <v/>
      </c>
      <c r="AX44" s="50">
        <f>IF($AX$5="StaffHourCost",$AX$6,IF(OR($AX$7="ALL",Assumptions!$N$32="Y"),INDEX(Assumptions!$D$32:$F$32,$AX$4),Assumptions!$E$32))</f>
        <v/>
      </c>
      <c r="AY44" s="50">
        <f>IF($AY$5="StaffHourCost",$AY$6,IF(OR($AY$7="ALL",Assumptions!$N$32="Y"),INDEX(Assumptions!$D$32:$F$32,$AY$4),Assumptions!$E$32))</f>
        <v/>
      </c>
      <c r="AZ44" s="50">
        <f>IF($AZ$5="StaffHourCost",$AZ$6,IF(OR($AZ$7="ALL",Assumptions!$N$32="Y"),INDEX(Assumptions!$D$32:$F$32,$AZ$4),Assumptions!$E$32))</f>
        <v/>
      </c>
      <c r="BA44" s="50">
        <f>IF($BA$5="StaffHourCost",$BA$6,IF(OR($BA$7="ALL",Assumptions!$N$32="Y"),INDEX(Assumptions!$D$32:$F$32,$BA$4),Assumptions!$E$32))</f>
        <v/>
      </c>
      <c r="BB44" s="50">
        <f>IF($BB$5="StaffHourCost",$BB$6,IF(OR($BB$7="ALL",Assumptions!$N$32="Y"),INDEX(Assumptions!$D$32:$F$32,$BB$4),Assumptions!$E$32))</f>
        <v/>
      </c>
      <c r="BC44" s="50">
        <f>IF($BC$5="StaffHourCost",$BC$6,IF(OR($BC$7="ALL",Assumptions!$N$32="Y"),INDEX(Assumptions!$D$32:$F$32,$BC$4),Assumptions!$E$32))</f>
        <v/>
      </c>
      <c r="BD44" s="50">
        <f>IF($BD$5="StaffHourCost",$BD$6,IF(OR($BD$7="ALL",Assumptions!$N$32="Y"),INDEX(Assumptions!$D$32:$F$32,$BD$4),Assumptions!$E$32))</f>
        <v/>
      </c>
      <c r="BE44" s="50">
        <f>IF($BE$5="StaffHourCost",$BE$6,IF(OR($BE$7="ALL",Assumptions!$N$32="Y"),INDEX(Assumptions!$D$32:$F$32,$BE$4),Assumptions!$E$32))</f>
        <v/>
      </c>
    </row>
    <row r="45">
      <c r="B45" s="5" t="inlineStr">
        <is>
          <t>InterventionMinutes</t>
        </is>
      </c>
      <c r="D45" s="57">
        <f>IF($D$5="InterventionMinutes",$D$6,IF(OR($D$7="ALL",Assumptions!$N$33="Y"),INDEX(Assumptions!$D$33:$F$33,$D$4),Assumptions!$E$33))</f>
        <v/>
      </c>
      <c r="E45" s="57">
        <f>IF($E$5="InterventionMinutes",$E$6,IF(OR($E$7="ALL",Assumptions!$N$33="Y"),INDEX(Assumptions!$D$33:$F$33,$E$4),Assumptions!$E$33))</f>
        <v/>
      </c>
      <c r="F45" s="57">
        <f>IF($F$5="InterventionMinutes",$F$6,IF(OR($F$7="ALL",Assumptions!$N$33="Y"),INDEX(Assumptions!$D$33:$F$33,$F$4),Assumptions!$E$33))</f>
        <v/>
      </c>
      <c r="G45" s="57">
        <f>IF($G$5="InterventionMinutes",$G$6,IF(OR($G$7="ALL",Assumptions!$N$33="Y"),INDEX(Assumptions!$D$33:$F$33,$G$4),Assumptions!$E$33))</f>
        <v/>
      </c>
      <c r="H45" s="57">
        <f>IF($H$5="InterventionMinutes",$H$6,IF(OR($H$7="ALL",Assumptions!$N$33="Y"),INDEX(Assumptions!$D$33:$F$33,$H$4),Assumptions!$E$33))</f>
        <v/>
      </c>
      <c r="I45" s="57">
        <f>IF($I$5="InterventionMinutes",$I$6,IF(OR($I$7="ALL",Assumptions!$N$33="Y"),INDEX(Assumptions!$D$33:$F$33,$I$4),Assumptions!$E$33))</f>
        <v/>
      </c>
      <c r="J45" s="57">
        <f>IF($J$5="InterventionMinutes",$J$6,IF(OR($J$7="ALL",Assumptions!$N$33="Y"),INDEX(Assumptions!$D$33:$F$33,$J$4),Assumptions!$E$33))</f>
        <v/>
      </c>
      <c r="K45" s="57">
        <f>IF($K$5="InterventionMinutes",$K$6,IF(OR($K$7="ALL",Assumptions!$N$33="Y"),INDEX(Assumptions!$D$33:$F$33,$K$4),Assumptions!$E$33))</f>
        <v/>
      </c>
      <c r="L45" s="57">
        <f>IF($L$5="InterventionMinutes",$L$6,IF(OR($L$7="ALL",Assumptions!$N$33="Y"),INDEX(Assumptions!$D$33:$F$33,$L$4),Assumptions!$E$33))</f>
        <v/>
      </c>
      <c r="M45" s="57">
        <f>IF($M$5="InterventionMinutes",$M$6,IF(OR($M$7="ALL",Assumptions!$N$33="Y"),INDEX(Assumptions!$D$33:$F$33,$M$4),Assumptions!$E$33))</f>
        <v/>
      </c>
      <c r="N45" s="57">
        <f>IF($N$5="InterventionMinutes",$N$6,IF(OR($N$7="ALL",Assumptions!$N$33="Y"),INDEX(Assumptions!$D$33:$F$33,$N$4),Assumptions!$E$33))</f>
        <v/>
      </c>
      <c r="O45" s="57">
        <f>IF($O$5="InterventionMinutes",$O$6,IF(OR($O$7="ALL",Assumptions!$N$33="Y"),INDEX(Assumptions!$D$33:$F$33,$O$4),Assumptions!$E$33))</f>
        <v/>
      </c>
      <c r="P45" s="57">
        <f>IF($P$5="InterventionMinutes",$P$6,IF(OR($P$7="ALL",Assumptions!$N$33="Y"),INDEX(Assumptions!$D$33:$F$33,$P$4),Assumptions!$E$33))</f>
        <v/>
      </c>
      <c r="Q45" s="57">
        <f>IF($Q$5="InterventionMinutes",$Q$6,IF(OR($Q$7="ALL",Assumptions!$N$33="Y"),INDEX(Assumptions!$D$33:$F$33,$Q$4),Assumptions!$E$33))</f>
        <v/>
      </c>
      <c r="R45" s="57">
        <f>IF($R$5="InterventionMinutes",$R$6,IF(OR($R$7="ALL",Assumptions!$N$33="Y"),INDEX(Assumptions!$D$33:$F$33,$R$4),Assumptions!$E$33))</f>
        <v/>
      </c>
      <c r="S45" s="57">
        <f>IF($S$5="InterventionMinutes",$S$6,IF(OR($S$7="ALL",Assumptions!$N$33="Y"),INDEX(Assumptions!$D$33:$F$33,$S$4),Assumptions!$E$33))</f>
        <v/>
      </c>
      <c r="T45" s="57">
        <f>IF($T$5="InterventionMinutes",$T$6,IF(OR($T$7="ALL",Assumptions!$N$33="Y"),INDEX(Assumptions!$D$33:$F$33,$T$4),Assumptions!$E$33))</f>
        <v/>
      </c>
      <c r="U45" s="57">
        <f>IF($U$5="InterventionMinutes",$U$6,IF(OR($U$7="ALL",Assumptions!$N$33="Y"),INDEX(Assumptions!$D$33:$F$33,$U$4),Assumptions!$E$33))</f>
        <v/>
      </c>
      <c r="V45" s="57">
        <f>IF($V$5="InterventionMinutes",$V$6,IF(OR($V$7="ALL",Assumptions!$N$33="Y"),INDEX(Assumptions!$D$33:$F$33,$V$4),Assumptions!$E$33))</f>
        <v/>
      </c>
      <c r="W45" s="57">
        <f>IF($W$5="InterventionMinutes",$W$6,IF(OR($W$7="ALL",Assumptions!$N$33="Y"),INDEX(Assumptions!$D$33:$F$33,$W$4),Assumptions!$E$33))</f>
        <v/>
      </c>
      <c r="X45" s="57">
        <f>IF($X$5="InterventionMinutes",$X$6,IF(OR($X$7="ALL",Assumptions!$N$33="Y"),INDEX(Assumptions!$D$33:$F$33,$X$4),Assumptions!$E$33))</f>
        <v/>
      </c>
      <c r="Y45" s="57">
        <f>IF($Y$5="InterventionMinutes",$Y$6,IF(OR($Y$7="ALL",Assumptions!$N$33="Y"),INDEX(Assumptions!$D$33:$F$33,$Y$4),Assumptions!$E$33))</f>
        <v/>
      </c>
      <c r="Z45" s="57">
        <f>IF($Z$5="InterventionMinutes",$Z$6,IF(OR($Z$7="ALL",Assumptions!$N$33="Y"),INDEX(Assumptions!$D$33:$F$33,$Z$4),Assumptions!$E$33))</f>
        <v/>
      </c>
      <c r="AA45" s="57">
        <f>IF($AA$5="InterventionMinutes",$AA$6,IF(OR($AA$7="ALL",Assumptions!$N$33="Y"),INDEX(Assumptions!$D$33:$F$33,$AA$4),Assumptions!$E$33))</f>
        <v/>
      </c>
      <c r="AB45" s="57">
        <f>IF($AB$5="InterventionMinutes",$AB$6,IF(OR($AB$7="ALL",Assumptions!$N$33="Y"),INDEX(Assumptions!$D$33:$F$33,$AB$4),Assumptions!$E$33))</f>
        <v/>
      </c>
      <c r="AC45" s="57">
        <f>IF($AC$5="InterventionMinutes",$AC$6,IF(OR($AC$7="ALL",Assumptions!$N$33="Y"),INDEX(Assumptions!$D$33:$F$33,$AC$4),Assumptions!$E$33))</f>
        <v/>
      </c>
      <c r="AD45" s="57">
        <f>IF($AD$5="InterventionMinutes",$AD$6,IF(OR($AD$7="ALL",Assumptions!$N$33="Y"),INDEX(Assumptions!$D$33:$F$33,$AD$4),Assumptions!$E$33))</f>
        <v/>
      </c>
      <c r="AE45" s="57">
        <f>IF($AE$5="InterventionMinutes",$AE$6,IF(OR($AE$7="ALL",Assumptions!$N$33="Y"),INDEX(Assumptions!$D$33:$F$33,$AE$4),Assumptions!$E$33))</f>
        <v/>
      </c>
      <c r="AF45" s="57">
        <f>IF($AF$5="InterventionMinutes",$AF$6,IF(OR($AF$7="ALL",Assumptions!$N$33="Y"),INDEX(Assumptions!$D$33:$F$33,$AF$4),Assumptions!$E$33))</f>
        <v/>
      </c>
      <c r="AG45" s="57">
        <f>IF($AG$5="InterventionMinutes",$AG$6,IF(OR($AG$7="ALL",Assumptions!$N$33="Y"),INDEX(Assumptions!$D$33:$F$33,$AG$4),Assumptions!$E$33))</f>
        <v/>
      </c>
      <c r="AH45" s="57">
        <f>IF($AH$5="InterventionMinutes",$AH$6,IF(OR($AH$7="ALL",Assumptions!$N$33="Y"),INDEX(Assumptions!$D$33:$F$33,$AH$4),Assumptions!$E$33))</f>
        <v/>
      </c>
      <c r="AI45" s="57">
        <f>IF($AI$5="InterventionMinutes",$AI$6,IF(OR($AI$7="ALL",Assumptions!$N$33="Y"),INDEX(Assumptions!$D$33:$F$33,$AI$4),Assumptions!$E$33))</f>
        <v/>
      </c>
      <c r="AJ45" s="57">
        <f>IF($AJ$5="InterventionMinutes",$AJ$6,IF(OR($AJ$7="ALL",Assumptions!$N$33="Y"),INDEX(Assumptions!$D$33:$F$33,$AJ$4),Assumptions!$E$33))</f>
        <v/>
      </c>
      <c r="AK45" s="57">
        <f>IF($AK$5="InterventionMinutes",$AK$6,IF(OR($AK$7="ALL",Assumptions!$N$33="Y"),INDEX(Assumptions!$D$33:$F$33,$AK$4),Assumptions!$E$33))</f>
        <v/>
      </c>
      <c r="AL45" s="57">
        <f>IF($AL$5="InterventionMinutes",$AL$6,IF(OR($AL$7="ALL",Assumptions!$N$33="Y"),INDEX(Assumptions!$D$33:$F$33,$AL$4),Assumptions!$E$33))</f>
        <v/>
      </c>
      <c r="AM45" s="57">
        <f>IF($AM$5="InterventionMinutes",$AM$6,IF(OR($AM$7="ALL",Assumptions!$N$33="Y"),INDEX(Assumptions!$D$33:$F$33,$AM$4),Assumptions!$E$33))</f>
        <v/>
      </c>
      <c r="AN45" s="57">
        <f>IF($AN$5="InterventionMinutes",$AN$6,IF(OR($AN$7="ALL",Assumptions!$N$33="Y"),INDEX(Assumptions!$D$33:$F$33,$AN$4),Assumptions!$E$33))</f>
        <v/>
      </c>
      <c r="AO45" s="57">
        <f>IF($AO$5="InterventionMinutes",$AO$6,IF(OR($AO$7="ALL",Assumptions!$N$33="Y"),INDEX(Assumptions!$D$33:$F$33,$AO$4),Assumptions!$E$33))</f>
        <v/>
      </c>
      <c r="AP45" s="57">
        <f>IF($AP$5="InterventionMinutes",$AP$6,IF(OR($AP$7="ALL",Assumptions!$N$33="Y"),INDEX(Assumptions!$D$33:$F$33,$AP$4),Assumptions!$E$33))</f>
        <v/>
      </c>
      <c r="AQ45" s="57">
        <f>IF($AQ$5="InterventionMinutes",$AQ$6,IF(OR($AQ$7="ALL",Assumptions!$N$33="Y"),INDEX(Assumptions!$D$33:$F$33,$AQ$4),Assumptions!$E$33))</f>
        <v/>
      </c>
      <c r="AR45" s="57">
        <f>IF($AR$5="InterventionMinutes",$AR$6,IF(OR($AR$7="ALL",Assumptions!$N$33="Y"),INDEX(Assumptions!$D$33:$F$33,$AR$4),Assumptions!$E$33))</f>
        <v/>
      </c>
      <c r="AS45" s="57">
        <f>IF($AS$5="InterventionMinutes",$AS$6,IF(OR($AS$7="ALL",Assumptions!$N$33="Y"),INDEX(Assumptions!$D$33:$F$33,$AS$4),Assumptions!$E$33))</f>
        <v/>
      </c>
      <c r="AT45" s="57">
        <f>IF($AT$5="InterventionMinutes",$AT$6,IF(OR($AT$7="ALL",Assumptions!$N$33="Y"),INDEX(Assumptions!$D$33:$F$33,$AT$4),Assumptions!$E$33))</f>
        <v/>
      </c>
      <c r="AU45" s="57">
        <f>IF($AU$5="InterventionMinutes",$AU$6,IF(OR($AU$7="ALL",Assumptions!$N$33="Y"),INDEX(Assumptions!$D$33:$F$33,$AU$4),Assumptions!$E$33))</f>
        <v/>
      </c>
      <c r="AV45" s="57">
        <f>IF($AV$5="InterventionMinutes",$AV$6,IF(OR($AV$7="ALL",Assumptions!$N$33="Y"),INDEX(Assumptions!$D$33:$F$33,$AV$4),Assumptions!$E$33))</f>
        <v/>
      </c>
      <c r="AW45" s="57">
        <f>IF($AW$5="InterventionMinutes",$AW$6,IF(OR($AW$7="ALL",Assumptions!$N$33="Y"),INDEX(Assumptions!$D$33:$F$33,$AW$4),Assumptions!$E$33))</f>
        <v/>
      </c>
      <c r="AX45" s="57">
        <f>IF($AX$5="InterventionMinutes",$AX$6,IF(OR($AX$7="ALL",Assumptions!$N$33="Y"),INDEX(Assumptions!$D$33:$F$33,$AX$4),Assumptions!$E$33))</f>
        <v/>
      </c>
      <c r="AY45" s="57">
        <f>IF($AY$5="InterventionMinutes",$AY$6,IF(OR($AY$7="ALL",Assumptions!$N$33="Y"),INDEX(Assumptions!$D$33:$F$33,$AY$4),Assumptions!$E$33))</f>
        <v/>
      </c>
      <c r="AZ45" s="57">
        <f>IF($AZ$5="InterventionMinutes",$AZ$6,IF(OR($AZ$7="ALL",Assumptions!$N$33="Y"),INDEX(Assumptions!$D$33:$F$33,$AZ$4),Assumptions!$E$33))</f>
        <v/>
      </c>
      <c r="BA45" s="57">
        <f>IF($BA$5="InterventionMinutes",$BA$6,IF(OR($BA$7="ALL",Assumptions!$N$33="Y"),INDEX(Assumptions!$D$33:$F$33,$BA$4),Assumptions!$E$33))</f>
        <v/>
      </c>
      <c r="BB45" s="57">
        <f>IF($BB$5="InterventionMinutes",$BB$6,IF(OR($BB$7="ALL",Assumptions!$N$33="Y"),INDEX(Assumptions!$D$33:$F$33,$BB$4),Assumptions!$E$33))</f>
        <v/>
      </c>
      <c r="BC45" s="57">
        <f>IF($BC$5="InterventionMinutes",$BC$6,IF(OR($BC$7="ALL",Assumptions!$N$33="Y"),INDEX(Assumptions!$D$33:$F$33,$BC$4),Assumptions!$E$33))</f>
        <v/>
      </c>
      <c r="BD45" s="57">
        <f>IF($BD$5="InterventionMinutes",$BD$6,IF(OR($BD$7="ALL",Assumptions!$N$33="Y"),INDEX(Assumptions!$D$33:$F$33,$BD$4),Assumptions!$E$33))</f>
        <v/>
      </c>
      <c r="BE45" s="57">
        <f>IF($BE$5="InterventionMinutes",$BE$6,IF(OR($BE$7="ALL",Assumptions!$N$33="Y"),INDEX(Assumptions!$D$33:$F$33,$BE$4),Assumptions!$E$33))</f>
        <v/>
      </c>
    </row>
    <row r="46">
      <c r="B46" s="5" t="inlineStr">
        <is>
          <t>MentorHourCost</t>
        </is>
      </c>
      <c r="D46" s="50">
        <f>IF($D$5="MentorHourCost",$D$6,IF(OR($D$7="ALL",Assumptions!$N$34="Y"),INDEX(Assumptions!$D$34:$F$34,$D$4),Assumptions!$E$34))</f>
        <v/>
      </c>
      <c r="E46" s="50">
        <f>IF($E$5="MentorHourCost",$E$6,IF(OR($E$7="ALL",Assumptions!$N$34="Y"),INDEX(Assumptions!$D$34:$F$34,$E$4),Assumptions!$E$34))</f>
        <v/>
      </c>
      <c r="F46" s="50">
        <f>IF($F$5="MentorHourCost",$F$6,IF(OR($F$7="ALL",Assumptions!$N$34="Y"),INDEX(Assumptions!$D$34:$F$34,$F$4),Assumptions!$E$34))</f>
        <v/>
      </c>
      <c r="G46" s="50">
        <f>IF($G$5="MentorHourCost",$G$6,IF(OR($G$7="ALL",Assumptions!$N$34="Y"),INDEX(Assumptions!$D$34:$F$34,$G$4),Assumptions!$E$34))</f>
        <v/>
      </c>
      <c r="H46" s="50">
        <f>IF($H$5="MentorHourCost",$H$6,IF(OR($H$7="ALL",Assumptions!$N$34="Y"),INDEX(Assumptions!$D$34:$F$34,$H$4),Assumptions!$E$34))</f>
        <v/>
      </c>
      <c r="I46" s="50">
        <f>IF($I$5="MentorHourCost",$I$6,IF(OR($I$7="ALL",Assumptions!$N$34="Y"),INDEX(Assumptions!$D$34:$F$34,$I$4),Assumptions!$E$34))</f>
        <v/>
      </c>
      <c r="J46" s="50">
        <f>IF($J$5="MentorHourCost",$J$6,IF(OR($J$7="ALL",Assumptions!$N$34="Y"),INDEX(Assumptions!$D$34:$F$34,$J$4),Assumptions!$E$34))</f>
        <v/>
      </c>
      <c r="K46" s="50">
        <f>IF($K$5="MentorHourCost",$K$6,IF(OR($K$7="ALL",Assumptions!$N$34="Y"),INDEX(Assumptions!$D$34:$F$34,$K$4),Assumptions!$E$34))</f>
        <v/>
      </c>
      <c r="L46" s="50">
        <f>IF($L$5="MentorHourCost",$L$6,IF(OR($L$7="ALL",Assumptions!$N$34="Y"),INDEX(Assumptions!$D$34:$F$34,$L$4),Assumptions!$E$34))</f>
        <v/>
      </c>
      <c r="M46" s="50">
        <f>IF($M$5="MentorHourCost",$M$6,IF(OR($M$7="ALL",Assumptions!$N$34="Y"),INDEX(Assumptions!$D$34:$F$34,$M$4),Assumptions!$E$34))</f>
        <v/>
      </c>
      <c r="N46" s="50">
        <f>IF($N$5="MentorHourCost",$N$6,IF(OR($N$7="ALL",Assumptions!$N$34="Y"),INDEX(Assumptions!$D$34:$F$34,$N$4),Assumptions!$E$34))</f>
        <v/>
      </c>
      <c r="O46" s="50">
        <f>IF($O$5="MentorHourCost",$O$6,IF(OR($O$7="ALL",Assumptions!$N$34="Y"),INDEX(Assumptions!$D$34:$F$34,$O$4),Assumptions!$E$34))</f>
        <v/>
      </c>
      <c r="P46" s="50">
        <f>IF($P$5="MentorHourCost",$P$6,IF(OR($P$7="ALL",Assumptions!$N$34="Y"),INDEX(Assumptions!$D$34:$F$34,$P$4),Assumptions!$E$34))</f>
        <v/>
      </c>
      <c r="Q46" s="50">
        <f>IF($Q$5="MentorHourCost",$Q$6,IF(OR($Q$7="ALL",Assumptions!$N$34="Y"),INDEX(Assumptions!$D$34:$F$34,$Q$4),Assumptions!$E$34))</f>
        <v/>
      </c>
      <c r="R46" s="50">
        <f>IF($R$5="MentorHourCost",$R$6,IF(OR($R$7="ALL",Assumptions!$N$34="Y"),INDEX(Assumptions!$D$34:$F$34,$R$4),Assumptions!$E$34))</f>
        <v/>
      </c>
      <c r="S46" s="50">
        <f>IF($S$5="MentorHourCost",$S$6,IF(OR($S$7="ALL",Assumptions!$N$34="Y"),INDEX(Assumptions!$D$34:$F$34,$S$4),Assumptions!$E$34))</f>
        <v/>
      </c>
      <c r="T46" s="50">
        <f>IF($T$5="MentorHourCost",$T$6,IF(OR($T$7="ALL",Assumptions!$N$34="Y"),INDEX(Assumptions!$D$34:$F$34,$T$4),Assumptions!$E$34))</f>
        <v/>
      </c>
      <c r="U46" s="50">
        <f>IF($U$5="MentorHourCost",$U$6,IF(OR($U$7="ALL",Assumptions!$N$34="Y"),INDEX(Assumptions!$D$34:$F$34,$U$4),Assumptions!$E$34))</f>
        <v/>
      </c>
      <c r="V46" s="50">
        <f>IF($V$5="MentorHourCost",$V$6,IF(OR($V$7="ALL",Assumptions!$N$34="Y"),INDEX(Assumptions!$D$34:$F$34,$V$4),Assumptions!$E$34))</f>
        <v/>
      </c>
      <c r="W46" s="50">
        <f>IF($W$5="MentorHourCost",$W$6,IF(OR($W$7="ALL",Assumptions!$N$34="Y"),INDEX(Assumptions!$D$34:$F$34,$W$4),Assumptions!$E$34))</f>
        <v/>
      </c>
      <c r="X46" s="50">
        <f>IF($X$5="MentorHourCost",$X$6,IF(OR($X$7="ALL",Assumptions!$N$34="Y"),INDEX(Assumptions!$D$34:$F$34,$X$4),Assumptions!$E$34))</f>
        <v/>
      </c>
      <c r="Y46" s="50">
        <f>IF($Y$5="MentorHourCost",$Y$6,IF(OR($Y$7="ALL",Assumptions!$N$34="Y"),INDEX(Assumptions!$D$34:$F$34,$Y$4),Assumptions!$E$34))</f>
        <v/>
      </c>
      <c r="Z46" s="50">
        <f>IF($Z$5="MentorHourCost",$Z$6,IF(OR($Z$7="ALL",Assumptions!$N$34="Y"),INDEX(Assumptions!$D$34:$F$34,$Z$4),Assumptions!$E$34))</f>
        <v/>
      </c>
      <c r="AA46" s="50">
        <f>IF($AA$5="MentorHourCost",$AA$6,IF(OR($AA$7="ALL",Assumptions!$N$34="Y"),INDEX(Assumptions!$D$34:$F$34,$AA$4),Assumptions!$E$34))</f>
        <v/>
      </c>
      <c r="AB46" s="50">
        <f>IF($AB$5="MentorHourCost",$AB$6,IF(OR($AB$7="ALL",Assumptions!$N$34="Y"),INDEX(Assumptions!$D$34:$F$34,$AB$4),Assumptions!$E$34))</f>
        <v/>
      </c>
      <c r="AC46" s="50">
        <f>IF($AC$5="MentorHourCost",$AC$6,IF(OR($AC$7="ALL",Assumptions!$N$34="Y"),INDEX(Assumptions!$D$34:$F$34,$AC$4),Assumptions!$E$34))</f>
        <v/>
      </c>
      <c r="AD46" s="50">
        <f>IF($AD$5="MentorHourCost",$AD$6,IF(OR($AD$7="ALL",Assumptions!$N$34="Y"),INDEX(Assumptions!$D$34:$F$34,$AD$4),Assumptions!$E$34))</f>
        <v/>
      </c>
      <c r="AE46" s="50">
        <f>IF($AE$5="MentorHourCost",$AE$6,IF(OR($AE$7="ALL",Assumptions!$N$34="Y"),INDEX(Assumptions!$D$34:$F$34,$AE$4),Assumptions!$E$34))</f>
        <v/>
      </c>
      <c r="AF46" s="50">
        <f>IF($AF$5="MentorHourCost",$AF$6,IF(OR($AF$7="ALL",Assumptions!$N$34="Y"),INDEX(Assumptions!$D$34:$F$34,$AF$4),Assumptions!$E$34))</f>
        <v/>
      </c>
      <c r="AG46" s="50">
        <f>IF($AG$5="MentorHourCost",$AG$6,IF(OR($AG$7="ALL",Assumptions!$N$34="Y"),INDEX(Assumptions!$D$34:$F$34,$AG$4),Assumptions!$E$34))</f>
        <v/>
      </c>
      <c r="AH46" s="50">
        <f>IF($AH$5="MentorHourCost",$AH$6,IF(OR($AH$7="ALL",Assumptions!$N$34="Y"),INDEX(Assumptions!$D$34:$F$34,$AH$4),Assumptions!$E$34))</f>
        <v/>
      </c>
      <c r="AI46" s="50">
        <f>IF($AI$5="MentorHourCost",$AI$6,IF(OR($AI$7="ALL",Assumptions!$N$34="Y"),INDEX(Assumptions!$D$34:$F$34,$AI$4),Assumptions!$E$34))</f>
        <v/>
      </c>
      <c r="AJ46" s="50">
        <f>IF($AJ$5="MentorHourCost",$AJ$6,IF(OR($AJ$7="ALL",Assumptions!$N$34="Y"),INDEX(Assumptions!$D$34:$F$34,$AJ$4),Assumptions!$E$34))</f>
        <v/>
      </c>
      <c r="AK46" s="50">
        <f>IF($AK$5="MentorHourCost",$AK$6,IF(OR($AK$7="ALL",Assumptions!$N$34="Y"),INDEX(Assumptions!$D$34:$F$34,$AK$4),Assumptions!$E$34))</f>
        <v/>
      </c>
      <c r="AL46" s="50">
        <f>IF($AL$5="MentorHourCost",$AL$6,IF(OR($AL$7="ALL",Assumptions!$N$34="Y"),INDEX(Assumptions!$D$34:$F$34,$AL$4),Assumptions!$E$34))</f>
        <v/>
      </c>
      <c r="AM46" s="50">
        <f>IF($AM$5="MentorHourCost",$AM$6,IF(OR($AM$7="ALL",Assumptions!$N$34="Y"),INDEX(Assumptions!$D$34:$F$34,$AM$4),Assumptions!$E$34))</f>
        <v/>
      </c>
      <c r="AN46" s="50">
        <f>IF($AN$5="MentorHourCost",$AN$6,IF(OR($AN$7="ALL",Assumptions!$N$34="Y"),INDEX(Assumptions!$D$34:$F$34,$AN$4),Assumptions!$E$34))</f>
        <v/>
      </c>
      <c r="AO46" s="50">
        <f>IF($AO$5="MentorHourCost",$AO$6,IF(OR($AO$7="ALL",Assumptions!$N$34="Y"),INDEX(Assumptions!$D$34:$F$34,$AO$4),Assumptions!$E$34))</f>
        <v/>
      </c>
      <c r="AP46" s="50">
        <f>IF($AP$5="MentorHourCost",$AP$6,IF(OR($AP$7="ALL",Assumptions!$N$34="Y"),INDEX(Assumptions!$D$34:$F$34,$AP$4),Assumptions!$E$34))</f>
        <v/>
      </c>
      <c r="AQ46" s="50">
        <f>IF($AQ$5="MentorHourCost",$AQ$6,IF(OR($AQ$7="ALL",Assumptions!$N$34="Y"),INDEX(Assumptions!$D$34:$F$34,$AQ$4),Assumptions!$E$34))</f>
        <v/>
      </c>
      <c r="AR46" s="50">
        <f>IF($AR$5="MentorHourCost",$AR$6,IF(OR($AR$7="ALL",Assumptions!$N$34="Y"),INDEX(Assumptions!$D$34:$F$34,$AR$4),Assumptions!$E$34))</f>
        <v/>
      </c>
      <c r="AS46" s="50">
        <f>IF($AS$5="MentorHourCost",$AS$6,IF(OR($AS$7="ALL",Assumptions!$N$34="Y"),INDEX(Assumptions!$D$34:$F$34,$AS$4),Assumptions!$E$34))</f>
        <v/>
      </c>
      <c r="AT46" s="50">
        <f>IF($AT$5="MentorHourCost",$AT$6,IF(OR($AT$7="ALL",Assumptions!$N$34="Y"),INDEX(Assumptions!$D$34:$F$34,$AT$4),Assumptions!$E$34))</f>
        <v/>
      </c>
      <c r="AU46" s="50">
        <f>IF($AU$5="MentorHourCost",$AU$6,IF(OR($AU$7="ALL",Assumptions!$N$34="Y"),INDEX(Assumptions!$D$34:$F$34,$AU$4),Assumptions!$E$34))</f>
        <v/>
      </c>
      <c r="AV46" s="50">
        <f>IF($AV$5="MentorHourCost",$AV$6,IF(OR($AV$7="ALL",Assumptions!$N$34="Y"),INDEX(Assumptions!$D$34:$F$34,$AV$4),Assumptions!$E$34))</f>
        <v/>
      </c>
      <c r="AW46" s="50">
        <f>IF($AW$5="MentorHourCost",$AW$6,IF(OR($AW$7="ALL",Assumptions!$N$34="Y"),INDEX(Assumptions!$D$34:$F$34,$AW$4),Assumptions!$E$34))</f>
        <v/>
      </c>
      <c r="AX46" s="50">
        <f>IF($AX$5="MentorHourCost",$AX$6,IF(OR($AX$7="ALL",Assumptions!$N$34="Y"),INDEX(Assumptions!$D$34:$F$34,$AX$4),Assumptions!$E$34))</f>
        <v/>
      </c>
      <c r="AY46" s="50">
        <f>IF($AY$5="MentorHourCost",$AY$6,IF(OR($AY$7="ALL",Assumptions!$N$34="Y"),INDEX(Assumptions!$D$34:$F$34,$AY$4),Assumptions!$E$34))</f>
        <v/>
      </c>
      <c r="AZ46" s="50">
        <f>IF($AZ$5="MentorHourCost",$AZ$6,IF(OR($AZ$7="ALL",Assumptions!$N$34="Y"),INDEX(Assumptions!$D$34:$F$34,$AZ$4),Assumptions!$E$34))</f>
        <v/>
      </c>
      <c r="BA46" s="50">
        <f>IF($BA$5="MentorHourCost",$BA$6,IF(OR($BA$7="ALL",Assumptions!$N$34="Y"),INDEX(Assumptions!$D$34:$F$34,$BA$4),Assumptions!$E$34))</f>
        <v/>
      </c>
      <c r="BB46" s="50">
        <f>IF($BB$5="MentorHourCost",$BB$6,IF(OR($BB$7="ALL",Assumptions!$N$34="Y"),INDEX(Assumptions!$D$34:$F$34,$BB$4),Assumptions!$E$34))</f>
        <v/>
      </c>
      <c r="BC46" s="50">
        <f>IF($BC$5="MentorHourCost",$BC$6,IF(OR($BC$7="ALL",Assumptions!$N$34="Y"),INDEX(Assumptions!$D$34:$F$34,$BC$4),Assumptions!$E$34))</f>
        <v/>
      </c>
      <c r="BD46" s="50">
        <f>IF($BD$5="MentorHourCost",$BD$6,IF(OR($BD$7="ALL",Assumptions!$N$34="Y"),INDEX(Assumptions!$D$34:$F$34,$BD$4),Assumptions!$E$34))</f>
        <v/>
      </c>
      <c r="BE46" s="50">
        <f>IF($BE$5="MentorHourCost",$BE$6,IF(OR($BE$7="ALL",Assumptions!$N$34="Y"),INDEX(Assumptions!$D$34:$F$34,$BE$4),Assumptions!$E$34))</f>
        <v/>
      </c>
    </row>
    <row r="47">
      <c r="B47" s="5" t="inlineStr">
        <is>
          <t>ITCShare</t>
        </is>
      </c>
      <c r="D47" s="39">
        <f>IF($D$5="ITCShare",$D$6,IF(OR($D$7="ALL",Assumptions!$N$36="Y"),INDEX(Assumptions!$D$36:$F$36,$D$4),Assumptions!$E$36))</f>
        <v/>
      </c>
      <c r="E47" s="39">
        <f>IF($E$5="ITCShare",$E$6,IF(OR($E$7="ALL",Assumptions!$N$36="Y"),INDEX(Assumptions!$D$36:$F$36,$E$4),Assumptions!$E$36))</f>
        <v/>
      </c>
      <c r="F47" s="39">
        <f>IF($F$5="ITCShare",$F$6,IF(OR($F$7="ALL",Assumptions!$N$36="Y"),INDEX(Assumptions!$D$36:$F$36,$F$4),Assumptions!$E$36))</f>
        <v/>
      </c>
      <c r="G47" s="39">
        <f>IF($G$5="ITCShare",$G$6,IF(OR($G$7="ALL",Assumptions!$N$36="Y"),INDEX(Assumptions!$D$36:$F$36,$G$4),Assumptions!$E$36))</f>
        <v/>
      </c>
      <c r="H47" s="39">
        <f>IF($H$5="ITCShare",$H$6,IF(OR($H$7="ALL",Assumptions!$N$36="Y"),INDEX(Assumptions!$D$36:$F$36,$H$4),Assumptions!$E$36))</f>
        <v/>
      </c>
      <c r="I47" s="39">
        <f>IF($I$5="ITCShare",$I$6,IF(OR($I$7="ALL",Assumptions!$N$36="Y"),INDEX(Assumptions!$D$36:$F$36,$I$4),Assumptions!$E$36))</f>
        <v/>
      </c>
      <c r="J47" s="39">
        <f>IF($J$5="ITCShare",$J$6,IF(OR($J$7="ALL",Assumptions!$N$36="Y"),INDEX(Assumptions!$D$36:$F$36,$J$4),Assumptions!$E$36))</f>
        <v/>
      </c>
      <c r="K47" s="39">
        <f>IF($K$5="ITCShare",$K$6,IF(OR($K$7="ALL",Assumptions!$N$36="Y"),INDEX(Assumptions!$D$36:$F$36,$K$4),Assumptions!$E$36))</f>
        <v/>
      </c>
      <c r="L47" s="39">
        <f>IF($L$5="ITCShare",$L$6,IF(OR($L$7="ALL",Assumptions!$N$36="Y"),INDEX(Assumptions!$D$36:$F$36,$L$4),Assumptions!$E$36))</f>
        <v/>
      </c>
      <c r="M47" s="39">
        <f>IF($M$5="ITCShare",$M$6,IF(OR($M$7="ALL",Assumptions!$N$36="Y"),INDEX(Assumptions!$D$36:$F$36,$M$4),Assumptions!$E$36))</f>
        <v/>
      </c>
      <c r="N47" s="39">
        <f>IF($N$5="ITCShare",$N$6,IF(OR($N$7="ALL",Assumptions!$N$36="Y"),INDEX(Assumptions!$D$36:$F$36,$N$4),Assumptions!$E$36))</f>
        <v/>
      </c>
      <c r="O47" s="39">
        <f>IF($O$5="ITCShare",$O$6,IF(OR($O$7="ALL",Assumptions!$N$36="Y"),INDEX(Assumptions!$D$36:$F$36,$O$4),Assumptions!$E$36))</f>
        <v/>
      </c>
      <c r="P47" s="39">
        <f>IF($P$5="ITCShare",$P$6,IF(OR($P$7="ALL",Assumptions!$N$36="Y"),INDEX(Assumptions!$D$36:$F$36,$P$4),Assumptions!$E$36))</f>
        <v/>
      </c>
      <c r="Q47" s="39">
        <f>IF($Q$5="ITCShare",$Q$6,IF(OR($Q$7="ALL",Assumptions!$N$36="Y"),INDEX(Assumptions!$D$36:$F$36,$Q$4),Assumptions!$E$36))</f>
        <v/>
      </c>
      <c r="R47" s="39">
        <f>IF($R$5="ITCShare",$R$6,IF(OR($R$7="ALL",Assumptions!$N$36="Y"),INDEX(Assumptions!$D$36:$F$36,$R$4),Assumptions!$E$36))</f>
        <v/>
      </c>
      <c r="S47" s="39">
        <f>IF($S$5="ITCShare",$S$6,IF(OR($S$7="ALL",Assumptions!$N$36="Y"),INDEX(Assumptions!$D$36:$F$36,$S$4),Assumptions!$E$36))</f>
        <v/>
      </c>
      <c r="T47" s="39">
        <f>IF($T$5="ITCShare",$T$6,IF(OR($T$7="ALL",Assumptions!$N$36="Y"),INDEX(Assumptions!$D$36:$F$36,$T$4),Assumptions!$E$36))</f>
        <v/>
      </c>
      <c r="U47" s="39">
        <f>IF($U$5="ITCShare",$U$6,IF(OR($U$7="ALL",Assumptions!$N$36="Y"),INDEX(Assumptions!$D$36:$F$36,$U$4),Assumptions!$E$36))</f>
        <v/>
      </c>
      <c r="V47" s="39">
        <f>IF($V$5="ITCShare",$V$6,IF(OR($V$7="ALL",Assumptions!$N$36="Y"),INDEX(Assumptions!$D$36:$F$36,$V$4),Assumptions!$E$36))</f>
        <v/>
      </c>
      <c r="W47" s="39">
        <f>IF($W$5="ITCShare",$W$6,IF(OR($W$7="ALL",Assumptions!$N$36="Y"),INDEX(Assumptions!$D$36:$F$36,$W$4),Assumptions!$E$36))</f>
        <v/>
      </c>
      <c r="X47" s="39">
        <f>IF($X$5="ITCShare",$X$6,IF(OR($X$7="ALL",Assumptions!$N$36="Y"),INDEX(Assumptions!$D$36:$F$36,$X$4),Assumptions!$E$36))</f>
        <v/>
      </c>
      <c r="Y47" s="39">
        <f>IF($Y$5="ITCShare",$Y$6,IF(OR($Y$7="ALL",Assumptions!$N$36="Y"),INDEX(Assumptions!$D$36:$F$36,$Y$4),Assumptions!$E$36))</f>
        <v/>
      </c>
      <c r="Z47" s="39">
        <f>IF($Z$5="ITCShare",$Z$6,IF(OR($Z$7="ALL",Assumptions!$N$36="Y"),INDEX(Assumptions!$D$36:$F$36,$Z$4),Assumptions!$E$36))</f>
        <v/>
      </c>
      <c r="AA47" s="39">
        <f>IF($AA$5="ITCShare",$AA$6,IF(OR($AA$7="ALL",Assumptions!$N$36="Y"),INDEX(Assumptions!$D$36:$F$36,$AA$4),Assumptions!$E$36))</f>
        <v/>
      </c>
      <c r="AB47" s="39">
        <f>IF($AB$5="ITCShare",$AB$6,IF(OR($AB$7="ALL",Assumptions!$N$36="Y"),INDEX(Assumptions!$D$36:$F$36,$AB$4),Assumptions!$E$36))</f>
        <v/>
      </c>
      <c r="AC47" s="39">
        <f>IF($AC$5="ITCShare",$AC$6,IF(OR($AC$7="ALL",Assumptions!$N$36="Y"),INDEX(Assumptions!$D$36:$F$36,$AC$4),Assumptions!$E$36))</f>
        <v/>
      </c>
      <c r="AD47" s="39">
        <f>IF($AD$5="ITCShare",$AD$6,IF(OR($AD$7="ALL",Assumptions!$N$36="Y"),INDEX(Assumptions!$D$36:$F$36,$AD$4),Assumptions!$E$36))</f>
        <v/>
      </c>
      <c r="AE47" s="39">
        <f>IF($AE$5="ITCShare",$AE$6,IF(OR($AE$7="ALL",Assumptions!$N$36="Y"),INDEX(Assumptions!$D$36:$F$36,$AE$4),Assumptions!$E$36))</f>
        <v/>
      </c>
      <c r="AF47" s="39">
        <f>IF($AF$5="ITCShare",$AF$6,IF(OR($AF$7="ALL",Assumptions!$N$36="Y"),INDEX(Assumptions!$D$36:$F$36,$AF$4),Assumptions!$E$36))</f>
        <v/>
      </c>
      <c r="AG47" s="39">
        <f>IF($AG$5="ITCShare",$AG$6,IF(OR($AG$7="ALL",Assumptions!$N$36="Y"),INDEX(Assumptions!$D$36:$F$36,$AG$4),Assumptions!$E$36))</f>
        <v/>
      </c>
      <c r="AH47" s="39">
        <f>IF($AH$5="ITCShare",$AH$6,IF(OR($AH$7="ALL",Assumptions!$N$36="Y"),INDEX(Assumptions!$D$36:$F$36,$AH$4),Assumptions!$E$36))</f>
        <v/>
      </c>
      <c r="AI47" s="39">
        <f>IF($AI$5="ITCShare",$AI$6,IF(OR($AI$7="ALL",Assumptions!$N$36="Y"),INDEX(Assumptions!$D$36:$F$36,$AI$4),Assumptions!$E$36))</f>
        <v/>
      </c>
      <c r="AJ47" s="39">
        <f>IF($AJ$5="ITCShare",$AJ$6,IF(OR($AJ$7="ALL",Assumptions!$N$36="Y"),INDEX(Assumptions!$D$36:$F$36,$AJ$4),Assumptions!$E$36))</f>
        <v/>
      </c>
      <c r="AK47" s="39">
        <f>IF($AK$5="ITCShare",$AK$6,IF(OR($AK$7="ALL",Assumptions!$N$36="Y"),INDEX(Assumptions!$D$36:$F$36,$AK$4),Assumptions!$E$36))</f>
        <v/>
      </c>
      <c r="AL47" s="39">
        <f>IF($AL$5="ITCShare",$AL$6,IF(OR($AL$7="ALL",Assumptions!$N$36="Y"),INDEX(Assumptions!$D$36:$F$36,$AL$4),Assumptions!$E$36))</f>
        <v/>
      </c>
      <c r="AM47" s="39">
        <f>IF($AM$5="ITCShare",$AM$6,IF(OR($AM$7="ALL",Assumptions!$N$36="Y"),INDEX(Assumptions!$D$36:$F$36,$AM$4),Assumptions!$E$36))</f>
        <v/>
      </c>
      <c r="AN47" s="39">
        <f>IF($AN$5="ITCShare",$AN$6,IF(OR($AN$7="ALL",Assumptions!$N$36="Y"),INDEX(Assumptions!$D$36:$F$36,$AN$4),Assumptions!$E$36))</f>
        <v/>
      </c>
      <c r="AO47" s="39">
        <f>IF($AO$5="ITCShare",$AO$6,IF(OR($AO$7="ALL",Assumptions!$N$36="Y"),INDEX(Assumptions!$D$36:$F$36,$AO$4),Assumptions!$E$36))</f>
        <v/>
      </c>
      <c r="AP47" s="39">
        <f>IF($AP$5="ITCShare",$AP$6,IF(OR($AP$7="ALL",Assumptions!$N$36="Y"),INDEX(Assumptions!$D$36:$F$36,$AP$4),Assumptions!$E$36))</f>
        <v/>
      </c>
      <c r="AQ47" s="39">
        <f>IF($AQ$5="ITCShare",$AQ$6,IF(OR($AQ$7="ALL",Assumptions!$N$36="Y"),INDEX(Assumptions!$D$36:$F$36,$AQ$4),Assumptions!$E$36))</f>
        <v/>
      </c>
      <c r="AR47" s="39">
        <f>IF($AR$5="ITCShare",$AR$6,IF(OR($AR$7="ALL",Assumptions!$N$36="Y"),INDEX(Assumptions!$D$36:$F$36,$AR$4),Assumptions!$E$36))</f>
        <v/>
      </c>
      <c r="AS47" s="39">
        <f>IF($AS$5="ITCShare",$AS$6,IF(OR($AS$7="ALL",Assumptions!$N$36="Y"),INDEX(Assumptions!$D$36:$F$36,$AS$4),Assumptions!$E$36))</f>
        <v/>
      </c>
      <c r="AT47" s="39">
        <f>IF($AT$5="ITCShare",$AT$6,IF(OR($AT$7="ALL",Assumptions!$N$36="Y"),INDEX(Assumptions!$D$36:$F$36,$AT$4),Assumptions!$E$36))</f>
        <v/>
      </c>
      <c r="AU47" s="39">
        <f>IF($AU$5="ITCShare",$AU$6,IF(OR($AU$7="ALL",Assumptions!$N$36="Y"),INDEX(Assumptions!$D$36:$F$36,$AU$4),Assumptions!$E$36))</f>
        <v/>
      </c>
      <c r="AV47" s="39">
        <f>IF($AV$5="ITCShare",$AV$6,IF(OR($AV$7="ALL",Assumptions!$N$36="Y"),INDEX(Assumptions!$D$36:$F$36,$AV$4),Assumptions!$E$36))</f>
        <v/>
      </c>
      <c r="AW47" s="39">
        <f>IF($AW$5="ITCShare",$AW$6,IF(OR($AW$7="ALL",Assumptions!$N$36="Y"),INDEX(Assumptions!$D$36:$F$36,$AW$4),Assumptions!$E$36))</f>
        <v/>
      </c>
      <c r="AX47" s="39">
        <f>IF($AX$5="ITCShare",$AX$6,IF(OR($AX$7="ALL",Assumptions!$N$36="Y"),INDEX(Assumptions!$D$36:$F$36,$AX$4),Assumptions!$E$36))</f>
        <v/>
      </c>
      <c r="AY47" s="39">
        <f>IF($AY$5="ITCShare",$AY$6,IF(OR($AY$7="ALL",Assumptions!$N$36="Y"),INDEX(Assumptions!$D$36:$F$36,$AY$4),Assumptions!$E$36))</f>
        <v/>
      </c>
      <c r="AZ47" s="39">
        <f>IF($AZ$5="ITCShare",$AZ$6,IF(OR($AZ$7="ALL",Assumptions!$N$36="Y"),INDEX(Assumptions!$D$36:$F$36,$AZ$4),Assumptions!$E$36))</f>
        <v/>
      </c>
      <c r="BA47" s="39">
        <f>IF($BA$5="ITCShare",$BA$6,IF(OR($BA$7="ALL",Assumptions!$N$36="Y"),INDEX(Assumptions!$D$36:$F$36,$BA$4),Assumptions!$E$36))</f>
        <v/>
      </c>
      <c r="BB47" s="39">
        <f>IF($BB$5="ITCShare",$BB$6,IF(OR($BB$7="ALL",Assumptions!$N$36="Y"),INDEX(Assumptions!$D$36:$F$36,$BB$4),Assumptions!$E$36))</f>
        <v/>
      </c>
      <c r="BC47" s="39">
        <f>IF($BC$5="ITCShare",$BC$6,IF(OR($BC$7="ALL",Assumptions!$N$36="Y"),INDEX(Assumptions!$D$36:$F$36,$BC$4),Assumptions!$E$36))</f>
        <v/>
      </c>
      <c r="BD47" s="39">
        <f>IF($BD$5="ITCShare",$BD$6,IF(OR($BD$7="ALL",Assumptions!$N$36="Y"),INDEX(Assumptions!$D$36:$F$36,$BD$4),Assumptions!$E$36))</f>
        <v/>
      </c>
      <c r="BE47" s="39">
        <f>IF($BE$5="ITCShare",$BE$6,IF(OR($BE$7="ALL",Assumptions!$N$36="Y"),INDEX(Assumptions!$D$36:$F$36,$BE$4),Assumptions!$E$36))</f>
        <v/>
      </c>
    </row>
    <row r="48">
      <c r="B48" s="5" t="inlineStr">
        <is>
          <t>BadDebt</t>
        </is>
      </c>
      <c r="D48" s="39">
        <f>IF($D$5="BadDebt",$D$6,IF(OR($D$7="ALL",Assumptions!$N$45="Y"),INDEX(Assumptions!$D$45:$F$45,$D$4),Assumptions!$E$45))</f>
        <v/>
      </c>
      <c r="E48" s="39">
        <f>IF($E$5="BadDebt",$E$6,IF(OR($E$7="ALL",Assumptions!$N$45="Y"),INDEX(Assumptions!$D$45:$F$45,$E$4),Assumptions!$E$45))</f>
        <v/>
      </c>
      <c r="F48" s="39">
        <f>IF($F$5="BadDebt",$F$6,IF(OR($F$7="ALL",Assumptions!$N$45="Y"),INDEX(Assumptions!$D$45:$F$45,$F$4),Assumptions!$E$45))</f>
        <v/>
      </c>
      <c r="G48" s="39">
        <f>IF($G$5="BadDebt",$G$6,IF(OR($G$7="ALL",Assumptions!$N$45="Y"),INDEX(Assumptions!$D$45:$F$45,$G$4),Assumptions!$E$45))</f>
        <v/>
      </c>
      <c r="H48" s="39">
        <f>IF($H$5="BadDebt",$H$6,IF(OR($H$7="ALL",Assumptions!$N$45="Y"),INDEX(Assumptions!$D$45:$F$45,$H$4),Assumptions!$E$45))</f>
        <v/>
      </c>
      <c r="I48" s="39">
        <f>IF($I$5="BadDebt",$I$6,IF(OR($I$7="ALL",Assumptions!$N$45="Y"),INDEX(Assumptions!$D$45:$F$45,$I$4),Assumptions!$E$45))</f>
        <v/>
      </c>
      <c r="J48" s="39">
        <f>IF($J$5="BadDebt",$J$6,IF(OR($J$7="ALL",Assumptions!$N$45="Y"),INDEX(Assumptions!$D$45:$F$45,$J$4),Assumptions!$E$45))</f>
        <v/>
      </c>
      <c r="K48" s="39">
        <f>IF($K$5="BadDebt",$K$6,IF(OR($K$7="ALL",Assumptions!$N$45="Y"),INDEX(Assumptions!$D$45:$F$45,$K$4),Assumptions!$E$45))</f>
        <v/>
      </c>
      <c r="L48" s="39">
        <f>IF($L$5="BadDebt",$L$6,IF(OR($L$7="ALL",Assumptions!$N$45="Y"),INDEX(Assumptions!$D$45:$F$45,$L$4),Assumptions!$E$45))</f>
        <v/>
      </c>
      <c r="M48" s="39">
        <f>IF($M$5="BadDebt",$M$6,IF(OR($M$7="ALL",Assumptions!$N$45="Y"),INDEX(Assumptions!$D$45:$F$45,$M$4),Assumptions!$E$45))</f>
        <v/>
      </c>
      <c r="N48" s="39">
        <f>IF($N$5="BadDebt",$N$6,IF(OR($N$7="ALL",Assumptions!$N$45="Y"),INDEX(Assumptions!$D$45:$F$45,$N$4),Assumptions!$E$45))</f>
        <v/>
      </c>
      <c r="O48" s="39">
        <f>IF($O$5="BadDebt",$O$6,IF(OR($O$7="ALL",Assumptions!$N$45="Y"),INDEX(Assumptions!$D$45:$F$45,$O$4),Assumptions!$E$45))</f>
        <v/>
      </c>
      <c r="P48" s="39">
        <f>IF($P$5="BadDebt",$P$6,IF(OR($P$7="ALL",Assumptions!$N$45="Y"),INDEX(Assumptions!$D$45:$F$45,$P$4),Assumptions!$E$45))</f>
        <v/>
      </c>
      <c r="Q48" s="39">
        <f>IF($Q$5="BadDebt",$Q$6,IF(OR($Q$7="ALL",Assumptions!$N$45="Y"),INDEX(Assumptions!$D$45:$F$45,$Q$4),Assumptions!$E$45))</f>
        <v/>
      </c>
      <c r="R48" s="39">
        <f>IF($R$5="BadDebt",$R$6,IF(OR($R$7="ALL",Assumptions!$N$45="Y"),INDEX(Assumptions!$D$45:$F$45,$R$4),Assumptions!$E$45))</f>
        <v/>
      </c>
      <c r="S48" s="39">
        <f>IF($S$5="BadDebt",$S$6,IF(OR($S$7="ALL",Assumptions!$N$45="Y"),INDEX(Assumptions!$D$45:$F$45,$S$4),Assumptions!$E$45))</f>
        <v/>
      </c>
      <c r="T48" s="39">
        <f>IF($T$5="BadDebt",$T$6,IF(OR($T$7="ALL",Assumptions!$N$45="Y"),INDEX(Assumptions!$D$45:$F$45,$T$4),Assumptions!$E$45))</f>
        <v/>
      </c>
      <c r="U48" s="39">
        <f>IF($U$5="BadDebt",$U$6,IF(OR($U$7="ALL",Assumptions!$N$45="Y"),INDEX(Assumptions!$D$45:$F$45,$U$4),Assumptions!$E$45))</f>
        <v/>
      </c>
      <c r="V48" s="39">
        <f>IF($V$5="BadDebt",$V$6,IF(OR($V$7="ALL",Assumptions!$N$45="Y"),INDEX(Assumptions!$D$45:$F$45,$V$4),Assumptions!$E$45))</f>
        <v/>
      </c>
      <c r="W48" s="39">
        <f>IF($W$5="BadDebt",$W$6,IF(OR($W$7="ALL",Assumptions!$N$45="Y"),INDEX(Assumptions!$D$45:$F$45,$W$4),Assumptions!$E$45))</f>
        <v/>
      </c>
      <c r="X48" s="39">
        <f>IF($X$5="BadDebt",$X$6,IF(OR($X$7="ALL",Assumptions!$N$45="Y"),INDEX(Assumptions!$D$45:$F$45,$X$4),Assumptions!$E$45))</f>
        <v/>
      </c>
      <c r="Y48" s="39">
        <f>IF($Y$5="BadDebt",$Y$6,IF(OR($Y$7="ALL",Assumptions!$N$45="Y"),INDEX(Assumptions!$D$45:$F$45,$Y$4),Assumptions!$E$45))</f>
        <v/>
      </c>
      <c r="Z48" s="39">
        <f>IF($Z$5="BadDebt",$Z$6,IF(OR($Z$7="ALL",Assumptions!$N$45="Y"),INDEX(Assumptions!$D$45:$F$45,$Z$4),Assumptions!$E$45))</f>
        <v/>
      </c>
      <c r="AA48" s="39">
        <f>IF($AA$5="BadDebt",$AA$6,IF(OR($AA$7="ALL",Assumptions!$N$45="Y"),INDEX(Assumptions!$D$45:$F$45,$AA$4),Assumptions!$E$45))</f>
        <v/>
      </c>
      <c r="AB48" s="39">
        <f>IF($AB$5="BadDebt",$AB$6,IF(OR($AB$7="ALL",Assumptions!$N$45="Y"),INDEX(Assumptions!$D$45:$F$45,$AB$4),Assumptions!$E$45))</f>
        <v/>
      </c>
      <c r="AC48" s="39">
        <f>IF($AC$5="BadDebt",$AC$6,IF(OR($AC$7="ALL",Assumptions!$N$45="Y"),INDEX(Assumptions!$D$45:$F$45,$AC$4),Assumptions!$E$45))</f>
        <v/>
      </c>
      <c r="AD48" s="39">
        <f>IF($AD$5="BadDebt",$AD$6,IF(OR($AD$7="ALL",Assumptions!$N$45="Y"),INDEX(Assumptions!$D$45:$F$45,$AD$4),Assumptions!$E$45))</f>
        <v/>
      </c>
      <c r="AE48" s="39">
        <f>IF($AE$5="BadDebt",$AE$6,IF(OR($AE$7="ALL",Assumptions!$N$45="Y"),INDEX(Assumptions!$D$45:$F$45,$AE$4),Assumptions!$E$45))</f>
        <v/>
      </c>
      <c r="AF48" s="39">
        <f>IF($AF$5="BadDebt",$AF$6,IF(OR($AF$7="ALL",Assumptions!$N$45="Y"),INDEX(Assumptions!$D$45:$F$45,$AF$4),Assumptions!$E$45))</f>
        <v/>
      </c>
      <c r="AG48" s="39">
        <f>IF($AG$5="BadDebt",$AG$6,IF(OR($AG$7="ALL",Assumptions!$N$45="Y"),INDEX(Assumptions!$D$45:$F$45,$AG$4),Assumptions!$E$45))</f>
        <v/>
      </c>
      <c r="AH48" s="39">
        <f>IF($AH$5="BadDebt",$AH$6,IF(OR($AH$7="ALL",Assumptions!$N$45="Y"),INDEX(Assumptions!$D$45:$F$45,$AH$4),Assumptions!$E$45))</f>
        <v/>
      </c>
      <c r="AI48" s="39">
        <f>IF($AI$5="BadDebt",$AI$6,IF(OR($AI$7="ALL",Assumptions!$N$45="Y"),INDEX(Assumptions!$D$45:$F$45,$AI$4),Assumptions!$E$45))</f>
        <v/>
      </c>
      <c r="AJ48" s="39">
        <f>IF($AJ$5="BadDebt",$AJ$6,IF(OR($AJ$7="ALL",Assumptions!$N$45="Y"),INDEX(Assumptions!$D$45:$F$45,$AJ$4),Assumptions!$E$45))</f>
        <v/>
      </c>
      <c r="AK48" s="39">
        <f>IF($AK$5="BadDebt",$AK$6,IF(OR($AK$7="ALL",Assumptions!$N$45="Y"),INDEX(Assumptions!$D$45:$F$45,$AK$4),Assumptions!$E$45))</f>
        <v/>
      </c>
      <c r="AL48" s="39">
        <f>IF($AL$5="BadDebt",$AL$6,IF(OR($AL$7="ALL",Assumptions!$N$45="Y"),INDEX(Assumptions!$D$45:$F$45,$AL$4),Assumptions!$E$45))</f>
        <v/>
      </c>
      <c r="AM48" s="39">
        <f>IF($AM$5="BadDebt",$AM$6,IF(OR($AM$7="ALL",Assumptions!$N$45="Y"),INDEX(Assumptions!$D$45:$F$45,$AM$4),Assumptions!$E$45))</f>
        <v/>
      </c>
      <c r="AN48" s="39">
        <f>IF($AN$5="BadDebt",$AN$6,IF(OR($AN$7="ALL",Assumptions!$N$45="Y"),INDEX(Assumptions!$D$45:$F$45,$AN$4),Assumptions!$E$45))</f>
        <v/>
      </c>
      <c r="AO48" s="39">
        <f>IF($AO$5="BadDebt",$AO$6,IF(OR($AO$7="ALL",Assumptions!$N$45="Y"),INDEX(Assumptions!$D$45:$F$45,$AO$4),Assumptions!$E$45))</f>
        <v/>
      </c>
      <c r="AP48" s="39">
        <f>IF($AP$5="BadDebt",$AP$6,IF(OR($AP$7="ALL",Assumptions!$N$45="Y"),INDEX(Assumptions!$D$45:$F$45,$AP$4),Assumptions!$E$45))</f>
        <v/>
      </c>
      <c r="AQ48" s="39">
        <f>IF($AQ$5="BadDebt",$AQ$6,IF(OR($AQ$7="ALL",Assumptions!$N$45="Y"),INDEX(Assumptions!$D$45:$F$45,$AQ$4),Assumptions!$E$45))</f>
        <v/>
      </c>
      <c r="AR48" s="39">
        <f>IF($AR$5="BadDebt",$AR$6,IF(OR($AR$7="ALL",Assumptions!$N$45="Y"),INDEX(Assumptions!$D$45:$F$45,$AR$4),Assumptions!$E$45))</f>
        <v/>
      </c>
      <c r="AS48" s="39">
        <f>IF($AS$5="BadDebt",$AS$6,IF(OR($AS$7="ALL",Assumptions!$N$45="Y"),INDEX(Assumptions!$D$45:$F$45,$AS$4),Assumptions!$E$45))</f>
        <v/>
      </c>
      <c r="AT48" s="39">
        <f>IF($AT$5="BadDebt",$AT$6,IF(OR($AT$7="ALL",Assumptions!$N$45="Y"),INDEX(Assumptions!$D$45:$F$45,$AT$4),Assumptions!$E$45))</f>
        <v/>
      </c>
      <c r="AU48" s="39">
        <f>IF($AU$5="BadDebt",$AU$6,IF(OR($AU$7="ALL",Assumptions!$N$45="Y"),INDEX(Assumptions!$D$45:$F$45,$AU$4),Assumptions!$E$45))</f>
        <v/>
      </c>
      <c r="AV48" s="39">
        <f>IF($AV$5="BadDebt",$AV$6,IF(OR($AV$7="ALL",Assumptions!$N$45="Y"),INDEX(Assumptions!$D$45:$F$45,$AV$4),Assumptions!$E$45))</f>
        <v/>
      </c>
      <c r="AW48" s="39">
        <f>IF($AW$5="BadDebt",$AW$6,IF(OR($AW$7="ALL",Assumptions!$N$45="Y"),INDEX(Assumptions!$D$45:$F$45,$AW$4),Assumptions!$E$45))</f>
        <v/>
      </c>
      <c r="AX48" s="39">
        <f>IF($AX$5="BadDebt",$AX$6,IF(OR($AX$7="ALL",Assumptions!$N$45="Y"),INDEX(Assumptions!$D$45:$F$45,$AX$4),Assumptions!$E$45))</f>
        <v/>
      </c>
      <c r="AY48" s="39">
        <f>IF($AY$5="BadDebt",$AY$6,IF(OR($AY$7="ALL",Assumptions!$N$45="Y"),INDEX(Assumptions!$D$45:$F$45,$AY$4),Assumptions!$E$45))</f>
        <v/>
      </c>
      <c r="AZ48" s="39">
        <f>IF($AZ$5="BadDebt",$AZ$6,IF(OR($AZ$7="ALL",Assumptions!$N$45="Y"),INDEX(Assumptions!$D$45:$F$45,$AZ$4),Assumptions!$E$45))</f>
        <v/>
      </c>
      <c r="BA48" s="39">
        <f>IF($BA$5="BadDebt",$BA$6,IF(OR($BA$7="ALL",Assumptions!$N$45="Y"),INDEX(Assumptions!$D$45:$F$45,$BA$4),Assumptions!$E$45))</f>
        <v/>
      </c>
      <c r="BB48" s="39">
        <f>IF($BB$5="BadDebt",$BB$6,IF(OR($BB$7="ALL",Assumptions!$N$45="Y"),INDEX(Assumptions!$D$45:$F$45,$BB$4),Assumptions!$E$45))</f>
        <v/>
      </c>
      <c r="BC48" s="39">
        <f>IF($BC$5="BadDebt",$BC$6,IF(OR($BC$7="ALL",Assumptions!$N$45="Y"),INDEX(Assumptions!$D$45:$F$45,$BC$4),Assumptions!$E$45))</f>
        <v/>
      </c>
      <c r="BD48" s="39">
        <f>IF($BD$5="BadDebt",$BD$6,IF(OR($BD$7="ALL",Assumptions!$N$45="Y"),INDEX(Assumptions!$D$45:$F$45,$BD$4),Assumptions!$E$45))</f>
        <v/>
      </c>
      <c r="BE48" s="39">
        <f>IF($BE$5="BadDebt",$BE$6,IF(OR($BE$7="ALL",Assumptions!$N$45="Y"),INDEX(Assumptions!$D$45:$F$45,$BE$4),Assumptions!$E$45))</f>
        <v/>
      </c>
    </row>
    <row r="49">
      <c r="B49" s="5" t="inlineStr">
        <is>
          <t>GatewayFee</t>
        </is>
      </c>
      <c r="D49" s="39">
        <f>IF($D$5="GatewayFee",$D$6,IF(OR($D$7="ALL",Assumptions!$N$46="Y"),INDEX(Assumptions!$D$46:$F$46,$D$4),Assumptions!$E$46))</f>
        <v/>
      </c>
      <c r="E49" s="39">
        <f>IF($E$5="GatewayFee",$E$6,IF(OR($E$7="ALL",Assumptions!$N$46="Y"),INDEX(Assumptions!$D$46:$F$46,$E$4),Assumptions!$E$46))</f>
        <v/>
      </c>
      <c r="F49" s="39">
        <f>IF($F$5="GatewayFee",$F$6,IF(OR($F$7="ALL",Assumptions!$N$46="Y"),INDEX(Assumptions!$D$46:$F$46,$F$4),Assumptions!$E$46))</f>
        <v/>
      </c>
      <c r="G49" s="39">
        <f>IF($G$5="GatewayFee",$G$6,IF(OR($G$7="ALL",Assumptions!$N$46="Y"),INDEX(Assumptions!$D$46:$F$46,$G$4),Assumptions!$E$46))</f>
        <v/>
      </c>
      <c r="H49" s="39">
        <f>IF($H$5="GatewayFee",$H$6,IF(OR($H$7="ALL",Assumptions!$N$46="Y"),INDEX(Assumptions!$D$46:$F$46,$H$4),Assumptions!$E$46))</f>
        <v/>
      </c>
      <c r="I49" s="39">
        <f>IF($I$5="GatewayFee",$I$6,IF(OR($I$7="ALL",Assumptions!$N$46="Y"),INDEX(Assumptions!$D$46:$F$46,$I$4),Assumptions!$E$46))</f>
        <v/>
      </c>
      <c r="J49" s="39">
        <f>IF($J$5="GatewayFee",$J$6,IF(OR($J$7="ALL",Assumptions!$N$46="Y"),INDEX(Assumptions!$D$46:$F$46,$J$4),Assumptions!$E$46))</f>
        <v/>
      </c>
      <c r="K49" s="39">
        <f>IF($K$5="GatewayFee",$K$6,IF(OR($K$7="ALL",Assumptions!$N$46="Y"),INDEX(Assumptions!$D$46:$F$46,$K$4),Assumptions!$E$46))</f>
        <v/>
      </c>
      <c r="L49" s="39">
        <f>IF($L$5="GatewayFee",$L$6,IF(OR($L$7="ALL",Assumptions!$N$46="Y"),INDEX(Assumptions!$D$46:$F$46,$L$4),Assumptions!$E$46))</f>
        <v/>
      </c>
      <c r="M49" s="39">
        <f>IF($M$5="GatewayFee",$M$6,IF(OR($M$7="ALL",Assumptions!$N$46="Y"),INDEX(Assumptions!$D$46:$F$46,$M$4),Assumptions!$E$46))</f>
        <v/>
      </c>
      <c r="N49" s="39">
        <f>IF($N$5="GatewayFee",$N$6,IF(OR($N$7="ALL",Assumptions!$N$46="Y"),INDEX(Assumptions!$D$46:$F$46,$N$4),Assumptions!$E$46))</f>
        <v/>
      </c>
      <c r="O49" s="39">
        <f>IF($O$5="GatewayFee",$O$6,IF(OR($O$7="ALL",Assumptions!$N$46="Y"),INDEX(Assumptions!$D$46:$F$46,$O$4),Assumptions!$E$46))</f>
        <v/>
      </c>
      <c r="P49" s="39">
        <f>IF($P$5="GatewayFee",$P$6,IF(OR($P$7="ALL",Assumptions!$N$46="Y"),INDEX(Assumptions!$D$46:$F$46,$P$4),Assumptions!$E$46))</f>
        <v/>
      </c>
      <c r="Q49" s="39">
        <f>IF($Q$5="GatewayFee",$Q$6,IF(OR($Q$7="ALL",Assumptions!$N$46="Y"),INDEX(Assumptions!$D$46:$F$46,$Q$4),Assumptions!$E$46))</f>
        <v/>
      </c>
      <c r="R49" s="39">
        <f>IF($R$5="GatewayFee",$R$6,IF(OR($R$7="ALL",Assumptions!$N$46="Y"),INDEX(Assumptions!$D$46:$F$46,$R$4),Assumptions!$E$46))</f>
        <v/>
      </c>
      <c r="S49" s="39">
        <f>IF($S$5="GatewayFee",$S$6,IF(OR($S$7="ALL",Assumptions!$N$46="Y"),INDEX(Assumptions!$D$46:$F$46,$S$4),Assumptions!$E$46))</f>
        <v/>
      </c>
      <c r="T49" s="39">
        <f>IF($T$5="GatewayFee",$T$6,IF(OR($T$7="ALL",Assumptions!$N$46="Y"),INDEX(Assumptions!$D$46:$F$46,$T$4),Assumptions!$E$46))</f>
        <v/>
      </c>
      <c r="U49" s="39">
        <f>IF($U$5="GatewayFee",$U$6,IF(OR($U$7="ALL",Assumptions!$N$46="Y"),INDEX(Assumptions!$D$46:$F$46,$U$4),Assumptions!$E$46))</f>
        <v/>
      </c>
      <c r="V49" s="39">
        <f>IF($V$5="GatewayFee",$V$6,IF(OR($V$7="ALL",Assumptions!$N$46="Y"),INDEX(Assumptions!$D$46:$F$46,$V$4),Assumptions!$E$46))</f>
        <v/>
      </c>
      <c r="W49" s="39">
        <f>IF($W$5="GatewayFee",$W$6,IF(OR($W$7="ALL",Assumptions!$N$46="Y"),INDEX(Assumptions!$D$46:$F$46,$W$4),Assumptions!$E$46))</f>
        <v/>
      </c>
      <c r="X49" s="39">
        <f>IF($X$5="GatewayFee",$X$6,IF(OR($X$7="ALL",Assumptions!$N$46="Y"),INDEX(Assumptions!$D$46:$F$46,$X$4),Assumptions!$E$46))</f>
        <v/>
      </c>
      <c r="Y49" s="39">
        <f>IF($Y$5="GatewayFee",$Y$6,IF(OR($Y$7="ALL",Assumptions!$N$46="Y"),INDEX(Assumptions!$D$46:$F$46,$Y$4),Assumptions!$E$46))</f>
        <v/>
      </c>
      <c r="Z49" s="39">
        <f>IF($Z$5="GatewayFee",$Z$6,IF(OR($Z$7="ALL",Assumptions!$N$46="Y"),INDEX(Assumptions!$D$46:$F$46,$Z$4),Assumptions!$E$46))</f>
        <v/>
      </c>
      <c r="AA49" s="39">
        <f>IF($AA$5="GatewayFee",$AA$6,IF(OR($AA$7="ALL",Assumptions!$N$46="Y"),INDEX(Assumptions!$D$46:$F$46,$AA$4),Assumptions!$E$46))</f>
        <v/>
      </c>
      <c r="AB49" s="39">
        <f>IF($AB$5="GatewayFee",$AB$6,IF(OR($AB$7="ALL",Assumptions!$N$46="Y"),INDEX(Assumptions!$D$46:$F$46,$AB$4),Assumptions!$E$46))</f>
        <v/>
      </c>
      <c r="AC49" s="39">
        <f>IF($AC$5="GatewayFee",$AC$6,IF(OR($AC$7="ALL",Assumptions!$N$46="Y"),INDEX(Assumptions!$D$46:$F$46,$AC$4),Assumptions!$E$46))</f>
        <v/>
      </c>
      <c r="AD49" s="39">
        <f>IF($AD$5="GatewayFee",$AD$6,IF(OR($AD$7="ALL",Assumptions!$N$46="Y"),INDEX(Assumptions!$D$46:$F$46,$AD$4),Assumptions!$E$46))</f>
        <v/>
      </c>
      <c r="AE49" s="39">
        <f>IF($AE$5="GatewayFee",$AE$6,IF(OR($AE$7="ALL",Assumptions!$N$46="Y"),INDEX(Assumptions!$D$46:$F$46,$AE$4),Assumptions!$E$46))</f>
        <v/>
      </c>
      <c r="AF49" s="39">
        <f>IF($AF$5="GatewayFee",$AF$6,IF(OR($AF$7="ALL",Assumptions!$N$46="Y"),INDEX(Assumptions!$D$46:$F$46,$AF$4),Assumptions!$E$46))</f>
        <v/>
      </c>
      <c r="AG49" s="39">
        <f>IF($AG$5="GatewayFee",$AG$6,IF(OR($AG$7="ALL",Assumptions!$N$46="Y"),INDEX(Assumptions!$D$46:$F$46,$AG$4),Assumptions!$E$46))</f>
        <v/>
      </c>
      <c r="AH49" s="39">
        <f>IF($AH$5="GatewayFee",$AH$6,IF(OR($AH$7="ALL",Assumptions!$N$46="Y"),INDEX(Assumptions!$D$46:$F$46,$AH$4),Assumptions!$E$46))</f>
        <v/>
      </c>
      <c r="AI49" s="39">
        <f>IF($AI$5="GatewayFee",$AI$6,IF(OR($AI$7="ALL",Assumptions!$N$46="Y"),INDEX(Assumptions!$D$46:$F$46,$AI$4),Assumptions!$E$46))</f>
        <v/>
      </c>
      <c r="AJ49" s="39">
        <f>IF($AJ$5="GatewayFee",$AJ$6,IF(OR($AJ$7="ALL",Assumptions!$N$46="Y"),INDEX(Assumptions!$D$46:$F$46,$AJ$4),Assumptions!$E$46))</f>
        <v/>
      </c>
      <c r="AK49" s="39">
        <f>IF($AK$5="GatewayFee",$AK$6,IF(OR($AK$7="ALL",Assumptions!$N$46="Y"),INDEX(Assumptions!$D$46:$F$46,$AK$4),Assumptions!$E$46))</f>
        <v/>
      </c>
      <c r="AL49" s="39">
        <f>IF($AL$5="GatewayFee",$AL$6,IF(OR($AL$7="ALL",Assumptions!$N$46="Y"),INDEX(Assumptions!$D$46:$F$46,$AL$4),Assumptions!$E$46))</f>
        <v/>
      </c>
      <c r="AM49" s="39">
        <f>IF($AM$5="GatewayFee",$AM$6,IF(OR($AM$7="ALL",Assumptions!$N$46="Y"),INDEX(Assumptions!$D$46:$F$46,$AM$4),Assumptions!$E$46))</f>
        <v/>
      </c>
      <c r="AN49" s="39">
        <f>IF($AN$5="GatewayFee",$AN$6,IF(OR($AN$7="ALL",Assumptions!$N$46="Y"),INDEX(Assumptions!$D$46:$F$46,$AN$4),Assumptions!$E$46))</f>
        <v/>
      </c>
      <c r="AO49" s="39">
        <f>IF($AO$5="GatewayFee",$AO$6,IF(OR($AO$7="ALL",Assumptions!$N$46="Y"),INDEX(Assumptions!$D$46:$F$46,$AO$4),Assumptions!$E$46))</f>
        <v/>
      </c>
      <c r="AP49" s="39">
        <f>IF($AP$5="GatewayFee",$AP$6,IF(OR($AP$7="ALL",Assumptions!$N$46="Y"),INDEX(Assumptions!$D$46:$F$46,$AP$4),Assumptions!$E$46))</f>
        <v/>
      </c>
      <c r="AQ49" s="39">
        <f>IF($AQ$5="GatewayFee",$AQ$6,IF(OR($AQ$7="ALL",Assumptions!$N$46="Y"),INDEX(Assumptions!$D$46:$F$46,$AQ$4),Assumptions!$E$46))</f>
        <v/>
      </c>
      <c r="AR49" s="39">
        <f>IF($AR$5="GatewayFee",$AR$6,IF(OR($AR$7="ALL",Assumptions!$N$46="Y"),INDEX(Assumptions!$D$46:$F$46,$AR$4),Assumptions!$E$46))</f>
        <v/>
      </c>
      <c r="AS49" s="39">
        <f>IF($AS$5="GatewayFee",$AS$6,IF(OR($AS$7="ALL",Assumptions!$N$46="Y"),INDEX(Assumptions!$D$46:$F$46,$AS$4),Assumptions!$E$46))</f>
        <v/>
      </c>
      <c r="AT49" s="39">
        <f>IF($AT$5="GatewayFee",$AT$6,IF(OR($AT$7="ALL",Assumptions!$N$46="Y"),INDEX(Assumptions!$D$46:$F$46,$AT$4),Assumptions!$E$46))</f>
        <v/>
      </c>
      <c r="AU49" s="39">
        <f>IF($AU$5="GatewayFee",$AU$6,IF(OR($AU$7="ALL",Assumptions!$N$46="Y"),INDEX(Assumptions!$D$46:$F$46,$AU$4),Assumptions!$E$46))</f>
        <v/>
      </c>
      <c r="AV49" s="39">
        <f>IF($AV$5="GatewayFee",$AV$6,IF(OR($AV$7="ALL",Assumptions!$N$46="Y"),INDEX(Assumptions!$D$46:$F$46,$AV$4),Assumptions!$E$46))</f>
        <v/>
      </c>
      <c r="AW49" s="39">
        <f>IF($AW$5="GatewayFee",$AW$6,IF(OR($AW$7="ALL",Assumptions!$N$46="Y"),INDEX(Assumptions!$D$46:$F$46,$AW$4),Assumptions!$E$46))</f>
        <v/>
      </c>
      <c r="AX49" s="39">
        <f>IF($AX$5="GatewayFee",$AX$6,IF(OR($AX$7="ALL",Assumptions!$N$46="Y"),INDEX(Assumptions!$D$46:$F$46,$AX$4),Assumptions!$E$46))</f>
        <v/>
      </c>
      <c r="AY49" s="39">
        <f>IF($AY$5="GatewayFee",$AY$6,IF(OR($AY$7="ALL",Assumptions!$N$46="Y"),INDEX(Assumptions!$D$46:$F$46,$AY$4),Assumptions!$E$46))</f>
        <v/>
      </c>
      <c r="AZ49" s="39">
        <f>IF($AZ$5="GatewayFee",$AZ$6,IF(OR($AZ$7="ALL",Assumptions!$N$46="Y"),INDEX(Assumptions!$D$46:$F$46,$AZ$4),Assumptions!$E$46))</f>
        <v/>
      </c>
      <c r="BA49" s="39">
        <f>IF($BA$5="GatewayFee",$BA$6,IF(OR($BA$7="ALL",Assumptions!$N$46="Y"),INDEX(Assumptions!$D$46:$F$46,$BA$4),Assumptions!$E$46))</f>
        <v/>
      </c>
      <c r="BB49" s="39">
        <f>IF($BB$5="GatewayFee",$BB$6,IF(OR($BB$7="ALL",Assumptions!$N$46="Y"),INDEX(Assumptions!$D$46:$F$46,$BB$4),Assumptions!$E$46))</f>
        <v/>
      </c>
      <c r="BC49" s="39">
        <f>IF($BC$5="GatewayFee",$BC$6,IF(OR($BC$7="ALL",Assumptions!$N$46="Y"),INDEX(Assumptions!$D$46:$F$46,$BC$4),Assumptions!$E$46))</f>
        <v/>
      </c>
      <c r="BD49" s="39">
        <f>IF($BD$5="GatewayFee",$BD$6,IF(OR($BD$7="ALL",Assumptions!$N$46="Y"),INDEX(Assumptions!$D$46:$F$46,$BD$4),Assumptions!$E$46))</f>
        <v/>
      </c>
      <c r="BE49" s="39">
        <f>IF($BE$5="GatewayFee",$BE$6,IF(OR($BE$7="ALL",Assumptions!$N$46="Y"),INDEX(Assumptions!$D$46:$F$46,$BE$4),Assumptions!$E$46))</f>
        <v/>
      </c>
    </row>
    <row r="50">
      <c r="B50" s="5" t="inlineStr">
        <is>
          <t>ChurnInSeason</t>
        </is>
      </c>
      <c r="D50" s="39">
        <f>IF($D$5="ChurnInSeason",$D$6,IF(OR($D$7="ALL",Assumptions!$N$74="Y"),INDEX(Assumptions!$D$74:$F$74,$D$4),Assumptions!$E$74))</f>
        <v/>
      </c>
      <c r="E50" s="39">
        <f>IF($E$5="ChurnInSeason",$E$6,IF(OR($E$7="ALL",Assumptions!$N$74="Y"),INDEX(Assumptions!$D$74:$F$74,$E$4),Assumptions!$E$74))</f>
        <v/>
      </c>
      <c r="F50" s="39">
        <f>IF($F$5="ChurnInSeason",$F$6,IF(OR($F$7="ALL",Assumptions!$N$74="Y"),INDEX(Assumptions!$D$74:$F$74,$F$4),Assumptions!$E$74))</f>
        <v/>
      </c>
      <c r="G50" s="39">
        <f>IF($G$5="ChurnInSeason",$G$6,IF(OR($G$7="ALL",Assumptions!$N$74="Y"),INDEX(Assumptions!$D$74:$F$74,$G$4),Assumptions!$E$74))</f>
        <v/>
      </c>
      <c r="H50" s="39">
        <f>IF($H$5="ChurnInSeason",$H$6,IF(OR($H$7="ALL",Assumptions!$N$74="Y"),INDEX(Assumptions!$D$74:$F$74,$H$4),Assumptions!$E$74))</f>
        <v/>
      </c>
      <c r="I50" s="39">
        <f>IF($I$5="ChurnInSeason",$I$6,IF(OR($I$7="ALL",Assumptions!$N$74="Y"),INDEX(Assumptions!$D$74:$F$74,$I$4),Assumptions!$E$74))</f>
        <v/>
      </c>
      <c r="J50" s="39">
        <f>IF($J$5="ChurnInSeason",$J$6,IF(OR($J$7="ALL",Assumptions!$N$74="Y"),INDEX(Assumptions!$D$74:$F$74,$J$4),Assumptions!$E$74))</f>
        <v/>
      </c>
      <c r="K50" s="39">
        <f>IF($K$5="ChurnInSeason",$K$6,IF(OR($K$7="ALL",Assumptions!$N$74="Y"),INDEX(Assumptions!$D$74:$F$74,$K$4),Assumptions!$E$74))</f>
        <v/>
      </c>
      <c r="L50" s="39">
        <f>IF($L$5="ChurnInSeason",$L$6,IF(OR($L$7="ALL",Assumptions!$N$74="Y"),INDEX(Assumptions!$D$74:$F$74,$L$4),Assumptions!$E$74))</f>
        <v/>
      </c>
      <c r="M50" s="39">
        <f>IF($M$5="ChurnInSeason",$M$6,IF(OR($M$7="ALL",Assumptions!$N$74="Y"),INDEX(Assumptions!$D$74:$F$74,$M$4),Assumptions!$E$74))</f>
        <v/>
      </c>
      <c r="N50" s="39">
        <f>IF($N$5="ChurnInSeason",$N$6,IF(OR($N$7="ALL",Assumptions!$N$74="Y"),INDEX(Assumptions!$D$74:$F$74,$N$4),Assumptions!$E$74))</f>
        <v/>
      </c>
      <c r="O50" s="39">
        <f>IF($O$5="ChurnInSeason",$O$6,IF(OR($O$7="ALL",Assumptions!$N$74="Y"),INDEX(Assumptions!$D$74:$F$74,$O$4),Assumptions!$E$74))</f>
        <v/>
      </c>
      <c r="P50" s="39">
        <f>IF($P$5="ChurnInSeason",$P$6,IF(OR($P$7="ALL",Assumptions!$N$74="Y"),INDEX(Assumptions!$D$74:$F$74,$P$4),Assumptions!$E$74))</f>
        <v/>
      </c>
      <c r="Q50" s="39">
        <f>IF($Q$5="ChurnInSeason",$Q$6,IF(OR($Q$7="ALL",Assumptions!$N$74="Y"),INDEX(Assumptions!$D$74:$F$74,$Q$4),Assumptions!$E$74))</f>
        <v/>
      </c>
      <c r="R50" s="39">
        <f>IF($R$5="ChurnInSeason",$R$6,IF(OR($R$7="ALL",Assumptions!$N$74="Y"),INDEX(Assumptions!$D$74:$F$74,$R$4),Assumptions!$E$74))</f>
        <v/>
      </c>
      <c r="S50" s="39">
        <f>IF($S$5="ChurnInSeason",$S$6,IF(OR($S$7="ALL",Assumptions!$N$74="Y"),INDEX(Assumptions!$D$74:$F$74,$S$4),Assumptions!$E$74))</f>
        <v/>
      </c>
      <c r="T50" s="39">
        <f>IF($T$5="ChurnInSeason",$T$6,IF(OR($T$7="ALL",Assumptions!$N$74="Y"),INDEX(Assumptions!$D$74:$F$74,$T$4),Assumptions!$E$74))</f>
        <v/>
      </c>
      <c r="U50" s="39">
        <f>IF($U$5="ChurnInSeason",$U$6,IF(OR($U$7="ALL",Assumptions!$N$74="Y"),INDEX(Assumptions!$D$74:$F$74,$U$4),Assumptions!$E$74))</f>
        <v/>
      </c>
      <c r="V50" s="39">
        <f>IF($V$5="ChurnInSeason",$V$6,IF(OR($V$7="ALL",Assumptions!$N$74="Y"),INDEX(Assumptions!$D$74:$F$74,$V$4),Assumptions!$E$74))</f>
        <v/>
      </c>
      <c r="W50" s="39">
        <f>IF($W$5="ChurnInSeason",$W$6,IF(OR($W$7="ALL",Assumptions!$N$74="Y"),INDEX(Assumptions!$D$74:$F$74,$W$4),Assumptions!$E$74))</f>
        <v/>
      </c>
      <c r="X50" s="39">
        <f>IF($X$5="ChurnInSeason",$X$6,IF(OR($X$7="ALL",Assumptions!$N$74="Y"),INDEX(Assumptions!$D$74:$F$74,$X$4),Assumptions!$E$74))</f>
        <v/>
      </c>
      <c r="Y50" s="39">
        <f>IF($Y$5="ChurnInSeason",$Y$6,IF(OR($Y$7="ALL",Assumptions!$N$74="Y"),INDEX(Assumptions!$D$74:$F$74,$Y$4),Assumptions!$E$74))</f>
        <v/>
      </c>
      <c r="Z50" s="39">
        <f>IF($Z$5="ChurnInSeason",$Z$6,IF(OR($Z$7="ALL",Assumptions!$N$74="Y"),INDEX(Assumptions!$D$74:$F$74,$Z$4),Assumptions!$E$74))</f>
        <v/>
      </c>
      <c r="AA50" s="39">
        <f>IF($AA$5="ChurnInSeason",$AA$6,IF(OR($AA$7="ALL",Assumptions!$N$74="Y"),INDEX(Assumptions!$D$74:$F$74,$AA$4),Assumptions!$E$74))</f>
        <v/>
      </c>
      <c r="AB50" s="39">
        <f>IF($AB$5="ChurnInSeason",$AB$6,IF(OR($AB$7="ALL",Assumptions!$N$74="Y"),INDEX(Assumptions!$D$74:$F$74,$AB$4),Assumptions!$E$74))</f>
        <v/>
      </c>
      <c r="AC50" s="39">
        <f>IF($AC$5="ChurnInSeason",$AC$6,IF(OR($AC$7="ALL",Assumptions!$N$74="Y"),INDEX(Assumptions!$D$74:$F$74,$AC$4),Assumptions!$E$74))</f>
        <v/>
      </c>
      <c r="AD50" s="39">
        <f>IF($AD$5="ChurnInSeason",$AD$6,IF(OR($AD$7="ALL",Assumptions!$N$74="Y"),INDEX(Assumptions!$D$74:$F$74,$AD$4),Assumptions!$E$74))</f>
        <v/>
      </c>
      <c r="AE50" s="39">
        <f>IF($AE$5="ChurnInSeason",$AE$6,IF(OR($AE$7="ALL",Assumptions!$N$74="Y"),INDEX(Assumptions!$D$74:$F$74,$AE$4),Assumptions!$E$74))</f>
        <v/>
      </c>
      <c r="AF50" s="39">
        <f>IF($AF$5="ChurnInSeason",$AF$6,IF(OR($AF$7="ALL",Assumptions!$N$74="Y"),INDEX(Assumptions!$D$74:$F$74,$AF$4),Assumptions!$E$74))</f>
        <v/>
      </c>
      <c r="AG50" s="39">
        <f>IF($AG$5="ChurnInSeason",$AG$6,IF(OR($AG$7="ALL",Assumptions!$N$74="Y"),INDEX(Assumptions!$D$74:$F$74,$AG$4),Assumptions!$E$74))</f>
        <v/>
      </c>
      <c r="AH50" s="39">
        <f>IF($AH$5="ChurnInSeason",$AH$6,IF(OR($AH$7="ALL",Assumptions!$N$74="Y"),INDEX(Assumptions!$D$74:$F$74,$AH$4),Assumptions!$E$74))</f>
        <v/>
      </c>
      <c r="AI50" s="39">
        <f>IF($AI$5="ChurnInSeason",$AI$6,IF(OR($AI$7="ALL",Assumptions!$N$74="Y"),INDEX(Assumptions!$D$74:$F$74,$AI$4),Assumptions!$E$74))</f>
        <v/>
      </c>
      <c r="AJ50" s="39">
        <f>IF($AJ$5="ChurnInSeason",$AJ$6,IF(OR($AJ$7="ALL",Assumptions!$N$74="Y"),INDEX(Assumptions!$D$74:$F$74,$AJ$4),Assumptions!$E$74))</f>
        <v/>
      </c>
      <c r="AK50" s="39">
        <f>IF($AK$5="ChurnInSeason",$AK$6,IF(OR($AK$7="ALL",Assumptions!$N$74="Y"),INDEX(Assumptions!$D$74:$F$74,$AK$4),Assumptions!$E$74))</f>
        <v/>
      </c>
      <c r="AL50" s="39">
        <f>IF($AL$5="ChurnInSeason",$AL$6,IF(OR($AL$7="ALL",Assumptions!$N$74="Y"),INDEX(Assumptions!$D$74:$F$74,$AL$4),Assumptions!$E$74))</f>
        <v/>
      </c>
      <c r="AM50" s="39">
        <f>IF($AM$5="ChurnInSeason",$AM$6,IF(OR($AM$7="ALL",Assumptions!$N$74="Y"),INDEX(Assumptions!$D$74:$F$74,$AM$4),Assumptions!$E$74))</f>
        <v/>
      </c>
      <c r="AN50" s="39">
        <f>IF($AN$5="ChurnInSeason",$AN$6,IF(OR($AN$7="ALL",Assumptions!$N$74="Y"),INDEX(Assumptions!$D$74:$F$74,$AN$4),Assumptions!$E$74))</f>
        <v/>
      </c>
      <c r="AO50" s="39">
        <f>IF($AO$5="ChurnInSeason",$AO$6,IF(OR($AO$7="ALL",Assumptions!$N$74="Y"),INDEX(Assumptions!$D$74:$F$74,$AO$4),Assumptions!$E$74))</f>
        <v/>
      </c>
      <c r="AP50" s="39">
        <f>IF($AP$5="ChurnInSeason",$AP$6,IF(OR($AP$7="ALL",Assumptions!$N$74="Y"),INDEX(Assumptions!$D$74:$F$74,$AP$4),Assumptions!$E$74))</f>
        <v/>
      </c>
      <c r="AQ50" s="39">
        <f>IF($AQ$5="ChurnInSeason",$AQ$6,IF(OR($AQ$7="ALL",Assumptions!$N$74="Y"),INDEX(Assumptions!$D$74:$F$74,$AQ$4),Assumptions!$E$74))</f>
        <v/>
      </c>
      <c r="AR50" s="39">
        <f>IF($AR$5="ChurnInSeason",$AR$6,IF(OR($AR$7="ALL",Assumptions!$N$74="Y"),INDEX(Assumptions!$D$74:$F$74,$AR$4),Assumptions!$E$74))</f>
        <v/>
      </c>
      <c r="AS50" s="39">
        <f>IF($AS$5="ChurnInSeason",$AS$6,IF(OR($AS$7="ALL",Assumptions!$N$74="Y"),INDEX(Assumptions!$D$74:$F$74,$AS$4),Assumptions!$E$74))</f>
        <v/>
      </c>
      <c r="AT50" s="39">
        <f>IF($AT$5="ChurnInSeason",$AT$6,IF(OR($AT$7="ALL",Assumptions!$N$74="Y"),INDEX(Assumptions!$D$74:$F$74,$AT$4),Assumptions!$E$74))</f>
        <v/>
      </c>
      <c r="AU50" s="39">
        <f>IF($AU$5="ChurnInSeason",$AU$6,IF(OR($AU$7="ALL",Assumptions!$N$74="Y"),INDEX(Assumptions!$D$74:$F$74,$AU$4),Assumptions!$E$74))</f>
        <v/>
      </c>
      <c r="AV50" s="39">
        <f>IF($AV$5="ChurnInSeason",$AV$6,IF(OR($AV$7="ALL",Assumptions!$N$74="Y"),INDEX(Assumptions!$D$74:$F$74,$AV$4),Assumptions!$E$74))</f>
        <v/>
      </c>
      <c r="AW50" s="39">
        <f>IF($AW$5="ChurnInSeason",$AW$6,IF(OR($AW$7="ALL",Assumptions!$N$74="Y"),INDEX(Assumptions!$D$74:$F$74,$AW$4),Assumptions!$E$74))</f>
        <v/>
      </c>
      <c r="AX50" s="39">
        <f>IF($AX$5="ChurnInSeason",$AX$6,IF(OR($AX$7="ALL",Assumptions!$N$74="Y"),INDEX(Assumptions!$D$74:$F$74,$AX$4),Assumptions!$E$74))</f>
        <v/>
      </c>
      <c r="AY50" s="39">
        <f>IF($AY$5="ChurnInSeason",$AY$6,IF(OR($AY$7="ALL",Assumptions!$N$74="Y"),INDEX(Assumptions!$D$74:$F$74,$AY$4),Assumptions!$E$74))</f>
        <v/>
      </c>
      <c r="AZ50" s="39">
        <f>IF($AZ$5="ChurnInSeason",$AZ$6,IF(OR($AZ$7="ALL",Assumptions!$N$74="Y"),INDEX(Assumptions!$D$74:$F$74,$AZ$4),Assumptions!$E$74))</f>
        <v/>
      </c>
      <c r="BA50" s="39">
        <f>IF($BA$5="ChurnInSeason",$BA$6,IF(OR($BA$7="ALL",Assumptions!$N$74="Y"),INDEX(Assumptions!$D$74:$F$74,$BA$4),Assumptions!$E$74))</f>
        <v/>
      </c>
      <c r="BB50" s="39">
        <f>IF($BB$5="ChurnInSeason",$BB$6,IF(OR($BB$7="ALL",Assumptions!$N$74="Y"),INDEX(Assumptions!$D$74:$F$74,$BB$4),Assumptions!$E$74))</f>
        <v/>
      </c>
      <c r="BC50" s="39">
        <f>IF($BC$5="ChurnInSeason",$BC$6,IF(OR($BC$7="ALL",Assumptions!$N$74="Y"),INDEX(Assumptions!$D$74:$F$74,$BC$4),Assumptions!$E$74))</f>
        <v/>
      </c>
      <c r="BD50" s="39">
        <f>IF($BD$5="ChurnInSeason",$BD$6,IF(OR($BD$7="ALL",Assumptions!$N$74="Y"),INDEX(Assumptions!$D$74:$F$74,$BD$4),Assumptions!$E$74))</f>
        <v/>
      </c>
      <c r="BE50" s="39">
        <f>IF($BE$5="ChurnInSeason",$BE$6,IF(OR($BE$7="ALL",Assumptions!$N$74="Y"),INDEX(Assumptions!$D$74:$F$74,$BE$4),Assumptions!$E$74))</f>
        <v/>
      </c>
    </row>
    <row r="51">
      <c r="B51" s="5" t="inlineStr">
        <is>
          <t>RenewalSpike</t>
        </is>
      </c>
      <c r="D51" s="39">
        <f>IF($D$5="RenewalSpike",$D$6,IF(OR($D$7="ALL",Assumptions!$N$75="Y"),INDEX(Assumptions!$D$75:$F$75,$D$4),Assumptions!$E$75))</f>
        <v/>
      </c>
      <c r="E51" s="39">
        <f>IF($E$5="RenewalSpike",$E$6,IF(OR($E$7="ALL",Assumptions!$N$75="Y"),INDEX(Assumptions!$D$75:$F$75,$E$4),Assumptions!$E$75))</f>
        <v/>
      </c>
      <c r="F51" s="39">
        <f>IF($F$5="RenewalSpike",$F$6,IF(OR($F$7="ALL",Assumptions!$N$75="Y"),INDEX(Assumptions!$D$75:$F$75,$F$4),Assumptions!$E$75))</f>
        <v/>
      </c>
      <c r="G51" s="39">
        <f>IF($G$5="RenewalSpike",$G$6,IF(OR($G$7="ALL",Assumptions!$N$75="Y"),INDEX(Assumptions!$D$75:$F$75,$G$4),Assumptions!$E$75))</f>
        <v/>
      </c>
      <c r="H51" s="39">
        <f>IF($H$5="RenewalSpike",$H$6,IF(OR($H$7="ALL",Assumptions!$N$75="Y"),INDEX(Assumptions!$D$75:$F$75,$H$4),Assumptions!$E$75))</f>
        <v/>
      </c>
      <c r="I51" s="39">
        <f>IF($I$5="RenewalSpike",$I$6,IF(OR($I$7="ALL",Assumptions!$N$75="Y"),INDEX(Assumptions!$D$75:$F$75,$I$4),Assumptions!$E$75))</f>
        <v/>
      </c>
      <c r="J51" s="39">
        <f>IF($J$5="RenewalSpike",$J$6,IF(OR($J$7="ALL",Assumptions!$N$75="Y"),INDEX(Assumptions!$D$75:$F$75,$J$4),Assumptions!$E$75))</f>
        <v/>
      </c>
      <c r="K51" s="39">
        <f>IF($K$5="RenewalSpike",$K$6,IF(OR($K$7="ALL",Assumptions!$N$75="Y"),INDEX(Assumptions!$D$75:$F$75,$K$4),Assumptions!$E$75))</f>
        <v/>
      </c>
      <c r="L51" s="39">
        <f>IF($L$5="RenewalSpike",$L$6,IF(OR($L$7="ALL",Assumptions!$N$75="Y"),INDEX(Assumptions!$D$75:$F$75,$L$4),Assumptions!$E$75))</f>
        <v/>
      </c>
      <c r="M51" s="39">
        <f>IF($M$5="RenewalSpike",$M$6,IF(OR($M$7="ALL",Assumptions!$N$75="Y"),INDEX(Assumptions!$D$75:$F$75,$M$4),Assumptions!$E$75))</f>
        <v/>
      </c>
      <c r="N51" s="39">
        <f>IF($N$5="RenewalSpike",$N$6,IF(OR($N$7="ALL",Assumptions!$N$75="Y"),INDEX(Assumptions!$D$75:$F$75,$N$4),Assumptions!$E$75))</f>
        <v/>
      </c>
      <c r="O51" s="39">
        <f>IF($O$5="RenewalSpike",$O$6,IF(OR($O$7="ALL",Assumptions!$N$75="Y"),INDEX(Assumptions!$D$75:$F$75,$O$4),Assumptions!$E$75))</f>
        <v/>
      </c>
      <c r="P51" s="39">
        <f>IF($P$5="RenewalSpike",$P$6,IF(OR($P$7="ALL",Assumptions!$N$75="Y"),INDEX(Assumptions!$D$75:$F$75,$P$4),Assumptions!$E$75))</f>
        <v/>
      </c>
      <c r="Q51" s="39">
        <f>IF($Q$5="RenewalSpike",$Q$6,IF(OR($Q$7="ALL",Assumptions!$N$75="Y"),INDEX(Assumptions!$D$75:$F$75,$Q$4),Assumptions!$E$75))</f>
        <v/>
      </c>
      <c r="R51" s="39">
        <f>IF($R$5="RenewalSpike",$R$6,IF(OR($R$7="ALL",Assumptions!$N$75="Y"),INDEX(Assumptions!$D$75:$F$75,$R$4),Assumptions!$E$75))</f>
        <v/>
      </c>
      <c r="S51" s="39">
        <f>IF($S$5="RenewalSpike",$S$6,IF(OR($S$7="ALL",Assumptions!$N$75="Y"),INDEX(Assumptions!$D$75:$F$75,$S$4),Assumptions!$E$75))</f>
        <v/>
      </c>
      <c r="T51" s="39">
        <f>IF($T$5="RenewalSpike",$T$6,IF(OR($T$7="ALL",Assumptions!$N$75="Y"),INDEX(Assumptions!$D$75:$F$75,$T$4),Assumptions!$E$75))</f>
        <v/>
      </c>
      <c r="U51" s="39">
        <f>IF($U$5="RenewalSpike",$U$6,IF(OR($U$7="ALL",Assumptions!$N$75="Y"),INDEX(Assumptions!$D$75:$F$75,$U$4),Assumptions!$E$75))</f>
        <v/>
      </c>
      <c r="V51" s="39">
        <f>IF($V$5="RenewalSpike",$V$6,IF(OR($V$7="ALL",Assumptions!$N$75="Y"),INDEX(Assumptions!$D$75:$F$75,$V$4),Assumptions!$E$75))</f>
        <v/>
      </c>
      <c r="W51" s="39">
        <f>IF($W$5="RenewalSpike",$W$6,IF(OR($W$7="ALL",Assumptions!$N$75="Y"),INDEX(Assumptions!$D$75:$F$75,$W$4),Assumptions!$E$75))</f>
        <v/>
      </c>
      <c r="X51" s="39">
        <f>IF($X$5="RenewalSpike",$X$6,IF(OR($X$7="ALL",Assumptions!$N$75="Y"),INDEX(Assumptions!$D$75:$F$75,$X$4),Assumptions!$E$75))</f>
        <v/>
      </c>
      <c r="Y51" s="39">
        <f>IF($Y$5="RenewalSpike",$Y$6,IF(OR($Y$7="ALL",Assumptions!$N$75="Y"),INDEX(Assumptions!$D$75:$F$75,$Y$4),Assumptions!$E$75))</f>
        <v/>
      </c>
      <c r="Z51" s="39">
        <f>IF($Z$5="RenewalSpike",$Z$6,IF(OR($Z$7="ALL",Assumptions!$N$75="Y"),INDEX(Assumptions!$D$75:$F$75,$Z$4),Assumptions!$E$75))</f>
        <v/>
      </c>
      <c r="AA51" s="39">
        <f>IF($AA$5="RenewalSpike",$AA$6,IF(OR($AA$7="ALL",Assumptions!$N$75="Y"),INDEX(Assumptions!$D$75:$F$75,$AA$4),Assumptions!$E$75))</f>
        <v/>
      </c>
      <c r="AB51" s="39">
        <f>IF($AB$5="RenewalSpike",$AB$6,IF(OR($AB$7="ALL",Assumptions!$N$75="Y"),INDEX(Assumptions!$D$75:$F$75,$AB$4),Assumptions!$E$75))</f>
        <v/>
      </c>
      <c r="AC51" s="39">
        <f>IF($AC$5="RenewalSpike",$AC$6,IF(OR($AC$7="ALL",Assumptions!$N$75="Y"),INDEX(Assumptions!$D$75:$F$75,$AC$4),Assumptions!$E$75))</f>
        <v/>
      </c>
      <c r="AD51" s="39">
        <f>IF($AD$5="RenewalSpike",$AD$6,IF(OR($AD$7="ALL",Assumptions!$N$75="Y"),INDEX(Assumptions!$D$75:$F$75,$AD$4),Assumptions!$E$75))</f>
        <v/>
      </c>
      <c r="AE51" s="39">
        <f>IF($AE$5="RenewalSpike",$AE$6,IF(OR($AE$7="ALL",Assumptions!$N$75="Y"),INDEX(Assumptions!$D$75:$F$75,$AE$4),Assumptions!$E$75))</f>
        <v/>
      </c>
      <c r="AF51" s="39">
        <f>IF($AF$5="RenewalSpike",$AF$6,IF(OR($AF$7="ALL",Assumptions!$N$75="Y"),INDEX(Assumptions!$D$75:$F$75,$AF$4),Assumptions!$E$75))</f>
        <v/>
      </c>
      <c r="AG51" s="39">
        <f>IF($AG$5="RenewalSpike",$AG$6,IF(OR($AG$7="ALL",Assumptions!$N$75="Y"),INDEX(Assumptions!$D$75:$F$75,$AG$4),Assumptions!$E$75))</f>
        <v/>
      </c>
      <c r="AH51" s="39">
        <f>IF($AH$5="RenewalSpike",$AH$6,IF(OR($AH$7="ALL",Assumptions!$N$75="Y"),INDEX(Assumptions!$D$75:$F$75,$AH$4),Assumptions!$E$75))</f>
        <v/>
      </c>
      <c r="AI51" s="39">
        <f>IF($AI$5="RenewalSpike",$AI$6,IF(OR($AI$7="ALL",Assumptions!$N$75="Y"),INDEX(Assumptions!$D$75:$F$75,$AI$4),Assumptions!$E$75))</f>
        <v/>
      </c>
      <c r="AJ51" s="39">
        <f>IF($AJ$5="RenewalSpike",$AJ$6,IF(OR($AJ$7="ALL",Assumptions!$N$75="Y"),INDEX(Assumptions!$D$75:$F$75,$AJ$4),Assumptions!$E$75))</f>
        <v/>
      </c>
      <c r="AK51" s="39">
        <f>IF($AK$5="RenewalSpike",$AK$6,IF(OR($AK$7="ALL",Assumptions!$N$75="Y"),INDEX(Assumptions!$D$75:$F$75,$AK$4),Assumptions!$E$75))</f>
        <v/>
      </c>
      <c r="AL51" s="39">
        <f>IF($AL$5="RenewalSpike",$AL$6,IF(OR($AL$7="ALL",Assumptions!$N$75="Y"),INDEX(Assumptions!$D$75:$F$75,$AL$4),Assumptions!$E$75))</f>
        <v/>
      </c>
      <c r="AM51" s="39">
        <f>IF($AM$5="RenewalSpike",$AM$6,IF(OR($AM$7="ALL",Assumptions!$N$75="Y"),INDEX(Assumptions!$D$75:$F$75,$AM$4),Assumptions!$E$75))</f>
        <v/>
      </c>
      <c r="AN51" s="39">
        <f>IF($AN$5="RenewalSpike",$AN$6,IF(OR($AN$7="ALL",Assumptions!$N$75="Y"),INDEX(Assumptions!$D$75:$F$75,$AN$4),Assumptions!$E$75))</f>
        <v/>
      </c>
      <c r="AO51" s="39">
        <f>IF($AO$5="RenewalSpike",$AO$6,IF(OR($AO$7="ALL",Assumptions!$N$75="Y"),INDEX(Assumptions!$D$75:$F$75,$AO$4),Assumptions!$E$75))</f>
        <v/>
      </c>
      <c r="AP51" s="39">
        <f>IF($AP$5="RenewalSpike",$AP$6,IF(OR($AP$7="ALL",Assumptions!$N$75="Y"),INDEX(Assumptions!$D$75:$F$75,$AP$4),Assumptions!$E$75))</f>
        <v/>
      </c>
      <c r="AQ51" s="39">
        <f>IF($AQ$5="RenewalSpike",$AQ$6,IF(OR($AQ$7="ALL",Assumptions!$N$75="Y"),INDEX(Assumptions!$D$75:$F$75,$AQ$4),Assumptions!$E$75))</f>
        <v/>
      </c>
      <c r="AR51" s="39">
        <f>IF($AR$5="RenewalSpike",$AR$6,IF(OR($AR$7="ALL",Assumptions!$N$75="Y"),INDEX(Assumptions!$D$75:$F$75,$AR$4),Assumptions!$E$75))</f>
        <v/>
      </c>
      <c r="AS51" s="39">
        <f>IF($AS$5="RenewalSpike",$AS$6,IF(OR($AS$7="ALL",Assumptions!$N$75="Y"),INDEX(Assumptions!$D$75:$F$75,$AS$4),Assumptions!$E$75))</f>
        <v/>
      </c>
      <c r="AT51" s="39">
        <f>IF($AT$5="RenewalSpike",$AT$6,IF(OR($AT$7="ALL",Assumptions!$N$75="Y"),INDEX(Assumptions!$D$75:$F$75,$AT$4),Assumptions!$E$75))</f>
        <v/>
      </c>
      <c r="AU51" s="39">
        <f>IF($AU$5="RenewalSpike",$AU$6,IF(OR($AU$7="ALL",Assumptions!$N$75="Y"),INDEX(Assumptions!$D$75:$F$75,$AU$4),Assumptions!$E$75))</f>
        <v/>
      </c>
      <c r="AV51" s="39">
        <f>IF($AV$5="RenewalSpike",$AV$6,IF(OR($AV$7="ALL",Assumptions!$N$75="Y"),INDEX(Assumptions!$D$75:$F$75,$AV$4),Assumptions!$E$75))</f>
        <v/>
      </c>
      <c r="AW51" s="39">
        <f>IF($AW$5="RenewalSpike",$AW$6,IF(OR($AW$7="ALL",Assumptions!$N$75="Y"),INDEX(Assumptions!$D$75:$F$75,$AW$4),Assumptions!$E$75))</f>
        <v/>
      </c>
      <c r="AX51" s="39">
        <f>IF($AX$5="RenewalSpike",$AX$6,IF(OR($AX$7="ALL",Assumptions!$N$75="Y"),INDEX(Assumptions!$D$75:$F$75,$AX$4),Assumptions!$E$75))</f>
        <v/>
      </c>
      <c r="AY51" s="39">
        <f>IF($AY$5="RenewalSpike",$AY$6,IF(OR($AY$7="ALL",Assumptions!$N$75="Y"),INDEX(Assumptions!$D$75:$F$75,$AY$4),Assumptions!$E$75))</f>
        <v/>
      </c>
      <c r="AZ51" s="39">
        <f>IF($AZ$5="RenewalSpike",$AZ$6,IF(OR($AZ$7="ALL",Assumptions!$N$75="Y"),INDEX(Assumptions!$D$75:$F$75,$AZ$4),Assumptions!$E$75))</f>
        <v/>
      </c>
      <c r="BA51" s="39">
        <f>IF($BA$5="RenewalSpike",$BA$6,IF(OR($BA$7="ALL",Assumptions!$N$75="Y"),INDEX(Assumptions!$D$75:$F$75,$BA$4),Assumptions!$E$75))</f>
        <v/>
      </c>
      <c r="BB51" s="39">
        <f>IF($BB$5="RenewalSpike",$BB$6,IF(OR($BB$7="ALL",Assumptions!$N$75="Y"),INDEX(Assumptions!$D$75:$F$75,$BB$4),Assumptions!$E$75))</f>
        <v/>
      </c>
      <c r="BC51" s="39">
        <f>IF($BC$5="RenewalSpike",$BC$6,IF(OR($BC$7="ALL",Assumptions!$N$75="Y"),INDEX(Assumptions!$D$75:$F$75,$BC$4),Assumptions!$E$75))</f>
        <v/>
      </c>
      <c r="BD51" s="39">
        <f>IF($BD$5="RenewalSpike",$BD$6,IF(OR($BD$7="ALL",Assumptions!$N$75="Y"),INDEX(Assumptions!$D$75:$F$75,$BD$4),Assumptions!$E$75))</f>
        <v/>
      </c>
      <c r="BE51" s="39">
        <f>IF($BE$5="RenewalSpike",$BE$6,IF(OR($BE$7="ALL",Assumptions!$N$75="Y"),INDEX(Assumptions!$D$75:$F$75,$BE$4),Assumptions!$E$75))</f>
        <v/>
      </c>
    </row>
    <row r="52">
      <c r="B52" s="5" t="inlineStr">
        <is>
          <t>CSM_CTC</t>
        </is>
      </c>
      <c r="D52" s="50">
        <f>IF($D$5="CSM_CTC",$D$6,IF(OR($D$7="ALL",Assumptions!$N$62="Y"),INDEX(Assumptions!$D$62:$F$62,$D$4),Assumptions!$E$62))</f>
        <v/>
      </c>
      <c r="E52" s="50">
        <f>IF($E$5="CSM_CTC",$E$6,IF(OR($E$7="ALL",Assumptions!$N$62="Y"),INDEX(Assumptions!$D$62:$F$62,$E$4),Assumptions!$E$62))</f>
        <v/>
      </c>
      <c r="F52" s="50">
        <f>IF($F$5="CSM_CTC",$F$6,IF(OR($F$7="ALL",Assumptions!$N$62="Y"),INDEX(Assumptions!$D$62:$F$62,$F$4),Assumptions!$E$62))</f>
        <v/>
      </c>
      <c r="G52" s="50">
        <f>IF($G$5="CSM_CTC",$G$6,IF(OR($G$7="ALL",Assumptions!$N$62="Y"),INDEX(Assumptions!$D$62:$F$62,$G$4),Assumptions!$E$62))</f>
        <v/>
      </c>
      <c r="H52" s="50">
        <f>IF($H$5="CSM_CTC",$H$6,IF(OR($H$7="ALL",Assumptions!$N$62="Y"),INDEX(Assumptions!$D$62:$F$62,$H$4),Assumptions!$E$62))</f>
        <v/>
      </c>
      <c r="I52" s="50">
        <f>IF($I$5="CSM_CTC",$I$6,IF(OR($I$7="ALL",Assumptions!$N$62="Y"),INDEX(Assumptions!$D$62:$F$62,$I$4),Assumptions!$E$62))</f>
        <v/>
      </c>
      <c r="J52" s="50">
        <f>IF($J$5="CSM_CTC",$J$6,IF(OR($J$7="ALL",Assumptions!$N$62="Y"),INDEX(Assumptions!$D$62:$F$62,$J$4),Assumptions!$E$62))</f>
        <v/>
      </c>
      <c r="K52" s="50">
        <f>IF($K$5="CSM_CTC",$K$6,IF(OR($K$7="ALL",Assumptions!$N$62="Y"),INDEX(Assumptions!$D$62:$F$62,$K$4),Assumptions!$E$62))</f>
        <v/>
      </c>
      <c r="L52" s="50">
        <f>IF($L$5="CSM_CTC",$L$6,IF(OR($L$7="ALL",Assumptions!$N$62="Y"),INDEX(Assumptions!$D$62:$F$62,$L$4),Assumptions!$E$62))</f>
        <v/>
      </c>
      <c r="M52" s="50">
        <f>IF($M$5="CSM_CTC",$M$6,IF(OR($M$7="ALL",Assumptions!$N$62="Y"),INDEX(Assumptions!$D$62:$F$62,$M$4),Assumptions!$E$62))</f>
        <v/>
      </c>
      <c r="N52" s="50">
        <f>IF($N$5="CSM_CTC",$N$6,IF(OR($N$7="ALL",Assumptions!$N$62="Y"),INDEX(Assumptions!$D$62:$F$62,$N$4),Assumptions!$E$62))</f>
        <v/>
      </c>
      <c r="O52" s="50">
        <f>IF($O$5="CSM_CTC",$O$6,IF(OR($O$7="ALL",Assumptions!$N$62="Y"),INDEX(Assumptions!$D$62:$F$62,$O$4),Assumptions!$E$62))</f>
        <v/>
      </c>
      <c r="P52" s="50">
        <f>IF($P$5="CSM_CTC",$P$6,IF(OR($P$7="ALL",Assumptions!$N$62="Y"),INDEX(Assumptions!$D$62:$F$62,$P$4),Assumptions!$E$62))</f>
        <v/>
      </c>
      <c r="Q52" s="50">
        <f>IF($Q$5="CSM_CTC",$Q$6,IF(OR($Q$7="ALL",Assumptions!$N$62="Y"),INDEX(Assumptions!$D$62:$F$62,$Q$4),Assumptions!$E$62))</f>
        <v/>
      </c>
      <c r="R52" s="50">
        <f>IF($R$5="CSM_CTC",$R$6,IF(OR($R$7="ALL",Assumptions!$N$62="Y"),INDEX(Assumptions!$D$62:$F$62,$R$4),Assumptions!$E$62))</f>
        <v/>
      </c>
      <c r="S52" s="50">
        <f>IF($S$5="CSM_CTC",$S$6,IF(OR($S$7="ALL",Assumptions!$N$62="Y"),INDEX(Assumptions!$D$62:$F$62,$S$4),Assumptions!$E$62))</f>
        <v/>
      </c>
      <c r="T52" s="50">
        <f>IF($T$5="CSM_CTC",$T$6,IF(OR($T$7="ALL",Assumptions!$N$62="Y"),INDEX(Assumptions!$D$62:$F$62,$T$4),Assumptions!$E$62))</f>
        <v/>
      </c>
      <c r="U52" s="50">
        <f>IF($U$5="CSM_CTC",$U$6,IF(OR($U$7="ALL",Assumptions!$N$62="Y"),INDEX(Assumptions!$D$62:$F$62,$U$4),Assumptions!$E$62))</f>
        <v/>
      </c>
      <c r="V52" s="50">
        <f>IF($V$5="CSM_CTC",$V$6,IF(OR($V$7="ALL",Assumptions!$N$62="Y"),INDEX(Assumptions!$D$62:$F$62,$V$4),Assumptions!$E$62))</f>
        <v/>
      </c>
      <c r="W52" s="50">
        <f>IF($W$5="CSM_CTC",$W$6,IF(OR($W$7="ALL",Assumptions!$N$62="Y"),INDEX(Assumptions!$D$62:$F$62,$W$4),Assumptions!$E$62))</f>
        <v/>
      </c>
      <c r="X52" s="50">
        <f>IF($X$5="CSM_CTC",$X$6,IF(OR($X$7="ALL",Assumptions!$N$62="Y"),INDEX(Assumptions!$D$62:$F$62,$X$4),Assumptions!$E$62))</f>
        <v/>
      </c>
      <c r="Y52" s="50">
        <f>IF($Y$5="CSM_CTC",$Y$6,IF(OR($Y$7="ALL",Assumptions!$N$62="Y"),INDEX(Assumptions!$D$62:$F$62,$Y$4),Assumptions!$E$62))</f>
        <v/>
      </c>
      <c r="Z52" s="50">
        <f>IF($Z$5="CSM_CTC",$Z$6,IF(OR($Z$7="ALL",Assumptions!$N$62="Y"),INDEX(Assumptions!$D$62:$F$62,$Z$4),Assumptions!$E$62))</f>
        <v/>
      </c>
      <c r="AA52" s="50">
        <f>IF($AA$5="CSM_CTC",$AA$6,IF(OR($AA$7="ALL",Assumptions!$N$62="Y"),INDEX(Assumptions!$D$62:$F$62,$AA$4),Assumptions!$E$62))</f>
        <v/>
      </c>
      <c r="AB52" s="50">
        <f>IF($AB$5="CSM_CTC",$AB$6,IF(OR($AB$7="ALL",Assumptions!$N$62="Y"),INDEX(Assumptions!$D$62:$F$62,$AB$4),Assumptions!$E$62))</f>
        <v/>
      </c>
      <c r="AC52" s="50">
        <f>IF($AC$5="CSM_CTC",$AC$6,IF(OR($AC$7="ALL",Assumptions!$N$62="Y"),INDEX(Assumptions!$D$62:$F$62,$AC$4),Assumptions!$E$62))</f>
        <v/>
      </c>
      <c r="AD52" s="50">
        <f>IF($AD$5="CSM_CTC",$AD$6,IF(OR($AD$7="ALL",Assumptions!$N$62="Y"),INDEX(Assumptions!$D$62:$F$62,$AD$4),Assumptions!$E$62))</f>
        <v/>
      </c>
      <c r="AE52" s="50">
        <f>IF($AE$5="CSM_CTC",$AE$6,IF(OR($AE$7="ALL",Assumptions!$N$62="Y"),INDEX(Assumptions!$D$62:$F$62,$AE$4),Assumptions!$E$62))</f>
        <v/>
      </c>
      <c r="AF52" s="50">
        <f>IF($AF$5="CSM_CTC",$AF$6,IF(OR($AF$7="ALL",Assumptions!$N$62="Y"),INDEX(Assumptions!$D$62:$F$62,$AF$4),Assumptions!$E$62))</f>
        <v/>
      </c>
      <c r="AG52" s="50">
        <f>IF($AG$5="CSM_CTC",$AG$6,IF(OR($AG$7="ALL",Assumptions!$N$62="Y"),INDEX(Assumptions!$D$62:$F$62,$AG$4),Assumptions!$E$62))</f>
        <v/>
      </c>
      <c r="AH52" s="50">
        <f>IF($AH$5="CSM_CTC",$AH$6,IF(OR($AH$7="ALL",Assumptions!$N$62="Y"),INDEX(Assumptions!$D$62:$F$62,$AH$4),Assumptions!$E$62))</f>
        <v/>
      </c>
      <c r="AI52" s="50">
        <f>IF($AI$5="CSM_CTC",$AI$6,IF(OR($AI$7="ALL",Assumptions!$N$62="Y"),INDEX(Assumptions!$D$62:$F$62,$AI$4),Assumptions!$E$62))</f>
        <v/>
      </c>
      <c r="AJ52" s="50">
        <f>IF($AJ$5="CSM_CTC",$AJ$6,IF(OR($AJ$7="ALL",Assumptions!$N$62="Y"),INDEX(Assumptions!$D$62:$F$62,$AJ$4),Assumptions!$E$62))</f>
        <v/>
      </c>
      <c r="AK52" s="50">
        <f>IF($AK$5="CSM_CTC",$AK$6,IF(OR($AK$7="ALL",Assumptions!$N$62="Y"),INDEX(Assumptions!$D$62:$F$62,$AK$4),Assumptions!$E$62))</f>
        <v/>
      </c>
      <c r="AL52" s="50">
        <f>IF($AL$5="CSM_CTC",$AL$6,IF(OR($AL$7="ALL",Assumptions!$N$62="Y"),INDEX(Assumptions!$D$62:$F$62,$AL$4),Assumptions!$E$62))</f>
        <v/>
      </c>
      <c r="AM52" s="50">
        <f>IF($AM$5="CSM_CTC",$AM$6,IF(OR($AM$7="ALL",Assumptions!$N$62="Y"),INDEX(Assumptions!$D$62:$F$62,$AM$4),Assumptions!$E$62))</f>
        <v/>
      </c>
      <c r="AN52" s="50">
        <f>IF($AN$5="CSM_CTC",$AN$6,IF(OR($AN$7="ALL",Assumptions!$N$62="Y"),INDEX(Assumptions!$D$62:$F$62,$AN$4),Assumptions!$E$62))</f>
        <v/>
      </c>
      <c r="AO52" s="50">
        <f>IF($AO$5="CSM_CTC",$AO$6,IF(OR($AO$7="ALL",Assumptions!$N$62="Y"),INDEX(Assumptions!$D$62:$F$62,$AO$4),Assumptions!$E$62))</f>
        <v/>
      </c>
      <c r="AP52" s="50">
        <f>IF($AP$5="CSM_CTC",$AP$6,IF(OR($AP$7="ALL",Assumptions!$N$62="Y"),INDEX(Assumptions!$D$62:$F$62,$AP$4),Assumptions!$E$62))</f>
        <v/>
      </c>
      <c r="AQ52" s="50">
        <f>IF($AQ$5="CSM_CTC",$AQ$6,IF(OR($AQ$7="ALL",Assumptions!$N$62="Y"),INDEX(Assumptions!$D$62:$F$62,$AQ$4),Assumptions!$E$62))</f>
        <v/>
      </c>
      <c r="AR52" s="50">
        <f>IF($AR$5="CSM_CTC",$AR$6,IF(OR($AR$7="ALL",Assumptions!$N$62="Y"),INDEX(Assumptions!$D$62:$F$62,$AR$4),Assumptions!$E$62))</f>
        <v/>
      </c>
      <c r="AS52" s="50">
        <f>IF($AS$5="CSM_CTC",$AS$6,IF(OR($AS$7="ALL",Assumptions!$N$62="Y"),INDEX(Assumptions!$D$62:$F$62,$AS$4),Assumptions!$E$62))</f>
        <v/>
      </c>
      <c r="AT52" s="50">
        <f>IF($AT$5="CSM_CTC",$AT$6,IF(OR($AT$7="ALL",Assumptions!$N$62="Y"),INDEX(Assumptions!$D$62:$F$62,$AT$4),Assumptions!$E$62))</f>
        <v/>
      </c>
      <c r="AU52" s="50">
        <f>IF($AU$5="CSM_CTC",$AU$6,IF(OR($AU$7="ALL",Assumptions!$N$62="Y"),INDEX(Assumptions!$D$62:$F$62,$AU$4),Assumptions!$E$62))</f>
        <v/>
      </c>
      <c r="AV52" s="50">
        <f>IF($AV$5="CSM_CTC",$AV$6,IF(OR($AV$7="ALL",Assumptions!$N$62="Y"),INDEX(Assumptions!$D$62:$F$62,$AV$4),Assumptions!$E$62))</f>
        <v/>
      </c>
      <c r="AW52" s="50">
        <f>IF($AW$5="CSM_CTC",$AW$6,IF(OR($AW$7="ALL",Assumptions!$N$62="Y"),INDEX(Assumptions!$D$62:$F$62,$AW$4),Assumptions!$E$62))</f>
        <v/>
      </c>
      <c r="AX52" s="50">
        <f>IF($AX$5="CSM_CTC",$AX$6,IF(OR($AX$7="ALL",Assumptions!$N$62="Y"),INDEX(Assumptions!$D$62:$F$62,$AX$4),Assumptions!$E$62))</f>
        <v/>
      </c>
      <c r="AY52" s="50">
        <f>IF($AY$5="CSM_CTC",$AY$6,IF(OR($AY$7="ALL",Assumptions!$N$62="Y"),INDEX(Assumptions!$D$62:$F$62,$AY$4),Assumptions!$E$62))</f>
        <v/>
      </c>
      <c r="AZ52" s="50">
        <f>IF($AZ$5="CSM_CTC",$AZ$6,IF(OR($AZ$7="ALL",Assumptions!$N$62="Y"),INDEX(Assumptions!$D$62:$F$62,$AZ$4),Assumptions!$E$62))</f>
        <v/>
      </c>
      <c r="BA52" s="50">
        <f>IF($BA$5="CSM_CTC",$BA$6,IF(OR($BA$7="ALL",Assumptions!$N$62="Y"),INDEX(Assumptions!$D$62:$F$62,$BA$4),Assumptions!$E$62))</f>
        <v/>
      </c>
      <c r="BB52" s="50">
        <f>IF($BB$5="CSM_CTC",$BB$6,IF(OR($BB$7="ALL",Assumptions!$N$62="Y"),INDEX(Assumptions!$D$62:$F$62,$BB$4),Assumptions!$E$62))</f>
        <v/>
      </c>
      <c r="BC52" s="50">
        <f>IF($BC$5="CSM_CTC",$BC$6,IF(OR($BC$7="ALL",Assumptions!$N$62="Y"),INDEX(Assumptions!$D$62:$F$62,$BC$4),Assumptions!$E$62))</f>
        <v/>
      </c>
      <c r="BD52" s="50">
        <f>IF($BD$5="CSM_CTC",$BD$6,IF(OR($BD$7="ALL",Assumptions!$N$62="Y"),INDEX(Assumptions!$D$62:$F$62,$BD$4),Assumptions!$E$62))</f>
        <v/>
      </c>
      <c r="BE52" s="50">
        <f>IF($BE$5="CSM_CTC",$BE$6,IF(OR($BE$7="ALL",Assumptions!$N$62="Y"),INDEX(Assumptions!$D$62:$F$62,$BE$4),Assumptions!$E$62))</f>
        <v/>
      </c>
    </row>
    <row r="53">
      <c r="B53" s="5" t="inlineStr">
        <is>
          <t>InstPerCSM</t>
        </is>
      </c>
      <c r="D53" s="57">
        <f>IF($D$5="InstPerCSM",$D$6,IF(OR($D$7="ALL",Assumptions!$N$63="Y"),INDEX(Assumptions!$D$63:$F$63,$D$4),Assumptions!$E$63))</f>
        <v/>
      </c>
      <c r="E53" s="57">
        <f>IF($E$5="InstPerCSM",$E$6,IF(OR($E$7="ALL",Assumptions!$N$63="Y"),INDEX(Assumptions!$D$63:$F$63,$E$4),Assumptions!$E$63))</f>
        <v/>
      </c>
      <c r="F53" s="57">
        <f>IF($F$5="InstPerCSM",$F$6,IF(OR($F$7="ALL",Assumptions!$N$63="Y"),INDEX(Assumptions!$D$63:$F$63,$F$4),Assumptions!$E$63))</f>
        <v/>
      </c>
      <c r="G53" s="57">
        <f>IF($G$5="InstPerCSM",$G$6,IF(OR($G$7="ALL",Assumptions!$N$63="Y"),INDEX(Assumptions!$D$63:$F$63,$G$4),Assumptions!$E$63))</f>
        <v/>
      </c>
      <c r="H53" s="57">
        <f>IF($H$5="InstPerCSM",$H$6,IF(OR($H$7="ALL",Assumptions!$N$63="Y"),INDEX(Assumptions!$D$63:$F$63,$H$4),Assumptions!$E$63))</f>
        <v/>
      </c>
      <c r="I53" s="57">
        <f>IF($I$5="InstPerCSM",$I$6,IF(OR($I$7="ALL",Assumptions!$N$63="Y"),INDEX(Assumptions!$D$63:$F$63,$I$4),Assumptions!$E$63))</f>
        <v/>
      </c>
      <c r="J53" s="57">
        <f>IF($J$5="InstPerCSM",$J$6,IF(OR($J$7="ALL",Assumptions!$N$63="Y"),INDEX(Assumptions!$D$63:$F$63,$J$4),Assumptions!$E$63))</f>
        <v/>
      </c>
      <c r="K53" s="57">
        <f>IF($K$5="InstPerCSM",$K$6,IF(OR($K$7="ALL",Assumptions!$N$63="Y"),INDEX(Assumptions!$D$63:$F$63,$K$4),Assumptions!$E$63))</f>
        <v/>
      </c>
      <c r="L53" s="57">
        <f>IF($L$5="InstPerCSM",$L$6,IF(OR($L$7="ALL",Assumptions!$N$63="Y"),INDEX(Assumptions!$D$63:$F$63,$L$4),Assumptions!$E$63))</f>
        <v/>
      </c>
      <c r="M53" s="57">
        <f>IF($M$5="InstPerCSM",$M$6,IF(OR($M$7="ALL",Assumptions!$N$63="Y"),INDEX(Assumptions!$D$63:$F$63,$M$4),Assumptions!$E$63))</f>
        <v/>
      </c>
      <c r="N53" s="57">
        <f>IF($N$5="InstPerCSM",$N$6,IF(OR($N$7="ALL",Assumptions!$N$63="Y"),INDEX(Assumptions!$D$63:$F$63,$N$4),Assumptions!$E$63))</f>
        <v/>
      </c>
      <c r="O53" s="57">
        <f>IF($O$5="InstPerCSM",$O$6,IF(OR($O$7="ALL",Assumptions!$N$63="Y"),INDEX(Assumptions!$D$63:$F$63,$O$4),Assumptions!$E$63))</f>
        <v/>
      </c>
      <c r="P53" s="57">
        <f>IF($P$5="InstPerCSM",$P$6,IF(OR($P$7="ALL",Assumptions!$N$63="Y"),INDEX(Assumptions!$D$63:$F$63,$P$4),Assumptions!$E$63))</f>
        <v/>
      </c>
      <c r="Q53" s="57">
        <f>IF($Q$5="InstPerCSM",$Q$6,IF(OR($Q$7="ALL",Assumptions!$N$63="Y"),INDEX(Assumptions!$D$63:$F$63,$Q$4),Assumptions!$E$63))</f>
        <v/>
      </c>
      <c r="R53" s="57">
        <f>IF($R$5="InstPerCSM",$R$6,IF(OR($R$7="ALL",Assumptions!$N$63="Y"),INDEX(Assumptions!$D$63:$F$63,$R$4),Assumptions!$E$63))</f>
        <v/>
      </c>
      <c r="S53" s="57">
        <f>IF($S$5="InstPerCSM",$S$6,IF(OR($S$7="ALL",Assumptions!$N$63="Y"),INDEX(Assumptions!$D$63:$F$63,$S$4),Assumptions!$E$63))</f>
        <v/>
      </c>
      <c r="T53" s="57">
        <f>IF($T$5="InstPerCSM",$T$6,IF(OR($T$7="ALL",Assumptions!$N$63="Y"),INDEX(Assumptions!$D$63:$F$63,$T$4),Assumptions!$E$63))</f>
        <v/>
      </c>
      <c r="U53" s="57">
        <f>IF($U$5="InstPerCSM",$U$6,IF(OR($U$7="ALL",Assumptions!$N$63="Y"),INDEX(Assumptions!$D$63:$F$63,$U$4),Assumptions!$E$63))</f>
        <v/>
      </c>
      <c r="V53" s="57">
        <f>IF($V$5="InstPerCSM",$V$6,IF(OR($V$7="ALL",Assumptions!$N$63="Y"),INDEX(Assumptions!$D$63:$F$63,$V$4),Assumptions!$E$63))</f>
        <v/>
      </c>
      <c r="W53" s="57">
        <f>IF($W$5="InstPerCSM",$W$6,IF(OR($W$7="ALL",Assumptions!$N$63="Y"),INDEX(Assumptions!$D$63:$F$63,$W$4),Assumptions!$E$63))</f>
        <v/>
      </c>
      <c r="X53" s="57">
        <f>IF($X$5="InstPerCSM",$X$6,IF(OR($X$7="ALL",Assumptions!$N$63="Y"),INDEX(Assumptions!$D$63:$F$63,$X$4),Assumptions!$E$63))</f>
        <v/>
      </c>
      <c r="Y53" s="57">
        <f>IF($Y$5="InstPerCSM",$Y$6,IF(OR($Y$7="ALL",Assumptions!$N$63="Y"),INDEX(Assumptions!$D$63:$F$63,$Y$4),Assumptions!$E$63))</f>
        <v/>
      </c>
      <c r="Z53" s="57">
        <f>IF($Z$5="InstPerCSM",$Z$6,IF(OR($Z$7="ALL",Assumptions!$N$63="Y"),INDEX(Assumptions!$D$63:$F$63,$Z$4),Assumptions!$E$63))</f>
        <v/>
      </c>
      <c r="AA53" s="57">
        <f>IF($AA$5="InstPerCSM",$AA$6,IF(OR($AA$7="ALL",Assumptions!$N$63="Y"),INDEX(Assumptions!$D$63:$F$63,$AA$4),Assumptions!$E$63))</f>
        <v/>
      </c>
      <c r="AB53" s="57">
        <f>IF($AB$5="InstPerCSM",$AB$6,IF(OR($AB$7="ALL",Assumptions!$N$63="Y"),INDEX(Assumptions!$D$63:$F$63,$AB$4),Assumptions!$E$63))</f>
        <v/>
      </c>
      <c r="AC53" s="57">
        <f>IF($AC$5="InstPerCSM",$AC$6,IF(OR($AC$7="ALL",Assumptions!$N$63="Y"),INDEX(Assumptions!$D$63:$F$63,$AC$4),Assumptions!$E$63))</f>
        <v/>
      </c>
      <c r="AD53" s="57">
        <f>IF($AD$5="InstPerCSM",$AD$6,IF(OR($AD$7="ALL",Assumptions!$N$63="Y"),INDEX(Assumptions!$D$63:$F$63,$AD$4),Assumptions!$E$63))</f>
        <v/>
      </c>
      <c r="AE53" s="57">
        <f>IF($AE$5="InstPerCSM",$AE$6,IF(OR($AE$7="ALL",Assumptions!$N$63="Y"),INDEX(Assumptions!$D$63:$F$63,$AE$4),Assumptions!$E$63))</f>
        <v/>
      </c>
      <c r="AF53" s="57">
        <f>IF($AF$5="InstPerCSM",$AF$6,IF(OR($AF$7="ALL",Assumptions!$N$63="Y"),INDEX(Assumptions!$D$63:$F$63,$AF$4),Assumptions!$E$63))</f>
        <v/>
      </c>
      <c r="AG53" s="57">
        <f>IF($AG$5="InstPerCSM",$AG$6,IF(OR($AG$7="ALL",Assumptions!$N$63="Y"),INDEX(Assumptions!$D$63:$F$63,$AG$4),Assumptions!$E$63))</f>
        <v/>
      </c>
      <c r="AH53" s="57">
        <f>IF($AH$5="InstPerCSM",$AH$6,IF(OR($AH$7="ALL",Assumptions!$N$63="Y"),INDEX(Assumptions!$D$63:$F$63,$AH$4),Assumptions!$E$63))</f>
        <v/>
      </c>
      <c r="AI53" s="57">
        <f>IF($AI$5="InstPerCSM",$AI$6,IF(OR($AI$7="ALL",Assumptions!$N$63="Y"),INDEX(Assumptions!$D$63:$F$63,$AI$4),Assumptions!$E$63))</f>
        <v/>
      </c>
      <c r="AJ53" s="57">
        <f>IF($AJ$5="InstPerCSM",$AJ$6,IF(OR($AJ$7="ALL",Assumptions!$N$63="Y"),INDEX(Assumptions!$D$63:$F$63,$AJ$4),Assumptions!$E$63))</f>
        <v/>
      </c>
      <c r="AK53" s="57">
        <f>IF($AK$5="InstPerCSM",$AK$6,IF(OR($AK$7="ALL",Assumptions!$N$63="Y"),INDEX(Assumptions!$D$63:$F$63,$AK$4),Assumptions!$E$63))</f>
        <v/>
      </c>
      <c r="AL53" s="57">
        <f>IF($AL$5="InstPerCSM",$AL$6,IF(OR($AL$7="ALL",Assumptions!$N$63="Y"),INDEX(Assumptions!$D$63:$F$63,$AL$4),Assumptions!$E$63))</f>
        <v/>
      </c>
      <c r="AM53" s="57">
        <f>IF($AM$5="InstPerCSM",$AM$6,IF(OR($AM$7="ALL",Assumptions!$N$63="Y"),INDEX(Assumptions!$D$63:$F$63,$AM$4),Assumptions!$E$63))</f>
        <v/>
      </c>
      <c r="AN53" s="57">
        <f>IF($AN$5="InstPerCSM",$AN$6,IF(OR($AN$7="ALL",Assumptions!$N$63="Y"),INDEX(Assumptions!$D$63:$F$63,$AN$4),Assumptions!$E$63))</f>
        <v/>
      </c>
      <c r="AO53" s="57">
        <f>IF($AO$5="InstPerCSM",$AO$6,IF(OR($AO$7="ALL",Assumptions!$N$63="Y"),INDEX(Assumptions!$D$63:$F$63,$AO$4),Assumptions!$E$63))</f>
        <v/>
      </c>
      <c r="AP53" s="57">
        <f>IF($AP$5="InstPerCSM",$AP$6,IF(OR($AP$7="ALL",Assumptions!$N$63="Y"),INDEX(Assumptions!$D$63:$F$63,$AP$4),Assumptions!$E$63))</f>
        <v/>
      </c>
      <c r="AQ53" s="57">
        <f>IF($AQ$5="InstPerCSM",$AQ$6,IF(OR($AQ$7="ALL",Assumptions!$N$63="Y"),INDEX(Assumptions!$D$63:$F$63,$AQ$4),Assumptions!$E$63))</f>
        <v/>
      </c>
      <c r="AR53" s="57">
        <f>IF($AR$5="InstPerCSM",$AR$6,IF(OR($AR$7="ALL",Assumptions!$N$63="Y"),INDEX(Assumptions!$D$63:$F$63,$AR$4),Assumptions!$E$63))</f>
        <v/>
      </c>
      <c r="AS53" s="57">
        <f>IF($AS$5="InstPerCSM",$AS$6,IF(OR($AS$7="ALL",Assumptions!$N$63="Y"),INDEX(Assumptions!$D$63:$F$63,$AS$4),Assumptions!$E$63))</f>
        <v/>
      </c>
      <c r="AT53" s="57">
        <f>IF($AT$5="InstPerCSM",$AT$6,IF(OR($AT$7="ALL",Assumptions!$N$63="Y"),INDEX(Assumptions!$D$63:$F$63,$AT$4),Assumptions!$E$63))</f>
        <v/>
      </c>
      <c r="AU53" s="57">
        <f>IF($AU$5="InstPerCSM",$AU$6,IF(OR($AU$7="ALL",Assumptions!$N$63="Y"),INDEX(Assumptions!$D$63:$F$63,$AU$4),Assumptions!$E$63))</f>
        <v/>
      </c>
      <c r="AV53" s="57">
        <f>IF($AV$5="InstPerCSM",$AV$6,IF(OR($AV$7="ALL",Assumptions!$N$63="Y"),INDEX(Assumptions!$D$63:$F$63,$AV$4),Assumptions!$E$63))</f>
        <v/>
      </c>
      <c r="AW53" s="57">
        <f>IF($AW$5="InstPerCSM",$AW$6,IF(OR($AW$7="ALL",Assumptions!$N$63="Y"),INDEX(Assumptions!$D$63:$F$63,$AW$4),Assumptions!$E$63))</f>
        <v/>
      </c>
      <c r="AX53" s="57">
        <f>IF($AX$5="InstPerCSM",$AX$6,IF(OR($AX$7="ALL",Assumptions!$N$63="Y"),INDEX(Assumptions!$D$63:$F$63,$AX$4),Assumptions!$E$63))</f>
        <v/>
      </c>
      <c r="AY53" s="57">
        <f>IF($AY$5="InstPerCSM",$AY$6,IF(OR($AY$7="ALL",Assumptions!$N$63="Y"),INDEX(Assumptions!$D$63:$F$63,$AY$4),Assumptions!$E$63))</f>
        <v/>
      </c>
      <c r="AZ53" s="57">
        <f>IF($AZ$5="InstPerCSM",$AZ$6,IF(OR($AZ$7="ALL",Assumptions!$N$63="Y"),INDEX(Assumptions!$D$63:$F$63,$AZ$4),Assumptions!$E$63))</f>
        <v/>
      </c>
      <c r="BA53" s="57">
        <f>IF($BA$5="InstPerCSM",$BA$6,IF(OR($BA$7="ALL",Assumptions!$N$63="Y"),INDEX(Assumptions!$D$63:$F$63,$BA$4),Assumptions!$E$63))</f>
        <v/>
      </c>
      <c r="BB53" s="57">
        <f>IF($BB$5="InstPerCSM",$BB$6,IF(OR($BB$7="ALL",Assumptions!$N$63="Y"),INDEX(Assumptions!$D$63:$F$63,$BB$4),Assumptions!$E$63))</f>
        <v/>
      </c>
      <c r="BC53" s="57">
        <f>IF($BC$5="InstPerCSM",$BC$6,IF(OR($BC$7="ALL",Assumptions!$N$63="Y"),INDEX(Assumptions!$D$63:$F$63,$BC$4),Assumptions!$E$63))</f>
        <v/>
      </c>
      <c r="BD53" s="57">
        <f>IF($BD$5="InstPerCSM",$BD$6,IF(OR($BD$7="ALL",Assumptions!$N$63="Y"),INDEX(Assumptions!$D$63:$F$63,$BD$4),Assumptions!$E$63))</f>
        <v/>
      </c>
      <c r="BE53" s="57">
        <f>IF($BE$5="InstPerCSM",$BE$6,IF(OR($BE$7="ALL",Assumptions!$N$63="Y"),INDEX(Assumptions!$D$63:$F$63,$BE$4),Assumptions!$E$63))</f>
        <v/>
      </c>
    </row>
    <row r="54">
      <c r="B54" s="5" t="inlineStr">
        <is>
          <t>RepCTC</t>
        </is>
      </c>
      <c r="D54" s="50">
        <f>IF($D$5="RepCTC",$D$6,IF(OR($D$7="ALL",Assumptions!$N$64="Y"),INDEX(Assumptions!$D$64:$F$64,$D$4),Assumptions!$E$64))</f>
        <v/>
      </c>
      <c r="E54" s="50">
        <f>IF($E$5="RepCTC",$E$6,IF(OR($E$7="ALL",Assumptions!$N$64="Y"),INDEX(Assumptions!$D$64:$F$64,$E$4),Assumptions!$E$64))</f>
        <v/>
      </c>
      <c r="F54" s="50">
        <f>IF($F$5="RepCTC",$F$6,IF(OR($F$7="ALL",Assumptions!$N$64="Y"),INDEX(Assumptions!$D$64:$F$64,$F$4),Assumptions!$E$64))</f>
        <v/>
      </c>
      <c r="G54" s="50">
        <f>IF($G$5="RepCTC",$G$6,IF(OR($G$7="ALL",Assumptions!$N$64="Y"),INDEX(Assumptions!$D$64:$F$64,$G$4),Assumptions!$E$64))</f>
        <v/>
      </c>
      <c r="H54" s="50">
        <f>IF($H$5="RepCTC",$H$6,IF(OR($H$7="ALL",Assumptions!$N$64="Y"),INDEX(Assumptions!$D$64:$F$64,$H$4),Assumptions!$E$64))</f>
        <v/>
      </c>
      <c r="I54" s="50">
        <f>IF($I$5="RepCTC",$I$6,IF(OR($I$7="ALL",Assumptions!$N$64="Y"),INDEX(Assumptions!$D$64:$F$64,$I$4),Assumptions!$E$64))</f>
        <v/>
      </c>
      <c r="J54" s="50">
        <f>IF($J$5="RepCTC",$J$6,IF(OR($J$7="ALL",Assumptions!$N$64="Y"),INDEX(Assumptions!$D$64:$F$64,$J$4),Assumptions!$E$64))</f>
        <v/>
      </c>
      <c r="K54" s="50">
        <f>IF($K$5="RepCTC",$K$6,IF(OR($K$7="ALL",Assumptions!$N$64="Y"),INDEX(Assumptions!$D$64:$F$64,$K$4),Assumptions!$E$64))</f>
        <v/>
      </c>
      <c r="L54" s="50">
        <f>IF($L$5="RepCTC",$L$6,IF(OR($L$7="ALL",Assumptions!$N$64="Y"),INDEX(Assumptions!$D$64:$F$64,$L$4),Assumptions!$E$64))</f>
        <v/>
      </c>
      <c r="M54" s="50">
        <f>IF($M$5="RepCTC",$M$6,IF(OR($M$7="ALL",Assumptions!$N$64="Y"),INDEX(Assumptions!$D$64:$F$64,$M$4),Assumptions!$E$64))</f>
        <v/>
      </c>
      <c r="N54" s="50">
        <f>IF($N$5="RepCTC",$N$6,IF(OR($N$7="ALL",Assumptions!$N$64="Y"),INDEX(Assumptions!$D$64:$F$64,$N$4),Assumptions!$E$64))</f>
        <v/>
      </c>
      <c r="O54" s="50">
        <f>IF($O$5="RepCTC",$O$6,IF(OR($O$7="ALL",Assumptions!$N$64="Y"),INDEX(Assumptions!$D$64:$F$64,$O$4),Assumptions!$E$64))</f>
        <v/>
      </c>
      <c r="P54" s="50">
        <f>IF($P$5="RepCTC",$P$6,IF(OR($P$7="ALL",Assumptions!$N$64="Y"),INDEX(Assumptions!$D$64:$F$64,$P$4),Assumptions!$E$64))</f>
        <v/>
      </c>
      <c r="Q54" s="50">
        <f>IF($Q$5="RepCTC",$Q$6,IF(OR($Q$7="ALL",Assumptions!$N$64="Y"),INDEX(Assumptions!$D$64:$F$64,$Q$4),Assumptions!$E$64))</f>
        <v/>
      </c>
      <c r="R54" s="50">
        <f>IF($R$5="RepCTC",$R$6,IF(OR($R$7="ALL",Assumptions!$N$64="Y"),INDEX(Assumptions!$D$64:$F$64,$R$4),Assumptions!$E$64))</f>
        <v/>
      </c>
      <c r="S54" s="50">
        <f>IF($S$5="RepCTC",$S$6,IF(OR($S$7="ALL",Assumptions!$N$64="Y"),INDEX(Assumptions!$D$64:$F$64,$S$4),Assumptions!$E$64))</f>
        <v/>
      </c>
      <c r="T54" s="50">
        <f>IF($T$5="RepCTC",$T$6,IF(OR($T$7="ALL",Assumptions!$N$64="Y"),INDEX(Assumptions!$D$64:$F$64,$T$4),Assumptions!$E$64))</f>
        <v/>
      </c>
      <c r="U54" s="50">
        <f>IF($U$5="RepCTC",$U$6,IF(OR($U$7="ALL",Assumptions!$N$64="Y"),INDEX(Assumptions!$D$64:$F$64,$U$4),Assumptions!$E$64))</f>
        <v/>
      </c>
      <c r="V54" s="50">
        <f>IF($V$5="RepCTC",$V$6,IF(OR($V$7="ALL",Assumptions!$N$64="Y"),INDEX(Assumptions!$D$64:$F$64,$V$4),Assumptions!$E$64))</f>
        <v/>
      </c>
      <c r="W54" s="50">
        <f>IF($W$5="RepCTC",$W$6,IF(OR($W$7="ALL",Assumptions!$N$64="Y"),INDEX(Assumptions!$D$64:$F$64,$W$4),Assumptions!$E$64))</f>
        <v/>
      </c>
      <c r="X54" s="50">
        <f>IF($X$5="RepCTC",$X$6,IF(OR($X$7="ALL",Assumptions!$N$64="Y"),INDEX(Assumptions!$D$64:$F$64,$X$4),Assumptions!$E$64))</f>
        <v/>
      </c>
      <c r="Y54" s="50">
        <f>IF($Y$5="RepCTC",$Y$6,IF(OR($Y$7="ALL",Assumptions!$N$64="Y"),INDEX(Assumptions!$D$64:$F$64,$Y$4),Assumptions!$E$64))</f>
        <v/>
      </c>
      <c r="Z54" s="50">
        <f>IF($Z$5="RepCTC",$Z$6,IF(OR($Z$7="ALL",Assumptions!$N$64="Y"),INDEX(Assumptions!$D$64:$F$64,$Z$4),Assumptions!$E$64))</f>
        <v/>
      </c>
      <c r="AA54" s="50">
        <f>IF($AA$5="RepCTC",$AA$6,IF(OR($AA$7="ALL",Assumptions!$N$64="Y"),INDEX(Assumptions!$D$64:$F$64,$AA$4),Assumptions!$E$64))</f>
        <v/>
      </c>
      <c r="AB54" s="50">
        <f>IF($AB$5="RepCTC",$AB$6,IF(OR($AB$7="ALL",Assumptions!$N$64="Y"),INDEX(Assumptions!$D$64:$F$64,$AB$4),Assumptions!$E$64))</f>
        <v/>
      </c>
      <c r="AC54" s="50">
        <f>IF($AC$5="RepCTC",$AC$6,IF(OR($AC$7="ALL",Assumptions!$N$64="Y"),INDEX(Assumptions!$D$64:$F$64,$AC$4),Assumptions!$E$64))</f>
        <v/>
      </c>
      <c r="AD54" s="50">
        <f>IF($AD$5="RepCTC",$AD$6,IF(OR($AD$7="ALL",Assumptions!$N$64="Y"),INDEX(Assumptions!$D$64:$F$64,$AD$4),Assumptions!$E$64))</f>
        <v/>
      </c>
      <c r="AE54" s="50">
        <f>IF($AE$5="RepCTC",$AE$6,IF(OR($AE$7="ALL",Assumptions!$N$64="Y"),INDEX(Assumptions!$D$64:$F$64,$AE$4),Assumptions!$E$64))</f>
        <v/>
      </c>
      <c r="AF54" s="50">
        <f>IF($AF$5="RepCTC",$AF$6,IF(OR($AF$7="ALL",Assumptions!$N$64="Y"),INDEX(Assumptions!$D$64:$F$64,$AF$4),Assumptions!$E$64))</f>
        <v/>
      </c>
      <c r="AG54" s="50">
        <f>IF($AG$5="RepCTC",$AG$6,IF(OR($AG$7="ALL",Assumptions!$N$64="Y"),INDEX(Assumptions!$D$64:$F$64,$AG$4),Assumptions!$E$64))</f>
        <v/>
      </c>
      <c r="AH54" s="50">
        <f>IF($AH$5="RepCTC",$AH$6,IF(OR($AH$7="ALL",Assumptions!$N$64="Y"),INDEX(Assumptions!$D$64:$F$64,$AH$4),Assumptions!$E$64))</f>
        <v/>
      </c>
      <c r="AI54" s="50">
        <f>IF($AI$5="RepCTC",$AI$6,IF(OR($AI$7="ALL",Assumptions!$N$64="Y"),INDEX(Assumptions!$D$64:$F$64,$AI$4),Assumptions!$E$64))</f>
        <v/>
      </c>
      <c r="AJ54" s="50">
        <f>IF($AJ$5="RepCTC",$AJ$6,IF(OR($AJ$7="ALL",Assumptions!$N$64="Y"),INDEX(Assumptions!$D$64:$F$64,$AJ$4),Assumptions!$E$64))</f>
        <v/>
      </c>
      <c r="AK54" s="50">
        <f>IF($AK$5="RepCTC",$AK$6,IF(OR($AK$7="ALL",Assumptions!$N$64="Y"),INDEX(Assumptions!$D$64:$F$64,$AK$4),Assumptions!$E$64))</f>
        <v/>
      </c>
      <c r="AL54" s="50">
        <f>IF($AL$5="RepCTC",$AL$6,IF(OR($AL$7="ALL",Assumptions!$N$64="Y"),INDEX(Assumptions!$D$64:$F$64,$AL$4),Assumptions!$E$64))</f>
        <v/>
      </c>
      <c r="AM54" s="50">
        <f>IF($AM$5="RepCTC",$AM$6,IF(OR($AM$7="ALL",Assumptions!$N$64="Y"),INDEX(Assumptions!$D$64:$F$64,$AM$4),Assumptions!$E$64))</f>
        <v/>
      </c>
      <c r="AN54" s="50">
        <f>IF($AN$5="RepCTC",$AN$6,IF(OR($AN$7="ALL",Assumptions!$N$64="Y"),INDEX(Assumptions!$D$64:$F$64,$AN$4),Assumptions!$E$64))</f>
        <v/>
      </c>
      <c r="AO54" s="50">
        <f>IF($AO$5="RepCTC",$AO$6,IF(OR($AO$7="ALL",Assumptions!$N$64="Y"),INDEX(Assumptions!$D$64:$F$64,$AO$4),Assumptions!$E$64))</f>
        <v/>
      </c>
      <c r="AP54" s="50">
        <f>IF($AP$5="RepCTC",$AP$6,IF(OR($AP$7="ALL",Assumptions!$N$64="Y"),INDEX(Assumptions!$D$64:$F$64,$AP$4),Assumptions!$E$64))</f>
        <v/>
      </c>
      <c r="AQ54" s="50">
        <f>IF($AQ$5="RepCTC",$AQ$6,IF(OR($AQ$7="ALL",Assumptions!$N$64="Y"),INDEX(Assumptions!$D$64:$F$64,$AQ$4),Assumptions!$E$64))</f>
        <v/>
      </c>
      <c r="AR54" s="50">
        <f>IF($AR$5="RepCTC",$AR$6,IF(OR($AR$7="ALL",Assumptions!$N$64="Y"),INDEX(Assumptions!$D$64:$F$64,$AR$4),Assumptions!$E$64))</f>
        <v/>
      </c>
      <c r="AS54" s="50">
        <f>IF($AS$5="RepCTC",$AS$6,IF(OR($AS$7="ALL",Assumptions!$N$64="Y"),INDEX(Assumptions!$D$64:$F$64,$AS$4),Assumptions!$E$64))</f>
        <v/>
      </c>
      <c r="AT54" s="50">
        <f>IF($AT$5="RepCTC",$AT$6,IF(OR($AT$7="ALL",Assumptions!$N$64="Y"),INDEX(Assumptions!$D$64:$F$64,$AT$4),Assumptions!$E$64))</f>
        <v/>
      </c>
      <c r="AU54" s="50">
        <f>IF($AU$5="RepCTC",$AU$6,IF(OR($AU$7="ALL",Assumptions!$N$64="Y"),INDEX(Assumptions!$D$64:$F$64,$AU$4),Assumptions!$E$64))</f>
        <v/>
      </c>
      <c r="AV54" s="50">
        <f>IF($AV$5="RepCTC",$AV$6,IF(OR($AV$7="ALL",Assumptions!$N$64="Y"),INDEX(Assumptions!$D$64:$F$64,$AV$4),Assumptions!$E$64))</f>
        <v/>
      </c>
      <c r="AW54" s="50">
        <f>IF($AW$5="RepCTC",$AW$6,IF(OR($AW$7="ALL",Assumptions!$N$64="Y"),INDEX(Assumptions!$D$64:$F$64,$AW$4),Assumptions!$E$64))</f>
        <v/>
      </c>
      <c r="AX54" s="50">
        <f>IF($AX$5="RepCTC",$AX$6,IF(OR($AX$7="ALL",Assumptions!$N$64="Y"),INDEX(Assumptions!$D$64:$F$64,$AX$4),Assumptions!$E$64))</f>
        <v/>
      </c>
      <c r="AY54" s="50">
        <f>IF($AY$5="RepCTC",$AY$6,IF(OR($AY$7="ALL",Assumptions!$N$64="Y"),INDEX(Assumptions!$D$64:$F$64,$AY$4),Assumptions!$E$64))</f>
        <v/>
      </c>
      <c r="AZ54" s="50">
        <f>IF($AZ$5="RepCTC",$AZ$6,IF(OR($AZ$7="ALL",Assumptions!$N$64="Y"),INDEX(Assumptions!$D$64:$F$64,$AZ$4),Assumptions!$E$64))</f>
        <v/>
      </c>
      <c r="BA54" s="50">
        <f>IF($BA$5="RepCTC",$BA$6,IF(OR($BA$7="ALL",Assumptions!$N$64="Y"),INDEX(Assumptions!$D$64:$F$64,$BA$4),Assumptions!$E$64))</f>
        <v/>
      </c>
      <c r="BB54" s="50">
        <f>IF($BB$5="RepCTC",$BB$6,IF(OR($BB$7="ALL",Assumptions!$N$64="Y"),INDEX(Assumptions!$D$64:$F$64,$BB$4),Assumptions!$E$64))</f>
        <v/>
      </c>
      <c r="BC54" s="50">
        <f>IF($BC$5="RepCTC",$BC$6,IF(OR($BC$7="ALL",Assumptions!$N$64="Y"),INDEX(Assumptions!$D$64:$F$64,$BC$4),Assumptions!$E$64))</f>
        <v/>
      </c>
      <c r="BD54" s="50">
        <f>IF($BD$5="RepCTC",$BD$6,IF(OR($BD$7="ALL",Assumptions!$N$64="Y"),INDEX(Assumptions!$D$64:$F$64,$BD$4),Assumptions!$E$64))</f>
        <v/>
      </c>
      <c r="BE54" s="50">
        <f>IF($BE$5="RepCTC",$BE$6,IF(OR($BE$7="ALL",Assumptions!$N$64="Y"),INDEX(Assumptions!$D$64:$F$64,$BE$4),Assumptions!$E$64))</f>
        <v/>
      </c>
    </row>
    <row r="55">
      <c r="B55" s="5" t="inlineStr">
        <is>
          <t>RepTravel</t>
        </is>
      </c>
      <c r="D55" s="50">
        <f>IF($D$5="RepTravel",$D$6,IF(OR($D$7="ALL",Assumptions!$N$65="Y"),INDEX(Assumptions!$D$65:$F$65,$D$4),Assumptions!$E$65))</f>
        <v/>
      </c>
      <c r="E55" s="50">
        <f>IF($E$5="RepTravel",$E$6,IF(OR($E$7="ALL",Assumptions!$N$65="Y"),INDEX(Assumptions!$D$65:$F$65,$E$4),Assumptions!$E$65))</f>
        <v/>
      </c>
      <c r="F55" s="50">
        <f>IF($F$5="RepTravel",$F$6,IF(OR($F$7="ALL",Assumptions!$N$65="Y"),INDEX(Assumptions!$D$65:$F$65,$F$4),Assumptions!$E$65))</f>
        <v/>
      </c>
      <c r="G55" s="50">
        <f>IF($G$5="RepTravel",$G$6,IF(OR($G$7="ALL",Assumptions!$N$65="Y"),INDEX(Assumptions!$D$65:$F$65,$G$4),Assumptions!$E$65))</f>
        <v/>
      </c>
      <c r="H55" s="50">
        <f>IF($H$5="RepTravel",$H$6,IF(OR($H$7="ALL",Assumptions!$N$65="Y"),INDEX(Assumptions!$D$65:$F$65,$H$4),Assumptions!$E$65))</f>
        <v/>
      </c>
      <c r="I55" s="50">
        <f>IF($I$5="RepTravel",$I$6,IF(OR($I$7="ALL",Assumptions!$N$65="Y"),INDEX(Assumptions!$D$65:$F$65,$I$4),Assumptions!$E$65))</f>
        <v/>
      </c>
      <c r="J55" s="50">
        <f>IF($J$5="RepTravel",$J$6,IF(OR($J$7="ALL",Assumptions!$N$65="Y"),INDEX(Assumptions!$D$65:$F$65,$J$4),Assumptions!$E$65))</f>
        <v/>
      </c>
      <c r="K55" s="50">
        <f>IF($K$5="RepTravel",$K$6,IF(OR($K$7="ALL",Assumptions!$N$65="Y"),INDEX(Assumptions!$D$65:$F$65,$K$4),Assumptions!$E$65))</f>
        <v/>
      </c>
      <c r="L55" s="50">
        <f>IF($L$5="RepTravel",$L$6,IF(OR($L$7="ALL",Assumptions!$N$65="Y"),INDEX(Assumptions!$D$65:$F$65,$L$4),Assumptions!$E$65))</f>
        <v/>
      </c>
      <c r="M55" s="50">
        <f>IF($M$5="RepTravel",$M$6,IF(OR($M$7="ALL",Assumptions!$N$65="Y"),INDEX(Assumptions!$D$65:$F$65,$M$4),Assumptions!$E$65))</f>
        <v/>
      </c>
      <c r="N55" s="50">
        <f>IF($N$5="RepTravel",$N$6,IF(OR($N$7="ALL",Assumptions!$N$65="Y"),INDEX(Assumptions!$D$65:$F$65,$N$4),Assumptions!$E$65))</f>
        <v/>
      </c>
      <c r="O55" s="50">
        <f>IF($O$5="RepTravel",$O$6,IF(OR($O$7="ALL",Assumptions!$N$65="Y"),INDEX(Assumptions!$D$65:$F$65,$O$4),Assumptions!$E$65))</f>
        <v/>
      </c>
      <c r="P55" s="50">
        <f>IF($P$5="RepTravel",$P$6,IF(OR($P$7="ALL",Assumptions!$N$65="Y"),INDEX(Assumptions!$D$65:$F$65,$P$4),Assumptions!$E$65))</f>
        <v/>
      </c>
      <c r="Q55" s="50">
        <f>IF($Q$5="RepTravel",$Q$6,IF(OR($Q$7="ALL",Assumptions!$N$65="Y"),INDEX(Assumptions!$D$65:$F$65,$Q$4),Assumptions!$E$65))</f>
        <v/>
      </c>
      <c r="R55" s="50">
        <f>IF($R$5="RepTravel",$R$6,IF(OR($R$7="ALL",Assumptions!$N$65="Y"),INDEX(Assumptions!$D$65:$F$65,$R$4),Assumptions!$E$65))</f>
        <v/>
      </c>
      <c r="S55" s="50">
        <f>IF($S$5="RepTravel",$S$6,IF(OR($S$7="ALL",Assumptions!$N$65="Y"),INDEX(Assumptions!$D$65:$F$65,$S$4),Assumptions!$E$65))</f>
        <v/>
      </c>
      <c r="T55" s="50">
        <f>IF($T$5="RepTravel",$T$6,IF(OR($T$7="ALL",Assumptions!$N$65="Y"),INDEX(Assumptions!$D$65:$F$65,$T$4),Assumptions!$E$65))</f>
        <v/>
      </c>
      <c r="U55" s="50">
        <f>IF($U$5="RepTravel",$U$6,IF(OR($U$7="ALL",Assumptions!$N$65="Y"),INDEX(Assumptions!$D$65:$F$65,$U$4),Assumptions!$E$65))</f>
        <v/>
      </c>
      <c r="V55" s="50">
        <f>IF($V$5="RepTravel",$V$6,IF(OR($V$7="ALL",Assumptions!$N$65="Y"),INDEX(Assumptions!$D$65:$F$65,$V$4),Assumptions!$E$65))</f>
        <v/>
      </c>
      <c r="W55" s="50">
        <f>IF($W$5="RepTravel",$W$6,IF(OR($W$7="ALL",Assumptions!$N$65="Y"),INDEX(Assumptions!$D$65:$F$65,$W$4),Assumptions!$E$65))</f>
        <v/>
      </c>
      <c r="X55" s="50">
        <f>IF($X$5="RepTravel",$X$6,IF(OR($X$7="ALL",Assumptions!$N$65="Y"),INDEX(Assumptions!$D$65:$F$65,$X$4),Assumptions!$E$65))</f>
        <v/>
      </c>
      <c r="Y55" s="50">
        <f>IF($Y$5="RepTravel",$Y$6,IF(OR($Y$7="ALL",Assumptions!$N$65="Y"),INDEX(Assumptions!$D$65:$F$65,$Y$4),Assumptions!$E$65))</f>
        <v/>
      </c>
      <c r="Z55" s="50">
        <f>IF($Z$5="RepTravel",$Z$6,IF(OR($Z$7="ALL",Assumptions!$N$65="Y"),INDEX(Assumptions!$D$65:$F$65,$Z$4),Assumptions!$E$65))</f>
        <v/>
      </c>
      <c r="AA55" s="50">
        <f>IF($AA$5="RepTravel",$AA$6,IF(OR($AA$7="ALL",Assumptions!$N$65="Y"),INDEX(Assumptions!$D$65:$F$65,$AA$4),Assumptions!$E$65))</f>
        <v/>
      </c>
      <c r="AB55" s="50">
        <f>IF($AB$5="RepTravel",$AB$6,IF(OR($AB$7="ALL",Assumptions!$N$65="Y"),INDEX(Assumptions!$D$65:$F$65,$AB$4),Assumptions!$E$65))</f>
        <v/>
      </c>
      <c r="AC55" s="50">
        <f>IF($AC$5="RepTravel",$AC$6,IF(OR($AC$7="ALL",Assumptions!$N$65="Y"),INDEX(Assumptions!$D$65:$F$65,$AC$4),Assumptions!$E$65))</f>
        <v/>
      </c>
      <c r="AD55" s="50">
        <f>IF($AD$5="RepTravel",$AD$6,IF(OR($AD$7="ALL",Assumptions!$N$65="Y"),INDEX(Assumptions!$D$65:$F$65,$AD$4),Assumptions!$E$65))</f>
        <v/>
      </c>
      <c r="AE55" s="50">
        <f>IF($AE$5="RepTravel",$AE$6,IF(OR($AE$7="ALL",Assumptions!$N$65="Y"),INDEX(Assumptions!$D$65:$F$65,$AE$4),Assumptions!$E$65))</f>
        <v/>
      </c>
      <c r="AF55" s="50">
        <f>IF($AF$5="RepTravel",$AF$6,IF(OR($AF$7="ALL",Assumptions!$N$65="Y"),INDEX(Assumptions!$D$65:$F$65,$AF$4),Assumptions!$E$65))</f>
        <v/>
      </c>
      <c r="AG55" s="50">
        <f>IF($AG$5="RepTravel",$AG$6,IF(OR($AG$7="ALL",Assumptions!$N$65="Y"),INDEX(Assumptions!$D$65:$F$65,$AG$4),Assumptions!$E$65))</f>
        <v/>
      </c>
      <c r="AH55" s="50">
        <f>IF($AH$5="RepTravel",$AH$6,IF(OR($AH$7="ALL",Assumptions!$N$65="Y"),INDEX(Assumptions!$D$65:$F$65,$AH$4),Assumptions!$E$65))</f>
        <v/>
      </c>
      <c r="AI55" s="50">
        <f>IF($AI$5="RepTravel",$AI$6,IF(OR($AI$7="ALL",Assumptions!$N$65="Y"),INDEX(Assumptions!$D$65:$F$65,$AI$4),Assumptions!$E$65))</f>
        <v/>
      </c>
      <c r="AJ55" s="50">
        <f>IF($AJ$5="RepTravel",$AJ$6,IF(OR($AJ$7="ALL",Assumptions!$N$65="Y"),INDEX(Assumptions!$D$65:$F$65,$AJ$4),Assumptions!$E$65))</f>
        <v/>
      </c>
      <c r="AK55" s="50">
        <f>IF($AK$5="RepTravel",$AK$6,IF(OR($AK$7="ALL",Assumptions!$N$65="Y"),INDEX(Assumptions!$D$65:$F$65,$AK$4),Assumptions!$E$65))</f>
        <v/>
      </c>
      <c r="AL55" s="50">
        <f>IF($AL$5="RepTravel",$AL$6,IF(OR($AL$7="ALL",Assumptions!$N$65="Y"),INDEX(Assumptions!$D$65:$F$65,$AL$4),Assumptions!$E$65))</f>
        <v/>
      </c>
      <c r="AM55" s="50">
        <f>IF($AM$5="RepTravel",$AM$6,IF(OR($AM$7="ALL",Assumptions!$N$65="Y"),INDEX(Assumptions!$D$65:$F$65,$AM$4),Assumptions!$E$65))</f>
        <v/>
      </c>
      <c r="AN55" s="50">
        <f>IF($AN$5="RepTravel",$AN$6,IF(OR($AN$7="ALL",Assumptions!$N$65="Y"),INDEX(Assumptions!$D$65:$F$65,$AN$4),Assumptions!$E$65))</f>
        <v/>
      </c>
      <c r="AO55" s="50">
        <f>IF($AO$5="RepTravel",$AO$6,IF(OR($AO$7="ALL",Assumptions!$N$65="Y"),INDEX(Assumptions!$D$65:$F$65,$AO$4),Assumptions!$E$65))</f>
        <v/>
      </c>
      <c r="AP55" s="50">
        <f>IF($AP$5="RepTravel",$AP$6,IF(OR($AP$7="ALL",Assumptions!$N$65="Y"),INDEX(Assumptions!$D$65:$F$65,$AP$4),Assumptions!$E$65))</f>
        <v/>
      </c>
      <c r="AQ55" s="50">
        <f>IF($AQ$5="RepTravel",$AQ$6,IF(OR($AQ$7="ALL",Assumptions!$N$65="Y"),INDEX(Assumptions!$D$65:$F$65,$AQ$4),Assumptions!$E$65))</f>
        <v/>
      </c>
      <c r="AR55" s="50">
        <f>IF($AR$5="RepTravel",$AR$6,IF(OR($AR$7="ALL",Assumptions!$N$65="Y"),INDEX(Assumptions!$D$65:$F$65,$AR$4),Assumptions!$E$65))</f>
        <v/>
      </c>
      <c r="AS55" s="50">
        <f>IF($AS$5="RepTravel",$AS$6,IF(OR($AS$7="ALL",Assumptions!$N$65="Y"),INDEX(Assumptions!$D$65:$F$65,$AS$4),Assumptions!$E$65))</f>
        <v/>
      </c>
      <c r="AT55" s="50">
        <f>IF($AT$5="RepTravel",$AT$6,IF(OR($AT$7="ALL",Assumptions!$N$65="Y"),INDEX(Assumptions!$D$65:$F$65,$AT$4),Assumptions!$E$65))</f>
        <v/>
      </c>
      <c r="AU55" s="50">
        <f>IF($AU$5="RepTravel",$AU$6,IF(OR($AU$7="ALL",Assumptions!$N$65="Y"),INDEX(Assumptions!$D$65:$F$65,$AU$4),Assumptions!$E$65))</f>
        <v/>
      </c>
      <c r="AV55" s="50">
        <f>IF($AV$5="RepTravel",$AV$6,IF(OR($AV$7="ALL",Assumptions!$N$65="Y"),INDEX(Assumptions!$D$65:$F$65,$AV$4),Assumptions!$E$65))</f>
        <v/>
      </c>
      <c r="AW55" s="50">
        <f>IF($AW$5="RepTravel",$AW$6,IF(OR($AW$7="ALL",Assumptions!$N$65="Y"),INDEX(Assumptions!$D$65:$F$65,$AW$4),Assumptions!$E$65))</f>
        <v/>
      </c>
      <c r="AX55" s="50">
        <f>IF($AX$5="RepTravel",$AX$6,IF(OR($AX$7="ALL",Assumptions!$N$65="Y"),INDEX(Assumptions!$D$65:$F$65,$AX$4),Assumptions!$E$65))</f>
        <v/>
      </c>
      <c r="AY55" s="50">
        <f>IF($AY$5="RepTravel",$AY$6,IF(OR($AY$7="ALL",Assumptions!$N$65="Y"),INDEX(Assumptions!$D$65:$F$65,$AY$4),Assumptions!$E$65))</f>
        <v/>
      </c>
      <c r="AZ55" s="50">
        <f>IF($AZ$5="RepTravel",$AZ$6,IF(OR($AZ$7="ALL",Assumptions!$N$65="Y"),INDEX(Assumptions!$D$65:$F$65,$AZ$4),Assumptions!$E$65))</f>
        <v/>
      </c>
      <c r="BA55" s="50">
        <f>IF($BA$5="RepTravel",$BA$6,IF(OR($BA$7="ALL",Assumptions!$N$65="Y"),INDEX(Assumptions!$D$65:$F$65,$BA$4),Assumptions!$E$65))</f>
        <v/>
      </c>
      <c r="BB55" s="50">
        <f>IF($BB$5="RepTravel",$BB$6,IF(OR($BB$7="ALL",Assumptions!$N$65="Y"),INDEX(Assumptions!$D$65:$F$65,$BB$4),Assumptions!$E$65))</f>
        <v/>
      </c>
      <c r="BC55" s="50">
        <f>IF($BC$5="RepTravel",$BC$6,IF(OR($BC$7="ALL",Assumptions!$N$65="Y"),INDEX(Assumptions!$D$65:$F$65,$BC$4),Assumptions!$E$65))</f>
        <v/>
      </c>
      <c r="BD55" s="50">
        <f>IF($BD$5="RepTravel",$BD$6,IF(OR($BD$7="ALL",Assumptions!$N$65="Y"),INDEX(Assumptions!$D$65:$F$65,$BD$4),Assumptions!$E$65))</f>
        <v/>
      </c>
      <c r="BE55" s="50">
        <f>IF($BE$5="RepTravel",$BE$6,IF(OR($BE$7="ALL",Assumptions!$N$65="Y"),INDEX(Assumptions!$D$65:$F$65,$BE$4),Assumptions!$E$65))</f>
        <v/>
      </c>
    </row>
    <row r="56">
      <c r="B56" s="5" t="inlineStr">
        <is>
          <t>PilotsPerRepMonth</t>
        </is>
      </c>
      <c r="D56" s="53">
        <f>IF($D$5="PilotsPerRepMonth",$D$6,IF(OR($D$7="ALL",Assumptions!$N$67="Y"),INDEX(Assumptions!$D$67:$F$67,$D$4),Assumptions!$E$67))</f>
        <v/>
      </c>
      <c r="E56" s="53">
        <f>IF($E$5="PilotsPerRepMonth",$E$6,IF(OR($E$7="ALL",Assumptions!$N$67="Y"),INDEX(Assumptions!$D$67:$F$67,$E$4),Assumptions!$E$67))</f>
        <v/>
      </c>
      <c r="F56" s="53">
        <f>IF($F$5="PilotsPerRepMonth",$F$6,IF(OR($F$7="ALL",Assumptions!$N$67="Y"),INDEX(Assumptions!$D$67:$F$67,$F$4),Assumptions!$E$67))</f>
        <v/>
      </c>
      <c r="G56" s="53">
        <f>IF($G$5="PilotsPerRepMonth",$G$6,IF(OR($G$7="ALL",Assumptions!$N$67="Y"),INDEX(Assumptions!$D$67:$F$67,$G$4),Assumptions!$E$67))</f>
        <v/>
      </c>
      <c r="H56" s="53">
        <f>IF($H$5="PilotsPerRepMonth",$H$6,IF(OR($H$7="ALL",Assumptions!$N$67="Y"),INDEX(Assumptions!$D$67:$F$67,$H$4),Assumptions!$E$67))</f>
        <v/>
      </c>
      <c r="I56" s="53">
        <f>IF($I$5="PilotsPerRepMonth",$I$6,IF(OR($I$7="ALL",Assumptions!$N$67="Y"),INDEX(Assumptions!$D$67:$F$67,$I$4),Assumptions!$E$67))</f>
        <v/>
      </c>
      <c r="J56" s="53">
        <f>IF($J$5="PilotsPerRepMonth",$J$6,IF(OR($J$7="ALL",Assumptions!$N$67="Y"),INDEX(Assumptions!$D$67:$F$67,$J$4),Assumptions!$E$67))</f>
        <v/>
      </c>
      <c r="K56" s="53">
        <f>IF($K$5="PilotsPerRepMonth",$K$6,IF(OR($K$7="ALL",Assumptions!$N$67="Y"),INDEX(Assumptions!$D$67:$F$67,$K$4),Assumptions!$E$67))</f>
        <v/>
      </c>
      <c r="L56" s="53">
        <f>IF($L$5="PilotsPerRepMonth",$L$6,IF(OR($L$7="ALL",Assumptions!$N$67="Y"),INDEX(Assumptions!$D$67:$F$67,$L$4),Assumptions!$E$67))</f>
        <v/>
      </c>
      <c r="M56" s="53">
        <f>IF($M$5="PilotsPerRepMonth",$M$6,IF(OR($M$7="ALL",Assumptions!$N$67="Y"),INDEX(Assumptions!$D$67:$F$67,$M$4),Assumptions!$E$67))</f>
        <v/>
      </c>
      <c r="N56" s="53">
        <f>IF($N$5="PilotsPerRepMonth",$N$6,IF(OR($N$7="ALL",Assumptions!$N$67="Y"),INDEX(Assumptions!$D$67:$F$67,$N$4),Assumptions!$E$67))</f>
        <v/>
      </c>
      <c r="O56" s="53">
        <f>IF($O$5="PilotsPerRepMonth",$O$6,IF(OR($O$7="ALL",Assumptions!$N$67="Y"),INDEX(Assumptions!$D$67:$F$67,$O$4),Assumptions!$E$67))</f>
        <v/>
      </c>
      <c r="P56" s="53">
        <f>IF($P$5="PilotsPerRepMonth",$P$6,IF(OR($P$7="ALL",Assumptions!$N$67="Y"),INDEX(Assumptions!$D$67:$F$67,$P$4),Assumptions!$E$67))</f>
        <v/>
      </c>
      <c r="Q56" s="53">
        <f>IF($Q$5="PilotsPerRepMonth",$Q$6,IF(OR($Q$7="ALL",Assumptions!$N$67="Y"),INDEX(Assumptions!$D$67:$F$67,$Q$4),Assumptions!$E$67))</f>
        <v/>
      </c>
      <c r="R56" s="53">
        <f>IF($R$5="PilotsPerRepMonth",$R$6,IF(OR($R$7="ALL",Assumptions!$N$67="Y"),INDEX(Assumptions!$D$67:$F$67,$R$4),Assumptions!$E$67))</f>
        <v/>
      </c>
      <c r="S56" s="53">
        <f>IF($S$5="PilotsPerRepMonth",$S$6,IF(OR($S$7="ALL",Assumptions!$N$67="Y"),INDEX(Assumptions!$D$67:$F$67,$S$4),Assumptions!$E$67))</f>
        <v/>
      </c>
      <c r="T56" s="53">
        <f>IF($T$5="PilotsPerRepMonth",$T$6,IF(OR($T$7="ALL",Assumptions!$N$67="Y"),INDEX(Assumptions!$D$67:$F$67,$T$4),Assumptions!$E$67))</f>
        <v/>
      </c>
      <c r="U56" s="53">
        <f>IF($U$5="PilotsPerRepMonth",$U$6,IF(OR($U$7="ALL",Assumptions!$N$67="Y"),INDEX(Assumptions!$D$67:$F$67,$U$4),Assumptions!$E$67))</f>
        <v/>
      </c>
      <c r="V56" s="53">
        <f>IF($V$5="PilotsPerRepMonth",$V$6,IF(OR($V$7="ALL",Assumptions!$N$67="Y"),INDEX(Assumptions!$D$67:$F$67,$V$4),Assumptions!$E$67))</f>
        <v/>
      </c>
      <c r="W56" s="53">
        <f>IF($W$5="PilotsPerRepMonth",$W$6,IF(OR($W$7="ALL",Assumptions!$N$67="Y"),INDEX(Assumptions!$D$67:$F$67,$W$4),Assumptions!$E$67))</f>
        <v/>
      </c>
      <c r="X56" s="53">
        <f>IF($X$5="PilotsPerRepMonth",$X$6,IF(OR($X$7="ALL",Assumptions!$N$67="Y"),INDEX(Assumptions!$D$67:$F$67,$X$4),Assumptions!$E$67))</f>
        <v/>
      </c>
      <c r="Y56" s="53">
        <f>IF($Y$5="PilotsPerRepMonth",$Y$6,IF(OR($Y$7="ALL",Assumptions!$N$67="Y"),INDEX(Assumptions!$D$67:$F$67,$Y$4),Assumptions!$E$67))</f>
        <v/>
      </c>
      <c r="Z56" s="53">
        <f>IF($Z$5="PilotsPerRepMonth",$Z$6,IF(OR($Z$7="ALL",Assumptions!$N$67="Y"),INDEX(Assumptions!$D$67:$F$67,$Z$4),Assumptions!$E$67))</f>
        <v/>
      </c>
      <c r="AA56" s="53">
        <f>IF($AA$5="PilotsPerRepMonth",$AA$6,IF(OR($AA$7="ALL",Assumptions!$N$67="Y"),INDEX(Assumptions!$D$67:$F$67,$AA$4),Assumptions!$E$67))</f>
        <v/>
      </c>
      <c r="AB56" s="53">
        <f>IF($AB$5="PilotsPerRepMonth",$AB$6,IF(OR($AB$7="ALL",Assumptions!$N$67="Y"),INDEX(Assumptions!$D$67:$F$67,$AB$4),Assumptions!$E$67))</f>
        <v/>
      </c>
      <c r="AC56" s="53">
        <f>IF($AC$5="PilotsPerRepMonth",$AC$6,IF(OR($AC$7="ALL",Assumptions!$N$67="Y"),INDEX(Assumptions!$D$67:$F$67,$AC$4),Assumptions!$E$67))</f>
        <v/>
      </c>
      <c r="AD56" s="53">
        <f>IF($AD$5="PilotsPerRepMonth",$AD$6,IF(OR($AD$7="ALL",Assumptions!$N$67="Y"),INDEX(Assumptions!$D$67:$F$67,$AD$4),Assumptions!$E$67))</f>
        <v/>
      </c>
      <c r="AE56" s="53">
        <f>IF($AE$5="PilotsPerRepMonth",$AE$6,IF(OR($AE$7="ALL",Assumptions!$N$67="Y"),INDEX(Assumptions!$D$67:$F$67,$AE$4),Assumptions!$E$67))</f>
        <v/>
      </c>
      <c r="AF56" s="53">
        <f>IF($AF$5="PilotsPerRepMonth",$AF$6,IF(OR($AF$7="ALL",Assumptions!$N$67="Y"),INDEX(Assumptions!$D$67:$F$67,$AF$4),Assumptions!$E$67))</f>
        <v/>
      </c>
      <c r="AG56" s="53">
        <f>IF($AG$5="PilotsPerRepMonth",$AG$6,IF(OR($AG$7="ALL",Assumptions!$N$67="Y"),INDEX(Assumptions!$D$67:$F$67,$AG$4),Assumptions!$E$67))</f>
        <v/>
      </c>
      <c r="AH56" s="53">
        <f>IF($AH$5="PilotsPerRepMonth",$AH$6,IF(OR($AH$7="ALL",Assumptions!$N$67="Y"),INDEX(Assumptions!$D$67:$F$67,$AH$4),Assumptions!$E$67))</f>
        <v/>
      </c>
      <c r="AI56" s="53">
        <f>IF($AI$5="PilotsPerRepMonth",$AI$6,IF(OR($AI$7="ALL",Assumptions!$N$67="Y"),INDEX(Assumptions!$D$67:$F$67,$AI$4),Assumptions!$E$67))</f>
        <v/>
      </c>
      <c r="AJ56" s="53">
        <f>IF($AJ$5="PilotsPerRepMonth",$AJ$6,IF(OR($AJ$7="ALL",Assumptions!$N$67="Y"),INDEX(Assumptions!$D$67:$F$67,$AJ$4),Assumptions!$E$67))</f>
        <v/>
      </c>
      <c r="AK56" s="53">
        <f>IF($AK$5="PilotsPerRepMonth",$AK$6,IF(OR($AK$7="ALL",Assumptions!$N$67="Y"),INDEX(Assumptions!$D$67:$F$67,$AK$4),Assumptions!$E$67))</f>
        <v/>
      </c>
      <c r="AL56" s="53">
        <f>IF($AL$5="PilotsPerRepMonth",$AL$6,IF(OR($AL$7="ALL",Assumptions!$N$67="Y"),INDEX(Assumptions!$D$67:$F$67,$AL$4),Assumptions!$E$67))</f>
        <v/>
      </c>
      <c r="AM56" s="53">
        <f>IF($AM$5="PilotsPerRepMonth",$AM$6,IF(OR($AM$7="ALL",Assumptions!$N$67="Y"),INDEX(Assumptions!$D$67:$F$67,$AM$4),Assumptions!$E$67))</f>
        <v/>
      </c>
      <c r="AN56" s="53">
        <f>IF($AN$5="PilotsPerRepMonth",$AN$6,IF(OR($AN$7="ALL",Assumptions!$N$67="Y"),INDEX(Assumptions!$D$67:$F$67,$AN$4),Assumptions!$E$67))</f>
        <v/>
      </c>
      <c r="AO56" s="53">
        <f>IF($AO$5="PilotsPerRepMonth",$AO$6,IF(OR($AO$7="ALL",Assumptions!$N$67="Y"),INDEX(Assumptions!$D$67:$F$67,$AO$4),Assumptions!$E$67))</f>
        <v/>
      </c>
      <c r="AP56" s="53">
        <f>IF($AP$5="PilotsPerRepMonth",$AP$6,IF(OR($AP$7="ALL",Assumptions!$N$67="Y"),INDEX(Assumptions!$D$67:$F$67,$AP$4),Assumptions!$E$67))</f>
        <v/>
      </c>
      <c r="AQ56" s="53">
        <f>IF($AQ$5="PilotsPerRepMonth",$AQ$6,IF(OR($AQ$7="ALL",Assumptions!$N$67="Y"),INDEX(Assumptions!$D$67:$F$67,$AQ$4),Assumptions!$E$67))</f>
        <v/>
      </c>
      <c r="AR56" s="53">
        <f>IF($AR$5="PilotsPerRepMonth",$AR$6,IF(OR($AR$7="ALL",Assumptions!$N$67="Y"),INDEX(Assumptions!$D$67:$F$67,$AR$4),Assumptions!$E$67))</f>
        <v/>
      </c>
      <c r="AS56" s="53">
        <f>IF($AS$5="PilotsPerRepMonth",$AS$6,IF(OR($AS$7="ALL",Assumptions!$N$67="Y"),INDEX(Assumptions!$D$67:$F$67,$AS$4),Assumptions!$E$67))</f>
        <v/>
      </c>
      <c r="AT56" s="53">
        <f>IF($AT$5="PilotsPerRepMonth",$AT$6,IF(OR($AT$7="ALL",Assumptions!$N$67="Y"),INDEX(Assumptions!$D$67:$F$67,$AT$4),Assumptions!$E$67))</f>
        <v/>
      </c>
      <c r="AU56" s="53">
        <f>IF($AU$5="PilotsPerRepMonth",$AU$6,IF(OR($AU$7="ALL",Assumptions!$N$67="Y"),INDEX(Assumptions!$D$67:$F$67,$AU$4),Assumptions!$E$67))</f>
        <v/>
      </c>
      <c r="AV56" s="53">
        <f>IF($AV$5="PilotsPerRepMonth",$AV$6,IF(OR($AV$7="ALL",Assumptions!$N$67="Y"),INDEX(Assumptions!$D$67:$F$67,$AV$4),Assumptions!$E$67))</f>
        <v/>
      </c>
      <c r="AW56" s="53">
        <f>IF($AW$5="PilotsPerRepMonth",$AW$6,IF(OR($AW$7="ALL",Assumptions!$N$67="Y"),INDEX(Assumptions!$D$67:$F$67,$AW$4),Assumptions!$E$67))</f>
        <v/>
      </c>
      <c r="AX56" s="53">
        <f>IF($AX$5="PilotsPerRepMonth",$AX$6,IF(OR($AX$7="ALL",Assumptions!$N$67="Y"),INDEX(Assumptions!$D$67:$F$67,$AX$4),Assumptions!$E$67))</f>
        <v/>
      </c>
      <c r="AY56" s="53">
        <f>IF($AY$5="PilotsPerRepMonth",$AY$6,IF(OR($AY$7="ALL",Assumptions!$N$67="Y"),INDEX(Assumptions!$D$67:$F$67,$AY$4),Assumptions!$E$67))</f>
        <v/>
      </c>
      <c r="AZ56" s="53">
        <f>IF($AZ$5="PilotsPerRepMonth",$AZ$6,IF(OR($AZ$7="ALL",Assumptions!$N$67="Y"),INDEX(Assumptions!$D$67:$F$67,$AZ$4),Assumptions!$E$67))</f>
        <v/>
      </c>
      <c r="BA56" s="53">
        <f>IF($BA$5="PilotsPerRepMonth",$BA$6,IF(OR($BA$7="ALL",Assumptions!$N$67="Y"),INDEX(Assumptions!$D$67:$F$67,$BA$4),Assumptions!$E$67))</f>
        <v/>
      </c>
      <c r="BB56" s="53">
        <f>IF($BB$5="PilotsPerRepMonth",$BB$6,IF(OR($BB$7="ALL",Assumptions!$N$67="Y"),INDEX(Assumptions!$D$67:$F$67,$BB$4),Assumptions!$E$67))</f>
        <v/>
      </c>
      <c r="BC56" s="53">
        <f>IF($BC$5="PilotsPerRepMonth",$BC$6,IF(OR($BC$7="ALL",Assumptions!$N$67="Y"),INDEX(Assumptions!$D$67:$F$67,$BC$4),Assumptions!$E$67))</f>
        <v/>
      </c>
      <c r="BD56" s="53">
        <f>IF($BD$5="PilotsPerRepMonth",$BD$6,IF(OR($BD$7="ALL",Assumptions!$N$67="Y"),INDEX(Assumptions!$D$67:$F$67,$BD$4),Assumptions!$E$67))</f>
        <v/>
      </c>
      <c r="BE56" s="53">
        <f>IF($BE$5="PilotsPerRepMonth",$BE$6,IF(OR($BE$7="ALL",Assumptions!$N$67="Y"),INDEX(Assumptions!$D$67:$F$67,$BE$4),Assumptions!$E$67))</f>
        <v/>
      </c>
    </row>
    <row r="57">
      <c r="B57" s="5" t="inlineStr">
        <is>
          <t>PilotConv</t>
        </is>
      </c>
      <c r="D57" s="39">
        <f>IF($D$5="PilotConv",$D$6,IF(OR($D$7="ALL",Assumptions!$N$68="Y"),INDEX(Assumptions!$D$68:$F$68,$D$4),Assumptions!$E$68))</f>
        <v/>
      </c>
      <c r="E57" s="39">
        <f>IF($E$5="PilotConv",$E$6,IF(OR($E$7="ALL",Assumptions!$N$68="Y"),INDEX(Assumptions!$D$68:$F$68,$E$4),Assumptions!$E$68))</f>
        <v/>
      </c>
      <c r="F57" s="39">
        <f>IF($F$5="PilotConv",$F$6,IF(OR($F$7="ALL",Assumptions!$N$68="Y"),INDEX(Assumptions!$D$68:$F$68,$F$4),Assumptions!$E$68))</f>
        <v/>
      </c>
      <c r="G57" s="39">
        <f>IF($G$5="PilotConv",$G$6,IF(OR($G$7="ALL",Assumptions!$N$68="Y"),INDEX(Assumptions!$D$68:$F$68,$G$4),Assumptions!$E$68))</f>
        <v/>
      </c>
      <c r="H57" s="39">
        <f>IF($H$5="PilotConv",$H$6,IF(OR($H$7="ALL",Assumptions!$N$68="Y"),INDEX(Assumptions!$D$68:$F$68,$H$4),Assumptions!$E$68))</f>
        <v/>
      </c>
      <c r="I57" s="39">
        <f>IF($I$5="PilotConv",$I$6,IF(OR($I$7="ALL",Assumptions!$N$68="Y"),INDEX(Assumptions!$D$68:$F$68,$I$4),Assumptions!$E$68))</f>
        <v/>
      </c>
      <c r="J57" s="39">
        <f>IF($J$5="PilotConv",$J$6,IF(OR($J$7="ALL",Assumptions!$N$68="Y"),INDEX(Assumptions!$D$68:$F$68,$J$4),Assumptions!$E$68))</f>
        <v/>
      </c>
      <c r="K57" s="39">
        <f>IF($K$5="PilotConv",$K$6,IF(OR($K$7="ALL",Assumptions!$N$68="Y"),INDEX(Assumptions!$D$68:$F$68,$K$4),Assumptions!$E$68))</f>
        <v/>
      </c>
      <c r="L57" s="39">
        <f>IF($L$5="PilotConv",$L$6,IF(OR($L$7="ALL",Assumptions!$N$68="Y"),INDEX(Assumptions!$D$68:$F$68,$L$4),Assumptions!$E$68))</f>
        <v/>
      </c>
      <c r="M57" s="39">
        <f>IF($M$5="PilotConv",$M$6,IF(OR($M$7="ALL",Assumptions!$N$68="Y"),INDEX(Assumptions!$D$68:$F$68,$M$4),Assumptions!$E$68))</f>
        <v/>
      </c>
      <c r="N57" s="39">
        <f>IF($N$5="PilotConv",$N$6,IF(OR($N$7="ALL",Assumptions!$N$68="Y"),INDEX(Assumptions!$D$68:$F$68,$N$4),Assumptions!$E$68))</f>
        <v/>
      </c>
      <c r="O57" s="39">
        <f>IF($O$5="PilotConv",$O$6,IF(OR($O$7="ALL",Assumptions!$N$68="Y"),INDEX(Assumptions!$D$68:$F$68,$O$4),Assumptions!$E$68))</f>
        <v/>
      </c>
      <c r="P57" s="39">
        <f>IF($P$5="PilotConv",$P$6,IF(OR($P$7="ALL",Assumptions!$N$68="Y"),INDEX(Assumptions!$D$68:$F$68,$P$4),Assumptions!$E$68))</f>
        <v/>
      </c>
      <c r="Q57" s="39">
        <f>IF($Q$5="PilotConv",$Q$6,IF(OR($Q$7="ALL",Assumptions!$N$68="Y"),INDEX(Assumptions!$D$68:$F$68,$Q$4),Assumptions!$E$68))</f>
        <v/>
      </c>
      <c r="R57" s="39">
        <f>IF($R$5="PilotConv",$R$6,IF(OR($R$7="ALL",Assumptions!$N$68="Y"),INDEX(Assumptions!$D$68:$F$68,$R$4),Assumptions!$E$68))</f>
        <v/>
      </c>
      <c r="S57" s="39">
        <f>IF($S$5="PilotConv",$S$6,IF(OR($S$7="ALL",Assumptions!$N$68="Y"),INDEX(Assumptions!$D$68:$F$68,$S$4),Assumptions!$E$68))</f>
        <v/>
      </c>
      <c r="T57" s="39">
        <f>IF($T$5="PilotConv",$T$6,IF(OR($T$7="ALL",Assumptions!$N$68="Y"),INDEX(Assumptions!$D$68:$F$68,$T$4),Assumptions!$E$68))</f>
        <v/>
      </c>
      <c r="U57" s="39">
        <f>IF($U$5="PilotConv",$U$6,IF(OR($U$7="ALL",Assumptions!$N$68="Y"),INDEX(Assumptions!$D$68:$F$68,$U$4),Assumptions!$E$68))</f>
        <v/>
      </c>
      <c r="V57" s="39">
        <f>IF($V$5="PilotConv",$V$6,IF(OR($V$7="ALL",Assumptions!$N$68="Y"),INDEX(Assumptions!$D$68:$F$68,$V$4),Assumptions!$E$68))</f>
        <v/>
      </c>
      <c r="W57" s="39">
        <f>IF($W$5="PilotConv",$W$6,IF(OR($W$7="ALL",Assumptions!$N$68="Y"),INDEX(Assumptions!$D$68:$F$68,$W$4),Assumptions!$E$68))</f>
        <v/>
      </c>
      <c r="X57" s="39">
        <f>IF($X$5="PilotConv",$X$6,IF(OR($X$7="ALL",Assumptions!$N$68="Y"),INDEX(Assumptions!$D$68:$F$68,$X$4),Assumptions!$E$68))</f>
        <v/>
      </c>
      <c r="Y57" s="39">
        <f>IF($Y$5="PilotConv",$Y$6,IF(OR($Y$7="ALL",Assumptions!$N$68="Y"),INDEX(Assumptions!$D$68:$F$68,$Y$4),Assumptions!$E$68))</f>
        <v/>
      </c>
      <c r="Z57" s="39">
        <f>IF($Z$5="PilotConv",$Z$6,IF(OR($Z$7="ALL",Assumptions!$N$68="Y"),INDEX(Assumptions!$D$68:$F$68,$Z$4),Assumptions!$E$68))</f>
        <v/>
      </c>
      <c r="AA57" s="39">
        <f>IF($AA$5="PilotConv",$AA$6,IF(OR($AA$7="ALL",Assumptions!$N$68="Y"),INDEX(Assumptions!$D$68:$F$68,$AA$4),Assumptions!$E$68))</f>
        <v/>
      </c>
      <c r="AB57" s="39">
        <f>IF($AB$5="PilotConv",$AB$6,IF(OR($AB$7="ALL",Assumptions!$N$68="Y"),INDEX(Assumptions!$D$68:$F$68,$AB$4),Assumptions!$E$68))</f>
        <v/>
      </c>
      <c r="AC57" s="39">
        <f>IF($AC$5="PilotConv",$AC$6,IF(OR($AC$7="ALL",Assumptions!$N$68="Y"),INDEX(Assumptions!$D$68:$F$68,$AC$4),Assumptions!$E$68))</f>
        <v/>
      </c>
      <c r="AD57" s="39">
        <f>IF($AD$5="PilotConv",$AD$6,IF(OR($AD$7="ALL",Assumptions!$N$68="Y"),INDEX(Assumptions!$D$68:$F$68,$AD$4),Assumptions!$E$68))</f>
        <v/>
      </c>
      <c r="AE57" s="39">
        <f>IF($AE$5="PilotConv",$AE$6,IF(OR($AE$7="ALL",Assumptions!$N$68="Y"),INDEX(Assumptions!$D$68:$F$68,$AE$4),Assumptions!$E$68))</f>
        <v/>
      </c>
      <c r="AF57" s="39">
        <f>IF($AF$5="PilotConv",$AF$6,IF(OR($AF$7="ALL",Assumptions!$N$68="Y"),INDEX(Assumptions!$D$68:$F$68,$AF$4),Assumptions!$E$68))</f>
        <v/>
      </c>
      <c r="AG57" s="39">
        <f>IF($AG$5="PilotConv",$AG$6,IF(OR($AG$7="ALL",Assumptions!$N$68="Y"),INDEX(Assumptions!$D$68:$F$68,$AG$4),Assumptions!$E$68))</f>
        <v/>
      </c>
      <c r="AH57" s="39">
        <f>IF($AH$5="PilotConv",$AH$6,IF(OR($AH$7="ALL",Assumptions!$N$68="Y"),INDEX(Assumptions!$D$68:$F$68,$AH$4),Assumptions!$E$68))</f>
        <v/>
      </c>
      <c r="AI57" s="39">
        <f>IF($AI$5="PilotConv",$AI$6,IF(OR($AI$7="ALL",Assumptions!$N$68="Y"),INDEX(Assumptions!$D$68:$F$68,$AI$4),Assumptions!$E$68))</f>
        <v/>
      </c>
      <c r="AJ57" s="39">
        <f>IF($AJ$5="PilotConv",$AJ$6,IF(OR($AJ$7="ALL",Assumptions!$N$68="Y"),INDEX(Assumptions!$D$68:$F$68,$AJ$4),Assumptions!$E$68))</f>
        <v/>
      </c>
      <c r="AK57" s="39">
        <f>IF($AK$5="PilotConv",$AK$6,IF(OR($AK$7="ALL",Assumptions!$N$68="Y"),INDEX(Assumptions!$D$68:$F$68,$AK$4),Assumptions!$E$68))</f>
        <v/>
      </c>
      <c r="AL57" s="39">
        <f>IF($AL$5="PilotConv",$AL$6,IF(OR($AL$7="ALL",Assumptions!$N$68="Y"),INDEX(Assumptions!$D$68:$F$68,$AL$4),Assumptions!$E$68))</f>
        <v/>
      </c>
      <c r="AM57" s="39">
        <f>IF($AM$5="PilotConv",$AM$6,IF(OR($AM$7="ALL",Assumptions!$N$68="Y"),INDEX(Assumptions!$D$68:$F$68,$AM$4),Assumptions!$E$68))</f>
        <v/>
      </c>
      <c r="AN57" s="39">
        <f>IF($AN$5="PilotConv",$AN$6,IF(OR($AN$7="ALL",Assumptions!$N$68="Y"),INDEX(Assumptions!$D$68:$F$68,$AN$4),Assumptions!$E$68))</f>
        <v/>
      </c>
      <c r="AO57" s="39">
        <f>IF($AO$5="PilotConv",$AO$6,IF(OR($AO$7="ALL",Assumptions!$N$68="Y"),INDEX(Assumptions!$D$68:$F$68,$AO$4),Assumptions!$E$68))</f>
        <v/>
      </c>
      <c r="AP57" s="39">
        <f>IF($AP$5="PilotConv",$AP$6,IF(OR($AP$7="ALL",Assumptions!$N$68="Y"),INDEX(Assumptions!$D$68:$F$68,$AP$4),Assumptions!$E$68))</f>
        <v/>
      </c>
      <c r="AQ57" s="39">
        <f>IF($AQ$5="PilotConv",$AQ$6,IF(OR($AQ$7="ALL",Assumptions!$N$68="Y"),INDEX(Assumptions!$D$68:$F$68,$AQ$4),Assumptions!$E$68))</f>
        <v/>
      </c>
      <c r="AR57" s="39">
        <f>IF($AR$5="PilotConv",$AR$6,IF(OR($AR$7="ALL",Assumptions!$N$68="Y"),INDEX(Assumptions!$D$68:$F$68,$AR$4),Assumptions!$E$68))</f>
        <v/>
      </c>
      <c r="AS57" s="39">
        <f>IF($AS$5="PilotConv",$AS$6,IF(OR($AS$7="ALL",Assumptions!$N$68="Y"),INDEX(Assumptions!$D$68:$F$68,$AS$4),Assumptions!$E$68))</f>
        <v/>
      </c>
      <c r="AT57" s="39">
        <f>IF($AT$5="PilotConv",$AT$6,IF(OR($AT$7="ALL",Assumptions!$N$68="Y"),INDEX(Assumptions!$D$68:$F$68,$AT$4),Assumptions!$E$68))</f>
        <v/>
      </c>
      <c r="AU57" s="39">
        <f>IF($AU$5="PilotConv",$AU$6,IF(OR($AU$7="ALL",Assumptions!$N$68="Y"),INDEX(Assumptions!$D$68:$F$68,$AU$4),Assumptions!$E$68))</f>
        <v/>
      </c>
      <c r="AV57" s="39">
        <f>IF($AV$5="PilotConv",$AV$6,IF(OR($AV$7="ALL",Assumptions!$N$68="Y"),INDEX(Assumptions!$D$68:$F$68,$AV$4),Assumptions!$E$68))</f>
        <v/>
      </c>
      <c r="AW57" s="39">
        <f>IF($AW$5="PilotConv",$AW$6,IF(OR($AW$7="ALL",Assumptions!$N$68="Y"),INDEX(Assumptions!$D$68:$F$68,$AW$4),Assumptions!$E$68))</f>
        <v/>
      </c>
      <c r="AX57" s="39">
        <f>IF($AX$5="PilotConv",$AX$6,IF(OR($AX$7="ALL",Assumptions!$N$68="Y"),INDEX(Assumptions!$D$68:$F$68,$AX$4),Assumptions!$E$68))</f>
        <v/>
      </c>
      <c r="AY57" s="39">
        <f>IF($AY$5="PilotConv",$AY$6,IF(OR($AY$7="ALL",Assumptions!$N$68="Y"),INDEX(Assumptions!$D$68:$F$68,$AY$4),Assumptions!$E$68))</f>
        <v/>
      </c>
      <c r="AZ57" s="39">
        <f>IF($AZ$5="PilotConv",$AZ$6,IF(OR($AZ$7="ALL",Assumptions!$N$68="Y"),INDEX(Assumptions!$D$68:$F$68,$AZ$4),Assumptions!$E$68))</f>
        <v/>
      </c>
      <c r="BA57" s="39">
        <f>IF($BA$5="PilotConv",$BA$6,IF(OR($BA$7="ALL",Assumptions!$N$68="Y"),INDEX(Assumptions!$D$68:$F$68,$BA$4),Assumptions!$E$68))</f>
        <v/>
      </c>
      <c r="BB57" s="39">
        <f>IF($BB$5="PilotConv",$BB$6,IF(OR($BB$7="ALL",Assumptions!$N$68="Y"),INDEX(Assumptions!$D$68:$F$68,$BB$4),Assumptions!$E$68))</f>
        <v/>
      </c>
      <c r="BC57" s="39">
        <f>IF($BC$5="PilotConv",$BC$6,IF(OR($BC$7="ALL",Assumptions!$N$68="Y"),INDEX(Assumptions!$D$68:$F$68,$BC$4),Assumptions!$E$68))</f>
        <v/>
      </c>
      <c r="BD57" s="39">
        <f>IF($BD$5="PilotConv",$BD$6,IF(OR($BD$7="ALL",Assumptions!$N$68="Y"),INDEX(Assumptions!$D$68:$F$68,$BD$4),Assumptions!$E$68))</f>
        <v/>
      </c>
      <c r="BE57" s="39">
        <f>IF($BE$5="PilotConv",$BE$6,IF(OR($BE$7="ALL",Assumptions!$N$68="Y"),INDEX(Assumptions!$D$68:$F$68,$BE$4),Assumptions!$E$68))</f>
        <v/>
      </c>
    </row>
    <row r="58">
      <c r="B58" s="5" t="inlineStr">
        <is>
          <t>PilotMonths</t>
        </is>
      </c>
      <c r="D58" s="57">
        <f>IF($D$5="PilotMonths",$D$6,IF(OR($D$7="ALL",Assumptions!$N$69="Y"),INDEX(Assumptions!$D$69:$F$69,$D$4),Assumptions!$E$69))</f>
        <v/>
      </c>
      <c r="E58" s="57">
        <f>IF($E$5="PilotMonths",$E$6,IF(OR($E$7="ALL",Assumptions!$N$69="Y"),INDEX(Assumptions!$D$69:$F$69,$E$4),Assumptions!$E$69))</f>
        <v/>
      </c>
      <c r="F58" s="57">
        <f>IF($F$5="PilotMonths",$F$6,IF(OR($F$7="ALL",Assumptions!$N$69="Y"),INDEX(Assumptions!$D$69:$F$69,$F$4),Assumptions!$E$69))</f>
        <v/>
      </c>
      <c r="G58" s="57">
        <f>IF($G$5="PilotMonths",$G$6,IF(OR($G$7="ALL",Assumptions!$N$69="Y"),INDEX(Assumptions!$D$69:$F$69,$G$4),Assumptions!$E$69))</f>
        <v/>
      </c>
      <c r="H58" s="57">
        <f>IF($H$5="PilotMonths",$H$6,IF(OR($H$7="ALL",Assumptions!$N$69="Y"),INDEX(Assumptions!$D$69:$F$69,$H$4),Assumptions!$E$69))</f>
        <v/>
      </c>
      <c r="I58" s="57">
        <f>IF($I$5="PilotMonths",$I$6,IF(OR($I$7="ALL",Assumptions!$N$69="Y"),INDEX(Assumptions!$D$69:$F$69,$I$4),Assumptions!$E$69))</f>
        <v/>
      </c>
      <c r="J58" s="57">
        <f>IF($J$5="PilotMonths",$J$6,IF(OR($J$7="ALL",Assumptions!$N$69="Y"),INDEX(Assumptions!$D$69:$F$69,$J$4),Assumptions!$E$69))</f>
        <v/>
      </c>
      <c r="K58" s="57">
        <f>IF($K$5="PilotMonths",$K$6,IF(OR($K$7="ALL",Assumptions!$N$69="Y"),INDEX(Assumptions!$D$69:$F$69,$K$4),Assumptions!$E$69))</f>
        <v/>
      </c>
      <c r="L58" s="57">
        <f>IF($L$5="PilotMonths",$L$6,IF(OR($L$7="ALL",Assumptions!$N$69="Y"),INDEX(Assumptions!$D$69:$F$69,$L$4),Assumptions!$E$69))</f>
        <v/>
      </c>
      <c r="M58" s="57">
        <f>IF($M$5="PilotMonths",$M$6,IF(OR($M$7="ALL",Assumptions!$N$69="Y"),INDEX(Assumptions!$D$69:$F$69,$M$4),Assumptions!$E$69))</f>
        <v/>
      </c>
      <c r="N58" s="57">
        <f>IF($N$5="PilotMonths",$N$6,IF(OR($N$7="ALL",Assumptions!$N$69="Y"),INDEX(Assumptions!$D$69:$F$69,$N$4),Assumptions!$E$69))</f>
        <v/>
      </c>
      <c r="O58" s="57">
        <f>IF($O$5="PilotMonths",$O$6,IF(OR($O$7="ALL",Assumptions!$N$69="Y"),INDEX(Assumptions!$D$69:$F$69,$O$4),Assumptions!$E$69))</f>
        <v/>
      </c>
      <c r="P58" s="57">
        <f>IF($P$5="PilotMonths",$P$6,IF(OR($P$7="ALL",Assumptions!$N$69="Y"),INDEX(Assumptions!$D$69:$F$69,$P$4),Assumptions!$E$69))</f>
        <v/>
      </c>
      <c r="Q58" s="57">
        <f>IF($Q$5="PilotMonths",$Q$6,IF(OR($Q$7="ALL",Assumptions!$N$69="Y"),INDEX(Assumptions!$D$69:$F$69,$Q$4),Assumptions!$E$69))</f>
        <v/>
      </c>
      <c r="R58" s="57">
        <f>IF($R$5="PilotMonths",$R$6,IF(OR($R$7="ALL",Assumptions!$N$69="Y"),INDEX(Assumptions!$D$69:$F$69,$R$4),Assumptions!$E$69))</f>
        <v/>
      </c>
      <c r="S58" s="57">
        <f>IF($S$5="PilotMonths",$S$6,IF(OR($S$7="ALL",Assumptions!$N$69="Y"),INDEX(Assumptions!$D$69:$F$69,$S$4),Assumptions!$E$69))</f>
        <v/>
      </c>
      <c r="T58" s="57">
        <f>IF($T$5="PilotMonths",$T$6,IF(OR($T$7="ALL",Assumptions!$N$69="Y"),INDEX(Assumptions!$D$69:$F$69,$T$4),Assumptions!$E$69))</f>
        <v/>
      </c>
      <c r="U58" s="57">
        <f>IF($U$5="PilotMonths",$U$6,IF(OR($U$7="ALL",Assumptions!$N$69="Y"),INDEX(Assumptions!$D$69:$F$69,$U$4),Assumptions!$E$69))</f>
        <v/>
      </c>
      <c r="V58" s="57">
        <f>IF($V$5="PilotMonths",$V$6,IF(OR($V$7="ALL",Assumptions!$N$69="Y"),INDEX(Assumptions!$D$69:$F$69,$V$4),Assumptions!$E$69))</f>
        <v/>
      </c>
      <c r="W58" s="57">
        <f>IF($W$5="PilotMonths",$W$6,IF(OR($W$7="ALL",Assumptions!$N$69="Y"),INDEX(Assumptions!$D$69:$F$69,$W$4),Assumptions!$E$69))</f>
        <v/>
      </c>
      <c r="X58" s="57">
        <f>IF($X$5="PilotMonths",$X$6,IF(OR($X$7="ALL",Assumptions!$N$69="Y"),INDEX(Assumptions!$D$69:$F$69,$X$4),Assumptions!$E$69))</f>
        <v/>
      </c>
      <c r="Y58" s="57">
        <f>IF($Y$5="PilotMonths",$Y$6,IF(OR($Y$7="ALL",Assumptions!$N$69="Y"),INDEX(Assumptions!$D$69:$F$69,$Y$4),Assumptions!$E$69))</f>
        <v/>
      </c>
      <c r="Z58" s="57">
        <f>IF($Z$5="PilotMonths",$Z$6,IF(OR($Z$7="ALL",Assumptions!$N$69="Y"),INDEX(Assumptions!$D$69:$F$69,$Z$4),Assumptions!$E$69))</f>
        <v/>
      </c>
      <c r="AA58" s="57">
        <f>IF($AA$5="PilotMonths",$AA$6,IF(OR($AA$7="ALL",Assumptions!$N$69="Y"),INDEX(Assumptions!$D$69:$F$69,$AA$4),Assumptions!$E$69))</f>
        <v/>
      </c>
      <c r="AB58" s="57">
        <f>IF($AB$5="PilotMonths",$AB$6,IF(OR($AB$7="ALL",Assumptions!$N$69="Y"),INDEX(Assumptions!$D$69:$F$69,$AB$4),Assumptions!$E$69))</f>
        <v/>
      </c>
      <c r="AC58" s="57">
        <f>IF($AC$5="PilotMonths",$AC$6,IF(OR($AC$7="ALL",Assumptions!$N$69="Y"),INDEX(Assumptions!$D$69:$F$69,$AC$4),Assumptions!$E$69))</f>
        <v/>
      </c>
      <c r="AD58" s="57">
        <f>IF($AD$5="PilotMonths",$AD$6,IF(OR($AD$7="ALL",Assumptions!$N$69="Y"),INDEX(Assumptions!$D$69:$F$69,$AD$4),Assumptions!$E$69))</f>
        <v/>
      </c>
      <c r="AE58" s="57">
        <f>IF($AE$5="PilotMonths",$AE$6,IF(OR($AE$7="ALL",Assumptions!$N$69="Y"),INDEX(Assumptions!$D$69:$F$69,$AE$4),Assumptions!$E$69))</f>
        <v/>
      </c>
      <c r="AF58" s="57">
        <f>IF($AF$5="PilotMonths",$AF$6,IF(OR($AF$7="ALL",Assumptions!$N$69="Y"),INDEX(Assumptions!$D$69:$F$69,$AF$4),Assumptions!$E$69))</f>
        <v/>
      </c>
      <c r="AG58" s="57">
        <f>IF($AG$5="PilotMonths",$AG$6,IF(OR($AG$7="ALL",Assumptions!$N$69="Y"),INDEX(Assumptions!$D$69:$F$69,$AG$4),Assumptions!$E$69))</f>
        <v/>
      </c>
      <c r="AH58" s="57">
        <f>IF($AH$5="PilotMonths",$AH$6,IF(OR($AH$7="ALL",Assumptions!$N$69="Y"),INDEX(Assumptions!$D$69:$F$69,$AH$4),Assumptions!$E$69))</f>
        <v/>
      </c>
      <c r="AI58" s="57">
        <f>IF($AI$5="PilotMonths",$AI$6,IF(OR($AI$7="ALL",Assumptions!$N$69="Y"),INDEX(Assumptions!$D$69:$F$69,$AI$4),Assumptions!$E$69))</f>
        <v/>
      </c>
      <c r="AJ58" s="57">
        <f>IF($AJ$5="PilotMonths",$AJ$6,IF(OR($AJ$7="ALL",Assumptions!$N$69="Y"),INDEX(Assumptions!$D$69:$F$69,$AJ$4),Assumptions!$E$69))</f>
        <v/>
      </c>
      <c r="AK58" s="57">
        <f>IF($AK$5="PilotMonths",$AK$6,IF(OR($AK$7="ALL",Assumptions!$N$69="Y"),INDEX(Assumptions!$D$69:$F$69,$AK$4),Assumptions!$E$69))</f>
        <v/>
      </c>
      <c r="AL58" s="57">
        <f>IF($AL$5="PilotMonths",$AL$6,IF(OR($AL$7="ALL",Assumptions!$N$69="Y"),INDEX(Assumptions!$D$69:$F$69,$AL$4),Assumptions!$E$69))</f>
        <v/>
      </c>
      <c r="AM58" s="57">
        <f>IF($AM$5="PilotMonths",$AM$6,IF(OR($AM$7="ALL",Assumptions!$N$69="Y"),INDEX(Assumptions!$D$69:$F$69,$AM$4),Assumptions!$E$69))</f>
        <v/>
      </c>
      <c r="AN58" s="57">
        <f>IF($AN$5="PilotMonths",$AN$6,IF(OR($AN$7="ALL",Assumptions!$N$69="Y"),INDEX(Assumptions!$D$69:$F$69,$AN$4),Assumptions!$E$69))</f>
        <v/>
      </c>
      <c r="AO58" s="57">
        <f>IF($AO$5="PilotMonths",$AO$6,IF(OR($AO$7="ALL",Assumptions!$N$69="Y"),INDEX(Assumptions!$D$69:$F$69,$AO$4),Assumptions!$E$69))</f>
        <v/>
      </c>
      <c r="AP58" s="57">
        <f>IF($AP$5="PilotMonths",$AP$6,IF(OR($AP$7="ALL",Assumptions!$N$69="Y"),INDEX(Assumptions!$D$69:$F$69,$AP$4),Assumptions!$E$69))</f>
        <v/>
      </c>
      <c r="AQ58" s="57">
        <f>IF($AQ$5="PilotMonths",$AQ$6,IF(OR($AQ$7="ALL",Assumptions!$N$69="Y"),INDEX(Assumptions!$D$69:$F$69,$AQ$4),Assumptions!$E$69))</f>
        <v/>
      </c>
      <c r="AR58" s="57">
        <f>IF($AR$5="PilotMonths",$AR$6,IF(OR($AR$7="ALL",Assumptions!$N$69="Y"),INDEX(Assumptions!$D$69:$F$69,$AR$4),Assumptions!$E$69))</f>
        <v/>
      </c>
      <c r="AS58" s="57">
        <f>IF($AS$5="PilotMonths",$AS$6,IF(OR($AS$7="ALL",Assumptions!$N$69="Y"),INDEX(Assumptions!$D$69:$F$69,$AS$4),Assumptions!$E$69))</f>
        <v/>
      </c>
      <c r="AT58" s="57">
        <f>IF($AT$5="PilotMonths",$AT$6,IF(OR($AT$7="ALL",Assumptions!$N$69="Y"),INDEX(Assumptions!$D$69:$F$69,$AT$4),Assumptions!$E$69))</f>
        <v/>
      </c>
      <c r="AU58" s="57">
        <f>IF($AU$5="PilotMonths",$AU$6,IF(OR($AU$7="ALL",Assumptions!$N$69="Y"),INDEX(Assumptions!$D$69:$F$69,$AU$4),Assumptions!$E$69))</f>
        <v/>
      </c>
      <c r="AV58" s="57">
        <f>IF($AV$5="PilotMonths",$AV$6,IF(OR($AV$7="ALL",Assumptions!$N$69="Y"),INDEX(Assumptions!$D$69:$F$69,$AV$4),Assumptions!$E$69))</f>
        <v/>
      </c>
      <c r="AW58" s="57">
        <f>IF($AW$5="PilotMonths",$AW$6,IF(OR($AW$7="ALL",Assumptions!$N$69="Y"),INDEX(Assumptions!$D$69:$F$69,$AW$4),Assumptions!$E$69))</f>
        <v/>
      </c>
      <c r="AX58" s="57">
        <f>IF($AX$5="PilotMonths",$AX$6,IF(OR($AX$7="ALL",Assumptions!$N$69="Y"),INDEX(Assumptions!$D$69:$F$69,$AX$4),Assumptions!$E$69))</f>
        <v/>
      </c>
      <c r="AY58" s="57">
        <f>IF($AY$5="PilotMonths",$AY$6,IF(OR($AY$7="ALL",Assumptions!$N$69="Y"),INDEX(Assumptions!$D$69:$F$69,$AY$4),Assumptions!$E$69))</f>
        <v/>
      </c>
      <c r="AZ58" s="57">
        <f>IF($AZ$5="PilotMonths",$AZ$6,IF(OR($AZ$7="ALL",Assumptions!$N$69="Y"),INDEX(Assumptions!$D$69:$F$69,$AZ$4),Assumptions!$E$69))</f>
        <v/>
      </c>
      <c r="BA58" s="57">
        <f>IF($BA$5="PilotMonths",$BA$6,IF(OR($BA$7="ALL",Assumptions!$N$69="Y"),INDEX(Assumptions!$D$69:$F$69,$BA$4),Assumptions!$E$69))</f>
        <v/>
      </c>
      <c r="BB58" s="57">
        <f>IF($BB$5="PilotMonths",$BB$6,IF(OR($BB$7="ALL",Assumptions!$N$69="Y"),INDEX(Assumptions!$D$69:$F$69,$BB$4),Assumptions!$E$69))</f>
        <v/>
      </c>
      <c r="BC58" s="57">
        <f>IF($BC$5="PilotMonths",$BC$6,IF(OR($BC$7="ALL",Assumptions!$N$69="Y"),INDEX(Assumptions!$D$69:$F$69,$BC$4),Assumptions!$E$69))</f>
        <v/>
      </c>
      <c r="BD58" s="57">
        <f>IF($BD$5="PilotMonths",$BD$6,IF(OR($BD$7="ALL",Assumptions!$N$69="Y"),INDEX(Assumptions!$D$69:$F$69,$BD$4),Assumptions!$E$69))</f>
        <v/>
      </c>
      <c r="BE58" s="57">
        <f>IF($BE$5="PilotMonths",$BE$6,IF(OR($BE$7="ALL",Assumptions!$N$69="Y"),INDEX(Assumptions!$D$69:$F$69,$BE$4),Assumptions!$E$69))</f>
        <v/>
      </c>
    </row>
    <row r="59">
      <c r="B59" s="5" t="inlineStr">
        <is>
          <t>PilotSetupCost</t>
        </is>
      </c>
      <c r="D59" s="50">
        <f>IF($D$5="PilotSetupCost",$D$6,IF(OR($D$7="ALL",Assumptions!$N$70="Y"),INDEX(Assumptions!$D$70:$F$70,$D$4),Assumptions!$E$70))</f>
        <v/>
      </c>
      <c r="E59" s="50">
        <f>IF($E$5="PilotSetupCost",$E$6,IF(OR($E$7="ALL",Assumptions!$N$70="Y"),INDEX(Assumptions!$D$70:$F$70,$E$4),Assumptions!$E$70))</f>
        <v/>
      </c>
      <c r="F59" s="50">
        <f>IF($F$5="PilotSetupCost",$F$6,IF(OR($F$7="ALL",Assumptions!$N$70="Y"),INDEX(Assumptions!$D$70:$F$70,$F$4),Assumptions!$E$70))</f>
        <v/>
      </c>
      <c r="G59" s="50">
        <f>IF($G$5="PilotSetupCost",$G$6,IF(OR($G$7="ALL",Assumptions!$N$70="Y"),INDEX(Assumptions!$D$70:$F$70,$G$4),Assumptions!$E$70))</f>
        <v/>
      </c>
      <c r="H59" s="50">
        <f>IF($H$5="PilotSetupCost",$H$6,IF(OR($H$7="ALL",Assumptions!$N$70="Y"),INDEX(Assumptions!$D$70:$F$70,$H$4),Assumptions!$E$70))</f>
        <v/>
      </c>
      <c r="I59" s="50">
        <f>IF($I$5="PilotSetupCost",$I$6,IF(OR($I$7="ALL",Assumptions!$N$70="Y"),INDEX(Assumptions!$D$70:$F$70,$I$4),Assumptions!$E$70))</f>
        <v/>
      </c>
      <c r="J59" s="50">
        <f>IF($J$5="PilotSetupCost",$J$6,IF(OR($J$7="ALL",Assumptions!$N$70="Y"),INDEX(Assumptions!$D$70:$F$70,$J$4),Assumptions!$E$70))</f>
        <v/>
      </c>
      <c r="K59" s="50">
        <f>IF($K$5="PilotSetupCost",$K$6,IF(OR($K$7="ALL",Assumptions!$N$70="Y"),INDEX(Assumptions!$D$70:$F$70,$K$4),Assumptions!$E$70))</f>
        <v/>
      </c>
      <c r="L59" s="50">
        <f>IF($L$5="PilotSetupCost",$L$6,IF(OR($L$7="ALL",Assumptions!$N$70="Y"),INDEX(Assumptions!$D$70:$F$70,$L$4),Assumptions!$E$70))</f>
        <v/>
      </c>
      <c r="M59" s="50">
        <f>IF($M$5="PilotSetupCost",$M$6,IF(OR($M$7="ALL",Assumptions!$N$70="Y"),INDEX(Assumptions!$D$70:$F$70,$M$4),Assumptions!$E$70))</f>
        <v/>
      </c>
      <c r="N59" s="50">
        <f>IF($N$5="PilotSetupCost",$N$6,IF(OR($N$7="ALL",Assumptions!$N$70="Y"),INDEX(Assumptions!$D$70:$F$70,$N$4),Assumptions!$E$70))</f>
        <v/>
      </c>
      <c r="O59" s="50">
        <f>IF($O$5="PilotSetupCost",$O$6,IF(OR($O$7="ALL",Assumptions!$N$70="Y"),INDEX(Assumptions!$D$70:$F$70,$O$4),Assumptions!$E$70))</f>
        <v/>
      </c>
      <c r="P59" s="50">
        <f>IF($P$5="PilotSetupCost",$P$6,IF(OR($P$7="ALL",Assumptions!$N$70="Y"),INDEX(Assumptions!$D$70:$F$70,$P$4),Assumptions!$E$70))</f>
        <v/>
      </c>
      <c r="Q59" s="50">
        <f>IF($Q$5="PilotSetupCost",$Q$6,IF(OR($Q$7="ALL",Assumptions!$N$70="Y"),INDEX(Assumptions!$D$70:$F$70,$Q$4),Assumptions!$E$70))</f>
        <v/>
      </c>
      <c r="R59" s="50">
        <f>IF($R$5="PilotSetupCost",$R$6,IF(OR($R$7="ALL",Assumptions!$N$70="Y"),INDEX(Assumptions!$D$70:$F$70,$R$4),Assumptions!$E$70))</f>
        <v/>
      </c>
      <c r="S59" s="50">
        <f>IF($S$5="PilotSetupCost",$S$6,IF(OR($S$7="ALL",Assumptions!$N$70="Y"),INDEX(Assumptions!$D$70:$F$70,$S$4),Assumptions!$E$70))</f>
        <v/>
      </c>
      <c r="T59" s="50">
        <f>IF($T$5="PilotSetupCost",$T$6,IF(OR($T$7="ALL",Assumptions!$N$70="Y"),INDEX(Assumptions!$D$70:$F$70,$T$4),Assumptions!$E$70))</f>
        <v/>
      </c>
      <c r="U59" s="50">
        <f>IF($U$5="PilotSetupCost",$U$6,IF(OR($U$7="ALL",Assumptions!$N$70="Y"),INDEX(Assumptions!$D$70:$F$70,$U$4),Assumptions!$E$70))</f>
        <v/>
      </c>
      <c r="V59" s="50">
        <f>IF($V$5="PilotSetupCost",$V$6,IF(OR($V$7="ALL",Assumptions!$N$70="Y"),INDEX(Assumptions!$D$70:$F$70,$V$4),Assumptions!$E$70))</f>
        <v/>
      </c>
      <c r="W59" s="50">
        <f>IF($W$5="PilotSetupCost",$W$6,IF(OR($W$7="ALL",Assumptions!$N$70="Y"),INDEX(Assumptions!$D$70:$F$70,$W$4),Assumptions!$E$70))</f>
        <v/>
      </c>
      <c r="X59" s="50">
        <f>IF($X$5="PilotSetupCost",$X$6,IF(OR($X$7="ALL",Assumptions!$N$70="Y"),INDEX(Assumptions!$D$70:$F$70,$X$4),Assumptions!$E$70))</f>
        <v/>
      </c>
      <c r="Y59" s="50">
        <f>IF($Y$5="PilotSetupCost",$Y$6,IF(OR($Y$7="ALL",Assumptions!$N$70="Y"),INDEX(Assumptions!$D$70:$F$70,$Y$4),Assumptions!$E$70))</f>
        <v/>
      </c>
      <c r="Z59" s="50">
        <f>IF($Z$5="PilotSetupCost",$Z$6,IF(OR($Z$7="ALL",Assumptions!$N$70="Y"),INDEX(Assumptions!$D$70:$F$70,$Z$4),Assumptions!$E$70))</f>
        <v/>
      </c>
      <c r="AA59" s="50">
        <f>IF($AA$5="PilotSetupCost",$AA$6,IF(OR($AA$7="ALL",Assumptions!$N$70="Y"),INDEX(Assumptions!$D$70:$F$70,$AA$4),Assumptions!$E$70))</f>
        <v/>
      </c>
      <c r="AB59" s="50">
        <f>IF($AB$5="PilotSetupCost",$AB$6,IF(OR($AB$7="ALL",Assumptions!$N$70="Y"),INDEX(Assumptions!$D$70:$F$70,$AB$4),Assumptions!$E$70))</f>
        <v/>
      </c>
      <c r="AC59" s="50">
        <f>IF($AC$5="PilotSetupCost",$AC$6,IF(OR($AC$7="ALL",Assumptions!$N$70="Y"),INDEX(Assumptions!$D$70:$F$70,$AC$4),Assumptions!$E$70))</f>
        <v/>
      </c>
      <c r="AD59" s="50">
        <f>IF($AD$5="PilotSetupCost",$AD$6,IF(OR($AD$7="ALL",Assumptions!$N$70="Y"),INDEX(Assumptions!$D$70:$F$70,$AD$4),Assumptions!$E$70))</f>
        <v/>
      </c>
      <c r="AE59" s="50">
        <f>IF($AE$5="PilotSetupCost",$AE$6,IF(OR($AE$7="ALL",Assumptions!$N$70="Y"),INDEX(Assumptions!$D$70:$F$70,$AE$4),Assumptions!$E$70))</f>
        <v/>
      </c>
      <c r="AF59" s="50">
        <f>IF($AF$5="PilotSetupCost",$AF$6,IF(OR($AF$7="ALL",Assumptions!$N$70="Y"),INDEX(Assumptions!$D$70:$F$70,$AF$4),Assumptions!$E$70))</f>
        <v/>
      </c>
      <c r="AG59" s="50">
        <f>IF($AG$5="PilotSetupCost",$AG$6,IF(OR($AG$7="ALL",Assumptions!$N$70="Y"),INDEX(Assumptions!$D$70:$F$70,$AG$4),Assumptions!$E$70))</f>
        <v/>
      </c>
      <c r="AH59" s="50">
        <f>IF($AH$5="PilotSetupCost",$AH$6,IF(OR($AH$7="ALL",Assumptions!$N$70="Y"),INDEX(Assumptions!$D$70:$F$70,$AH$4),Assumptions!$E$70))</f>
        <v/>
      </c>
      <c r="AI59" s="50">
        <f>IF($AI$5="PilotSetupCost",$AI$6,IF(OR($AI$7="ALL",Assumptions!$N$70="Y"),INDEX(Assumptions!$D$70:$F$70,$AI$4),Assumptions!$E$70))</f>
        <v/>
      </c>
      <c r="AJ59" s="50">
        <f>IF($AJ$5="PilotSetupCost",$AJ$6,IF(OR($AJ$7="ALL",Assumptions!$N$70="Y"),INDEX(Assumptions!$D$70:$F$70,$AJ$4),Assumptions!$E$70))</f>
        <v/>
      </c>
      <c r="AK59" s="50">
        <f>IF($AK$5="PilotSetupCost",$AK$6,IF(OR($AK$7="ALL",Assumptions!$N$70="Y"),INDEX(Assumptions!$D$70:$F$70,$AK$4),Assumptions!$E$70))</f>
        <v/>
      </c>
      <c r="AL59" s="50">
        <f>IF($AL$5="PilotSetupCost",$AL$6,IF(OR($AL$7="ALL",Assumptions!$N$70="Y"),INDEX(Assumptions!$D$70:$F$70,$AL$4),Assumptions!$E$70))</f>
        <v/>
      </c>
      <c r="AM59" s="50">
        <f>IF($AM$5="PilotSetupCost",$AM$6,IF(OR($AM$7="ALL",Assumptions!$N$70="Y"),INDEX(Assumptions!$D$70:$F$70,$AM$4),Assumptions!$E$70))</f>
        <v/>
      </c>
      <c r="AN59" s="50">
        <f>IF($AN$5="PilotSetupCost",$AN$6,IF(OR($AN$7="ALL",Assumptions!$N$70="Y"),INDEX(Assumptions!$D$70:$F$70,$AN$4),Assumptions!$E$70))</f>
        <v/>
      </c>
      <c r="AO59" s="50">
        <f>IF($AO$5="PilotSetupCost",$AO$6,IF(OR($AO$7="ALL",Assumptions!$N$70="Y"),INDEX(Assumptions!$D$70:$F$70,$AO$4),Assumptions!$E$70))</f>
        <v/>
      </c>
      <c r="AP59" s="50">
        <f>IF($AP$5="PilotSetupCost",$AP$6,IF(OR($AP$7="ALL",Assumptions!$N$70="Y"),INDEX(Assumptions!$D$70:$F$70,$AP$4),Assumptions!$E$70))</f>
        <v/>
      </c>
      <c r="AQ59" s="50">
        <f>IF($AQ$5="PilotSetupCost",$AQ$6,IF(OR($AQ$7="ALL",Assumptions!$N$70="Y"),INDEX(Assumptions!$D$70:$F$70,$AQ$4),Assumptions!$E$70))</f>
        <v/>
      </c>
      <c r="AR59" s="50">
        <f>IF($AR$5="PilotSetupCost",$AR$6,IF(OR($AR$7="ALL",Assumptions!$N$70="Y"),INDEX(Assumptions!$D$70:$F$70,$AR$4),Assumptions!$E$70))</f>
        <v/>
      </c>
      <c r="AS59" s="50">
        <f>IF($AS$5="PilotSetupCost",$AS$6,IF(OR($AS$7="ALL",Assumptions!$N$70="Y"),INDEX(Assumptions!$D$70:$F$70,$AS$4),Assumptions!$E$70))</f>
        <v/>
      </c>
      <c r="AT59" s="50">
        <f>IF($AT$5="PilotSetupCost",$AT$6,IF(OR($AT$7="ALL",Assumptions!$N$70="Y"),INDEX(Assumptions!$D$70:$F$70,$AT$4),Assumptions!$E$70))</f>
        <v/>
      </c>
      <c r="AU59" s="50">
        <f>IF($AU$5="PilotSetupCost",$AU$6,IF(OR($AU$7="ALL",Assumptions!$N$70="Y"),INDEX(Assumptions!$D$70:$F$70,$AU$4),Assumptions!$E$70))</f>
        <v/>
      </c>
      <c r="AV59" s="50">
        <f>IF($AV$5="PilotSetupCost",$AV$6,IF(OR($AV$7="ALL",Assumptions!$N$70="Y"),INDEX(Assumptions!$D$70:$F$70,$AV$4),Assumptions!$E$70))</f>
        <v/>
      </c>
      <c r="AW59" s="50">
        <f>IF($AW$5="PilotSetupCost",$AW$6,IF(OR($AW$7="ALL",Assumptions!$N$70="Y"),INDEX(Assumptions!$D$70:$F$70,$AW$4),Assumptions!$E$70))</f>
        <v/>
      </c>
      <c r="AX59" s="50">
        <f>IF($AX$5="PilotSetupCost",$AX$6,IF(OR($AX$7="ALL",Assumptions!$N$70="Y"),INDEX(Assumptions!$D$70:$F$70,$AX$4),Assumptions!$E$70))</f>
        <v/>
      </c>
      <c r="AY59" s="50">
        <f>IF($AY$5="PilotSetupCost",$AY$6,IF(OR($AY$7="ALL",Assumptions!$N$70="Y"),INDEX(Assumptions!$D$70:$F$70,$AY$4),Assumptions!$E$70))</f>
        <v/>
      </c>
      <c r="AZ59" s="50">
        <f>IF($AZ$5="PilotSetupCost",$AZ$6,IF(OR($AZ$7="ALL",Assumptions!$N$70="Y"),INDEX(Assumptions!$D$70:$F$70,$AZ$4),Assumptions!$E$70))</f>
        <v/>
      </c>
      <c r="BA59" s="50">
        <f>IF($BA$5="PilotSetupCost",$BA$6,IF(OR($BA$7="ALL",Assumptions!$N$70="Y"),INDEX(Assumptions!$D$70:$F$70,$BA$4),Assumptions!$E$70))</f>
        <v/>
      </c>
      <c r="BB59" s="50">
        <f>IF($BB$5="PilotSetupCost",$BB$6,IF(OR($BB$7="ALL",Assumptions!$N$70="Y"),INDEX(Assumptions!$D$70:$F$70,$BB$4),Assumptions!$E$70))</f>
        <v/>
      </c>
      <c r="BC59" s="50">
        <f>IF($BC$5="PilotSetupCost",$BC$6,IF(OR($BC$7="ALL",Assumptions!$N$70="Y"),INDEX(Assumptions!$D$70:$F$70,$BC$4),Assumptions!$E$70))</f>
        <v/>
      </c>
      <c r="BD59" s="50">
        <f>IF($BD$5="PilotSetupCost",$BD$6,IF(OR($BD$7="ALL",Assumptions!$N$70="Y"),INDEX(Assumptions!$D$70:$F$70,$BD$4),Assumptions!$E$70))</f>
        <v/>
      </c>
      <c r="BE59" s="50">
        <f>IF($BE$5="PilotSetupCost",$BE$6,IF(OR($BE$7="ALL",Assumptions!$N$70="Y"),INDEX(Assumptions!$D$70:$F$70,$BE$4),Assumptions!$E$70))</f>
        <v/>
      </c>
    </row>
    <row r="60">
      <c r="B60" s="5" t="inlineStr">
        <is>
          <t>OnboardBase</t>
        </is>
      </c>
      <c r="D60" s="50">
        <f>IF($D$5="OnboardBase",$D$6,IF(OR($D$7="ALL",Assumptions!$N$71="Y"),INDEX(Assumptions!$D$71:$F$71,$D$4),Assumptions!$E$71))</f>
        <v/>
      </c>
      <c r="E60" s="50">
        <f>IF($E$5="OnboardBase",$E$6,IF(OR($E$7="ALL",Assumptions!$N$71="Y"),INDEX(Assumptions!$D$71:$F$71,$E$4),Assumptions!$E$71))</f>
        <v/>
      </c>
      <c r="F60" s="50">
        <f>IF($F$5="OnboardBase",$F$6,IF(OR($F$7="ALL",Assumptions!$N$71="Y"),INDEX(Assumptions!$D$71:$F$71,$F$4),Assumptions!$E$71))</f>
        <v/>
      </c>
      <c r="G60" s="50">
        <f>IF($G$5="OnboardBase",$G$6,IF(OR($G$7="ALL",Assumptions!$N$71="Y"),INDEX(Assumptions!$D$71:$F$71,$G$4),Assumptions!$E$71))</f>
        <v/>
      </c>
      <c r="H60" s="50">
        <f>IF($H$5="OnboardBase",$H$6,IF(OR($H$7="ALL",Assumptions!$N$71="Y"),INDEX(Assumptions!$D$71:$F$71,$H$4),Assumptions!$E$71))</f>
        <v/>
      </c>
      <c r="I60" s="50">
        <f>IF($I$5="OnboardBase",$I$6,IF(OR($I$7="ALL",Assumptions!$N$71="Y"),INDEX(Assumptions!$D$71:$F$71,$I$4),Assumptions!$E$71))</f>
        <v/>
      </c>
      <c r="J60" s="50">
        <f>IF($J$5="OnboardBase",$J$6,IF(OR($J$7="ALL",Assumptions!$N$71="Y"),INDEX(Assumptions!$D$71:$F$71,$J$4),Assumptions!$E$71))</f>
        <v/>
      </c>
      <c r="K60" s="50">
        <f>IF($K$5="OnboardBase",$K$6,IF(OR($K$7="ALL",Assumptions!$N$71="Y"),INDEX(Assumptions!$D$71:$F$71,$K$4),Assumptions!$E$71))</f>
        <v/>
      </c>
      <c r="L60" s="50">
        <f>IF($L$5="OnboardBase",$L$6,IF(OR($L$7="ALL",Assumptions!$N$71="Y"),INDEX(Assumptions!$D$71:$F$71,$L$4),Assumptions!$E$71))</f>
        <v/>
      </c>
      <c r="M60" s="50">
        <f>IF($M$5="OnboardBase",$M$6,IF(OR($M$7="ALL",Assumptions!$N$71="Y"),INDEX(Assumptions!$D$71:$F$71,$M$4),Assumptions!$E$71))</f>
        <v/>
      </c>
      <c r="N60" s="50">
        <f>IF($N$5="OnboardBase",$N$6,IF(OR($N$7="ALL",Assumptions!$N$71="Y"),INDEX(Assumptions!$D$71:$F$71,$N$4),Assumptions!$E$71))</f>
        <v/>
      </c>
      <c r="O60" s="50">
        <f>IF($O$5="OnboardBase",$O$6,IF(OR($O$7="ALL",Assumptions!$N$71="Y"),INDEX(Assumptions!$D$71:$F$71,$O$4),Assumptions!$E$71))</f>
        <v/>
      </c>
      <c r="P60" s="50">
        <f>IF($P$5="OnboardBase",$P$6,IF(OR($P$7="ALL",Assumptions!$N$71="Y"),INDEX(Assumptions!$D$71:$F$71,$P$4),Assumptions!$E$71))</f>
        <v/>
      </c>
      <c r="Q60" s="50">
        <f>IF($Q$5="OnboardBase",$Q$6,IF(OR($Q$7="ALL",Assumptions!$N$71="Y"),INDEX(Assumptions!$D$71:$F$71,$Q$4),Assumptions!$E$71))</f>
        <v/>
      </c>
      <c r="R60" s="50">
        <f>IF($R$5="OnboardBase",$R$6,IF(OR($R$7="ALL",Assumptions!$N$71="Y"),INDEX(Assumptions!$D$71:$F$71,$R$4),Assumptions!$E$71))</f>
        <v/>
      </c>
      <c r="S60" s="50">
        <f>IF($S$5="OnboardBase",$S$6,IF(OR($S$7="ALL",Assumptions!$N$71="Y"),INDEX(Assumptions!$D$71:$F$71,$S$4),Assumptions!$E$71))</f>
        <v/>
      </c>
      <c r="T60" s="50">
        <f>IF($T$5="OnboardBase",$T$6,IF(OR($T$7="ALL",Assumptions!$N$71="Y"),INDEX(Assumptions!$D$71:$F$71,$T$4),Assumptions!$E$71))</f>
        <v/>
      </c>
      <c r="U60" s="50">
        <f>IF($U$5="OnboardBase",$U$6,IF(OR($U$7="ALL",Assumptions!$N$71="Y"),INDEX(Assumptions!$D$71:$F$71,$U$4),Assumptions!$E$71))</f>
        <v/>
      </c>
      <c r="V60" s="50">
        <f>IF($V$5="OnboardBase",$V$6,IF(OR($V$7="ALL",Assumptions!$N$71="Y"),INDEX(Assumptions!$D$71:$F$71,$V$4),Assumptions!$E$71))</f>
        <v/>
      </c>
      <c r="W60" s="50">
        <f>IF($W$5="OnboardBase",$W$6,IF(OR($W$7="ALL",Assumptions!$N$71="Y"),INDEX(Assumptions!$D$71:$F$71,$W$4),Assumptions!$E$71))</f>
        <v/>
      </c>
      <c r="X60" s="50">
        <f>IF($X$5="OnboardBase",$X$6,IF(OR($X$7="ALL",Assumptions!$N$71="Y"),INDEX(Assumptions!$D$71:$F$71,$X$4),Assumptions!$E$71))</f>
        <v/>
      </c>
      <c r="Y60" s="50">
        <f>IF($Y$5="OnboardBase",$Y$6,IF(OR($Y$7="ALL",Assumptions!$N$71="Y"),INDEX(Assumptions!$D$71:$F$71,$Y$4),Assumptions!$E$71))</f>
        <v/>
      </c>
      <c r="Z60" s="50">
        <f>IF($Z$5="OnboardBase",$Z$6,IF(OR($Z$7="ALL",Assumptions!$N$71="Y"),INDEX(Assumptions!$D$71:$F$71,$Z$4),Assumptions!$E$71))</f>
        <v/>
      </c>
      <c r="AA60" s="50">
        <f>IF($AA$5="OnboardBase",$AA$6,IF(OR($AA$7="ALL",Assumptions!$N$71="Y"),INDEX(Assumptions!$D$71:$F$71,$AA$4),Assumptions!$E$71))</f>
        <v/>
      </c>
      <c r="AB60" s="50">
        <f>IF($AB$5="OnboardBase",$AB$6,IF(OR($AB$7="ALL",Assumptions!$N$71="Y"),INDEX(Assumptions!$D$71:$F$71,$AB$4),Assumptions!$E$71))</f>
        <v/>
      </c>
      <c r="AC60" s="50">
        <f>IF($AC$5="OnboardBase",$AC$6,IF(OR($AC$7="ALL",Assumptions!$N$71="Y"),INDEX(Assumptions!$D$71:$F$71,$AC$4),Assumptions!$E$71))</f>
        <v/>
      </c>
      <c r="AD60" s="50">
        <f>IF($AD$5="OnboardBase",$AD$6,IF(OR($AD$7="ALL",Assumptions!$N$71="Y"),INDEX(Assumptions!$D$71:$F$71,$AD$4),Assumptions!$E$71))</f>
        <v/>
      </c>
      <c r="AE60" s="50">
        <f>IF($AE$5="OnboardBase",$AE$6,IF(OR($AE$7="ALL",Assumptions!$N$71="Y"),INDEX(Assumptions!$D$71:$F$71,$AE$4),Assumptions!$E$71))</f>
        <v/>
      </c>
      <c r="AF60" s="50">
        <f>IF($AF$5="OnboardBase",$AF$6,IF(OR($AF$7="ALL",Assumptions!$N$71="Y"),INDEX(Assumptions!$D$71:$F$71,$AF$4),Assumptions!$E$71))</f>
        <v/>
      </c>
      <c r="AG60" s="50">
        <f>IF($AG$5="OnboardBase",$AG$6,IF(OR($AG$7="ALL",Assumptions!$N$71="Y"),INDEX(Assumptions!$D$71:$F$71,$AG$4),Assumptions!$E$71))</f>
        <v/>
      </c>
      <c r="AH60" s="50">
        <f>IF($AH$5="OnboardBase",$AH$6,IF(OR($AH$7="ALL",Assumptions!$N$71="Y"),INDEX(Assumptions!$D$71:$F$71,$AH$4),Assumptions!$E$71))</f>
        <v/>
      </c>
      <c r="AI60" s="50">
        <f>IF($AI$5="OnboardBase",$AI$6,IF(OR($AI$7="ALL",Assumptions!$N$71="Y"),INDEX(Assumptions!$D$71:$F$71,$AI$4),Assumptions!$E$71))</f>
        <v/>
      </c>
      <c r="AJ60" s="50">
        <f>IF($AJ$5="OnboardBase",$AJ$6,IF(OR($AJ$7="ALL",Assumptions!$N$71="Y"),INDEX(Assumptions!$D$71:$F$71,$AJ$4),Assumptions!$E$71))</f>
        <v/>
      </c>
      <c r="AK60" s="50">
        <f>IF($AK$5="OnboardBase",$AK$6,IF(OR($AK$7="ALL",Assumptions!$N$71="Y"),INDEX(Assumptions!$D$71:$F$71,$AK$4),Assumptions!$E$71))</f>
        <v/>
      </c>
      <c r="AL60" s="50">
        <f>IF($AL$5="OnboardBase",$AL$6,IF(OR($AL$7="ALL",Assumptions!$N$71="Y"),INDEX(Assumptions!$D$71:$F$71,$AL$4),Assumptions!$E$71))</f>
        <v/>
      </c>
      <c r="AM60" s="50">
        <f>IF($AM$5="OnboardBase",$AM$6,IF(OR($AM$7="ALL",Assumptions!$N$71="Y"),INDEX(Assumptions!$D$71:$F$71,$AM$4),Assumptions!$E$71))</f>
        <v/>
      </c>
      <c r="AN60" s="50">
        <f>IF($AN$5="OnboardBase",$AN$6,IF(OR($AN$7="ALL",Assumptions!$N$71="Y"),INDEX(Assumptions!$D$71:$F$71,$AN$4),Assumptions!$E$71))</f>
        <v/>
      </c>
      <c r="AO60" s="50">
        <f>IF($AO$5="OnboardBase",$AO$6,IF(OR($AO$7="ALL",Assumptions!$N$71="Y"),INDEX(Assumptions!$D$71:$F$71,$AO$4),Assumptions!$E$71))</f>
        <v/>
      </c>
      <c r="AP60" s="50">
        <f>IF($AP$5="OnboardBase",$AP$6,IF(OR($AP$7="ALL",Assumptions!$N$71="Y"),INDEX(Assumptions!$D$71:$F$71,$AP$4),Assumptions!$E$71))</f>
        <v/>
      </c>
      <c r="AQ60" s="50">
        <f>IF($AQ$5="OnboardBase",$AQ$6,IF(OR($AQ$7="ALL",Assumptions!$N$71="Y"),INDEX(Assumptions!$D$71:$F$71,$AQ$4),Assumptions!$E$71))</f>
        <v/>
      </c>
      <c r="AR60" s="50">
        <f>IF($AR$5="OnboardBase",$AR$6,IF(OR($AR$7="ALL",Assumptions!$N$71="Y"),INDEX(Assumptions!$D$71:$F$71,$AR$4),Assumptions!$E$71))</f>
        <v/>
      </c>
      <c r="AS60" s="50">
        <f>IF($AS$5="OnboardBase",$AS$6,IF(OR($AS$7="ALL",Assumptions!$N$71="Y"),INDEX(Assumptions!$D$71:$F$71,$AS$4),Assumptions!$E$71))</f>
        <v/>
      </c>
      <c r="AT60" s="50">
        <f>IF($AT$5="OnboardBase",$AT$6,IF(OR($AT$7="ALL",Assumptions!$N$71="Y"),INDEX(Assumptions!$D$71:$F$71,$AT$4),Assumptions!$E$71))</f>
        <v/>
      </c>
      <c r="AU60" s="50">
        <f>IF($AU$5="OnboardBase",$AU$6,IF(OR($AU$7="ALL",Assumptions!$N$71="Y"),INDEX(Assumptions!$D$71:$F$71,$AU$4),Assumptions!$E$71))</f>
        <v/>
      </c>
      <c r="AV60" s="50">
        <f>IF($AV$5="OnboardBase",$AV$6,IF(OR($AV$7="ALL",Assumptions!$N$71="Y"),INDEX(Assumptions!$D$71:$F$71,$AV$4),Assumptions!$E$71))</f>
        <v/>
      </c>
      <c r="AW60" s="50">
        <f>IF($AW$5="OnboardBase",$AW$6,IF(OR($AW$7="ALL",Assumptions!$N$71="Y"),INDEX(Assumptions!$D$71:$F$71,$AW$4),Assumptions!$E$71))</f>
        <v/>
      </c>
      <c r="AX60" s="50">
        <f>IF($AX$5="OnboardBase",$AX$6,IF(OR($AX$7="ALL",Assumptions!$N$71="Y"),INDEX(Assumptions!$D$71:$F$71,$AX$4),Assumptions!$E$71))</f>
        <v/>
      </c>
      <c r="AY60" s="50">
        <f>IF($AY$5="OnboardBase",$AY$6,IF(OR($AY$7="ALL",Assumptions!$N$71="Y"),INDEX(Assumptions!$D$71:$F$71,$AY$4),Assumptions!$E$71))</f>
        <v/>
      </c>
      <c r="AZ60" s="50">
        <f>IF($AZ$5="OnboardBase",$AZ$6,IF(OR($AZ$7="ALL",Assumptions!$N$71="Y"),INDEX(Assumptions!$D$71:$F$71,$AZ$4),Assumptions!$E$71))</f>
        <v/>
      </c>
      <c r="BA60" s="50">
        <f>IF($BA$5="OnboardBase",$BA$6,IF(OR($BA$7="ALL",Assumptions!$N$71="Y"),INDEX(Assumptions!$D$71:$F$71,$BA$4),Assumptions!$E$71))</f>
        <v/>
      </c>
      <c r="BB60" s="50">
        <f>IF($BB$5="OnboardBase",$BB$6,IF(OR($BB$7="ALL",Assumptions!$N$71="Y"),INDEX(Assumptions!$D$71:$F$71,$BB$4),Assumptions!$E$71))</f>
        <v/>
      </c>
      <c r="BC60" s="50">
        <f>IF($BC$5="OnboardBase",$BC$6,IF(OR($BC$7="ALL",Assumptions!$N$71="Y"),INDEX(Assumptions!$D$71:$F$71,$BC$4),Assumptions!$E$71))</f>
        <v/>
      </c>
      <c r="BD60" s="50">
        <f>IF($BD$5="OnboardBase",$BD$6,IF(OR($BD$7="ALL",Assumptions!$N$71="Y"),INDEX(Assumptions!$D$71:$F$71,$BD$4),Assumptions!$E$71))</f>
        <v/>
      </c>
      <c r="BE60" s="50">
        <f>IF($BE$5="OnboardBase",$BE$6,IF(OR($BE$7="ALL",Assumptions!$N$71="Y"),INDEX(Assumptions!$D$71:$F$71,$BE$4),Assumptions!$E$71))</f>
        <v/>
      </c>
    </row>
    <row r="61">
      <c r="B61" s="5" t="inlineStr">
        <is>
          <t>OnboardMult</t>
        </is>
      </c>
      <c r="D61" s="41">
        <f>IF($D$5="OnboardMult",$D$6,IF(OR($D$7="ALL",Assumptions!$N$12="Y"),INDEX(Assumptions!$D$12:$F$12,$D$4),Assumptions!$E$12))</f>
        <v/>
      </c>
      <c r="E61" s="41">
        <f>IF($E$5="OnboardMult",$E$6,IF(OR($E$7="ALL",Assumptions!$N$13="Y"),INDEX(Assumptions!$D$13:$F$13,$E$4),Assumptions!$E$13))</f>
        <v/>
      </c>
      <c r="F61" s="41">
        <f>IF($F$5="OnboardMult",$F$6,IF(OR($F$7="ALL",Assumptions!$N$14="Y"),INDEX(Assumptions!$D$14:$F$14,$F$4),Assumptions!$E$14))</f>
        <v/>
      </c>
      <c r="G61" s="41">
        <f>IF($G$5="OnboardMult",$G$6,IF(OR($G$7="ALL",Assumptions!$N$12="Y"),INDEX(Assumptions!$D$12:$F$12,$G$4),Assumptions!$E$12))</f>
        <v/>
      </c>
      <c r="H61" s="41">
        <f>IF($H$5="OnboardMult",$H$6,IF(OR($H$7="ALL",Assumptions!$N$13="Y"),INDEX(Assumptions!$D$13:$F$13,$H$4),Assumptions!$E$13))</f>
        <v/>
      </c>
      <c r="I61" s="41">
        <f>IF($I$5="OnboardMult",$I$6,IF(OR($I$7="ALL",Assumptions!$N$14="Y"),INDEX(Assumptions!$D$14:$F$14,$I$4),Assumptions!$E$14))</f>
        <v/>
      </c>
      <c r="J61" s="41">
        <f>IF($J$5="OnboardMult",$J$6,IF(OR($J$7="ALL",Assumptions!$N$12="Y"),INDEX(Assumptions!$D$12:$F$12,$J$4),Assumptions!$E$12))</f>
        <v/>
      </c>
      <c r="K61" s="41">
        <f>IF($K$5="OnboardMult",$K$6,IF(OR($K$7="ALL",Assumptions!$N$13="Y"),INDEX(Assumptions!$D$13:$F$13,$K$4),Assumptions!$E$13))</f>
        <v/>
      </c>
      <c r="L61" s="41">
        <f>IF($L$5="OnboardMult",$L$6,IF(OR($L$7="ALL",Assumptions!$N$14="Y"),INDEX(Assumptions!$D$14:$F$14,$L$4),Assumptions!$E$14))</f>
        <v/>
      </c>
      <c r="M61" s="41">
        <f>IF($M$5="OnboardMult",$M$6,IF(OR($M$7="ALL",Assumptions!$N$12="Y"),INDEX(Assumptions!$D$12:$F$12,$M$4),Assumptions!$E$12))</f>
        <v/>
      </c>
      <c r="N61" s="41">
        <f>IF($N$5="OnboardMult",$N$6,IF(OR($N$7="ALL",Assumptions!$N$13="Y"),INDEX(Assumptions!$D$13:$F$13,$N$4),Assumptions!$E$13))</f>
        <v/>
      </c>
      <c r="O61" s="41">
        <f>IF($O$5="OnboardMult",$O$6,IF(OR($O$7="ALL",Assumptions!$N$14="Y"),INDEX(Assumptions!$D$14:$F$14,$O$4),Assumptions!$E$14))</f>
        <v/>
      </c>
      <c r="P61" s="41">
        <f>IF($P$5="OnboardMult",$P$6,IF(OR($P$7="ALL",Assumptions!$N$12="Y"),INDEX(Assumptions!$D$12:$F$12,$P$4),Assumptions!$E$12))</f>
        <v/>
      </c>
      <c r="Q61" s="41">
        <f>IF($Q$5="OnboardMult",$Q$6,IF(OR($Q$7="ALL",Assumptions!$N$13="Y"),INDEX(Assumptions!$D$13:$F$13,$Q$4),Assumptions!$E$13))</f>
        <v/>
      </c>
      <c r="R61" s="41">
        <f>IF($R$5="OnboardMult",$R$6,IF(OR($R$7="ALL",Assumptions!$N$14="Y"),INDEX(Assumptions!$D$14:$F$14,$R$4),Assumptions!$E$14))</f>
        <v/>
      </c>
      <c r="S61" s="41">
        <f>IF($S$5="OnboardMult",$S$6,IF(OR($S$7="ALL",Assumptions!$N$13="Y"),INDEX(Assumptions!$D$13:$F$13,$S$4),Assumptions!$E$13))</f>
        <v/>
      </c>
      <c r="T61" s="41">
        <f>IF($T$5="OnboardMult",$T$6,IF(OR($T$7="ALL",Assumptions!$N$13="Y"),INDEX(Assumptions!$D$13:$F$13,$T$4),Assumptions!$E$13))</f>
        <v/>
      </c>
      <c r="U61" s="41">
        <f>IF($U$5="OnboardMult",$U$6,IF(OR($U$7="ALL",Assumptions!$N$13="Y"),INDEX(Assumptions!$D$13:$F$13,$U$4),Assumptions!$E$13))</f>
        <v/>
      </c>
      <c r="V61" s="41">
        <f>IF($V$5="OnboardMult",$V$6,IF(OR($V$7="ALL",Assumptions!$N$13="Y"),INDEX(Assumptions!$D$13:$F$13,$V$4),Assumptions!$E$13))</f>
        <v/>
      </c>
      <c r="W61" s="41">
        <f>IF($W$5="OnboardMult",$W$6,IF(OR($W$7="ALL",Assumptions!$N$13="Y"),INDEX(Assumptions!$D$13:$F$13,$W$4),Assumptions!$E$13))</f>
        <v/>
      </c>
      <c r="X61" s="41">
        <f>IF($X$5="OnboardMult",$X$6,IF(OR($X$7="ALL",Assumptions!$N$13="Y"),INDEX(Assumptions!$D$13:$F$13,$X$4),Assumptions!$E$13))</f>
        <v/>
      </c>
      <c r="Y61" s="41">
        <f>IF($Y$5="OnboardMult",$Y$6,IF(OR($Y$7="ALL",Assumptions!$N$13="Y"),INDEX(Assumptions!$D$13:$F$13,$Y$4),Assumptions!$E$13))</f>
        <v/>
      </c>
      <c r="Z61" s="41">
        <f>IF($Z$5="OnboardMult",$Z$6,IF(OR($Z$7="ALL",Assumptions!$N$13="Y"),INDEX(Assumptions!$D$13:$F$13,$Z$4),Assumptions!$E$13))</f>
        <v/>
      </c>
      <c r="AA61" s="41">
        <f>IF($AA$5="OnboardMult",$AA$6,IF(OR($AA$7="ALL",Assumptions!$N$13="Y"),INDEX(Assumptions!$D$13:$F$13,$AA$4),Assumptions!$E$13))</f>
        <v/>
      </c>
      <c r="AB61" s="41">
        <f>IF($AB$5="OnboardMult",$AB$6,IF(OR($AB$7="ALL",Assumptions!$N$13="Y"),INDEX(Assumptions!$D$13:$F$13,$AB$4),Assumptions!$E$13))</f>
        <v/>
      </c>
      <c r="AC61" s="41">
        <f>IF($AC$5="OnboardMult",$AC$6,IF(OR($AC$7="ALL",Assumptions!$N$13="Y"),INDEX(Assumptions!$D$13:$F$13,$AC$4),Assumptions!$E$13))</f>
        <v/>
      </c>
      <c r="AD61" s="41">
        <f>IF($AD$5="OnboardMult",$AD$6,IF(OR($AD$7="ALL",Assumptions!$N$13="Y"),INDEX(Assumptions!$D$13:$F$13,$AD$4),Assumptions!$E$13))</f>
        <v/>
      </c>
      <c r="AE61" s="41">
        <f>IF($AE$5="OnboardMult",$AE$6,IF(OR($AE$7="ALL",Assumptions!$N$13="Y"),INDEX(Assumptions!$D$13:$F$13,$AE$4),Assumptions!$E$13))</f>
        <v/>
      </c>
      <c r="AF61" s="41">
        <f>IF($AF$5="OnboardMult",$AF$6,IF(OR($AF$7="ALL",Assumptions!$N$13="Y"),INDEX(Assumptions!$D$13:$F$13,$AF$4),Assumptions!$E$13))</f>
        <v/>
      </c>
      <c r="AG61" s="41">
        <f>IF($AG$5="OnboardMult",$AG$6,IF(OR($AG$7="ALL",Assumptions!$N$13="Y"),INDEX(Assumptions!$D$13:$F$13,$AG$4),Assumptions!$E$13))</f>
        <v/>
      </c>
      <c r="AH61" s="41">
        <f>IF($AH$5="OnboardMult",$AH$6,IF(OR($AH$7="ALL",Assumptions!$N$13="Y"),INDEX(Assumptions!$D$13:$F$13,$AH$4),Assumptions!$E$13))</f>
        <v/>
      </c>
      <c r="AI61" s="41">
        <f>IF($AI$5="OnboardMult",$AI$6,IF(OR($AI$7="ALL",Assumptions!$N$13="Y"),INDEX(Assumptions!$D$13:$F$13,$AI$4),Assumptions!$E$13))</f>
        <v/>
      </c>
      <c r="AJ61" s="41">
        <f>IF($AJ$5="OnboardMult",$AJ$6,IF(OR($AJ$7="ALL",Assumptions!$N$13="Y"),INDEX(Assumptions!$D$13:$F$13,$AJ$4),Assumptions!$E$13))</f>
        <v/>
      </c>
      <c r="AK61" s="41">
        <f>IF($AK$5="OnboardMult",$AK$6,IF(OR($AK$7="ALL",Assumptions!$N$13="Y"),INDEX(Assumptions!$D$13:$F$13,$AK$4),Assumptions!$E$13))</f>
        <v/>
      </c>
      <c r="AL61" s="41">
        <f>IF($AL$5="OnboardMult",$AL$6,IF(OR($AL$7="ALL",Assumptions!$N$13="Y"),INDEX(Assumptions!$D$13:$F$13,$AL$4),Assumptions!$E$13))</f>
        <v/>
      </c>
      <c r="AM61" s="41">
        <f>IF($AM$5="OnboardMult",$AM$6,IF(OR($AM$7="ALL",Assumptions!$N$13="Y"),INDEX(Assumptions!$D$13:$F$13,$AM$4),Assumptions!$E$13))</f>
        <v/>
      </c>
      <c r="AN61" s="41">
        <f>IF($AN$5="OnboardMult",$AN$6,IF(OR($AN$7="ALL",Assumptions!$N$13="Y"),INDEX(Assumptions!$D$13:$F$13,$AN$4),Assumptions!$E$13))</f>
        <v/>
      </c>
      <c r="AO61" s="41">
        <f>IF($AO$5="OnboardMult",$AO$6,IF(OR($AO$7="ALL",Assumptions!$N$13="Y"),INDEX(Assumptions!$D$13:$F$13,$AO$4),Assumptions!$E$13))</f>
        <v/>
      </c>
      <c r="AP61" s="41">
        <f>IF($AP$5="OnboardMult",$AP$6,IF(OR($AP$7="ALL",Assumptions!$N$13="Y"),INDEX(Assumptions!$D$13:$F$13,$AP$4),Assumptions!$E$13))</f>
        <v/>
      </c>
      <c r="AQ61" s="41">
        <f>IF($AQ$5="OnboardMult",$AQ$6,IF(OR($AQ$7="ALL",Assumptions!$N$13="Y"),INDEX(Assumptions!$D$13:$F$13,$AQ$4),Assumptions!$E$13))</f>
        <v/>
      </c>
      <c r="AR61" s="41">
        <f>IF($AR$5="OnboardMult",$AR$6,IF(OR($AR$7="ALL",Assumptions!$N$13="Y"),INDEX(Assumptions!$D$13:$F$13,$AR$4),Assumptions!$E$13))</f>
        <v/>
      </c>
      <c r="AS61" s="41">
        <f>IF($AS$5="OnboardMult",$AS$6,IF(OR($AS$7="ALL",Assumptions!$N$13="Y"),INDEX(Assumptions!$D$13:$F$13,$AS$4),Assumptions!$E$13))</f>
        <v/>
      </c>
      <c r="AT61" s="41">
        <f>IF($AT$5="OnboardMult",$AT$6,IF(OR($AT$7="ALL",Assumptions!$N$13="Y"),INDEX(Assumptions!$D$13:$F$13,$AT$4),Assumptions!$E$13))</f>
        <v/>
      </c>
      <c r="AU61" s="41">
        <f>IF($AU$5="OnboardMult",$AU$6,IF(OR($AU$7="ALL",Assumptions!$N$13="Y"),INDEX(Assumptions!$D$13:$F$13,$AU$4),Assumptions!$E$13))</f>
        <v/>
      </c>
      <c r="AV61" s="41">
        <f>IF($AV$5="OnboardMult",$AV$6,IF(OR($AV$7="ALL",Assumptions!$N$13="Y"),INDEX(Assumptions!$D$13:$F$13,$AV$4),Assumptions!$E$13))</f>
        <v/>
      </c>
      <c r="AW61" s="41">
        <f>IF($AW$5="OnboardMult",$AW$6,IF(OR($AW$7="ALL",Assumptions!$N$13="Y"),INDEX(Assumptions!$D$13:$F$13,$AW$4),Assumptions!$E$13))</f>
        <v/>
      </c>
      <c r="AX61" s="41">
        <f>IF($AX$5="OnboardMult",$AX$6,IF(OR($AX$7="ALL",Assumptions!$N$13="Y"),INDEX(Assumptions!$D$13:$F$13,$AX$4),Assumptions!$E$13))</f>
        <v/>
      </c>
      <c r="AY61" s="41">
        <f>IF($AY$5="OnboardMult",$AY$6,IF(OR($AY$7="ALL",Assumptions!$N$13="Y"),INDEX(Assumptions!$D$13:$F$13,$AY$4),Assumptions!$E$13))</f>
        <v/>
      </c>
      <c r="AZ61" s="41">
        <f>IF($AZ$5="OnboardMult",$AZ$6,IF(OR($AZ$7="ALL",Assumptions!$N$13="Y"),INDEX(Assumptions!$D$13:$F$13,$AZ$4),Assumptions!$E$13))</f>
        <v/>
      </c>
      <c r="BA61" s="41">
        <f>IF($BA$5="OnboardMult",$BA$6,IF(OR($BA$7="ALL",Assumptions!$N$13="Y"),INDEX(Assumptions!$D$13:$F$13,$BA$4),Assumptions!$E$13))</f>
        <v/>
      </c>
      <c r="BB61" s="41">
        <f>IF($BB$5="OnboardMult",$BB$6,IF(OR($BB$7="ALL",Assumptions!$N$13="Y"),INDEX(Assumptions!$D$13:$F$13,$BB$4),Assumptions!$E$13))</f>
        <v/>
      </c>
      <c r="BC61" s="41">
        <f>IF($BC$5="OnboardMult",$BC$6,IF(OR($BC$7="ALL",Assumptions!$N$13="Y"),INDEX(Assumptions!$D$13:$F$13,$BC$4),Assumptions!$E$13))</f>
        <v/>
      </c>
      <c r="BD61" s="41">
        <f>IF($BD$5="OnboardMult",$BD$6,IF(OR($BD$7="ALL",Assumptions!$N$13="Y"),INDEX(Assumptions!$D$13:$F$13,$BD$4),Assumptions!$E$13))</f>
        <v/>
      </c>
      <c r="BE61" s="41">
        <f>IF($BE$5="OnboardMult",$BE$6,IF(OR($BE$7="ALL",Assumptions!$N$13="Y"),INDEX(Assumptions!$D$13:$F$13,$BE$4),Assumptions!$E$13))</f>
        <v/>
      </c>
    </row>
    <row r="62">
      <c r="B62" s="5" t="inlineStr">
        <is>
          <t>MarketingPerPaid</t>
        </is>
      </c>
      <c r="D62" s="50">
        <f>IF($D$5="MarketingPerPaid",$D$6,IF(OR($D$7="ALL",Assumptions!$N$72="Y"),INDEX(Assumptions!$D$72:$F$72,$D$4),Assumptions!$E$72))</f>
        <v/>
      </c>
      <c r="E62" s="50">
        <f>IF($E$5="MarketingPerPaid",$E$6,IF(OR($E$7="ALL",Assumptions!$N$72="Y"),INDEX(Assumptions!$D$72:$F$72,$E$4),Assumptions!$E$72))</f>
        <v/>
      </c>
      <c r="F62" s="50">
        <f>IF($F$5="MarketingPerPaid",$F$6,IF(OR($F$7="ALL",Assumptions!$N$72="Y"),INDEX(Assumptions!$D$72:$F$72,$F$4),Assumptions!$E$72))</f>
        <v/>
      </c>
      <c r="G62" s="50">
        <f>IF($G$5="MarketingPerPaid",$G$6,IF(OR($G$7="ALL",Assumptions!$N$72="Y"),INDEX(Assumptions!$D$72:$F$72,$G$4),Assumptions!$E$72))</f>
        <v/>
      </c>
      <c r="H62" s="50">
        <f>IF($H$5="MarketingPerPaid",$H$6,IF(OR($H$7="ALL",Assumptions!$N$72="Y"),INDEX(Assumptions!$D$72:$F$72,$H$4),Assumptions!$E$72))</f>
        <v/>
      </c>
      <c r="I62" s="50">
        <f>IF($I$5="MarketingPerPaid",$I$6,IF(OR($I$7="ALL",Assumptions!$N$72="Y"),INDEX(Assumptions!$D$72:$F$72,$I$4),Assumptions!$E$72))</f>
        <v/>
      </c>
      <c r="J62" s="50">
        <f>IF($J$5="MarketingPerPaid",$J$6,IF(OR($J$7="ALL",Assumptions!$N$72="Y"),INDEX(Assumptions!$D$72:$F$72,$J$4),Assumptions!$E$72))</f>
        <v/>
      </c>
      <c r="K62" s="50">
        <f>IF($K$5="MarketingPerPaid",$K$6,IF(OR($K$7="ALL",Assumptions!$N$72="Y"),INDEX(Assumptions!$D$72:$F$72,$K$4),Assumptions!$E$72))</f>
        <v/>
      </c>
      <c r="L62" s="50">
        <f>IF($L$5="MarketingPerPaid",$L$6,IF(OR($L$7="ALL",Assumptions!$N$72="Y"),INDEX(Assumptions!$D$72:$F$72,$L$4),Assumptions!$E$72))</f>
        <v/>
      </c>
      <c r="M62" s="50">
        <f>IF($M$5="MarketingPerPaid",$M$6,IF(OR($M$7="ALL",Assumptions!$N$72="Y"),INDEX(Assumptions!$D$72:$F$72,$M$4),Assumptions!$E$72))</f>
        <v/>
      </c>
      <c r="N62" s="50">
        <f>IF($N$5="MarketingPerPaid",$N$6,IF(OR($N$7="ALL",Assumptions!$N$72="Y"),INDEX(Assumptions!$D$72:$F$72,$N$4),Assumptions!$E$72))</f>
        <v/>
      </c>
      <c r="O62" s="50">
        <f>IF($O$5="MarketingPerPaid",$O$6,IF(OR($O$7="ALL",Assumptions!$N$72="Y"),INDEX(Assumptions!$D$72:$F$72,$O$4),Assumptions!$E$72))</f>
        <v/>
      </c>
      <c r="P62" s="50">
        <f>IF($P$5="MarketingPerPaid",$P$6,IF(OR($P$7="ALL",Assumptions!$N$72="Y"),INDEX(Assumptions!$D$72:$F$72,$P$4),Assumptions!$E$72))</f>
        <v/>
      </c>
      <c r="Q62" s="50">
        <f>IF($Q$5="MarketingPerPaid",$Q$6,IF(OR($Q$7="ALL",Assumptions!$N$72="Y"),INDEX(Assumptions!$D$72:$F$72,$Q$4),Assumptions!$E$72))</f>
        <v/>
      </c>
      <c r="R62" s="50">
        <f>IF($R$5="MarketingPerPaid",$R$6,IF(OR($R$7="ALL",Assumptions!$N$72="Y"),INDEX(Assumptions!$D$72:$F$72,$R$4),Assumptions!$E$72))</f>
        <v/>
      </c>
      <c r="S62" s="50">
        <f>IF($S$5="MarketingPerPaid",$S$6,IF(OR($S$7="ALL",Assumptions!$N$72="Y"),INDEX(Assumptions!$D$72:$F$72,$S$4),Assumptions!$E$72))</f>
        <v/>
      </c>
      <c r="T62" s="50">
        <f>IF($T$5="MarketingPerPaid",$T$6,IF(OR($T$7="ALL",Assumptions!$N$72="Y"),INDEX(Assumptions!$D$72:$F$72,$T$4),Assumptions!$E$72))</f>
        <v/>
      </c>
      <c r="U62" s="50">
        <f>IF($U$5="MarketingPerPaid",$U$6,IF(OR($U$7="ALL",Assumptions!$N$72="Y"),INDEX(Assumptions!$D$72:$F$72,$U$4),Assumptions!$E$72))</f>
        <v/>
      </c>
      <c r="V62" s="50">
        <f>IF($V$5="MarketingPerPaid",$V$6,IF(OR($V$7="ALL",Assumptions!$N$72="Y"),INDEX(Assumptions!$D$72:$F$72,$V$4),Assumptions!$E$72))</f>
        <v/>
      </c>
      <c r="W62" s="50">
        <f>IF($W$5="MarketingPerPaid",$W$6,IF(OR($W$7="ALL",Assumptions!$N$72="Y"),INDEX(Assumptions!$D$72:$F$72,$W$4),Assumptions!$E$72))</f>
        <v/>
      </c>
      <c r="X62" s="50">
        <f>IF($X$5="MarketingPerPaid",$X$6,IF(OR($X$7="ALL",Assumptions!$N$72="Y"),INDEX(Assumptions!$D$72:$F$72,$X$4),Assumptions!$E$72))</f>
        <v/>
      </c>
      <c r="Y62" s="50">
        <f>IF($Y$5="MarketingPerPaid",$Y$6,IF(OR($Y$7="ALL",Assumptions!$N$72="Y"),INDEX(Assumptions!$D$72:$F$72,$Y$4),Assumptions!$E$72))</f>
        <v/>
      </c>
      <c r="Z62" s="50">
        <f>IF($Z$5="MarketingPerPaid",$Z$6,IF(OR($Z$7="ALL",Assumptions!$N$72="Y"),INDEX(Assumptions!$D$72:$F$72,$Z$4),Assumptions!$E$72))</f>
        <v/>
      </c>
      <c r="AA62" s="50">
        <f>IF($AA$5="MarketingPerPaid",$AA$6,IF(OR($AA$7="ALL",Assumptions!$N$72="Y"),INDEX(Assumptions!$D$72:$F$72,$AA$4),Assumptions!$E$72))</f>
        <v/>
      </c>
      <c r="AB62" s="50">
        <f>IF($AB$5="MarketingPerPaid",$AB$6,IF(OR($AB$7="ALL",Assumptions!$N$72="Y"),INDEX(Assumptions!$D$72:$F$72,$AB$4),Assumptions!$E$72))</f>
        <v/>
      </c>
      <c r="AC62" s="50">
        <f>IF($AC$5="MarketingPerPaid",$AC$6,IF(OR($AC$7="ALL",Assumptions!$N$72="Y"),INDEX(Assumptions!$D$72:$F$72,$AC$4),Assumptions!$E$72))</f>
        <v/>
      </c>
      <c r="AD62" s="50">
        <f>IF($AD$5="MarketingPerPaid",$AD$6,IF(OR($AD$7="ALL",Assumptions!$N$72="Y"),INDEX(Assumptions!$D$72:$F$72,$AD$4),Assumptions!$E$72))</f>
        <v/>
      </c>
      <c r="AE62" s="50">
        <f>IF($AE$5="MarketingPerPaid",$AE$6,IF(OR($AE$7="ALL",Assumptions!$N$72="Y"),INDEX(Assumptions!$D$72:$F$72,$AE$4),Assumptions!$E$72))</f>
        <v/>
      </c>
      <c r="AF62" s="50">
        <f>IF($AF$5="MarketingPerPaid",$AF$6,IF(OR($AF$7="ALL",Assumptions!$N$72="Y"),INDEX(Assumptions!$D$72:$F$72,$AF$4),Assumptions!$E$72))</f>
        <v/>
      </c>
      <c r="AG62" s="50">
        <f>IF($AG$5="MarketingPerPaid",$AG$6,IF(OR($AG$7="ALL",Assumptions!$N$72="Y"),INDEX(Assumptions!$D$72:$F$72,$AG$4),Assumptions!$E$72))</f>
        <v/>
      </c>
      <c r="AH62" s="50">
        <f>IF($AH$5="MarketingPerPaid",$AH$6,IF(OR($AH$7="ALL",Assumptions!$N$72="Y"),INDEX(Assumptions!$D$72:$F$72,$AH$4),Assumptions!$E$72))</f>
        <v/>
      </c>
      <c r="AI62" s="50">
        <f>IF($AI$5="MarketingPerPaid",$AI$6,IF(OR($AI$7="ALL",Assumptions!$N$72="Y"),INDEX(Assumptions!$D$72:$F$72,$AI$4),Assumptions!$E$72))</f>
        <v/>
      </c>
      <c r="AJ62" s="50">
        <f>IF($AJ$5="MarketingPerPaid",$AJ$6,IF(OR($AJ$7="ALL",Assumptions!$N$72="Y"),INDEX(Assumptions!$D$72:$F$72,$AJ$4),Assumptions!$E$72))</f>
        <v/>
      </c>
      <c r="AK62" s="50">
        <f>IF($AK$5="MarketingPerPaid",$AK$6,IF(OR($AK$7="ALL",Assumptions!$N$72="Y"),INDEX(Assumptions!$D$72:$F$72,$AK$4),Assumptions!$E$72))</f>
        <v/>
      </c>
      <c r="AL62" s="50">
        <f>IF($AL$5="MarketingPerPaid",$AL$6,IF(OR($AL$7="ALL",Assumptions!$N$72="Y"),INDEX(Assumptions!$D$72:$F$72,$AL$4),Assumptions!$E$72))</f>
        <v/>
      </c>
      <c r="AM62" s="50">
        <f>IF($AM$5="MarketingPerPaid",$AM$6,IF(OR($AM$7="ALL",Assumptions!$N$72="Y"),INDEX(Assumptions!$D$72:$F$72,$AM$4),Assumptions!$E$72))</f>
        <v/>
      </c>
      <c r="AN62" s="50">
        <f>IF($AN$5="MarketingPerPaid",$AN$6,IF(OR($AN$7="ALL",Assumptions!$N$72="Y"),INDEX(Assumptions!$D$72:$F$72,$AN$4),Assumptions!$E$72))</f>
        <v/>
      </c>
      <c r="AO62" s="50">
        <f>IF($AO$5="MarketingPerPaid",$AO$6,IF(OR($AO$7="ALL",Assumptions!$N$72="Y"),INDEX(Assumptions!$D$72:$F$72,$AO$4),Assumptions!$E$72))</f>
        <v/>
      </c>
      <c r="AP62" s="50">
        <f>IF($AP$5="MarketingPerPaid",$AP$6,IF(OR($AP$7="ALL",Assumptions!$N$72="Y"),INDEX(Assumptions!$D$72:$F$72,$AP$4),Assumptions!$E$72))</f>
        <v/>
      </c>
      <c r="AQ62" s="50">
        <f>IF($AQ$5="MarketingPerPaid",$AQ$6,IF(OR($AQ$7="ALL",Assumptions!$N$72="Y"),INDEX(Assumptions!$D$72:$F$72,$AQ$4),Assumptions!$E$72))</f>
        <v/>
      </c>
      <c r="AR62" s="50">
        <f>IF($AR$5="MarketingPerPaid",$AR$6,IF(OR($AR$7="ALL",Assumptions!$N$72="Y"),INDEX(Assumptions!$D$72:$F$72,$AR$4),Assumptions!$E$72))</f>
        <v/>
      </c>
      <c r="AS62" s="50">
        <f>IF($AS$5="MarketingPerPaid",$AS$6,IF(OR($AS$7="ALL",Assumptions!$N$72="Y"),INDEX(Assumptions!$D$72:$F$72,$AS$4),Assumptions!$E$72))</f>
        <v/>
      </c>
      <c r="AT62" s="50">
        <f>IF($AT$5="MarketingPerPaid",$AT$6,IF(OR($AT$7="ALL",Assumptions!$N$72="Y"),INDEX(Assumptions!$D$72:$F$72,$AT$4),Assumptions!$E$72))</f>
        <v/>
      </c>
      <c r="AU62" s="50">
        <f>IF($AU$5="MarketingPerPaid",$AU$6,IF(OR($AU$7="ALL",Assumptions!$N$72="Y"),INDEX(Assumptions!$D$72:$F$72,$AU$4),Assumptions!$E$72))</f>
        <v/>
      </c>
      <c r="AV62" s="50">
        <f>IF($AV$5="MarketingPerPaid",$AV$6,IF(OR($AV$7="ALL",Assumptions!$N$72="Y"),INDEX(Assumptions!$D$72:$F$72,$AV$4),Assumptions!$E$72))</f>
        <v/>
      </c>
      <c r="AW62" s="50">
        <f>IF($AW$5="MarketingPerPaid",$AW$6,IF(OR($AW$7="ALL",Assumptions!$N$72="Y"),INDEX(Assumptions!$D$72:$F$72,$AW$4),Assumptions!$E$72))</f>
        <v/>
      </c>
      <c r="AX62" s="50">
        <f>IF($AX$5="MarketingPerPaid",$AX$6,IF(OR($AX$7="ALL",Assumptions!$N$72="Y"),INDEX(Assumptions!$D$72:$F$72,$AX$4),Assumptions!$E$72))</f>
        <v/>
      </c>
      <c r="AY62" s="50">
        <f>IF($AY$5="MarketingPerPaid",$AY$6,IF(OR($AY$7="ALL",Assumptions!$N$72="Y"),INDEX(Assumptions!$D$72:$F$72,$AY$4),Assumptions!$E$72))</f>
        <v/>
      </c>
      <c r="AZ62" s="50">
        <f>IF($AZ$5="MarketingPerPaid",$AZ$6,IF(OR($AZ$7="ALL",Assumptions!$N$72="Y"),INDEX(Assumptions!$D$72:$F$72,$AZ$4),Assumptions!$E$72))</f>
        <v/>
      </c>
      <c r="BA62" s="50">
        <f>IF($BA$5="MarketingPerPaid",$BA$6,IF(OR($BA$7="ALL",Assumptions!$N$72="Y"),INDEX(Assumptions!$D$72:$F$72,$BA$4),Assumptions!$E$72))</f>
        <v/>
      </c>
      <c r="BB62" s="50">
        <f>IF($BB$5="MarketingPerPaid",$BB$6,IF(OR($BB$7="ALL",Assumptions!$N$72="Y"),INDEX(Assumptions!$D$72:$F$72,$BB$4),Assumptions!$E$72))</f>
        <v/>
      </c>
      <c r="BC62" s="50">
        <f>IF($BC$5="MarketingPerPaid",$BC$6,IF(OR($BC$7="ALL",Assumptions!$N$72="Y"),INDEX(Assumptions!$D$72:$F$72,$BC$4),Assumptions!$E$72))</f>
        <v/>
      </c>
      <c r="BD62" s="50">
        <f>IF($BD$5="MarketingPerPaid",$BD$6,IF(OR($BD$7="ALL",Assumptions!$N$72="Y"),INDEX(Assumptions!$D$72:$F$72,$BD$4),Assumptions!$E$72))</f>
        <v/>
      </c>
      <c r="BE62" s="50">
        <f>IF($BE$5="MarketingPerPaid",$BE$6,IF(OR($BE$7="ALL",Assumptions!$N$72="Y"),INDEX(Assumptions!$D$72:$F$72,$BE$4),Assumptions!$E$72))</f>
        <v/>
      </c>
    </row>
    <row r="63">
      <c r="B63" s="5" t="inlineStr">
        <is>
          <t>SalesOverheadPct</t>
        </is>
      </c>
      <c r="D63" s="39">
        <f>IF($D$5="SalesOverheadPct",$D$6,IF(OR($D$7="ALL",Assumptions!$N$66="Y"),INDEX(Assumptions!$D$66:$F$66,$D$4),Assumptions!$E$66))</f>
        <v/>
      </c>
      <c r="E63" s="39">
        <f>IF($E$5="SalesOverheadPct",$E$6,IF(OR($E$7="ALL",Assumptions!$N$66="Y"),INDEX(Assumptions!$D$66:$F$66,$E$4),Assumptions!$E$66))</f>
        <v/>
      </c>
      <c r="F63" s="39">
        <f>IF($F$5="SalesOverheadPct",$F$6,IF(OR($F$7="ALL",Assumptions!$N$66="Y"),INDEX(Assumptions!$D$66:$F$66,$F$4),Assumptions!$E$66))</f>
        <v/>
      </c>
      <c r="G63" s="39">
        <f>IF($G$5="SalesOverheadPct",$G$6,IF(OR($G$7="ALL",Assumptions!$N$66="Y"),INDEX(Assumptions!$D$66:$F$66,$G$4),Assumptions!$E$66))</f>
        <v/>
      </c>
      <c r="H63" s="39">
        <f>IF($H$5="SalesOverheadPct",$H$6,IF(OR($H$7="ALL",Assumptions!$N$66="Y"),INDEX(Assumptions!$D$66:$F$66,$H$4),Assumptions!$E$66))</f>
        <v/>
      </c>
      <c r="I63" s="39">
        <f>IF($I$5="SalesOverheadPct",$I$6,IF(OR($I$7="ALL",Assumptions!$N$66="Y"),INDEX(Assumptions!$D$66:$F$66,$I$4),Assumptions!$E$66))</f>
        <v/>
      </c>
      <c r="J63" s="39">
        <f>IF($J$5="SalesOverheadPct",$J$6,IF(OR($J$7="ALL",Assumptions!$N$66="Y"),INDEX(Assumptions!$D$66:$F$66,$J$4),Assumptions!$E$66))</f>
        <v/>
      </c>
      <c r="K63" s="39">
        <f>IF($K$5="SalesOverheadPct",$K$6,IF(OR($K$7="ALL",Assumptions!$N$66="Y"),INDEX(Assumptions!$D$66:$F$66,$K$4),Assumptions!$E$66))</f>
        <v/>
      </c>
      <c r="L63" s="39">
        <f>IF($L$5="SalesOverheadPct",$L$6,IF(OR($L$7="ALL",Assumptions!$N$66="Y"),INDEX(Assumptions!$D$66:$F$66,$L$4),Assumptions!$E$66))</f>
        <v/>
      </c>
      <c r="M63" s="39">
        <f>IF($M$5="SalesOverheadPct",$M$6,IF(OR($M$7="ALL",Assumptions!$N$66="Y"),INDEX(Assumptions!$D$66:$F$66,$M$4),Assumptions!$E$66))</f>
        <v/>
      </c>
      <c r="N63" s="39">
        <f>IF($N$5="SalesOverheadPct",$N$6,IF(OR($N$7="ALL",Assumptions!$N$66="Y"),INDEX(Assumptions!$D$66:$F$66,$N$4),Assumptions!$E$66))</f>
        <v/>
      </c>
      <c r="O63" s="39">
        <f>IF($O$5="SalesOverheadPct",$O$6,IF(OR($O$7="ALL",Assumptions!$N$66="Y"),INDEX(Assumptions!$D$66:$F$66,$O$4),Assumptions!$E$66))</f>
        <v/>
      </c>
      <c r="P63" s="39">
        <f>IF($P$5="SalesOverheadPct",$P$6,IF(OR($P$7="ALL",Assumptions!$N$66="Y"),INDEX(Assumptions!$D$66:$F$66,$P$4),Assumptions!$E$66))</f>
        <v/>
      </c>
      <c r="Q63" s="39">
        <f>IF($Q$5="SalesOverheadPct",$Q$6,IF(OR($Q$7="ALL",Assumptions!$N$66="Y"),INDEX(Assumptions!$D$66:$F$66,$Q$4),Assumptions!$E$66))</f>
        <v/>
      </c>
      <c r="R63" s="39">
        <f>IF($R$5="SalesOverheadPct",$R$6,IF(OR($R$7="ALL",Assumptions!$N$66="Y"),INDEX(Assumptions!$D$66:$F$66,$R$4),Assumptions!$E$66))</f>
        <v/>
      </c>
      <c r="S63" s="39">
        <f>IF($S$5="SalesOverheadPct",$S$6,IF(OR($S$7="ALL",Assumptions!$N$66="Y"),INDEX(Assumptions!$D$66:$F$66,$S$4),Assumptions!$E$66))</f>
        <v/>
      </c>
      <c r="T63" s="39">
        <f>IF($T$5="SalesOverheadPct",$T$6,IF(OR($T$7="ALL",Assumptions!$N$66="Y"),INDEX(Assumptions!$D$66:$F$66,$T$4),Assumptions!$E$66))</f>
        <v/>
      </c>
      <c r="U63" s="39">
        <f>IF($U$5="SalesOverheadPct",$U$6,IF(OR($U$7="ALL",Assumptions!$N$66="Y"),INDEX(Assumptions!$D$66:$F$66,$U$4),Assumptions!$E$66))</f>
        <v/>
      </c>
      <c r="V63" s="39">
        <f>IF($V$5="SalesOverheadPct",$V$6,IF(OR($V$7="ALL",Assumptions!$N$66="Y"),INDEX(Assumptions!$D$66:$F$66,$V$4),Assumptions!$E$66))</f>
        <v/>
      </c>
      <c r="W63" s="39">
        <f>IF($W$5="SalesOverheadPct",$W$6,IF(OR($W$7="ALL",Assumptions!$N$66="Y"),INDEX(Assumptions!$D$66:$F$66,$W$4),Assumptions!$E$66))</f>
        <v/>
      </c>
      <c r="X63" s="39">
        <f>IF($X$5="SalesOverheadPct",$X$6,IF(OR($X$7="ALL",Assumptions!$N$66="Y"),INDEX(Assumptions!$D$66:$F$66,$X$4),Assumptions!$E$66))</f>
        <v/>
      </c>
      <c r="Y63" s="39">
        <f>IF($Y$5="SalesOverheadPct",$Y$6,IF(OR($Y$7="ALL",Assumptions!$N$66="Y"),INDEX(Assumptions!$D$66:$F$66,$Y$4),Assumptions!$E$66))</f>
        <v/>
      </c>
      <c r="Z63" s="39">
        <f>IF($Z$5="SalesOverheadPct",$Z$6,IF(OR($Z$7="ALL",Assumptions!$N$66="Y"),INDEX(Assumptions!$D$66:$F$66,$Z$4),Assumptions!$E$66))</f>
        <v/>
      </c>
      <c r="AA63" s="39">
        <f>IF($AA$5="SalesOverheadPct",$AA$6,IF(OR($AA$7="ALL",Assumptions!$N$66="Y"),INDEX(Assumptions!$D$66:$F$66,$AA$4),Assumptions!$E$66))</f>
        <v/>
      </c>
      <c r="AB63" s="39">
        <f>IF($AB$5="SalesOverheadPct",$AB$6,IF(OR($AB$7="ALL",Assumptions!$N$66="Y"),INDEX(Assumptions!$D$66:$F$66,$AB$4),Assumptions!$E$66))</f>
        <v/>
      </c>
      <c r="AC63" s="39">
        <f>IF($AC$5="SalesOverheadPct",$AC$6,IF(OR($AC$7="ALL",Assumptions!$N$66="Y"),INDEX(Assumptions!$D$66:$F$66,$AC$4),Assumptions!$E$66))</f>
        <v/>
      </c>
      <c r="AD63" s="39">
        <f>IF($AD$5="SalesOverheadPct",$AD$6,IF(OR($AD$7="ALL",Assumptions!$N$66="Y"),INDEX(Assumptions!$D$66:$F$66,$AD$4),Assumptions!$E$66))</f>
        <v/>
      </c>
      <c r="AE63" s="39">
        <f>IF($AE$5="SalesOverheadPct",$AE$6,IF(OR($AE$7="ALL",Assumptions!$N$66="Y"),INDEX(Assumptions!$D$66:$F$66,$AE$4),Assumptions!$E$66))</f>
        <v/>
      </c>
      <c r="AF63" s="39">
        <f>IF($AF$5="SalesOverheadPct",$AF$6,IF(OR($AF$7="ALL",Assumptions!$N$66="Y"),INDEX(Assumptions!$D$66:$F$66,$AF$4),Assumptions!$E$66))</f>
        <v/>
      </c>
      <c r="AG63" s="39">
        <f>IF($AG$5="SalesOverheadPct",$AG$6,IF(OR($AG$7="ALL",Assumptions!$N$66="Y"),INDEX(Assumptions!$D$66:$F$66,$AG$4),Assumptions!$E$66))</f>
        <v/>
      </c>
      <c r="AH63" s="39">
        <f>IF($AH$5="SalesOverheadPct",$AH$6,IF(OR($AH$7="ALL",Assumptions!$N$66="Y"),INDEX(Assumptions!$D$66:$F$66,$AH$4),Assumptions!$E$66))</f>
        <v/>
      </c>
      <c r="AI63" s="39">
        <f>IF($AI$5="SalesOverheadPct",$AI$6,IF(OR($AI$7="ALL",Assumptions!$N$66="Y"),INDEX(Assumptions!$D$66:$F$66,$AI$4),Assumptions!$E$66))</f>
        <v/>
      </c>
      <c r="AJ63" s="39">
        <f>IF($AJ$5="SalesOverheadPct",$AJ$6,IF(OR($AJ$7="ALL",Assumptions!$N$66="Y"),INDEX(Assumptions!$D$66:$F$66,$AJ$4),Assumptions!$E$66))</f>
        <v/>
      </c>
      <c r="AK63" s="39">
        <f>IF($AK$5="SalesOverheadPct",$AK$6,IF(OR($AK$7="ALL",Assumptions!$N$66="Y"),INDEX(Assumptions!$D$66:$F$66,$AK$4),Assumptions!$E$66))</f>
        <v/>
      </c>
      <c r="AL63" s="39">
        <f>IF($AL$5="SalesOverheadPct",$AL$6,IF(OR($AL$7="ALL",Assumptions!$N$66="Y"),INDEX(Assumptions!$D$66:$F$66,$AL$4),Assumptions!$E$66))</f>
        <v/>
      </c>
      <c r="AM63" s="39">
        <f>IF($AM$5="SalesOverheadPct",$AM$6,IF(OR($AM$7="ALL",Assumptions!$N$66="Y"),INDEX(Assumptions!$D$66:$F$66,$AM$4),Assumptions!$E$66))</f>
        <v/>
      </c>
      <c r="AN63" s="39">
        <f>IF($AN$5="SalesOverheadPct",$AN$6,IF(OR($AN$7="ALL",Assumptions!$N$66="Y"),INDEX(Assumptions!$D$66:$F$66,$AN$4),Assumptions!$E$66))</f>
        <v/>
      </c>
      <c r="AO63" s="39">
        <f>IF($AO$5="SalesOverheadPct",$AO$6,IF(OR($AO$7="ALL",Assumptions!$N$66="Y"),INDEX(Assumptions!$D$66:$F$66,$AO$4),Assumptions!$E$66))</f>
        <v/>
      </c>
      <c r="AP63" s="39">
        <f>IF($AP$5="SalesOverheadPct",$AP$6,IF(OR($AP$7="ALL",Assumptions!$N$66="Y"),INDEX(Assumptions!$D$66:$F$66,$AP$4),Assumptions!$E$66))</f>
        <v/>
      </c>
      <c r="AQ63" s="39">
        <f>IF($AQ$5="SalesOverheadPct",$AQ$6,IF(OR($AQ$7="ALL",Assumptions!$N$66="Y"),INDEX(Assumptions!$D$66:$F$66,$AQ$4),Assumptions!$E$66))</f>
        <v/>
      </c>
      <c r="AR63" s="39">
        <f>IF($AR$5="SalesOverheadPct",$AR$6,IF(OR($AR$7="ALL",Assumptions!$N$66="Y"),INDEX(Assumptions!$D$66:$F$66,$AR$4),Assumptions!$E$66))</f>
        <v/>
      </c>
      <c r="AS63" s="39">
        <f>IF($AS$5="SalesOverheadPct",$AS$6,IF(OR($AS$7="ALL",Assumptions!$N$66="Y"),INDEX(Assumptions!$D$66:$F$66,$AS$4),Assumptions!$E$66))</f>
        <v/>
      </c>
      <c r="AT63" s="39">
        <f>IF($AT$5="SalesOverheadPct",$AT$6,IF(OR($AT$7="ALL",Assumptions!$N$66="Y"),INDEX(Assumptions!$D$66:$F$66,$AT$4),Assumptions!$E$66))</f>
        <v/>
      </c>
      <c r="AU63" s="39">
        <f>IF($AU$5="SalesOverheadPct",$AU$6,IF(OR($AU$7="ALL",Assumptions!$N$66="Y"),INDEX(Assumptions!$D$66:$F$66,$AU$4),Assumptions!$E$66))</f>
        <v/>
      </c>
      <c r="AV63" s="39">
        <f>IF($AV$5="SalesOverheadPct",$AV$6,IF(OR($AV$7="ALL",Assumptions!$N$66="Y"),INDEX(Assumptions!$D$66:$F$66,$AV$4),Assumptions!$E$66))</f>
        <v/>
      </c>
      <c r="AW63" s="39">
        <f>IF($AW$5="SalesOverheadPct",$AW$6,IF(OR($AW$7="ALL",Assumptions!$N$66="Y"),INDEX(Assumptions!$D$66:$F$66,$AW$4),Assumptions!$E$66))</f>
        <v/>
      </c>
      <c r="AX63" s="39">
        <f>IF($AX$5="SalesOverheadPct",$AX$6,IF(OR($AX$7="ALL",Assumptions!$N$66="Y"),INDEX(Assumptions!$D$66:$F$66,$AX$4),Assumptions!$E$66))</f>
        <v/>
      </c>
      <c r="AY63" s="39">
        <f>IF($AY$5="SalesOverheadPct",$AY$6,IF(OR($AY$7="ALL",Assumptions!$N$66="Y"),INDEX(Assumptions!$D$66:$F$66,$AY$4),Assumptions!$E$66))</f>
        <v/>
      </c>
      <c r="AZ63" s="39">
        <f>IF($AZ$5="SalesOverheadPct",$AZ$6,IF(OR($AZ$7="ALL",Assumptions!$N$66="Y"),INDEX(Assumptions!$D$66:$F$66,$AZ$4),Assumptions!$E$66))</f>
        <v/>
      </c>
      <c r="BA63" s="39">
        <f>IF($BA$5="SalesOverheadPct",$BA$6,IF(OR($BA$7="ALL",Assumptions!$N$66="Y"),INDEX(Assumptions!$D$66:$F$66,$BA$4),Assumptions!$E$66))</f>
        <v/>
      </c>
      <c r="BB63" s="39">
        <f>IF($BB$5="SalesOverheadPct",$BB$6,IF(OR($BB$7="ALL",Assumptions!$N$66="Y"),INDEX(Assumptions!$D$66:$F$66,$BB$4),Assumptions!$E$66))</f>
        <v/>
      </c>
      <c r="BC63" s="39">
        <f>IF($BC$5="SalesOverheadPct",$BC$6,IF(OR($BC$7="ALL",Assumptions!$N$66="Y"),INDEX(Assumptions!$D$66:$F$66,$BC$4),Assumptions!$E$66))</f>
        <v/>
      </c>
      <c r="BD63" s="39">
        <f>IF($BD$5="SalesOverheadPct",$BD$6,IF(OR($BD$7="ALL",Assumptions!$N$66="Y"),INDEX(Assumptions!$D$66:$F$66,$BD$4),Assumptions!$E$66))</f>
        <v/>
      </c>
      <c r="BE63" s="39">
        <f>IF($BE$5="SalesOverheadPct",$BE$6,IF(OR($BE$7="ALL",Assumptions!$N$66="Y"),INDEX(Assumptions!$D$66:$F$66,$BE$4),Assumptions!$E$66))</f>
        <v/>
      </c>
    </row>
    <row r="64">
      <c r="B64" s="5" t="inlineStr">
        <is>
          <t>MinRenewTenure</t>
        </is>
      </c>
      <c r="D64" s="57">
        <f>IF($D$5="MinRenewTenure",$D$6,IF(OR($D$7="ALL",Assumptions!$N$76="Y"),INDEX(Assumptions!$D$76:$F$76,$D$4),Assumptions!$E$76))</f>
        <v/>
      </c>
      <c r="E64" s="57">
        <f>IF($E$5="MinRenewTenure",$E$6,IF(OR($E$7="ALL",Assumptions!$N$76="Y"),INDEX(Assumptions!$D$76:$F$76,$E$4),Assumptions!$E$76))</f>
        <v/>
      </c>
      <c r="F64" s="57">
        <f>IF($F$5="MinRenewTenure",$F$6,IF(OR($F$7="ALL",Assumptions!$N$76="Y"),INDEX(Assumptions!$D$76:$F$76,$F$4),Assumptions!$E$76))</f>
        <v/>
      </c>
      <c r="G64" s="57">
        <f>IF($G$5="MinRenewTenure",$G$6,IF(OR($G$7="ALL",Assumptions!$N$76="Y"),INDEX(Assumptions!$D$76:$F$76,$G$4),Assumptions!$E$76))</f>
        <v/>
      </c>
      <c r="H64" s="57">
        <f>IF($H$5="MinRenewTenure",$H$6,IF(OR($H$7="ALL",Assumptions!$N$76="Y"),INDEX(Assumptions!$D$76:$F$76,$H$4),Assumptions!$E$76))</f>
        <v/>
      </c>
      <c r="I64" s="57">
        <f>IF($I$5="MinRenewTenure",$I$6,IF(OR($I$7="ALL",Assumptions!$N$76="Y"),INDEX(Assumptions!$D$76:$F$76,$I$4),Assumptions!$E$76))</f>
        <v/>
      </c>
      <c r="J64" s="57">
        <f>IF($J$5="MinRenewTenure",$J$6,IF(OR($J$7="ALL",Assumptions!$N$76="Y"),INDEX(Assumptions!$D$76:$F$76,$J$4),Assumptions!$E$76))</f>
        <v/>
      </c>
      <c r="K64" s="57">
        <f>IF($K$5="MinRenewTenure",$K$6,IF(OR($K$7="ALL",Assumptions!$N$76="Y"),INDEX(Assumptions!$D$76:$F$76,$K$4),Assumptions!$E$76))</f>
        <v/>
      </c>
      <c r="L64" s="57">
        <f>IF($L$5="MinRenewTenure",$L$6,IF(OR($L$7="ALL",Assumptions!$N$76="Y"),INDEX(Assumptions!$D$76:$F$76,$L$4),Assumptions!$E$76))</f>
        <v/>
      </c>
      <c r="M64" s="57">
        <f>IF($M$5="MinRenewTenure",$M$6,IF(OR($M$7="ALL",Assumptions!$N$76="Y"),INDEX(Assumptions!$D$76:$F$76,$M$4),Assumptions!$E$76))</f>
        <v/>
      </c>
      <c r="N64" s="57">
        <f>IF($N$5="MinRenewTenure",$N$6,IF(OR($N$7="ALL",Assumptions!$N$76="Y"),INDEX(Assumptions!$D$76:$F$76,$N$4),Assumptions!$E$76))</f>
        <v/>
      </c>
      <c r="O64" s="57">
        <f>IF($O$5="MinRenewTenure",$O$6,IF(OR($O$7="ALL",Assumptions!$N$76="Y"),INDEX(Assumptions!$D$76:$F$76,$O$4),Assumptions!$E$76))</f>
        <v/>
      </c>
      <c r="P64" s="57">
        <f>IF($P$5="MinRenewTenure",$P$6,IF(OR($P$7="ALL",Assumptions!$N$76="Y"),INDEX(Assumptions!$D$76:$F$76,$P$4),Assumptions!$E$76))</f>
        <v/>
      </c>
      <c r="Q64" s="57">
        <f>IF($Q$5="MinRenewTenure",$Q$6,IF(OR($Q$7="ALL",Assumptions!$N$76="Y"),INDEX(Assumptions!$D$76:$F$76,$Q$4),Assumptions!$E$76))</f>
        <v/>
      </c>
      <c r="R64" s="57">
        <f>IF($R$5="MinRenewTenure",$R$6,IF(OR($R$7="ALL",Assumptions!$N$76="Y"),INDEX(Assumptions!$D$76:$F$76,$R$4),Assumptions!$E$76))</f>
        <v/>
      </c>
      <c r="S64" s="57">
        <f>IF($S$5="MinRenewTenure",$S$6,IF(OR($S$7="ALL",Assumptions!$N$76="Y"),INDEX(Assumptions!$D$76:$F$76,$S$4),Assumptions!$E$76))</f>
        <v/>
      </c>
      <c r="T64" s="57">
        <f>IF($T$5="MinRenewTenure",$T$6,IF(OR($T$7="ALL",Assumptions!$N$76="Y"),INDEX(Assumptions!$D$76:$F$76,$T$4),Assumptions!$E$76))</f>
        <v/>
      </c>
      <c r="U64" s="57">
        <f>IF($U$5="MinRenewTenure",$U$6,IF(OR($U$7="ALL",Assumptions!$N$76="Y"),INDEX(Assumptions!$D$76:$F$76,$U$4),Assumptions!$E$76))</f>
        <v/>
      </c>
      <c r="V64" s="57">
        <f>IF($V$5="MinRenewTenure",$V$6,IF(OR($V$7="ALL",Assumptions!$N$76="Y"),INDEX(Assumptions!$D$76:$F$76,$V$4),Assumptions!$E$76))</f>
        <v/>
      </c>
      <c r="W64" s="57">
        <f>IF($W$5="MinRenewTenure",$W$6,IF(OR($W$7="ALL",Assumptions!$N$76="Y"),INDEX(Assumptions!$D$76:$F$76,$W$4),Assumptions!$E$76))</f>
        <v/>
      </c>
      <c r="X64" s="57">
        <f>IF($X$5="MinRenewTenure",$X$6,IF(OR($X$7="ALL",Assumptions!$N$76="Y"),INDEX(Assumptions!$D$76:$F$76,$X$4),Assumptions!$E$76))</f>
        <v/>
      </c>
      <c r="Y64" s="57">
        <f>IF($Y$5="MinRenewTenure",$Y$6,IF(OR($Y$7="ALL",Assumptions!$N$76="Y"),INDEX(Assumptions!$D$76:$F$76,$Y$4),Assumptions!$E$76))</f>
        <v/>
      </c>
      <c r="Z64" s="57">
        <f>IF($Z$5="MinRenewTenure",$Z$6,IF(OR($Z$7="ALL",Assumptions!$N$76="Y"),INDEX(Assumptions!$D$76:$F$76,$Z$4),Assumptions!$E$76))</f>
        <v/>
      </c>
      <c r="AA64" s="57">
        <f>IF($AA$5="MinRenewTenure",$AA$6,IF(OR($AA$7="ALL",Assumptions!$N$76="Y"),INDEX(Assumptions!$D$76:$F$76,$AA$4),Assumptions!$E$76))</f>
        <v/>
      </c>
      <c r="AB64" s="57">
        <f>IF($AB$5="MinRenewTenure",$AB$6,IF(OR($AB$7="ALL",Assumptions!$N$76="Y"),INDEX(Assumptions!$D$76:$F$76,$AB$4),Assumptions!$E$76))</f>
        <v/>
      </c>
      <c r="AC64" s="57">
        <f>IF($AC$5="MinRenewTenure",$AC$6,IF(OR($AC$7="ALL",Assumptions!$N$76="Y"),INDEX(Assumptions!$D$76:$F$76,$AC$4),Assumptions!$E$76))</f>
        <v/>
      </c>
      <c r="AD64" s="57">
        <f>IF($AD$5="MinRenewTenure",$AD$6,IF(OR($AD$7="ALL",Assumptions!$N$76="Y"),INDEX(Assumptions!$D$76:$F$76,$AD$4),Assumptions!$E$76))</f>
        <v/>
      </c>
      <c r="AE64" s="57">
        <f>IF($AE$5="MinRenewTenure",$AE$6,IF(OR($AE$7="ALL",Assumptions!$N$76="Y"),INDEX(Assumptions!$D$76:$F$76,$AE$4),Assumptions!$E$76))</f>
        <v/>
      </c>
      <c r="AF64" s="57">
        <f>IF($AF$5="MinRenewTenure",$AF$6,IF(OR($AF$7="ALL",Assumptions!$N$76="Y"),INDEX(Assumptions!$D$76:$F$76,$AF$4),Assumptions!$E$76))</f>
        <v/>
      </c>
      <c r="AG64" s="57">
        <f>IF($AG$5="MinRenewTenure",$AG$6,IF(OR($AG$7="ALL",Assumptions!$N$76="Y"),INDEX(Assumptions!$D$76:$F$76,$AG$4),Assumptions!$E$76))</f>
        <v/>
      </c>
      <c r="AH64" s="57">
        <f>IF($AH$5="MinRenewTenure",$AH$6,IF(OR($AH$7="ALL",Assumptions!$N$76="Y"),INDEX(Assumptions!$D$76:$F$76,$AH$4),Assumptions!$E$76))</f>
        <v/>
      </c>
      <c r="AI64" s="57">
        <f>IF($AI$5="MinRenewTenure",$AI$6,IF(OR($AI$7="ALL",Assumptions!$N$76="Y"),INDEX(Assumptions!$D$76:$F$76,$AI$4),Assumptions!$E$76))</f>
        <v/>
      </c>
      <c r="AJ64" s="57">
        <f>IF($AJ$5="MinRenewTenure",$AJ$6,IF(OR($AJ$7="ALL",Assumptions!$N$76="Y"),INDEX(Assumptions!$D$76:$F$76,$AJ$4),Assumptions!$E$76))</f>
        <v/>
      </c>
      <c r="AK64" s="57">
        <f>IF($AK$5="MinRenewTenure",$AK$6,IF(OR($AK$7="ALL",Assumptions!$N$76="Y"),INDEX(Assumptions!$D$76:$F$76,$AK$4),Assumptions!$E$76))</f>
        <v/>
      </c>
      <c r="AL64" s="57">
        <f>IF($AL$5="MinRenewTenure",$AL$6,IF(OR($AL$7="ALL",Assumptions!$N$76="Y"),INDEX(Assumptions!$D$76:$F$76,$AL$4),Assumptions!$E$76))</f>
        <v/>
      </c>
      <c r="AM64" s="57">
        <f>IF($AM$5="MinRenewTenure",$AM$6,IF(OR($AM$7="ALL",Assumptions!$N$76="Y"),INDEX(Assumptions!$D$76:$F$76,$AM$4),Assumptions!$E$76))</f>
        <v/>
      </c>
      <c r="AN64" s="57">
        <f>IF($AN$5="MinRenewTenure",$AN$6,IF(OR($AN$7="ALL",Assumptions!$N$76="Y"),INDEX(Assumptions!$D$76:$F$76,$AN$4),Assumptions!$E$76))</f>
        <v/>
      </c>
      <c r="AO64" s="57">
        <f>IF($AO$5="MinRenewTenure",$AO$6,IF(OR($AO$7="ALL",Assumptions!$N$76="Y"),INDEX(Assumptions!$D$76:$F$76,$AO$4),Assumptions!$E$76))</f>
        <v/>
      </c>
      <c r="AP64" s="57">
        <f>IF($AP$5="MinRenewTenure",$AP$6,IF(OR($AP$7="ALL",Assumptions!$N$76="Y"),INDEX(Assumptions!$D$76:$F$76,$AP$4),Assumptions!$E$76))</f>
        <v/>
      </c>
      <c r="AQ64" s="57">
        <f>IF($AQ$5="MinRenewTenure",$AQ$6,IF(OR($AQ$7="ALL",Assumptions!$N$76="Y"),INDEX(Assumptions!$D$76:$F$76,$AQ$4),Assumptions!$E$76))</f>
        <v/>
      </c>
      <c r="AR64" s="57">
        <f>IF($AR$5="MinRenewTenure",$AR$6,IF(OR($AR$7="ALL",Assumptions!$N$76="Y"),INDEX(Assumptions!$D$76:$F$76,$AR$4),Assumptions!$E$76))</f>
        <v/>
      </c>
      <c r="AS64" s="57">
        <f>IF($AS$5="MinRenewTenure",$AS$6,IF(OR($AS$7="ALL",Assumptions!$N$76="Y"),INDEX(Assumptions!$D$76:$F$76,$AS$4),Assumptions!$E$76))</f>
        <v/>
      </c>
      <c r="AT64" s="57">
        <f>IF($AT$5="MinRenewTenure",$AT$6,IF(OR($AT$7="ALL",Assumptions!$N$76="Y"),INDEX(Assumptions!$D$76:$F$76,$AT$4),Assumptions!$E$76))</f>
        <v/>
      </c>
      <c r="AU64" s="57">
        <f>IF($AU$5="MinRenewTenure",$AU$6,IF(OR($AU$7="ALL",Assumptions!$N$76="Y"),INDEX(Assumptions!$D$76:$F$76,$AU$4),Assumptions!$E$76))</f>
        <v/>
      </c>
      <c r="AV64" s="57">
        <f>IF($AV$5="MinRenewTenure",$AV$6,IF(OR($AV$7="ALL",Assumptions!$N$76="Y"),INDEX(Assumptions!$D$76:$F$76,$AV$4),Assumptions!$E$76))</f>
        <v/>
      </c>
      <c r="AW64" s="57">
        <f>IF($AW$5="MinRenewTenure",$AW$6,IF(OR($AW$7="ALL",Assumptions!$N$76="Y"),INDEX(Assumptions!$D$76:$F$76,$AW$4),Assumptions!$E$76))</f>
        <v/>
      </c>
      <c r="AX64" s="57">
        <f>IF($AX$5="MinRenewTenure",$AX$6,IF(OR($AX$7="ALL",Assumptions!$N$76="Y"),INDEX(Assumptions!$D$76:$F$76,$AX$4),Assumptions!$E$76))</f>
        <v/>
      </c>
      <c r="AY64" s="57">
        <f>IF($AY$5="MinRenewTenure",$AY$6,IF(OR($AY$7="ALL",Assumptions!$N$76="Y"),INDEX(Assumptions!$D$76:$F$76,$AY$4),Assumptions!$E$76))</f>
        <v/>
      </c>
      <c r="AZ64" s="57">
        <f>IF($AZ$5="MinRenewTenure",$AZ$6,IF(OR($AZ$7="ALL",Assumptions!$N$76="Y"),INDEX(Assumptions!$D$76:$F$76,$AZ$4),Assumptions!$E$76))</f>
        <v/>
      </c>
      <c r="BA64" s="57">
        <f>IF($BA$5="MinRenewTenure",$BA$6,IF(OR($BA$7="ALL",Assumptions!$N$76="Y"),INDEX(Assumptions!$D$76:$F$76,$BA$4),Assumptions!$E$76))</f>
        <v/>
      </c>
      <c r="BB64" s="57">
        <f>IF($BB$5="MinRenewTenure",$BB$6,IF(OR($BB$7="ALL",Assumptions!$N$76="Y"),INDEX(Assumptions!$D$76:$F$76,$BB$4),Assumptions!$E$76))</f>
        <v/>
      </c>
      <c r="BC64" s="57">
        <f>IF($BC$5="MinRenewTenure",$BC$6,IF(OR($BC$7="ALL",Assumptions!$N$76="Y"),INDEX(Assumptions!$D$76:$F$76,$BC$4),Assumptions!$E$76))</f>
        <v/>
      </c>
      <c r="BD64" s="57">
        <f>IF($BD$5="MinRenewTenure",$BD$6,IF(OR($BD$7="ALL",Assumptions!$N$76="Y"),INDEX(Assumptions!$D$76:$F$76,$BD$4),Assumptions!$E$76))</f>
        <v/>
      </c>
      <c r="BE64" s="57">
        <f>IF($BE$5="MinRenewTenure",$BE$6,IF(OR($BE$7="ALL",Assumptions!$N$76="Y"),INDEX(Assumptions!$D$76:$F$76,$BE$4),Assumptions!$E$76))</f>
        <v/>
      </c>
    </row>
    <row r="65">
      <c r="B65" s="5" t="inlineStr">
        <is>
          <t>ChannelCommission</t>
        </is>
      </c>
      <c r="D65" s="39">
        <f>IF($D$5="ChannelCommission",$D$6,IF(OR($D$7="ALL",Assumptions!$N$73="Y"),INDEX(Assumptions!$D$73:$F$73,$D$4),Assumptions!$E$73))</f>
        <v/>
      </c>
      <c r="E65" s="39">
        <f>IF($E$5="ChannelCommission",$E$6,IF(OR($E$7="ALL",Assumptions!$N$73="Y"),INDEX(Assumptions!$D$73:$F$73,$E$4),Assumptions!$E$73))</f>
        <v/>
      </c>
      <c r="F65" s="39">
        <f>IF($F$5="ChannelCommission",$F$6,IF(OR($F$7="ALL",Assumptions!$N$73="Y"),INDEX(Assumptions!$D$73:$F$73,$F$4),Assumptions!$E$73))</f>
        <v/>
      </c>
      <c r="G65" s="39">
        <f>IF($G$5="ChannelCommission",$G$6,IF(OR($G$7="ALL",Assumptions!$N$73="Y"),INDEX(Assumptions!$D$73:$F$73,$G$4),Assumptions!$E$73))</f>
        <v/>
      </c>
      <c r="H65" s="39">
        <f>IF($H$5="ChannelCommission",$H$6,IF(OR($H$7="ALL",Assumptions!$N$73="Y"),INDEX(Assumptions!$D$73:$F$73,$H$4),Assumptions!$E$73))</f>
        <v/>
      </c>
      <c r="I65" s="39">
        <f>IF($I$5="ChannelCommission",$I$6,IF(OR($I$7="ALL",Assumptions!$N$73="Y"),INDEX(Assumptions!$D$73:$F$73,$I$4),Assumptions!$E$73))</f>
        <v/>
      </c>
      <c r="J65" s="39">
        <f>IF($J$5="ChannelCommission",$J$6,IF(OR($J$7="ALL",Assumptions!$N$73="Y"),INDEX(Assumptions!$D$73:$F$73,$J$4),Assumptions!$E$73))</f>
        <v/>
      </c>
      <c r="K65" s="39">
        <f>IF($K$5="ChannelCommission",$K$6,IF(OR($K$7="ALL",Assumptions!$N$73="Y"),INDEX(Assumptions!$D$73:$F$73,$K$4),Assumptions!$E$73))</f>
        <v/>
      </c>
      <c r="L65" s="39">
        <f>IF($L$5="ChannelCommission",$L$6,IF(OR($L$7="ALL",Assumptions!$N$73="Y"),INDEX(Assumptions!$D$73:$F$73,$L$4),Assumptions!$E$73))</f>
        <v/>
      </c>
      <c r="M65" s="39">
        <f>IF($M$5="ChannelCommission",$M$6,IF(OR($M$7="ALL",Assumptions!$N$73="Y"),INDEX(Assumptions!$D$73:$F$73,$M$4),Assumptions!$E$73))</f>
        <v/>
      </c>
      <c r="N65" s="39">
        <f>IF($N$5="ChannelCommission",$N$6,IF(OR($N$7="ALL",Assumptions!$N$73="Y"),INDEX(Assumptions!$D$73:$F$73,$N$4),Assumptions!$E$73))</f>
        <v/>
      </c>
      <c r="O65" s="39">
        <f>IF($O$5="ChannelCommission",$O$6,IF(OR($O$7="ALL",Assumptions!$N$73="Y"),INDEX(Assumptions!$D$73:$F$73,$O$4),Assumptions!$E$73))</f>
        <v/>
      </c>
      <c r="P65" s="39">
        <f>IF($P$5="ChannelCommission",$P$6,IF(OR($P$7="ALL",Assumptions!$N$73="Y"),INDEX(Assumptions!$D$73:$F$73,$P$4),Assumptions!$E$73))</f>
        <v/>
      </c>
      <c r="Q65" s="39">
        <f>IF($Q$5="ChannelCommission",$Q$6,IF(OR($Q$7="ALL",Assumptions!$N$73="Y"),INDEX(Assumptions!$D$73:$F$73,$Q$4),Assumptions!$E$73))</f>
        <v/>
      </c>
      <c r="R65" s="39">
        <f>IF($R$5="ChannelCommission",$R$6,IF(OR($R$7="ALL",Assumptions!$N$73="Y"),INDEX(Assumptions!$D$73:$F$73,$R$4),Assumptions!$E$73))</f>
        <v/>
      </c>
      <c r="S65" s="39">
        <f>IF($S$5="ChannelCommission",$S$6,IF(OR($S$7="ALL",Assumptions!$N$73="Y"),INDEX(Assumptions!$D$73:$F$73,$S$4),Assumptions!$E$73))</f>
        <v/>
      </c>
      <c r="T65" s="39">
        <f>IF($T$5="ChannelCommission",$T$6,IF(OR($T$7="ALL",Assumptions!$N$73="Y"),INDEX(Assumptions!$D$73:$F$73,$T$4),Assumptions!$E$73))</f>
        <v/>
      </c>
      <c r="U65" s="39">
        <f>IF($U$5="ChannelCommission",$U$6,IF(OR($U$7="ALL",Assumptions!$N$73="Y"),INDEX(Assumptions!$D$73:$F$73,$U$4),Assumptions!$E$73))</f>
        <v/>
      </c>
      <c r="V65" s="39">
        <f>IF($V$5="ChannelCommission",$V$6,IF(OR($V$7="ALL",Assumptions!$N$73="Y"),INDEX(Assumptions!$D$73:$F$73,$V$4),Assumptions!$E$73))</f>
        <v/>
      </c>
      <c r="W65" s="39">
        <f>IF($W$5="ChannelCommission",$W$6,IF(OR($W$7="ALL",Assumptions!$N$73="Y"),INDEX(Assumptions!$D$73:$F$73,$W$4),Assumptions!$E$73))</f>
        <v/>
      </c>
      <c r="X65" s="39">
        <f>IF($X$5="ChannelCommission",$X$6,IF(OR($X$7="ALL",Assumptions!$N$73="Y"),INDEX(Assumptions!$D$73:$F$73,$X$4),Assumptions!$E$73))</f>
        <v/>
      </c>
      <c r="Y65" s="39">
        <f>IF($Y$5="ChannelCommission",$Y$6,IF(OR($Y$7="ALL",Assumptions!$N$73="Y"),INDEX(Assumptions!$D$73:$F$73,$Y$4),Assumptions!$E$73))</f>
        <v/>
      </c>
      <c r="Z65" s="39">
        <f>IF($Z$5="ChannelCommission",$Z$6,IF(OR($Z$7="ALL",Assumptions!$N$73="Y"),INDEX(Assumptions!$D$73:$F$73,$Z$4),Assumptions!$E$73))</f>
        <v/>
      </c>
      <c r="AA65" s="39">
        <f>IF($AA$5="ChannelCommission",$AA$6,IF(OR($AA$7="ALL",Assumptions!$N$73="Y"),INDEX(Assumptions!$D$73:$F$73,$AA$4),Assumptions!$E$73))</f>
        <v/>
      </c>
      <c r="AB65" s="39">
        <f>IF($AB$5="ChannelCommission",$AB$6,IF(OR($AB$7="ALL",Assumptions!$N$73="Y"),INDEX(Assumptions!$D$73:$F$73,$AB$4),Assumptions!$E$73))</f>
        <v/>
      </c>
      <c r="AC65" s="39">
        <f>IF($AC$5="ChannelCommission",$AC$6,IF(OR($AC$7="ALL",Assumptions!$N$73="Y"),INDEX(Assumptions!$D$73:$F$73,$AC$4),Assumptions!$E$73))</f>
        <v/>
      </c>
      <c r="AD65" s="39">
        <f>IF($AD$5="ChannelCommission",$AD$6,IF(OR($AD$7="ALL",Assumptions!$N$73="Y"),INDEX(Assumptions!$D$73:$F$73,$AD$4),Assumptions!$E$73))</f>
        <v/>
      </c>
      <c r="AE65" s="39">
        <f>IF($AE$5="ChannelCommission",$AE$6,IF(OR($AE$7="ALL",Assumptions!$N$73="Y"),INDEX(Assumptions!$D$73:$F$73,$AE$4),Assumptions!$E$73))</f>
        <v/>
      </c>
      <c r="AF65" s="39">
        <f>IF($AF$5="ChannelCommission",$AF$6,IF(OR($AF$7="ALL",Assumptions!$N$73="Y"),INDEX(Assumptions!$D$73:$F$73,$AF$4),Assumptions!$E$73))</f>
        <v/>
      </c>
      <c r="AG65" s="39">
        <f>IF($AG$5="ChannelCommission",$AG$6,IF(OR($AG$7="ALL",Assumptions!$N$73="Y"),INDEX(Assumptions!$D$73:$F$73,$AG$4),Assumptions!$E$73))</f>
        <v/>
      </c>
      <c r="AH65" s="39">
        <f>IF($AH$5="ChannelCommission",$AH$6,IF(OR($AH$7="ALL",Assumptions!$N$73="Y"),INDEX(Assumptions!$D$73:$F$73,$AH$4),Assumptions!$E$73))</f>
        <v/>
      </c>
      <c r="AI65" s="39">
        <f>IF($AI$5="ChannelCommission",$AI$6,IF(OR($AI$7="ALL",Assumptions!$N$73="Y"),INDEX(Assumptions!$D$73:$F$73,$AI$4),Assumptions!$E$73))</f>
        <v/>
      </c>
      <c r="AJ65" s="39">
        <f>IF($AJ$5="ChannelCommission",$AJ$6,IF(OR($AJ$7="ALL",Assumptions!$N$73="Y"),INDEX(Assumptions!$D$73:$F$73,$AJ$4),Assumptions!$E$73))</f>
        <v/>
      </c>
      <c r="AK65" s="39">
        <f>IF($AK$5="ChannelCommission",$AK$6,IF(OR($AK$7="ALL",Assumptions!$N$73="Y"),INDEX(Assumptions!$D$73:$F$73,$AK$4),Assumptions!$E$73))</f>
        <v/>
      </c>
      <c r="AL65" s="39">
        <f>IF($AL$5="ChannelCommission",$AL$6,IF(OR($AL$7="ALL",Assumptions!$N$73="Y"),INDEX(Assumptions!$D$73:$F$73,$AL$4),Assumptions!$E$73))</f>
        <v/>
      </c>
      <c r="AM65" s="39">
        <f>IF($AM$5="ChannelCommission",$AM$6,IF(OR($AM$7="ALL",Assumptions!$N$73="Y"),INDEX(Assumptions!$D$73:$F$73,$AM$4),Assumptions!$E$73))</f>
        <v/>
      </c>
      <c r="AN65" s="39">
        <f>IF($AN$5="ChannelCommission",$AN$6,IF(OR($AN$7="ALL",Assumptions!$N$73="Y"),INDEX(Assumptions!$D$73:$F$73,$AN$4),Assumptions!$E$73))</f>
        <v/>
      </c>
      <c r="AO65" s="39">
        <f>IF($AO$5="ChannelCommission",$AO$6,IF(OR($AO$7="ALL",Assumptions!$N$73="Y"),INDEX(Assumptions!$D$73:$F$73,$AO$4),Assumptions!$E$73))</f>
        <v/>
      </c>
      <c r="AP65" s="39">
        <f>IF($AP$5="ChannelCommission",$AP$6,IF(OR($AP$7="ALL",Assumptions!$N$73="Y"),INDEX(Assumptions!$D$73:$F$73,$AP$4),Assumptions!$E$73))</f>
        <v/>
      </c>
      <c r="AQ65" s="39">
        <f>IF($AQ$5="ChannelCommission",$AQ$6,IF(OR($AQ$7="ALL",Assumptions!$N$73="Y"),INDEX(Assumptions!$D$73:$F$73,$AQ$4),Assumptions!$E$73))</f>
        <v/>
      </c>
      <c r="AR65" s="39">
        <f>IF($AR$5="ChannelCommission",$AR$6,IF(OR($AR$7="ALL",Assumptions!$N$73="Y"),INDEX(Assumptions!$D$73:$F$73,$AR$4),Assumptions!$E$73))</f>
        <v/>
      </c>
      <c r="AS65" s="39">
        <f>IF($AS$5="ChannelCommission",$AS$6,IF(OR($AS$7="ALL",Assumptions!$N$73="Y"),INDEX(Assumptions!$D$73:$F$73,$AS$4),Assumptions!$E$73))</f>
        <v/>
      </c>
      <c r="AT65" s="39">
        <f>IF($AT$5="ChannelCommission",$AT$6,IF(OR($AT$7="ALL",Assumptions!$N$73="Y"),INDEX(Assumptions!$D$73:$F$73,$AT$4),Assumptions!$E$73))</f>
        <v/>
      </c>
      <c r="AU65" s="39">
        <f>IF($AU$5="ChannelCommission",$AU$6,IF(OR($AU$7="ALL",Assumptions!$N$73="Y"),INDEX(Assumptions!$D$73:$F$73,$AU$4),Assumptions!$E$73))</f>
        <v/>
      </c>
      <c r="AV65" s="39">
        <f>IF($AV$5="ChannelCommission",$AV$6,IF(OR($AV$7="ALL",Assumptions!$N$73="Y"),INDEX(Assumptions!$D$73:$F$73,$AV$4),Assumptions!$E$73))</f>
        <v/>
      </c>
      <c r="AW65" s="39">
        <f>IF($AW$5="ChannelCommission",$AW$6,IF(OR($AW$7="ALL",Assumptions!$N$73="Y"),INDEX(Assumptions!$D$73:$F$73,$AW$4),Assumptions!$E$73))</f>
        <v/>
      </c>
      <c r="AX65" s="39">
        <f>IF($AX$5="ChannelCommission",$AX$6,IF(OR($AX$7="ALL",Assumptions!$N$73="Y"),INDEX(Assumptions!$D$73:$F$73,$AX$4),Assumptions!$E$73))</f>
        <v/>
      </c>
      <c r="AY65" s="39">
        <f>IF($AY$5="ChannelCommission",$AY$6,IF(OR($AY$7="ALL",Assumptions!$N$73="Y"),INDEX(Assumptions!$D$73:$F$73,$AY$4),Assumptions!$E$73))</f>
        <v/>
      </c>
      <c r="AZ65" s="39">
        <f>IF($AZ$5="ChannelCommission",$AZ$6,IF(OR($AZ$7="ALL",Assumptions!$N$73="Y"),INDEX(Assumptions!$D$73:$F$73,$AZ$4),Assumptions!$E$73))</f>
        <v/>
      </c>
      <c r="BA65" s="39">
        <f>IF($BA$5="ChannelCommission",$BA$6,IF(OR($BA$7="ALL",Assumptions!$N$73="Y"),INDEX(Assumptions!$D$73:$F$73,$BA$4),Assumptions!$E$73))</f>
        <v/>
      </c>
      <c r="BB65" s="39">
        <f>IF($BB$5="ChannelCommission",$BB$6,IF(OR($BB$7="ALL",Assumptions!$N$73="Y"),INDEX(Assumptions!$D$73:$F$73,$BB$4),Assumptions!$E$73))</f>
        <v/>
      </c>
      <c r="BC65" s="39">
        <f>IF($BC$5="ChannelCommission",$BC$6,IF(OR($BC$7="ALL",Assumptions!$N$73="Y"),INDEX(Assumptions!$D$73:$F$73,$BC$4),Assumptions!$E$73))</f>
        <v/>
      </c>
      <c r="BD65" s="39">
        <f>IF($BD$5="ChannelCommission",$BD$6,IF(OR($BD$7="ALL",Assumptions!$N$73="Y"),INDEX(Assumptions!$D$73:$F$73,$BD$4),Assumptions!$E$73))</f>
        <v/>
      </c>
      <c r="BE65" s="39">
        <f>IF($BE$5="ChannelCommission",$BE$6,IF(OR($BE$7="ALL",Assumptions!$N$73="Y"),INDEX(Assumptions!$D$73:$F$73,$BE$4),Assumptions!$E$73))</f>
        <v/>
      </c>
    </row>
    <row r="67">
      <c r="B67" s="7" t="inlineStr">
        <is>
          <t>LLM (AI parent reports, hosted model)</t>
        </is>
      </c>
      <c r="C67" s="5" t="inlineStr">
        <is>
          <t>₹/student/month</t>
        </is>
      </c>
      <c r="D67" s="47">
        <f>D8*(D9*D11+D10*D12)/1000000</f>
        <v/>
      </c>
      <c r="E67" s="47">
        <f>E8*(E9*E11+E10*E12)/1000000</f>
        <v/>
      </c>
      <c r="F67" s="47">
        <f>F8*(F9*F11+F10*F12)/1000000</f>
        <v/>
      </c>
      <c r="G67" s="47">
        <f>G8*(G9*G11+G10*G12)/1000000</f>
        <v/>
      </c>
      <c r="H67" s="47">
        <f>H8*(H9*H11+H10*H12)/1000000</f>
        <v/>
      </c>
      <c r="I67" s="47">
        <f>I8*(I9*I11+I10*I12)/1000000</f>
        <v/>
      </c>
      <c r="J67" s="47">
        <f>J8*(J9*J11+J10*J12)/1000000</f>
        <v/>
      </c>
      <c r="K67" s="47">
        <f>K8*(K9*K11+K10*K12)/1000000</f>
        <v/>
      </c>
      <c r="L67" s="47">
        <f>L8*(L9*L11+L10*L12)/1000000</f>
        <v/>
      </c>
      <c r="M67" s="47">
        <f>M8*(M9*M11+M10*M12)/1000000</f>
        <v/>
      </c>
      <c r="N67" s="47">
        <f>N8*(N9*N11+N10*N12)/1000000</f>
        <v/>
      </c>
      <c r="O67" s="47">
        <f>O8*(O9*O11+O10*O12)/1000000</f>
        <v/>
      </c>
      <c r="P67" s="47">
        <f>P8*(P9*P11+P10*P12)/1000000</f>
        <v/>
      </c>
      <c r="Q67" s="47">
        <f>Q8*(Q9*Q11+Q10*Q12)/1000000</f>
        <v/>
      </c>
      <c r="R67" s="47">
        <f>R8*(R9*R11+R10*R12)/1000000</f>
        <v/>
      </c>
      <c r="S67" s="47">
        <f>S8*(S9*S11+S10*S12)/1000000</f>
        <v/>
      </c>
      <c r="T67" s="47">
        <f>T8*(T9*T11+T10*T12)/1000000</f>
        <v/>
      </c>
      <c r="U67" s="47">
        <f>U8*(U9*U11+U10*U12)/1000000</f>
        <v/>
      </c>
      <c r="V67" s="47">
        <f>V8*(V9*V11+V10*V12)/1000000</f>
        <v/>
      </c>
      <c r="W67" s="47">
        <f>W8*(W9*W11+W10*W12)/1000000</f>
        <v/>
      </c>
      <c r="X67" s="47">
        <f>X8*(X9*X11+X10*X12)/1000000</f>
        <v/>
      </c>
      <c r="Y67" s="47">
        <f>Y8*(Y9*Y11+Y10*Y12)/1000000</f>
        <v/>
      </c>
      <c r="Z67" s="47">
        <f>Z8*(Z9*Z11+Z10*Z12)/1000000</f>
        <v/>
      </c>
      <c r="AA67" s="47">
        <f>AA8*(AA9*AA11+AA10*AA12)/1000000</f>
        <v/>
      </c>
      <c r="AB67" s="47">
        <f>AB8*(AB9*AB11+AB10*AB12)/1000000</f>
        <v/>
      </c>
      <c r="AC67" s="47">
        <f>AC8*(AC9*AC11+AC10*AC12)/1000000</f>
        <v/>
      </c>
      <c r="AD67" s="47">
        <f>AD8*(AD9*AD11+AD10*AD12)/1000000</f>
        <v/>
      </c>
      <c r="AE67" s="47">
        <f>AE8*(AE9*AE11+AE10*AE12)/1000000</f>
        <v/>
      </c>
      <c r="AF67" s="47">
        <f>AF8*(AF9*AF11+AF10*AF12)/1000000</f>
        <v/>
      </c>
      <c r="AG67" s="47">
        <f>AG8*(AG9*AG11+AG10*AG12)/1000000</f>
        <v/>
      </c>
      <c r="AH67" s="47">
        <f>AH8*(AH9*AH11+AH10*AH12)/1000000</f>
        <v/>
      </c>
      <c r="AI67" s="47">
        <f>AI8*(AI9*AI11+AI10*AI12)/1000000</f>
        <v/>
      </c>
      <c r="AJ67" s="47">
        <f>AJ8*(AJ9*AJ11+AJ10*AJ12)/1000000</f>
        <v/>
      </c>
      <c r="AK67" s="47">
        <f>AK8*(AK9*AK11+AK10*AK12)/1000000</f>
        <v/>
      </c>
      <c r="AL67" s="47">
        <f>AL8*(AL9*AL11+AL10*AL12)/1000000</f>
        <v/>
      </c>
      <c r="AM67" s="47">
        <f>AM8*(AM9*AM11+AM10*AM12)/1000000</f>
        <v/>
      </c>
      <c r="AN67" s="47">
        <f>AN8*(AN9*AN11+AN10*AN12)/1000000</f>
        <v/>
      </c>
      <c r="AO67" s="47">
        <f>AO8*(AO9*AO11+AO10*AO12)/1000000</f>
        <v/>
      </c>
      <c r="AP67" s="47">
        <f>AP8*(AP9*AP11+AP10*AP12)/1000000</f>
        <v/>
      </c>
      <c r="AQ67" s="47">
        <f>AQ8*(AQ9*AQ11+AQ10*AQ12)/1000000</f>
        <v/>
      </c>
      <c r="AR67" s="47">
        <f>AR8*(AR9*AR11+AR10*AR12)/1000000</f>
        <v/>
      </c>
      <c r="AS67" s="47">
        <f>AS8*(AS9*AS11+AS10*AS12)/1000000</f>
        <v/>
      </c>
      <c r="AT67" s="47">
        <f>AT8*(AT9*AT11+AT10*AT12)/1000000</f>
        <v/>
      </c>
      <c r="AU67" s="47">
        <f>AU8*(AU9*AU11+AU10*AU12)/1000000</f>
        <v/>
      </c>
      <c r="AV67" s="47">
        <f>AV8*(AV9*AV11+AV10*AV12)/1000000</f>
        <v/>
      </c>
      <c r="AW67" s="47">
        <f>AW8*(AW9*AW11+AW10*AW12)/1000000</f>
        <v/>
      </c>
      <c r="AX67" s="47">
        <f>AX8*(AX9*AX11+AX10*AX12)/1000000</f>
        <v/>
      </c>
      <c r="AY67" s="47">
        <f>AY8*(AY9*AY11+AY10*AY12)/1000000</f>
        <v/>
      </c>
      <c r="AZ67" s="47">
        <f>AZ8*(AZ9*AZ11+AZ10*AZ12)/1000000</f>
        <v/>
      </c>
      <c r="BA67" s="47">
        <f>BA8*(BA9*BA11+BA10*BA12)/1000000</f>
        <v/>
      </c>
      <c r="BB67" s="47">
        <f>BB8*(BB9*BB11+BB10*BB12)/1000000</f>
        <v/>
      </c>
      <c r="BC67" s="47">
        <f>BC8*(BC9*BC11+BC10*BC12)/1000000</f>
        <v/>
      </c>
      <c r="BD67" s="47">
        <f>BD8*(BD9*BD11+BD10*BD12)/1000000</f>
        <v/>
      </c>
      <c r="BE67" s="47">
        <f>BE8*(BE9*BE11+BE10*BE12)/1000000</f>
        <v/>
      </c>
    </row>
    <row r="68">
      <c r="B68" s="7" t="inlineStr">
        <is>
          <t>WhatsApp utility messages</t>
        </is>
      </c>
      <c r="C68" s="5" t="inlineStr">
        <is>
          <t>₹/student/month</t>
        </is>
      </c>
      <c r="D68" s="47">
        <f>D13*D14</f>
        <v/>
      </c>
      <c r="E68" s="47">
        <f>E13*E14</f>
        <v/>
      </c>
      <c r="F68" s="47">
        <f>F13*F14</f>
        <v/>
      </c>
      <c r="G68" s="47">
        <f>G13*G14</f>
        <v/>
      </c>
      <c r="H68" s="47">
        <f>H13*H14</f>
        <v/>
      </c>
      <c r="I68" s="47">
        <f>I13*I14</f>
        <v/>
      </c>
      <c r="J68" s="47">
        <f>J13*J14</f>
        <v/>
      </c>
      <c r="K68" s="47">
        <f>K13*K14</f>
        <v/>
      </c>
      <c r="L68" s="47">
        <f>L13*L14</f>
        <v/>
      </c>
      <c r="M68" s="47">
        <f>M13*M14</f>
        <v/>
      </c>
      <c r="N68" s="47">
        <f>N13*N14</f>
        <v/>
      </c>
      <c r="O68" s="47">
        <f>O13*O14</f>
        <v/>
      </c>
      <c r="P68" s="47">
        <f>P13*P14</f>
        <v/>
      </c>
      <c r="Q68" s="47">
        <f>Q13*Q14</f>
        <v/>
      </c>
      <c r="R68" s="47">
        <f>R13*R14</f>
        <v/>
      </c>
      <c r="S68" s="47">
        <f>S13*S14</f>
        <v/>
      </c>
      <c r="T68" s="47">
        <f>T13*T14</f>
        <v/>
      </c>
      <c r="U68" s="47">
        <f>U13*U14</f>
        <v/>
      </c>
      <c r="V68" s="47">
        <f>V13*V14</f>
        <v/>
      </c>
      <c r="W68" s="47">
        <f>W13*W14</f>
        <v/>
      </c>
      <c r="X68" s="47">
        <f>X13*X14</f>
        <v/>
      </c>
      <c r="Y68" s="47">
        <f>Y13*Y14</f>
        <v/>
      </c>
      <c r="Z68" s="47">
        <f>Z13*Z14</f>
        <v/>
      </c>
      <c r="AA68" s="47">
        <f>AA13*AA14</f>
        <v/>
      </c>
      <c r="AB68" s="47">
        <f>AB13*AB14</f>
        <v/>
      </c>
      <c r="AC68" s="47">
        <f>AC13*AC14</f>
        <v/>
      </c>
      <c r="AD68" s="47">
        <f>AD13*AD14</f>
        <v/>
      </c>
      <c r="AE68" s="47">
        <f>AE13*AE14</f>
        <v/>
      </c>
      <c r="AF68" s="47">
        <f>AF13*AF14</f>
        <v/>
      </c>
      <c r="AG68" s="47">
        <f>AG13*AG14</f>
        <v/>
      </c>
      <c r="AH68" s="47">
        <f>AH13*AH14</f>
        <v/>
      </c>
      <c r="AI68" s="47">
        <f>AI13*AI14</f>
        <v/>
      </c>
      <c r="AJ68" s="47">
        <f>AJ13*AJ14</f>
        <v/>
      </c>
      <c r="AK68" s="47">
        <f>AK13*AK14</f>
        <v/>
      </c>
      <c r="AL68" s="47">
        <f>AL13*AL14</f>
        <v/>
      </c>
      <c r="AM68" s="47">
        <f>AM13*AM14</f>
        <v/>
      </c>
      <c r="AN68" s="47">
        <f>AN13*AN14</f>
        <v/>
      </c>
      <c r="AO68" s="47">
        <f>AO13*AO14</f>
        <v/>
      </c>
      <c r="AP68" s="47">
        <f>AP13*AP14</f>
        <v/>
      </c>
      <c r="AQ68" s="47">
        <f>AQ13*AQ14</f>
        <v/>
      </c>
      <c r="AR68" s="47">
        <f>AR13*AR14</f>
        <v/>
      </c>
      <c r="AS68" s="47">
        <f>AS13*AS14</f>
        <v/>
      </c>
      <c r="AT68" s="47">
        <f>AT13*AT14</f>
        <v/>
      </c>
      <c r="AU68" s="47">
        <f>AU13*AU14</f>
        <v/>
      </c>
      <c r="AV68" s="47">
        <f>AV13*AV14</f>
        <v/>
      </c>
      <c r="AW68" s="47">
        <f>AW13*AW14</f>
        <v/>
      </c>
      <c r="AX68" s="47">
        <f>AX13*AX14</f>
        <v/>
      </c>
      <c r="AY68" s="47">
        <f>AY13*AY14</f>
        <v/>
      </c>
      <c r="AZ68" s="47">
        <f>AZ13*AZ14</f>
        <v/>
      </c>
      <c r="BA68" s="47">
        <f>BA13*BA14</f>
        <v/>
      </c>
      <c r="BB68" s="47">
        <f>BB13*BB14</f>
        <v/>
      </c>
      <c r="BC68" s="47">
        <f>BC13*BC14</f>
        <v/>
      </c>
      <c r="BD68" s="47">
        <f>BD13*BD14</f>
        <v/>
      </c>
      <c r="BE68" s="47">
        <f>BE13*BE14</f>
        <v/>
      </c>
    </row>
    <row r="69">
      <c r="B69" s="7" t="inlineStr">
        <is>
          <t>Compute + storage + backups</t>
        </is>
      </c>
      <c r="C69" s="5" t="inlineStr">
        <is>
          <t>₹/student/month</t>
        </is>
      </c>
      <c r="D69" s="47">
        <f>D15</f>
        <v/>
      </c>
      <c r="E69" s="47">
        <f>E15</f>
        <v/>
      </c>
      <c r="F69" s="47">
        <f>F15</f>
        <v/>
      </c>
      <c r="G69" s="47">
        <f>G15</f>
        <v/>
      </c>
      <c r="H69" s="47">
        <f>H15</f>
        <v/>
      </c>
      <c r="I69" s="47">
        <f>I15</f>
        <v/>
      </c>
      <c r="J69" s="47">
        <f>J15</f>
        <v/>
      </c>
      <c r="K69" s="47">
        <f>K15</f>
        <v/>
      </c>
      <c r="L69" s="47">
        <f>L15</f>
        <v/>
      </c>
      <c r="M69" s="47">
        <f>M15</f>
        <v/>
      </c>
      <c r="N69" s="47">
        <f>N15</f>
        <v/>
      </c>
      <c r="O69" s="47">
        <f>O15</f>
        <v/>
      </c>
      <c r="P69" s="47">
        <f>P15</f>
        <v/>
      </c>
      <c r="Q69" s="47">
        <f>Q15</f>
        <v/>
      </c>
      <c r="R69" s="47">
        <f>R15</f>
        <v/>
      </c>
      <c r="S69" s="47">
        <f>S15</f>
        <v/>
      </c>
      <c r="T69" s="47">
        <f>T15</f>
        <v/>
      </c>
      <c r="U69" s="47">
        <f>U15</f>
        <v/>
      </c>
      <c r="V69" s="47">
        <f>V15</f>
        <v/>
      </c>
      <c r="W69" s="47">
        <f>W15</f>
        <v/>
      </c>
      <c r="X69" s="47">
        <f>X15</f>
        <v/>
      </c>
      <c r="Y69" s="47">
        <f>Y15</f>
        <v/>
      </c>
      <c r="Z69" s="47">
        <f>Z15</f>
        <v/>
      </c>
      <c r="AA69" s="47">
        <f>AA15</f>
        <v/>
      </c>
      <c r="AB69" s="47">
        <f>AB15</f>
        <v/>
      </c>
      <c r="AC69" s="47">
        <f>AC15</f>
        <v/>
      </c>
      <c r="AD69" s="47">
        <f>AD15</f>
        <v/>
      </c>
      <c r="AE69" s="47">
        <f>AE15</f>
        <v/>
      </c>
      <c r="AF69" s="47">
        <f>AF15</f>
        <v/>
      </c>
      <c r="AG69" s="47">
        <f>AG15</f>
        <v/>
      </c>
      <c r="AH69" s="47">
        <f>AH15</f>
        <v/>
      </c>
      <c r="AI69" s="47">
        <f>AI15</f>
        <v/>
      </c>
      <c r="AJ69" s="47">
        <f>AJ15</f>
        <v/>
      </c>
      <c r="AK69" s="47">
        <f>AK15</f>
        <v/>
      </c>
      <c r="AL69" s="47">
        <f>AL15</f>
        <v/>
      </c>
      <c r="AM69" s="47">
        <f>AM15</f>
        <v/>
      </c>
      <c r="AN69" s="47">
        <f>AN15</f>
        <v/>
      </c>
      <c r="AO69" s="47">
        <f>AO15</f>
        <v/>
      </c>
      <c r="AP69" s="47">
        <f>AP15</f>
        <v/>
      </c>
      <c r="AQ69" s="47">
        <f>AQ15</f>
        <v/>
      </c>
      <c r="AR69" s="47">
        <f>AR15</f>
        <v/>
      </c>
      <c r="AS69" s="47">
        <f>AS15</f>
        <v/>
      </c>
      <c r="AT69" s="47">
        <f>AT15</f>
        <v/>
      </c>
      <c r="AU69" s="47">
        <f>AU15</f>
        <v/>
      </c>
      <c r="AV69" s="47">
        <f>AV15</f>
        <v/>
      </c>
      <c r="AW69" s="47">
        <f>AW15</f>
        <v/>
      </c>
      <c r="AX69" s="47">
        <f>AX15</f>
        <v/>
      </c>
      <c r="AY69" s="47">
        <f>AY15</f>
        <v/>
      </c>
      <c r="AZ69" s="47">
        <f>AZ15</f>
        <v/>
      </c>
      <c r="BA69" s="47">
        <f>BA15</f>
        <v/>
      </c>
      <c r="BB69" s="47">
        <f>BB15</f>
        <v/>
      </c>
      <c r="BC69" s="47">
        <f>BC15</f>
        <v/>
      </c>
      <c r="BD69" s="47">
        <f>BD15</f>
        <v/>
      </c>
      <c r="BE69" s="47">
        <f>BE15</f>
        <v/>
      </c>
    </row>
    <row r="70">
      <c r="B70" s="7" t="inlineStr">
        <is>
          <t>Consent OTP / verification (annual ÷ 12)</t>
        </is>
      </c>
      <c r="C70" s="5" t="inlineStr">
        <is>
          <t>₹/student/month</t>
        </is>
      </c>
      <c r="D70" s="47">
        <f>D16/12</f>
        <v/>
      </c>
      <c r="E70" s="47">
        <f>E16/12</f>
        <v/>
      </c>
      <c r="F70" s="47">
        <f>F16/12</f>
        <v/>
      </c>
      <c r="G70" s="47">
        <f>G16/12</f>
        <v/>
      </c>
      <c r="H70" s="47">
        <f>H16/12</f>
        <v/>
      </c>
      <c r="I70" s="47">
        <f>I16/12</f>
        <v/>
      </c>
      <c r="J70" s="47">
        <f>J16/12</f>
        <v/>
      </c>
      <c r="K70" s="47">
        <f>K16/12</f>
        <v/>
      </c>
      <c r="L70" s="47">
        <f>L16/12</f>
        <v/>
      </c>
      <c r="M70" s="47">
        <f>M16/12</f>
        <v/>
      </c>
      <c r="N70" s="47">
        <f>N16/12</f>
        <v/>
      </c>
      <c r="O70" s="47">
        <f>O16/12</f>
        <v/>
      </c>
      <c r="P70" s="47">
        <f>P16/12</f>
        <v/>
      </c>
      <c r="Q70" s="47">
        <f>Q16/12</f>
        <v/>
      </c>
      <c r="R70" s="47">
        <f>R16/12</f>
        <v/>
      </c>
      <c r="S70" s="47">
        <f>S16/12</f>
        <v/>
      </c>
      <c r="T70" s="47">
        <f>T16/12</f>
        <v/>
      </c>
      <c r="U70" s="47">
        <f>U16/12</f>
        <v/>
      </c>
      <c r="V70" s="47">
        <f>V16/12</f>
        <v/>
      </c>
      <c r="W70" s="47">
        <f>W16/12</f>
        <v/>
      </c>
      <c r="X70" s="47">
        <f>X16/12</f>
        <v/>
      </c>
      <c r="Y70" s="47">
        <f>Y16/12</f>
        <v/>
      </c>
      <c r="Z70" s="47">
        <f>Z16/12</f>
        <v/>
      </c>
      <c r="AA70" s="47">
        <f>AA16/12</f>
        <v/>
      </c>
      <c r="AB70" s="47">
        <f>AB16/12</f>
        <v/>
      </c>
      <c r="AC70" s="47">
        <f>AC16/12</f>
        <v/>
      </c>
      <c r="AD70" s="47">
        <f>AD16/12</f>
        <v/>
      </c>
      <c r="AE70" s="47">
        <f>AE16/12</f>
        <v/>
      </c>
      <c r="AF70" s="47">
        <f>AF16/12</f>
        <v/>
      </c>
      <c r="AG70" s="47">
        <f>AG16/12</f>
        <v/>
      </c>
      <c r="AH70" s="47">
        <f>AH16/12</f>
        <v/>
      </c>
      <c r="AI70" s="47">
        <f>AI16/12</f>
        <v/>
      </c>
      <c r="AJ70" s="47">
        <f>AJ16/12</f>
        <v/>
      </c>
      <c r="AK70" s="47">
        <f>AK16/12</f>
        <v/>
      </c>
      <c r="AL70" s="47">
        <f>AL16/12</f>
        <v/>
      </c>
      <c r="AM70" s="47">
        <f>AM16/12</f>
        <v/>
      </c>
      <c r="AN70" s="47">
        <f>AN16/12</f>
        <v/>
      </c>
      <c r="AO70" s="47">
        <f>AO16/12</f>
        <v/>
      </c>
      <c r="AP70" s="47">
        <f>AP16/12</f>
        <v/>
      </c>
      <c r="AQ70" s="47">
        <f>AQ16/12</f>
        <v/>
      </c>
      <c r="AR70" s="47">
        <f>AR16/12</f>
        <v/>
      </c>
      <c r="AS70" s="47">
        <f>AS16/12</f>
        <v/>
      </c>
      <c r="AT70" s="47">
        <f>AT16/12</f>
        <v/>
      </c>
      <c r="AU70" s="47">
        <f>AU16/12</f>
        <v/>
      </c>
      <c r="AV70" s="47">
        <f>AV16/12</f>
        <v/>
      </c>
      <c r="AW70" s="47">
        <f>AW16/12</f>
        <v/>
      </c>
      <c r="AX70" s="47">
        <f>AX16/12</f>
        <v/>
      </c>
      <c r="AY70" s="47">
        <f>AY16/12</f>
        <v/>
      </c>
      <c r="AZ70" s="47">
        <f>AZ16/12</f>
        <v/>
      </c>
      <c r="BA70" s="47">
        <f>BA16/12</f>
        <v/>
      </c>
      <c r="BB70" s="47">
        <f>BB16/12</f>
        <v/>
      </c>
      <c r="BC70" s="47">
        <f>BC16/12</f>
        <v/>
      </c>
      <c r="BD70" s="47">
        <f>BD16/12</f>
        <v/>
      </c>
      <c r="BE70" s="47">
        <f>BE16/12</f>
        <v/>
      </c>
    </row>
    <row r="71">
      <c r="B71" s="7" t="inlineStr">
        <is>
          <t>Total variable COGS per student-month</t>
        </is>
      </c>
      <c r="C71" s="5" t="inlineStr">
        <is>
          <t>₹/student/month</t>
        </is>
      </c>
      <c r="D71" s="46">
        <f>SUM(D67:D70)</f>
        <v/>
      </c>
      <c r="E71" s="46">
        <f>SUM(E67:E70)</f>
        <v/>
      </c>
      <c r="F71" s="46">
        <f>SUM(F67:F70)</f>
        <v/>
      </c>
      <c r="G71" s="46">
        <f>SUM(G67:G70)</f>
        <v/>
      </c>
      <c r="H71" s="46">
        <f>SUM(H67:H70)</f>
        <v/>
      </c>
      <c r="I71" s="46">
        <f>SUM(I67:I70)</f>
        <v/>
      </c>
      <c r="J71" s="46">
        <f>SUM(J67:J70)</f>
        <v/>
      </c>
      <c r="K71" s="46">
        <f>SUM(K67:K70)</f>
        <v/>
      </c>
      <c r="L71" s="46">
        <f>SUM(L67:L70)</f>
        <v/>
      </c>
      <c r="M71" s="46">
        <f>SUM(M67:M70)</f>
        <v/>
      </c>
      <c r="N71" s="46">
        <f>SUM(N67:N70)</f>
        <v/>
      </c>
      <c r="O71" s="46">
        <f>SUM(O67:O70)</f>
        <v/>
      </c>
      <c r="P71" s="46">
        <f>SUM(P67:P70)</f>
        <v/>
      </c>
      <c r="Q71" s="46">
        <f>SUM(Q67:Q70)</f>
        <v/>
      </c>
      <c r="R71" s="46">
        <f>SUM(R67:R70)</f>
        <v/>
      </c>
      <c r="S71" s="46">
        <f>SUM(S67:S70)</f>
        <v/>
      </c>
      <c r="T71" s="46">
        <f>SUM(T67:T70)</f>
        <v/>
      </c>
      <c r="U71" s="46">
        <f>SUM(U67:U70)</f>
        <v/>
      </c>
      <c r="V71" s="46">
        <f>SUM(V67:V70)</f>
        <v/>
      </c>
      <c r="W71" s="46">
        <f>SUM(W67:W70)</f>
        <v/>
      </c>
      <c r="X71" s="46">
        <f>SUM(X67:X70)</f>
        <v/>
      </c>
      <c r="Y71" s="46">
        <f>SUM(Y67:Y70)</f>
        <v/>
      </c>
      <c r="Z71" s="46">
        <f>SUM(Z67:Z70)</f>
        <v/>
      </c>
      <c r="AA71" s="46">
        <f>SUM(AA67:AA70)</f>
        <v/>
      </c>
      <c r="AB71" s="46">
        <f>SUM(AB67:AB70)</f>
        <v/>
      </c>
      <c r="AC71" s="46">
        <f>SUM(AC67:AC70)</f>
        <v/>
      </c>
      <c r="AD71" s="46">
        <f>SUM(AD67:AD70)</f>
        <v/>
      </c>
      <c r="AE71" s="46">
        <f>SUM(AE67:AE70)</f>
        <v/>
      </c>
      <c r="AF71" s="46">
        <f>SUM(AF67:AF70)</f>
        <v/>
      </c>
      <c r="AG71" s="46">
        <f>SUM(AG67:AG70)</f>
        <v/>
      </c>
      <c r="AH71" s="46">
        <f>SUM(AH67:AH70)</f>
        <v/>
      </c>
      <c r="AI71" s="46">
        <f>SUM(AI67:AI70)</f>
        <v/>
      </c>
      <c r="AJ71" s="46">
        <f>SUM(AJ67:AJ70)</f>
        <v/>
      </c>
      <c r="AK71" s="46">
        <f>SUM(AK67:AK70)</f>
        <v/>
      </c>
      <c r="AL71" s="46">
        <f>SUM(AL67:AL70)</f>
        <v/>
      </c>
      <c r="AM71" s="46">
        <f>SUM(AM67:AM70)</f>
        <v/>
      </c>
      <c r="AN71" s="46">
        <f>SUM(AN67:AN70)</f>
        <v/>
      </c>
      <c r="AO71" s="46">
        <f>SUM(AO67:AO70)</f>
        <v/>
      </c>
      <c r="AP71" s="46">
        <f>SUM(AP67:AP70)</f>
        <v/>
      </c>
      <c r="AQ71" s="46">
        <f>SUM(AQ67:AQ70)</f>
        <v/>
      </c>
      <c r="AR71" s="46">
        <f>SUM(AR67:AR70)</f>
        <v/>
      </c>
      <c r="AS71" s="46">
        <f>SUM(AS67:AS70)</f>
        <v/>
      </c>
      <c r="AT71" s="46">
        <f>SUM(AT67:AT70)</f>
        <v/>
      </c>
      <c r="AU71" s="46">
        <f>SUM(AU67:AU70)</f>
        <v/>
      </c>
      <c r="AV71" s="46">
        <f>SUM(AV67:AV70)</f>
        <v/>
      </c>
      <c r="AW71" s="46">
        <f>SUM(AW67:AW70)</f>
        <v/>
      </c>
      <c r="AX71" s="46">
        <f>SUM(AX67:AX70)</f>
        <v/>
      </c>
      <c r="AY71" s="46">
        <f>SUM(AY67:AY70)</f>
        <v/>
      </c>
      <c r="AZ71" s="46">
        <f>SUM(AZ67:AZ70)</f>
        <v/>
      </c>
      <c r="BA71" s="46">
        <f>SUM(BA67:BA70)</f>
        <v/>
      </c>
      <c r="BB71" s="46">
        <f>SUM(BB67:BB70)</f>
        <v/>
      </c>
      <c r="BC71" s="46">
        <f>SUM(BC67:BC70)</f>
        <v/>
      </c>
      <c r="BD71" s="46">
        <f>SUM(BD67:BD70)</f>
        <v/>
      </c>
      <c r="BE71" s="46">
        <f>SUM(BE67:BE70)</f>
        <v/>
      </c>
    </row>
    <row r="72">
      <c r="B72" s="7" t="inlineStr">
        <is>
          <t>Hosting share = (server + DB + WhatsApp BSP fee) ÷ institutes per stack</t>
        </is>
      </c>
      <c r="C72" s="5" t="inlineStr">
        <is>
          <t>₹/institute/month</t>
        </is>
      </c>
      <c r="D72" s="50">
        <f>(D17+D18)/D19</f>
        <v/>
      </c>
      <c r="E72" s="50">
        <f>(E17+E18)/E19</f>
        <v/>
      </c>
      <c r="F72" s="50">
        <f>(F17+F18)/F19</f>
        <v/>
      </c>
      <c r="G72" s="50">
        <f>(G17+G18)/G19</f>
        <v/>
      </c>
      <c r="H72" s="50">
        <f>(H17+H18)/H19</f>
        <v/>
      </c>
      <c r="I72" s="50">
        <f>(I17+I18)/I19</f>
        <v/>
      </c>
      <c r="J72" s="50">
        <f>(J17+J18)/J19</f>
        <v/>
      </c>
      <c r="K72" s="50">
        <f>(K17+K18)/K19</f>
        <v/>
      </c>
      <c r="L72" s="50">
        <f>(L17+L18)/L19</f>
        <v/>
      </c>
      <c r="M72" s="50">
        <f>(M17+M18)/M19</f>
        <v/>
      </c>
      <c r="N72" s="50">
        <f>(N17+N18)/N19</f>
        <v/>
      </c>
      <c r="O72" s="50">
        <f>(O17+O18)/O19</f>
        <v/>
      </c>
      <c r="P72" s="50">
        <f>(P17+P18)/P19</f>
        <v/>
      </c>
      <c r="Q72" s="50">
        <f>(Q17+Q18)/Q19</f>
        <v/>
      </c>
      <c r="R72" s="50">
        <f>(R17+R18)/R19</f>
        <v/>
      </c>
      <c r="S72" s="50">
        <f>(S17+S18)/S19</f>
        <v/>
      </c>
      <c r="T72" s="50">
        <f>(T17+T18)/T19</f>
        <v/>
      </c>
      <c r="U72" s="50">
        <f>(U17+U18)/U19</f>
        <v/>
      </c>
      <c r="V72" s="50">
        <f>(V17+V18)/V19</f>
        <v/>
      </c>
      <c r="W72" s="50">
        <f>(W17+W18)/W19</f>
        <v/>
      </c>
      <c r="X72" s="50">
        <f>(X17+X18)/X19</f>
        <v/>
      </c>
      <c r="Y72" s="50">
        <f>(Y17+Y18)/Y19</f>
        <v/>
      </c>
      <c r="Z72" s="50">
        <f>(Z17+Z18)/Z19</f>
        <v/>
      </c>
      <c r="AA72" s="50">
        <f>(AA17+AA18)/AA19</f>
        <v/>
      </c>
      <c r="AB72" s="50">
        <f>(AB17+AB18)/AB19</f>
        <v/>
      </c>
      <c r="AC72" s="50">
        <f>(AC17+AC18)/AC19</f>
        <v/>
      </c>
      <c r="AD72" s="50">
        <f>(AD17+AD18)/AD19</f>
        <v/>
      </c>
      <c r="AE72" s="50">
        <f>(AE17+AE18)/AE19</f>
        <v/>
      </c>
      <c r="AF72" s="50">
        <f>(AF17+AF18)/AF19</f>
        <v/>
      </c>
      <c r="AG72" s="50">
        <f>(AG17+AG18)/AG19</f>
        <v/>
      </c>
      <c r="AH72" s="50">
        <f>(AH17+AH18)/AH19</f>
        <v/>
      </c>
      <c r="AI72" s="50">
        <f>(AI17+AI18)/AI19</f>
        <v/>
      </c>
      <c r="AJ72" s="50">
        <f>(AJ17+AJ18)/AJ19</f>
        <v/>
      </c>
      <c r="AK72" s="50">
        <f>(AK17+AK18)/AK19</f>
        <v/>
      </c>
      <c r="AL72" s="50">
        <f>(AL17+AL18)/AL19</f>
        <v/>
      </c>
      <c r="AM72" s="50">
        <f>(AM17+AM18)/AM19</f>
        <v/>
      </c>
      <c r="AN72" s="50">
        <f>(AN17+AN18)/AN19</f>
        <v/>
      </c>
      <c r="AO72" s="50">
        <f>(AO17+AO18)/AO19</f>
        <v/>
      </c>
      <c r="AP72" s="50">
        <f>(AP17+AP18)/AP19</f>
        <v/>
      </c>
      <c r="AQ72" s="50">
        <f>(AQ17+AQ18)/AQ19</f>
        <v/>
      </c>
      <c r="AR72" s="50">
        <f>(AR17+AR18)/AR19</f>
        <v/>
      </c>
      <c r="AS72" s="50">
        <f>(AS17+AS18)/AS19</f>
        <v/>
      </c>
      <c r="AT72" s="50">
        <f>(AT17+AT18)/AT19</f>
        <v/>
      </c>
      <c r="AU72" s="50">
        <f>(AU17+AU18)/AU19</f>
        <v/>
      </c>
      <c r="AV72" s="50">
        <f>(AV17+AV18)/AV19</f>
        <v/>
      </c>
      <c r="AW72" s="50">
        <f>(AW17+AW18)/AW19</f>
        <v/>
      </c>
      <c r="AX72" s="50">
        <f>(AX17+AX18)/AX19</f>
        <v/>
      </c>
      <c r="AY72" s="50">
        <f>(AY17+AY18)/AY19</f>
        <v/>
      </c>
      <c r="AZ72" s="50">
        <f>(AZ17+AZ18)/AZ19</f>
        <v/>
      </c>
      <c r="BA72" s="50">
        <f>(BA17+BA18)/BA19</f>
        <v/>
      </c>
      <c r="BB72" s="50">
        <f>(BB17+BB18)/BB19</f>
        <v/>
      </c>
      <c r="BC72" s="50">
        <f>(BC17+BC18)/BC19</f>
        <v/>
      </c>
      <c r="BD72" s="50">
        <f>(BD17+BD18)/BD19</f>
        <v/>
      </c>
      <c r="BE72" s="50">
        <f>(BE17+BE18)/BE19</f>
        <v/>
      </c>
    </row>
    <row r="73">
      <c r="B73" s="7" t="inlineStr">
        <is>
          <t>Hosting share + DPDP compliance</t>
        </is>
      </c>
      <c r="C73" s="5" t="inlineStr">
        <is>
          <t>₹/institute/month</t>
        </is>
      </c>
      <c r="D73" s="52">
        <f>D72+D20</f>
        <v/>
      </c>
      <c r="E73" s="52">
        <f>E72+E20</f>
        <v/>
      </c>
      <c r="F73" s="52">
        <f>F72+F20</f>
        <v/>
      </c>
      <c r="G73" s="52">
        <f>G72+G20</f>
        <v/>
      </c>
      <c r="H73" s="52">
        <f>H72+H20</f>
        <v/>
      </c>
      <c r="I73" s="52">
        <f>I72+I20</f>
        <v/>
      </c>
      <c r="J73" s="52">
        <f>J72+J20</f>
        <v/>
      </c>
      <c r="K73" s="52">
        <f>K72+K20</f>
        <v/>
      </c>
      <c r="L73" s="52">
        <f>L72+L20</f>
        <v/>
      </c>
      <c r="M73" s="52">
        <f>M72+M20</f>
        <v/>
      </c>
      <c r="N73" s="52">
        <f>N72+N20</f>
        <v/>
      </c>
      <c r="O73" s="52">
        <f>O72+O20</f>
        <v/>
      </c>
      <c r="P73" s="52">
        <f>P72+P20</f>
        <v/>
      </c>
      <c r="Q73" s="52">
        <f>Q72+Q20</f>
        <v/>
      </c>
      <c r="R73" s="52">
        <f>R72+R20</f>
        <v/>
      </c>
      <c r="S73" s="52">
        <f>S72+S20</f>
        <v/>
      </c>
      <c r="T73" s="52">
        <f>T72+T20</f>
        <v/>
      </c>
      <c r="U73" s="52">
        <f>U72+U20</f>
        <v/>
      </c>
      <c r="V73" s="52">
        <f>V72+V20</f>
        <v/>
      </c>
      <c r="W73" s="52">
        <f>W72+W20</f>
        <v/>
      </c>
      <c r="X73" s="52">
        <f>X72+X20</f>
        <v/>
      </c>
      <c r="Y73" s="52">
        <f>Y72+Y20</f>
        <v/>
      </c>
      <c r="Z73" s="52">
        <f>Z72+Z20</f>
        <v/>
      </c>
      <c r="AA73" s="52">
        <f>AA72+AA20</f>
        <v/>
      </c>
      <c r="AB73" s="52">
        <f>AB72+AB20</f>
        <v/>
      </c>
      <c r="AC73" s="52">
        <f>AC72+AC20</f>
        <v/>
      </c>
      <c r="AD73" s="52">
        <f>AD72+AD20</f>
        <v/>
      </c>
      <c r="AE73" s="52">
        <f>AE72+AE20</f>
        <v/>
      </c>
      <c r="AF73" s="52">
        <f>AF72+AF20</f>
        <v/>
      </c>
      <c r="AG73" s="52">
        <f>AG72+AG20</f>
        <v/>
      </c>
      <c r="AH73" s="52">
        <f>AH72+AH20</f>
        <v/>
      </c>
      <c r="AI73" s="52">
        <f>AI72+AI20</f>
        <v/>
      </c>
      <c r="AJ73" s="52">
        <f>AJ72+AJ20</f>
        <v/>
      </c>
      <c r="AK73" s="52">
        <f>AK72+AK20</f>
        <v/>
      </c>
      <c r="AL73" s="52">
        <f>AL72+AL20</f>
        <v/>
      </c>
      <c r="AM73" s="52">
        <f>AM72+AM20</f>
        <v/>
      </c>
      <c r="AN73" s="52">
        <f>AN72+AN20</f>
        <v/>
      </c>
      <c r="AO73" s="52">
        <f>AO72+AO20</f>
        <v/>
      </c>
      <c r="AP73" s="52">
        <f>AP72+AP20</f>
        <v/>
      </c>
      <c r="AQ73" s="52">
        <f>AQ72+AQ20</f>
        <v/>
      </c>
      <c r="AR73" s="52">
        <f>AR72+AR20</f>
        <v/>
      </c>
      <c r="AS73" s="52">
        <f>AS72+AS20</f>
        <v/>
      </c>
      <c r="AT73" s="52">
        <f>AT72+AT20</f>
        <v/>
      </c>
      <c r="AU73" s="52">
        <f>AU72+AU20</f>
        <v/>
      </c>
      <c r="AV73" s="52">
        <f>AV72+AV20</f>
        <v/>
      </c>
      <c r="AW73" s="52">
        <f>AW72+AW20</f>
        <v/>
      </c>
      <c r="AX73" s="52">
        <f>AX72+AX20</f>
        <v/>
      </c>
      <c r="AY73" s="52">
        <f>AY72+AY20</f>
        <v/>
      </c>
      <c r="AZ73" s="52">
        <f>AZ72+AZ20</f>
        <v/>
      </c>
      <c r="BA73" s="52">
        <f>BA72+BA20</f>
        <v/>
      </c>
      <c r="BB73" s="52">
        <f>BB72+BB20</f>
        <v/>
      </c>
      <c r="BC73" s="52">
        <f>BC72+BC20</f>
        <v/>
      </c>
      <c r="BD73" s="52">
        <f>BD72+BD20</f>
        <v/>
      </c>
      <c r="BE73" s="52">
        <f>BE72+BE20</f>
        <v/>
      </c>
    </row>
    <row r="74">
      <c r="B74" s="7" t="inlineStr">
        <is>
          <t>All-in COGS per student-month at this size</t>
        </is>
      </c>
      <c r="C74" s="5" t="inlineStr">
        <is>
          <t>₹/student/month</t>
        </is>
      </c>
      <c r="D74" s="46">
        <f>D71+D73/D21</f>
        <v/>
      </c>
      <c r="E74" s="46">
        <f>E71+E73/E21</f>
        <v/>
      </c>
      <c r="F74" s="46">
        <f>F71+F73/F21</f>
        <v/>
      </c>
      <c r="G74" s="46">
        <f>G71+G73/G21</f>
        <v/>
      </c>
      <c r="H74" s="46">
        <f>H71+H73/H21</f>
        <v/>
      </c>
      <c r="I74" s="46">
        <f>I71+I73/I21</f>
        <v/>
      </c>
      <c r="J74" s="46">
        <f>J71+J73/J21</f>
        <v/>
      </c>
      <c r="K74" s="46">
        <f>K71+K73/K21</f>
        <v/>
      </c>
      <c r="L74" s="46">
        <f>L71+L73/L21</f>
        <v/>
      </c>
      <c r="M74" s="46">
        <f>M71+M73/M21</f>
        <v/>
      </c>
      <c r="N74" s="46">
        <f>N71+N73/N21</f>
        <v/>
      </c>
      <c r="O74" s="46">
        <f>O71+O73/O21</f>
        <v/>
      </c>
      <c r="P74" s="46">
        <f>P71+P73/P21</f>
        <v/>
      </c>
      <c r="Q74" s="46">
        <f>Q71+Q73/Q21</f>
        <v/>
      </c>
      <c r="R74" s="46">
        <f>R71+R73/R21</f>
        <v/>
      </c>
      <c r="S74" s="46">
        <f>S71+S73/S21</f>
        <v/>
      </c>
      <c r="T74" s="46">
        <f>T71+T73/T21</f>
        <v/>
      </c>
      <c r="U74" s="46">
        <f>U71+U73/U21</f>
        <v/>
      </c>
      <c r="V74" s="46">
        <f>V71+V73/V21</f>
        <v/>
      </c>
      <c r="W74" s="46">
        <f>W71+W73/W21</f>
        <v/>
      </c>
      <c r="X74" s="46">
        <f>X71+X73/X21</f>
        <v/>
      </c>
      <c r="Y74" s="46">
        <f>Y71+Y73/Y21</f>
        <v/>
      </c>
      <c r="Z74" s="46">
        <f>Z71+Z73/Z21</f>
        <v/>
      </c>
      <c r="AA74" s="46">
        <f>AA71+AA73/AA21</f>
        <v/>
      </c>
      <c r="AB74" s="46">
        <f>AB71+AB73/AB21</f>
        <v/>
      </c>
      <c r="AC74" s="46">
        <f>AC71+AC73/AC21</f>
        <v/>
      </c>
      <c r="AD74" s="46">
        <f>AD71+AD73/AD21</f>
        <v/>
      </c>
      <c r="AE74" s="46">
        <f>AE71+AE73/AE21</f>
        <v/>
      </c>
      <c r="AF74" s="46">
        <f>AF71+AF73/AF21</f>
        <v/>
      </c>
      <c r="AG74" s="46">
        <f>AG71+AG73/AG21</f>
        <v/>
      </c>
      <c r="AH74" s="46">
        <f>AH71+AH73/AH21</f>
        <v/>
      </c>
      <c r="AI74" s="46">
        <f>AI71+AI73/AI21</f>
        <v/>
      </c>
      <c r="AJ74" s="46">
        <f>AJ71+AJ73/AJ21</f>
        <v/>
      </c>
      <c r="AK74" s="46">
        <f>AK71+AK73/AK21</f>
        <v/>
      </c>
      <c r="AL74" s="46">
        <f>AL71+AL73/AL21</f>
        <v/>
      </c>
      <c r="AM74" s="46">
        <f>AM71+AM73/AM21</f>
        <v/>
      </c>
      <c r="AN74" s="46">
        <f>AN71+AN73/AN21</f>
        <v/>
      </c>
      <c r="AO74" s="46">
        <f>AO71+AO73/AO21</f>
        <v/>
      </c>
      <c r="AP74" s="46">
        <f>AP71+AP73/AP21</f>
        <v/>
      </c>
      <c r="AQ74" s="46">
        <f>AQ71+AQ73/AQ21</f>
        <v/>
      </c>
      <c r="AR74" s="46">
        <f>AR71+AR73/AR21</f>
        <v/>
      </c>
      <c r="AS74" s="46">
        <f>AS71+AS73/AS21</f>
        <v/>
      </c>
      <c r="AT74" s="46">
        <f>AT71+AT73/AT21</f>
        <v/>
      </c>
      <c r="AU74" s="46">
        <f>AU71+AU73/AU21</f>
        <v/>
      </c>
      <c r="AV74" s="46">
        <f>AV71+AV73/AV21</f>
        <v/>
      </c>
      <c r="AW74" s="46">
        <f>AW71+AW73/AW21</f>
        <v/>
      </c>
      <c r="AX74" s="46">
        <f>AX71+AX73/AX21</f>
        <v/>
      </c>
      <c r="AY74" s="46">
        <f>AY71+AY73/AY21</f>
        <v/>
      </c>
      <c r="AZ74" s="46">
        <f>AZ71+AZ73/AZ21</f>
        <v/>
      </c>
      <c r="BA74" s="46">
        <f>BA71+BA73/BA21</f>
        <v/>
      </c>
      <c r="BB74" s="46">
        <f>BB71+BB73/BB21</f>
        <v/>
      </c>
      <c r="BC74" s="46">
        <f>BC71+BC73/BC21</f>
        <v/>
      </c>
      <c r="BD74" s="46">
        <f>BD71+BD73/BD21</f>
        <v/>
      </c>
      <c r="BE74" s="46">
        <f>BE71+BE73/BE21</f>
        <v/>
      </c>
    </row>
    <row r="75">
      <c r="B75" s="7" t="inlineStr">
        <is>
          <t>Effective discount = negotiation + prepay uptake × prepay discount</t>
        </is>
      </c>
      <c r="C75" s="5" t="inlineStr">
        <is>
          <t>%</t>
        </is>
      </c>
      <c r="D75" s="40">
        <f>D24+D25*D26</f>
        <v/>
      </c>
      <c r="E75" s="40">
        <f>E24+E25*E26</f>
        <v/>
      </c>
      <c r="F75" s="40">
        <f>F24+F25*F26</f>
        <v/>
      </c>
      <c r="G75" s="40">
        <f>G24+G25*G26</f>
        <v/>
      </c>
      <c r="H75" s="40">
        <f>H24+H25*H26</f>
        <v/>
      </c>
      <c r="I75" s="40">
        <f>I24+I25*I26</f>
        <v/>
      </c>
      <c r="J75" s="40">
        <f>J24+J25*J26</f>
        <v/>
      </c>
      <c r="K75" s="40">
        <f>K24+K25*K26</f>
        <v/>
      </c>
      <c r="L75" s="40">
        <f>L24+L25*L26</f>
        <v/>
      </c>
      <c r="M75" s="40">
        <f>M24+M25*M26</f>
        <v/>
      </c>
      <c r="N75" s="40">
        <f>N24+N25*N26</f>
        <v/>
      </c>
      <c r="O75" s="40">
        <f>O24+O25*O26</f>
        <v/>
      </c>
      <c r="P75" s="40">
        <f>P24+P25*P26</f>
        <v/>
      </c>
      <c r="Q75" s="40">
        <f>Q24+Q25*Q26</f>
        <v/>
      </c>
      <c r="R75" s="40">
        <f>R24+R25*R26</f>
        <v/>
      </c>
      <c r="S75" s="40">
        <f>S24+S25*S26</f>
        <v/>
      </c>
      <c r="T75" s="40">
        <f>T24+T25*T26</f>
        <v/>
      </c>
      <c r="U75" s="40">
        <f>U24+U25*U26</f>
        <v/>
      </c>
      <c r="V75" s="40">
        <f>V24+V25*V26</f>
        <v/>
      </c>
      <c r="W75" s="40">
        <f>W24+W25*W26</f>
        <v/>
      </c>
      <c r="X75" s="40">
        <f>X24+X25*X26</f>
        <v/>
      </c>
      <c r="Y75" s="40">
        <f>Y24+Y25*Y26</f>
        <v/>
      </c>
      <c r="Z75" s="40">
        <f>Z24+Z25*Z26</f>
        <v/>
      </c>
      <c r="AA75" s="40">
        <f>AA24+AA25*AA26</f>
        <v/>
      </c>
      <c r="AB75" s="40">
        <f>AB24+AB25*AB26</f>
        <v/>
      </c>
      <c r="AC75" s="40">
        <f>AC24+AC25*AC26</f>
        <v/>
      </c>
      <c r="AD75" s="40">
        <f>AD24+AD25*AD26</f>
        <v/>
      </c>
      <c r="AE75" s="40">
        <f>AE24+AE25*AE26</f>
        <v/>
      </c>
      <c r="AF75" s="40">
        <f>AF24+AF25*AF26</f>
        <v/>
      </c>
      <c r="AG75" s="40">
        <f>AG24+AG25*AG26</f>
        <v/>
      </c>
      <c r="AH75" s="40">
        <f>AH24+AH25*AH26</f>
        <v/>
      </c>
      <c r="AI75" s="40">
        <f>AI24+AI25*AI26</f>
        <v/>
      </c>
      <c r="AJ75" s="40">
        <f>AJ24+AJ25*AJ26</f>
        <v/>
      </c>
      <c r="AK75" s="40">
        <f>AK24+AK25*AK26</f>
        <v/>
      </c>
      <c r="AL75" s="40">
        <f>AL24+AL25*AL26</f>
        <v/>
      </c>
      <c r="AM75" s="40">
        <f>AM24+AM25*AM26</f>
        <v/>
      </c>
      <c r="AN75" s="40">
        <f>AN24+AN25*AN26</f>
        <v/>
      </c>
      <c r="AO75" s="40">
        <f>AO24+AO25*AO26</f>
        <v/>
      </c>
      <c r="AP75" s="40">
        <f>AP24+AP25*AP26</f>
        <v/>
      </c>
      <c r="AQ75" s="40">
        <f>AQ24+AQ25*AQ26</f>
        <v/>
      </c>
      <c r="AR75" s="40">
        <f>AR24+AR25*AR26</f>
        <v/>
      </c>
      <c r="AS75" s="40">
        <f>AS24+AS25*AS26</f>
        <v/>
      </c>
      <c r="AT75" s="40">
        <f>AT24+AT25*AT26</f>
        <v/>
      </c>
      <c r="AU75" s="40">
        <f>AU24+AU25*AU26</f>
        <v/>
      </c>
      <c r="AV75" s="40">
        <f>AV24+AV25*AV26</f>
        <v/>
      </c>
      <c r="AW75" s="40">
        <f>AW24+AW25*AW26</f>
        <v/>
      </c>
      <c r="AX75" s="40">
        <f>AX24+AX25*AX26</f>
        <v/>
      </c>
      <c r="AY75" s="40">
        <f>AY24+AY25*AY26</f>
        <v/>
      </c>
      <c r="AZ75" s="40">
        <f>AZ24+AZ25*AZ26</f>
        <v/>
      </c>
      <c r="BA75" s="40">
        <f>BA24+BA25*BA26</f>
        <v/>
      </c>
      <c r="BB75" s="40">
        <f>BB24+BB25*BB26</f>
        <v/>
      </c>
      <c r="BC75" s="40">
        <f>BC24+BC25*BC26</f>
        <v/>
      </c>
      <c r="BD75" s="40">
        <f>BD24+BD25*BD26</f>
        <v/>
      </c>
      <c r="BE75" s="40">
        <f>BE24+BE25*BE26</f>
        <v/>
      </c>
    </row>
    <row r="76">
      <c r="B76" s="7" t="inlineStr">
        <is>
          <t>Realised price per student-month (ex-GST)</t>
        </is>
      </c>
      <c r="C76" s="5" t="inlineStr">
        <is>
          <t>₹/student/month</t>
        </is>
      </c>
      <c r="D76" s="46">
        <f>D22*(1-D75)</f>
        <v/>
      </c>
      <c r="E76" s="46">
        <f>E22*(1-E75)</f>
        <v/>
      </c>
      <c r="F76" s="46">
        <f>F22*(1-F75)</f>
        <v/>
      </c>
      <c r="G76" s="46">
        <f>G22*(1-G75)</f>
        <v/>
      </c>
      <c r="H76" s="46">
        <f>H22*(1-H75)</f>
        <v/>
      </c>
      <c r="I76" s="46">
        <f>I22*(1-I75)</f>
        <v/>
      </c>
      <c r="J76" s="46">
        <f>J22*(1-J75)</f>
        <v/>
      </c>
      <c r="K76" s="46">
        <f>K22*(1-K75)</f>
        <v/>
      </c>
      <c r="L76" s="46">
        <f>L22*(1-L75)</f>
        <v/>
      </c>
      <c r="M76" s="46">
        <f>M22*(1-M75)</f>
        <v/>
      </c>
      <c r="N76" s="46">
        <f>N22*(1-N75)</f>
        <v/>
      </c>
      <c r="O76" s="46">
        <f>O22*(1-O75)</f>
        <v/>
      </c>
      <c r="P76" s="46">
        <f>P22*(1-P75)</f>
        <v/>
      </c>
      <c r="Q76" s="46">
        <f>Q22*(1-Q75)</f>
        <v/>
      </c>
      <c r="R76" s="46">
        <f>R22*(1-R75)</f>
        <v/>
      </c>
      <c r="S76" s="46">
        <f>S22*(1-S75)</f>
        <v/>
      </c>
      <c r="T76" s="46">
        <f>T22*(1-T75)</f>
        <v/>
      </c>
      <c r="U76" s="46">
        <f>U22*(1-U75)</f>
        <v/>
      </c>
      <c r="V76" s="46">
        <f>V22*(1-V75)</f>
        <v/>
      </c>
      <c r="W76" s="46">
        <f>W22*(1-W75)</f>
        <v/>
      </c>
      <c r="X76" s="46">
        <f>X22*(1-X75)</f>
        <v/>
      </c>
      <c r="Y76" s="46">
        <f>Y22*(1-Y75)</f>
        <v/>
      </c>
      <c r="Z76" s="46">
        <f>Z22*(1-Z75)</f>
        <v/>
      </c>
      <c r="AA76" s="46">
        <f>AA22*(1-AA75)</f>
        <v/>
      </c>
      <c r="AB76" s="46">
        <f>AB22*(1-AB75)</f>
        <v/>
      </c>
      <c r="AC76" s="46">
        <f>AC22*(1-AC75)</f>
        <v/>
      </c>
      <c r="AD76" s="46">
        <f>AD22*(1-AD75)</f>
        <v/>
      </c>
      <c r="AE76" s="46">
        <f>AE22*(1-AE75)</f>
        <v/>
      </c>
      <c r="AF76" s="46">
        <f>AF22*(1-AF75)</f>
        <v/>
      </c>
      <c r="AG76" s="46">
        <f>AG22*(1-AG75)</f>
        <v/>
      </c>
      <c r="AH76" s="46">
        <f>AH22*(1-AH75)</f>
        <v/>
      </c>
      <c r="AI76" s="46">
        <f>AI22*(1-AI75)</f>
        <v/>
      </c>
      <c r="AJ76" s="46">
        <f>AJ22*(1-AJ75)</f>
        <v/>
      </c>
      <c r="AK76" s="46">
        <f>AK22*(1-AK75)</f>
        <v/>
      </c>
      <c r="AL76" s="46">
        <f>AL22*(1-AL75)</f>
        <v/>
      </c>
      <c r="AM76" s="46">
        <f>AM22*(1-AM75)</f>
        <v/>
      </c>
      <c r="AN76" s="46">
        <f>AN22*(1-AN75)</f>
        <v/>
      </c>
      <c r="AO76" s="46">
        <f>AO22*(1-AO75)</f>
        <v/>
      </c>
      <c r="AP76" s="46">
        <f>AP22*(1-AP75)</f>
        <v/>
      </c>
      <c r="AQ76" s="46">
        <f>AQ22*(1-AQ75)</f>
        <v/>
      </c>
      <c r="AR76" s="46">
        <f>AR22*(1-AR75)</f>
        <v/>
      </c>
      <c r="AS76" s="46">
        <f>AS22*(1-AS75)</f>
        <v/>
      </c>
      <c r="AT76" s="46">
        <f>AT22*(1-AT75)</f>
        <v/>
      </c>
      <c r="AU76" s="46">
        <f>AU22*(1-AU75)</f>
        <v/>
      </c>
      <c r="AV76" s="46">
        <f>AV22*(1-AV75)</f>
        <v/>
      </c>
      <c r="AW76" s="46">
        <f>AW22*(1-AW75)</f>
        <v/>
      </c>
      <c r="AX76" s="46">
        <f>AX22*(1-AX75)</f>
        <v/>
      </c>
      <c r="AY76" s="46">
        <f>AY22*(1-AY75)</f>
        <v/>
      </c>
      <c r="AZ76" s="46">
        <f>AZ22*(1-AZ75)</f>
        <v/>
      </c>
      <c r="BA76" s="46">
        <f>BA22*(1-BA75)</f>
        <v/>
      </c>
      <c r="BB76" s="46">
        <f>BB22*(1-BB75)</f>
        <v/>
      </c>
      <c r="BC76" s="46">
        <f>BC22*(1-BC75)</f>
        <v/>
      </c>
      <c r="BD76" s="46">
        <f>BD22*(1-BD75)</f>
        <v/>
      </c>
      <c r="BE76" s="46">
        <f>BE22*(1-BE75)</f>
        <v/>
      </c>
    </row>
    <row r="77">
      <c r="B77" s="7" t="inlineStr">
        <is>
          <t>Price the owner feels (incl. GST)</t>
        </is>
      </c>
      <c r="C77" s="5" t="inlineStr">
        <is>
          <t>₹/student/month</t>
        </is>
      </c>
      <c r="D77" s="47">
        <f>D76*(1+D27)</f>
        <v/>
      </c>
      <c r="E77" s="47">
        <f>E76*(1+E27)</f>
        <v/>
      </c>
      <c r="F77" s="47">
        <f>F76*(1+F27)</f>
        <v/>
      </c>
      <c r="G77" s="47">
        <f>G76*(1+G27)</f>
        <v/>
      </c>
      <c r="H77" s="47">
        <f>H76*(1+H27)</f>
        <v/>
      </c>
      <c r="I77" s="47">
        <f>I76*(1+I27)</f>
        <v/>
      </c>
      <c r="J77" s="47">
        <f>J76*(1+J27)</f>
        <v/>
      </c>
      <c r="K77" s="47">
        <f>K76*(1+K27)</f>
        <v/>
      </c>
      <c r="L77" s="47">
        <f>L76*(1+L27)</f>
        <v/>
      </c>
      <c r="M77" s="47">
        <f>M76*(1+M27)</f>
        <v/>
      </c>
      <c r="N77" s="47">
        <f>N76*(1+N27)</f>
        <v/>
      </c>
      <c r="O77" s="47">
        <f>O76*(1+O27)</f>
        <v/>
      </c>
      <c r="P77" s="47">
        <f>P76*(1+P27)</f>
        <v/>
      </c>
      <c r="Q77" s="47">
        <f>Q76*(1+Q27)</f>
        <v/>
      </c>
      <c r="R77" s="47">
        <f>R76*(1+R27)</f>
        <v/>
      </c>
      <c r="S77" s="47">
        <f>S76*(1+S27)</f>
        <v/>
      </c>
      <c r="T77" s="47">
        <f>T76*(1+T27)</f>
        <v/>
      </c>
      <c r="U77" s="47">
        <f>U76*(1+U27)</f>
        <v/>
      </c>
      <c r="V77" s="47">
        <f>V76*(1+V27)</f>
        <v/>
      </c>
      <c r="W77" s="47">
        <f>W76*(1+W27)</f>
        <v/>
      </c>
      <c r="X77" s="47">
        <f>X76*(1+X27)</f>
        <v/>
      </c>
      <c r="Y77" s="47">
        <f>Y76*(1+Y27)</f>
        <v/>
      </c>
      <c r="Z77" s="47">
        <f>Z76*(1+Z27)</f>
        <v/>
      </c>
      <c r="AA77" s="47">
        <f>AA76*(1+AA27)</f>
        <v/>
      </c>
      <c r="AB77" s="47">
        <f>AB76*(1+AB27)</f>
        <v/>
      </c>
      <c r="AC77" s="47">
        <f>AC76*(1+AC27)</f>
        <v/>
      </c>
      <c r="AD77" s="47">
        <f>AD76*(1+AD27)</f>
        <v/>
      </c>
      <c r="AE77" s="47">
        <f>AE76*(1+AE27)</f>
        <v/>
      </c>
      <c r="AF77" s="47">
        <f>AF76*(1+AF27)</f>
        <v/>
      </c>
      <c r="AG77" s="47">
        <f>AG76*(1+AG27)</f>
        <v/>
      </c>
      <c r="AH77" s="47">
        <f>AH76*(1+AH27)</f>
        <v/>
      </c>
      <c r="AI77" s="47">
        <f>AI76*(1+AI27)</f>
        <v/>
      </c>
      <c r="AJ77" s="47">
        <f>AJ76*(1+AJ27)</f>
        <v/>
      </c>
      <c r="AK77" s="47">
        <f>AK76*(1+AK27)</f>
        <v/>
      </c>
      <c r="AL77" s="47">
        <f>AL76*(1+AL27)</f>
        <v/>
      </c>
      <c r="AM77" s="47">
        <f>AM76*(1+AM27)</f>
        <v/>
      </c>
      <c r="AN77" s="47">
        <f>AN76*(1+AN27)</f>
        <v/>
      </c>
      <c r="AO77" s="47">
        <f>AO76*(1+AO27)</f>
        <v/>
      </c>
      <c r="AP77" s="47">
        <f>AP76*(1+AP27)</f>
        <v/>
      </c>
      <c r="AQ77" s="47">
        <f>AQ76*(1+AQ27)</f>
        <v/>
      </c>
      <c r="AR77" s="47">
        <f>AR76*(1+AR27)</f>
        <v/>
      </c>
      <c r="AS77" s="47">
        <f>AS76*(1+AS27)</f>
        <v/>
      </c>
      <c r="AT77" s="47">
        <f>AT76*(1+AT27)</f>
        <v/>
      </c>
      <c r="AU77" s="47">
        <f>AU76*(1+AU27)</f>
        <v/>
      </c>
      <c r="AV77" s="47">
        <f>AV76*(1+AV27)</f>
        <v/>
      </c>
      <c r="AW77" s="47">
        <f>AW76*(1+AW27)</f>
        <v/>
      </c>
      <c r="AX77" s="47">
        <f>AX76*(1+AX27)</f>
        <v/>
      </c>
      <c r="AY77" s="47">
        <f>AY76*(1+AY27)</f>
        <v/>
      </c>
      <c r="AZ77" s="47">
        <f>AZ76*(1+AZ27)</f>
        <v/>
      </c>
      <c r="BA77" s="47">
        <f>BA76*(1+BA27)</f>
        <v/>
      </c>
      <c r="BB77" s="47">
        <f>BB76*(1+BB27)</f>
        <v/>
      </c>
      <c r="BC77" s="47">
        <f>BC76*(1+BC27)</f>
        <v/>
      </c>
      <c r="BD77" s="47">
        <f>BD76*(1+BD27)</f>
        <v/>
      </c>
      <c r="BE77" s="47">
        <f>BE76*(1+BE27)</f>
        <v/>
      </c>
    </row>
    <row r="78">
      <c r="B78" s="7" t="inlineStr">
        <is>
          <t>Our realised price ÷ what institutes already pay for an ERP/LMS</t>
        </is>
      </c>
      <c r="C78" s="5" t="inlineStr">
        <is>
          <t>x</t>
        </is>
      </c>
      <c r="D78" s="49">
        <f>IF(D28&gt;0,D76/D28,0)</f>
        <v/>
      </c>
      <c r="E78" s="49">
        <f>IF(E28&gt;0,E76/E28,0)</f>
        <v/>
      </c>
      <c r="F78" s="49">
        <f>IF(F28&gt;0,F76/F28,0)</f>
        <v/>
      </c>
      <c r="G78" s="49">
        <f>IF(G28&gt;0,G76/G28,0)</f>
        <v/>
      </c>
      <c r="H78" s="49">
        <f>IF(H28&gt;0,H76/H28,0)</f>
        <v/>
      </c>
      <c r="I78" s="49">
        <f>IF(I28&gt;0,I76/I28,0)</f>
        <v/>
      </c>
      <c r="J78" s="49">
        <f>IF(J28&gt;0,J76/J28,0)</f>
        <v/>
      </c>
      <c r="K78" s="49">
        <f>IF(K28&gt;0,K76/K28,0)</f>
        <v/>
      </c>
      <c r="L78" s="49">
        <f>IF(L28&gt;0,L76/L28,0)</f>
        <v/>
      </c>
      <c r="M78" s="49">
        <f>IF(M28&gt;0,M76/M28,0)</f>
        <v/>
      </c>
      <c r="N78" s="49">
        <f>IF(N28&gt;0,N76/N28,0)</f>
        <v/>
      </c>
      <c r="O78" s="49">
        <f>IF(O28&gt;0,O76/O28,0)</f>
        <v/>
      </c>
      <c r="P78" s="49">
        <f>IF(P28&gt;0,P76/P28,0)</f>
        <v/>
      </c>
      <c r="Q78" s="49">
        <f>IF(Q28&gt;0,Q76/Q28,0)</f>
        <v/>
      </c>
      <c r="R78" s="49">
        <f>IF(R28&gt;0,R76/R28,0)</f>
        <v/>
      </c>
      <c r="S78" s="49">
        <f>IF(S28&gt;0,S76/S28,0)</f>
        <v/>
      </c>
      <c r="T78" s="49">
        <f>IF(T28&gt;0,T76/T28,0)</f>
        <v/>
      </c>
      <c r="U78" s="49">
        <f>IF(U28&gt;0,U76/U28,0)</f>
        <v/>
      </c>
      <c r="V78" s="49">
        <f>IF(V28&gt;0,V76/V28,0)</f>
        <v/>
      </c>
      <c r="W78" s="49">
        <f>IF(W28&gt;0,W76/W28,0)</f>
        <v/>
      </c>
      <c r="X78" s="49">
        <f>IF(X28&gt;0,X76/X28,0)</f>
        <v/>
      </c>
      <c r="Y78" s="49">
        <f>IF(Y28&gt;0,Y76/Y28,0)</f>
        <v/>
      </c>
      <c r="Z78" s="49">
        <f>IF(Z28&gt;0,Z76/Z28,0)</f>
        <v/>
      </c>
      <c r="AA78" s="49">
        <f>IF(AA28&gt;0,AA76/AA28,0)</f>
        <v/>
      </c>
      <c r="AB78" s="49">
        <f>IF(AB28&gt;0,AB76/AB28,0)</f>
        <v/>
      </c>
      <c r="AC78" s="49">
        <f>IF(AC28&gt;0,AC76/AC28,0)</f>
        <v/>
      </c>
      <c r="AD78" s="49">
        <f>IF(AD28&gt;0,AD76/AD28,0)</f>
        <v/>
      </c>
      <c r="AE78" s="49">
        <f>IF(AE28&gt;0,AE76/AE28,0)</f>
        <v/>
      </c>
      <c r="AF78" s="49">
        <f>IF(AF28&gt;0,AF76/AF28,0)</f>
        <v/>
      </c>
      <c r="AG78" s="49">
        <f>IF(AG28&gt;0,AG76/AG28,0)</f>
        <v/>
      </c>
      <c r="AH78" s="49">
        <f>IF(AH28&gt;0,AH76/AH28,0)</f>
        <v/>
      </c>
      <c r="AI78" s="49">
        <f>IF(AI28&gt;0,AI76/AI28,0)</f>
        <v/>
      </c>
      <c r="AJ78" s="49">
        <f>IF(AJ28&gt;0,AJ76/AJ28,0)</f>
        <v/>
      </c>
      <c r="AK78" s="49">
        <f>IF(AK28&gt;0,AK76/AK28,0)</f>
        <v/>
      </c>
      <c r="AL78" s="49">
        <f>IF(AL28&gt;0,AL76/AL28,0)</f>
        <v/>
      </c>
      <c r="AM78" s="49">
        <f>IF(AM28&gt;0,AM76/AM28,0)</f>
        <v/>
      </c>
      <c r="AN78" s="49">
        <f>IF(AN28&gt;0,AN76/AN28,0)</f>
        <v/>
      </c>
      <c r="AO78" s="49">
        <f>IF(AO28&gt;0,AO76/AO28,0)</f>
        <v/>
      </c>
      <c r="AP78" s="49">
        <f>IF(AP28&gt;0,AP76/AP28,0)</f>
        <v/>
      </c>
      <c r="AQ78" s="49">
        <f>IF(AQ28&gt;0,AQ76/AQ28,0)</f>
        <v/>
      </c>
      <c r="AR78" s="49">
        <f>IF(AR28&gt;0,AR76/AR28,0)</f>
        <v/>
      </c>
      <c r="AS78" s="49">
        <f>IF(AS28&gt;0,AS76/AS28,0)</f>
        <v/>
      </c>
      <c r="AT78" s="49">
        <f>IF(AT28&gt;0,AT76/AT28,0)</f>
        <v/>
      </c>
      <c r="AU78" s="49">
        <f>IF(AU28&gt;0,AU76/AU28,0)</f>
        <v/>
      </c>
      <c r="AV78" s="49">
        <f>IF(AV28&gt;0,AV76/AV28,0)</f>
        <v/>
      </c>
      <c r="AW78" s="49">
        <f>IF(AW28&gt;0,AW76/AW28,0)</f>
        <v/>
      </c>
      <c r="AX78" s="49">
        <f>IF(AX28&gt;0,AX76/AX28,0)</f>
        <v/>
      </c>
      <c r="AY78" s="49">
        <f>IF(AY28&gt;0,AY76/AY28,0)</f>
        <v/>
      </c>
      <c r="AZ78" s="49">
        <f>IF(AZ28&gt;0,AZ76/AZ28,0)</f>
        <v/>
      </c>
      <c r="BA78" s="49">
        <f>IF(BA28&gt;0,BA76/BA28,0)</f>
        <v/>
      </c>
      <c r="BB78" s="49">
        <f>IF(BB28&gt;0,BB76/BB28,0)</f>
        <v/>
      </c>
      <c r="BC78" s="49">
        <f>IF(BC28&gt;0,BC76/BC28,0)</f>
        <v/>
      </c>
      <c r="BD78" s="49">
        <f>IF(BD28&gt;0,BD76/BD28,0)</f>
        <v/>
      </c>
      <c r="BE78" s="49">
        <f>IF(BE28&gt;0,BE76/BE28,0)</f>
        <v/>
      </c>
    </row>
    <row r="79">
      <c r="B79" s="7" t="inlineStr">
        <is>
          <t>Dropouts per year</t>
        </is>
      </c>
      <c r="C79" s="5" t="inlineStr">
        <is>
          <t>students/yr</t>
        </is>
      </c>
      <c r="D79" s="53">
        <f>D21*D30</f>
        <v/>
      </c>
      <c r="E79" s="53">
        <f>E21*E30</f>
        <v/>
      </c>
      <c r="F79" s="53">
        <f>F21*F30</f>
        <v/>
      </c>
      <c r="G79" s="53">
        <f>G21*G30</f>
        <v/>
      </c>
      <c r="H79" s="53">
        <f>H21*H30</f>
        <v/>
      </c>
      <c r="I79" s="53">
        <f>I21*I30</f>
        <v/>
      </c>
      <c r="J79" s="53">
        <f>J21*J30</f>
        <v/>
      </c>
      <c r="K79" s="53">
        <f>K21*K30</f>
        <v/>
      </c>
      <c r="L79" s="53">
        <f>L21*L30</f>
        <v/>
      </c>
      <c r="M79" s="53">
        <f>M21*M30</f>
        <v/>
      </c>
      <c r="N79" s="53">
        <f>N21*N30</f>
        <v/>
      </c>
      <c r="O79" s="53">
        <f>O21*O30</f>
        <v/>
      </c>
      <c r="P79" s="53">
        <f>P21*P30</f>
        <v/>
      </c>
      <c r="Q79" s="53">
        <f>Q21*Q30</f>
        <v/>
      </c>
      <c r="R79" s="53">
        <f>R21*R30</f>
        <v/>
      </c>
      <c r="S79" s="53">
        <f>S21*S30</f>
        <v/>
      </c>
      <c r="T79" s="53">
        <f>T21*T30</f>
        <v/>
      </c>
      <c r="U79" s="53">
        <f>U21*U30</f>
        <v/>
      </c>
      <c r="V79" s="53">
        <f>V21*V30</f>
        <v/>
      </c>
      <c r="W79" s="53">
        <f>W21*W30</f>
        <v/>
      </c>
      <c r="X79" s="53">
        <f>X21*X30</f>
        <v/>
      </c>
      <c r="Y79" s="53">
        <f>Y21*Y30</f>
        <v/>
      </c>
      <c r="Z79" s="53">
        <f>Z21*Z30</f>
        <v/>
      </c>
      <c r="AA79" s="53">
        <f>AA21*AA30</f>
        <v/>
      </c>
      <c r="AB79" s="53">
        <f>AB21*AB30</f>
        <v/>
      </c>
      <c r="AC79" s="53">
        <f>AC21*AC30</f>
        <v/>
      </c>
      <c r="AD79" s="53">
        <f>AD21*AD30</f>
        <v/>
      </c>
      <c r="AE79" s="53">
        <f>AE21*AE30</f>
        <v/>
      </c>
      <c r="AF79" s="53">
        <f>AF21*AF30</f>
        <v/>
      </c>
      <c r="AG79" s="53">
        <f>AG21*AG30</f>
        <v/>
      </c>
      <c r="AH79" s="53">
        <f>AH21*AH30</f>
        <v/>
      </c>
      <c r="AI79" s="53">
        <f>AI21*AI30</f>
        <v/>
      </c>
      <c r="AJ79" s="53">
        <f>AJ21*AJ30</f>
        <v/>
      </c>
      <c r="AK79" s="53">
        <f>AK21*AK30</f>
        <v/>
      </c>
      <c r="AL79" s="53">
        <f>AL21*AL30</f>
        <v/>
      </c>
      <c r="AM79" s="53">
        <f>AM21*AM30</f>
        <v/>
      </c>
      <c r="AN79" s="53">
        <f>AN21*AN30</f>
        <v/>
      </c>
      <c r="AO79" s="53">
        <f>AO21*AO30</f>
        <v/>
      </c>
      <c r="AP79" s="53">
        <f>AP21*AP30</f>
        <v/>
      </c>
      <c r="AQ79" s="53">
        <f>AQ21*AQ30</f>
        <v/>
      </c>
      <c r="AR79" s="53">
        <f>AR21*AR30</f>
        <v/>
      </c>
      <c r="AS79" s="53">
        <f>AS21*AS30</f>
        <v/>
      </c>
      <c r="AT79" s="53">
        <f>AT21*AT30</f>
        <v/>
      </c>
      <c r="AU79" s="53">
        <f>AU21*AU30</f>
        <v/>
      </c>
      <c r="AV79" s="53">
        <f>AV21*AV30</f>
        <v/>
      </c>
      <c r="AW79" s="53">
        <f>AW21*AW30</f>
        <v/>
      </c>
      <c r="AX79" s="53">
        <f>AX21*AX30</f>
        <v/>
      </c>
      <c r="AY79" s="53">
        <f>AY21*AY30</f>
        <v/>
      </c>
      <c r="AZ79" s="53">
        <f>AZ21*AZ30</f>
        <v/>
      </c>
      <c r="BA79" s="53">
        <f>BA21*BA30</f>
        <v/>
      </c>
      <c r="BB79" s="53">
        <f>BB21*BB30</f>
        <v/>
      </c>
      <c r="BC79" s="53">
        <f>BC21*BC30</f>
        <v/>
      </c>
      <c r="BD79" s="53">
        <f>BD21*BD30</f>
        <v/>
      </c>
      <c r="BE79" s="53">
        <f>BE21*BE30</f>
        <v/>
      </c>
    </row>
    <row r="80">
      <c r="B80" s="7" t="inlineStr">
        <is>
          <t>Avg fee lost per dropout (timing curve × unpaid instalments / pro-rata refund)</t>
        </is>
      </c>
      <c r="C80" s="5" t="inlineStr">
        <is>
          <t>₹/dropout</t>
        </is>
      </c>
      <c r="D80" s="52">
        <f>SUMPRODUCT(DropTiming,D29*((1-D31)*(1-(INT((DropMonth-1)*D32/CourseMonths)+1)/D32)+D31*D33*DropRemain))</f>
        <v/>
      </c>
      <c r="E80" s="52">
        <f>SUMPRODUCT(DropTiming,E29*((1-E31)*(1-(INT((DropMonth-1)*E32/CourseMonths)+1)/E32)+E31*E33*DropRemain))</f>
        <v/>
      </c>
      <c r="F80" s="52">
        <f>SUMPRODUCT(DropTiming,F29*((1-F31)*(1-(INT((DropMonth-1)*F32/CourseMonths)+1)/F32)+F31*F33*DropRemain))</f>
        <v/>
      </c>
      <c r="G80" s="52">
        <f>SUMPRODUCT(DropTiming,G29*((1-G31)*(1-(INT((DropMonth-1)*G32/CourseMonths)+1)/G32)+G31*G33*DropRemain))</f>
        <v/>
      </c>
      <c r="H80" s="52">
        <f>SUMPRODUCT(DropTiming,H29*((1-H31)*(1-(INT((DropMonth-1)*H32/CourseMonths)+1)/H32)+H31*H33*DropRemain))</f>
        <v/>
      </c>
      <c r="I80" s="52">
        <f>SUMPRODUCT(DropTiming,I29*((1-I31)*(1-(INT((DropMonth-1)*I32/CourseMonths)+1)/I32)+I31*I33*DropRemain))</f>
        <v/>
      </c>
      <c r="J80" s="52">
        <f>SUMPRODUCT(DropTiming,J29*((1-J31)*(1-(INT((DropMonth-1)*J32/CourseMonths)+1)/J32)+J31*J33*DropRemain))</f>
        <v/>
      </c>
      <c r="K80" s="52">
        <f>SUMPRODUCT(DropTiming,K29*((1-K31)*(1-(INT((DropMonth-1)*K32/CourseMonths)+1)/K32)+K31*K33*DropRemain))</f>
        <v/>
      </c>
      <c r="L80" s="52">
        <f>SUMPRODUCT(DropTiming,L29*((1-L31)*(1-(INT((DropMonth-1)*L32/CourseMonths)+1)/L32)+L31*L33*DropRemain))</f>
        <v/>
      </c>
      <c r="M80" s="52">
        <f>SUMPRODUCT(DropTiming,M29*((1-M31)*(1-(INT((DropMonth-1)*M32/CourseMonths)+1)/M32)+M31*M33*DropRemain))</f>
        <v/>
      </c>
      <c r="N80" s="52">
        <f>SUMPRODUCT(DropTiming,N29*((1-N31)*(1-(INT((DropMonth-1)*N32/CourseMonths)+1)/N32)+N31*N33*DropRemain))</f>
        <v/>
      </c>
      <c r="O80" s="52">
        <f>SUMPRODUCT(DropTiming,O29*((1-O31)*(1-(INT((DropMonth-1)*O32/CourseMonths)+1)/O32)+O31*O33*DropRemain))</f>
        <v/>
      </c>
      <c r="P80" s="52">
        <f>SUMPRODUCT(DropTiming,P29*((1-P31)*(1-(INT((DropMonth-1)*P32/CourseMonths)+1)/P32)+P31*P33*DropRemain))</f>
        <v/>
      </c>
      <c r="Q80" s="52">
        <f>SUMPRODUCT(DropTiming,Q29*((1-Q31)*(1-(INT((DropMonth-1)*Q32/CourseMonths)+1)/Q32)+Q31*Q33*DropRemain))</f>
        <v/>
      </c>
      <c r="R80" s="52">
        <f>SUMPRODUCT(DropTiming,R29*((1-R31)*(1-(INT((DropMonth-1)*R32/CourseMonths)+1)/R32)+R31*R33*DropRemain))</f>
        <v/>
      </c>
      <c r="S80" s="52">
        <f>SUMPRODUCT(DropTiming,S29*((1-S31)*(1-(INT((DropMonth-1)*S32/CourseMonths)+1)/S32)+S31*S33*DropRemain))</f>
        <v/>
      </c>
      <c r="T80" s="52">
        <f>SUMPRODUCT(DropTiming,T29*((1-T31)*(1-(INT((DropMonth-1)*T32/CourseMonths)+1)/T32)+T31*T33*DropRemain))</f>
        <v/>
      </c>
      <c r="U80" s="52">
        <f>SUMPRODUCT(DropTiming,U29*((1-U31)*(1-(INT((DropMonth-1)*U32/CourseMonths)+1)/U32)+U31*U33*DropRemain))</f>
        <v/>
      </c>
      <c r="V80" s="52">
        <f>SUMPRODUCT(DropTiming,V29*((1-V31)*(1-(INT((DropMonth-1)*V32/CourseMonths)+1)/V32)+V31*V33*DropRemain))</f>
        <v/>
      </c>
      <c r="W80" s="52">
        <f>SUMPRODUCT(DropTiming,W29*((1-W31)*(1-(INT((DropMonth-1)*W32/CourseMonths)+1)/W32)+W31*W33*DropRemain))</f>
        <v/>
      </c>
      <c r="X80" s="52">
        <f>SUMPRODUCT(DropTiming,X29*((1-X31)*(1-(INT((DropMonth-1)*X32/CourseMonths)+1)/X32)+X31*X33*DropRemain))</f>
        <v/>
      </c>
      <c r="Y80" s="52">
        <f>SUMPRODUCT(DropTiming,Y29*((1-Y31)*(1-(INT((DropMonth-1)*Y32/CourseMonths)+1)/Y32)+Y31*Y33*DropRemain))</f>
        <v/>
      </c>
      <c r="Z80" s="52">
        <f>SUMPRODUCT(DropTiming,Z29*((1-Z31)*(1-(INT((DropMonth-1)*Z32/CourseMonths)+1)/Z32)+Z31*Z33*DropRemain))</f>
        <v/>
      </c>
      <c r="AA80" s="52">
        <f>SUMPRODUCT(DropTiming,AA29*((1-AA31)*(1-(INT((DropMonth-1)*AA32/CourseMonths)+1)/AA32)+AA31*AA33*DropRemain))</f>
        <v/>
      </c>
      <c r="AB80" s="52">
        <f>SUMPRODUCT(DropTiming,AB29*((1-AB31)*(1-(INT((DropMonth-1)*AB32/CourseMonths)+1)/AB32)+AB31*AB33*DropRemain))</f>
        <v/>
      </c>
      <c r="AC80" s="52">
        <f>SUMPRODUCT(DropTiming,AC29*((1-AC31)*(1-(INT((DropMonth-1)*AC32/CourseMonths)+1)/AC32)+AC31*AC33*DropRemain))</f>
        <v/>
      </c>
      <c r="AD80" s="52">
        <f>SUMPRODUCT(DropTiming,AD29*((1-AD31)*(1-(INT((DropMonth-1)*AD32/CourseMonths)+1)/AD32)+AD31*AD33*DropRemain))</f>
        <v/>
      </c>
      <c r="AE80" s="52">
        <f>SUMPRODUCT(DropTiming,AE29*((1-AE31)*(1-(INT((DropMonth-1)*AE32/CourseMonths)+1)/AE32)+AE31*AE33*DropRemain))</f>
        <v/>
      </c>
      <c r="AF80" s="52">
        <f>SUMPRODUCT(DropTiming,AF29*((1-AF31)*(1-(INT((DropMonth-1)*AF32/CourseMonths)+1)/AF32)+AF31*AF33*DropRemain))</f>
        <v/>
      </c>
      <c r="AG80" s="52">
        <f>SUMPRODUCT(DropTiming,AG29*((1-AG31)*(1-(INT((DropMonth-1)*AG32/CourseMonths)+1)/AG32)+AG31*AG33*DropRemain))</f>
        <v/>
      </c>
      <c r="AH80" s="52">
        <f>SUMPRODUCT(DropTiming,AH29*((1-AH31)*(1-(INT((DropMonth-1)*AH32/CourseMonths)+1)/AH32)+AH31*AH33*DropRemain))</f>
        <v/>
      </c>
      <c r="AI80" s="52">
        <f>SUMPRODUCT(DropTiming,AI29*((1-AI31)*(1-(INT((DropMonth-1)*AI32/CourseMonths)+1)/AI32)+AI31*AI33*DropRemain))</f>
        <v/>
      </c>
      <c r="AJ80" s="52">
        <f>SUMPRODUCT(DropTiming,AJ29*((1-AJ31)*(1-(INT((DropMonth-1)*AJ32/CourseMonths)+1)/AJ32)+AJ31*AJ33*DropRemain))</f>
        <v/>
      </c>
      <c r="AK80" s="52">
        <f>SUMPRODUCT(DropTiming,AK29*((1-AK31)*(1-(INT((DropMonth-1)*AK32/CourseMonths)+1)/AK32)+AK31*AK33*DropRemain))</f>
        <v/>
      </c>
      <c r="AL80" s="52">
        <f>SUMPRODUCT(DropTiming,AL29*((1-AL31)*(1-(INT((DropMonth-1)*AL32/CourseMonths)+1)/AL32)+AL31*AL33*DropRemain))</f>
        <v/>
      </c>
      <c r="AM80" s="52">
        <f>SUMPRODUCT(DropTiming,AM29*((1-AM31)*(1-(INT((DropMonth-1)*AM32/CourseMonths)+1)/AM32)+AM31*AM33*DropRemain))</f>
        <v/>
      </c>
      <c r="AN80" s="52">
        <f>SUMPRODUCT(DropTiming,AN29*((1-AN31)*(1-(INT((DropMonth-1)*AN32/CourseMonths)+1)/AN32)+AN31*AN33*DropRemain))</f>
        <v/>
      </c>
      <c r="AO80" s="52">
        <f>SUMPRODUCT(DropTiming,AO29*((1-AO31)*(1-(INT((DropMonth-1)*AO32/CourseMonths)+1)/AO32)+AO31*AO33*DropRemain))</f>
        <v/>
      </c>
      <c r="AP80" s="52">
        <f>SUMPRODUCT(DropTiming,AP29*((1-AP31)*(1-(INT((DropMonth-1)*AP32/CourseMonths)+1)/AP32)+AP31*AP33*DropRemain))</f>
        <v/>
      </c>
      <c r="AQ80" s="52">
        <f>SUMPRODUCT(DropTiming,AQ29*((1-AQ31)*(1-(INT((DropMonth-1)*AQ32/CourseMonths)+1)/AQ32)+AQ31*AQ33*DropRemain))</f>
        <v/>
      </c>
      <c r="AR80" s="52">
        <f>SUMPRODUCT(DropTiming,AR29*((1-AR31)*(1-(INT((DropMonth-1)*AR32/CourseMonths)+1)/AR32)+AR31*AR33*DropRemain))</f>
        <v/>
      </c>
      <c r="AS80" s="52">
        <f>SUMPRODUCT(DropTiming,AS29*((1-AS31)*(1-(INT((DropMonth-1)*AS32/CourseMonths)+1)/AS32)+AS31*AS33*DropRemain))</f>
        <v/>
      </c>
      <c r="AT80" s="52">
        <f>SUMPRODUCT(DropTiming,AT29*((1-AT31)*(1-(INT((DropMonth-1)*AT32/CourseMonths)+1)/AT32)+AT31*AT33*DropRemain))</f>
        <v/>
      </c>
      <c r="AU80" s="52">
        <f>SUMPRODUCT(DropTiming,AU29*((1-AU31)*(1-(INT((DropMonth-1)*AU32/CourseMonths)+1)/AU32)+AU31*AU33*DropRemain))</f>
        <v/>
      </c>
      <c r="AV80" s="52">
        <f>SUMPRODUCT(DropTiming,AV29*((1-AV31)*(1-(INT((DropMonth-1)*AV32/CourseMonths)+1)/AV32)+AV31*AV33*DropRemain))</f>
        <v/>
      </c>
      <c r="AW80" s="52">
        <f>SUMPRODUCT(DropTiming,AW29*((1-AW31)*(1-(INT((DropMonth-1)*AW32/CourseMonths)+1)/AW32)+AW31*AW33*DropRemain))</f>
        <v/>
      </c>
      <c r="AX80" s="52">
        <f>SUMPRODUCT(DropTiming,AX29*((1-AX31)*(1-(INT((DropMonth-1)*AX32/CourseMonths)+1)/AX32)+AX31*AX33*DropRemain))</f>
        <v/>
      </c>
      <c r="AY80" s="52">
        <f>SUMPRODUCT(DropTiming,AY29*((1-AY31)*(1-(INT((DropMonth-1)*AY32/CourseMonths)+1)/AY32)+AY31*AY33*DropRemain))</f>
        <v/>
      </c>
      <c r="AZ80" s="52">
        <f>SUMPRODUCT(DropTiming,AZ29*((1-AZ31)*(1-(INT((DropMonth-1)*AZ32/CourseMonths)+1)/AZ32)+AZ31*AZ33*DropRemain))</f>
        <v/>
      </c>
      <c r="BA80" s="52">
        <f>SUMPRODUCT(DropTiming,BA29*((1-BA31)*(1-(INT((DropMonth-1)*BA32/CourseMonths)+1)/BA32)+BA31*BA33*DropRemain))</f>
        <v/>
      </c>
      <c r="BB80" s="52">
        <f>SUMPRODUCT(DropTiming,BB29*((1-BB31)*(1-(INT((DropMonth-1)*BB32/CourseMonths)+1)/BB32)+BB31*BB33*DropRemain))</f>
        <v/>
      </c>
      <c r="BC80" s="52">
        <f>SUMPRODUCT(DropTiming,BC29*((1-BC31)*(1-(INT((DropMonth-1)*BC32/CourseMonths)+1)/BC32)+BC31*BC33*DropRemain))</f>
        <v/>
      </c>
      <c r="BD80" s="52">
        <f>SUMPRODUCT(DropTiming,BD29*((1-BD31)*(1-(INT((DropMonth-1)*BD32/CourseMonths)+1)/BD32)+BD31*BD33*DropRemain))</f>
        <v/>
      </c>
      <c r="BE80" s="52">
        <f>SUMPRODUCT(DropTiming,BE29*((1-BE31)*(1-(INT((DropMonth-1)*BE32/CourseMonths)+1)/BE32)+BE31*BE33*DropRemain))</f>
        <v/>
      </c>
    </row>
    <row r="81">
      <c r="B81" s="7" t="inlineStr">
        <is>
          <t>Fee lost to dropouts per year (no platform)</t>
        </is>
      </c>
      <c r="C81" s="5" t="inlineStr">
        <is>
          <t>₹/yr</t>
        </is>
      </c>
      <c r="D81" s="50">
        <f>D79*D80</f>
        <v/>
      </c>
      <c r="E81" s="50">
        <f>E79*E80</f>
        <v/>
      </c>
      <c r="F81" s="50">
        <f>F79*F80</f>
        <v/>
      </c>
      <c r="G81" s="50">
        <f>G79*G80</f>
        <v/>
      </c>
      <c r="H81" s="50">
        <f>H79*H80</f>
        <v/>
      </c>
      <c r="I81" s="50">
        <f>I79*I80</f>
        <v/>
      </c>
      <c r="J81" s="50">
        <f>J79*J80</f>
        <v/>
      </c>
      <c r="K81" s="50">
        <f>K79*K80</f>
        <v/>
      </c>
      <c r="L81" s="50">
        <f>L79*L80</f>
        <v/>
      </c>
      <c r="M81" s="50">
        <f>M79*M80</f>
        <v/>
      </c>
      <c r="N81" s="50">
        <f>N79*N80</f>
        <v/>
      </c>
      <c r="O81" s="50">
        <f>O79*O80</f>
        <v/>
      </c>
      <c r="P81" s="50">
        <f>P79*P80</f>
        <v/>
      </c>
      <c r="Q81" s="50">
        <f>Q79*Q80</f>
        <v/>
      </c>
      <c r="R81" s="50">
        <f>R79*R80</f>
        <v/>
      </c>
      <c r="S81" s="50">
        <f>S79*S80</f>
        <v/>
      </c>
      <c r="T81" s="50">
        <f>T79*T80</f>
        <v/>
      </c>
      <c r="U81" s="50">
        <f>U79*U80</f>
        <v/>
      </c>
      <c r="V81" s="50">
        <f>V79*V80</f>
        <v/>
      </c>
      <c r="W81" s="50">
        <f>W79*W80</f>
        <v/>
      </c>
      <c r="X81" s="50">
        <f>X79*X80</f>
        <v/>
      </c>
      <c r="Y81" s="50">
        <f>Y79*Y80</f>
        <v/>
      </c>
      <c r="Z81" s="50">
        <f>Z79*Z80</f>
        <v/>
      </c>
      <c r="AA81" s="50">
        <f>AA79*AA80</f>
        <v/>
      </c>
      <c r="AB81" s="50">
        <f>AB79*AB80</f>
        <v/>
      </c>
      <c r="AC81" s="50">
        <f>AC79*AC80</f>
        <v/>
      </c>
      <c r="AD81" s="50">
        <f>AD79*AD80</f>
        <v/>
      </c>
      <c r="AE81" s="50">
        <f>AE79*AE80</f>
        <v/>
      </c>
      <c r="AF81" s="50">
        <f>AF79*AF80</f>
        <v/>
      </c>
      <c r="AG81" s="50">
        <f>AG79*AG80</f>
        <v/>
      </c>
      <c r="AH81" s="50">
        <f>AH79*AH80</f>
        <v/>
      </c>
      <c r="AI81" s="50">
        <f>AI79*AI80</f>
        <v/>
      </c>
      <c r="AJ81" s="50">
        <f>AJ79*AJ80</f>
        <v/>
      </c>
      <c r="AK81" s="50">
        <f>AK79*AK80</f>
        <v/>
      </c>
      <c r="AL81" s="50">
        <f>AL79*AL80</f>
        <v/>
      </c>
      <c r="AM81" s="50">
        <f>AM79*AM80</f>
        <v/>
      </c>
      <c r="AN81" s="50">
        <f>AN79*AN80</f>
        <v/>
      </c>
      <c r="AO81" s="50">
        <f>AO79*AO80</f>
        <v/>
      </c>
      <c r="AP81" s="50">
        <f>AP79*AP80</f>
        <v/>
      </c>
      <c r="AQ81" s="50">
        <f>AQ79*AQ80</f>
        <v/>
      </c>
      <c r="AR81" s="50">
        <f>AR79*AR80</f>
        <v/>
      </c>
      <c r="AS81" s="50">
        <f>AS79*AS80</f>
        <v/>
      </c>
      <c r="AT81" s="50">
        <f>AT79*AT80</f>
        <v/>
      </c>
      <c r="AU81" s="50">
        <f>AU79*AU80</f>
        <v/>
      </c>
      <c r="AV81" s="50">
        <f>AV79*AV80</f>
        <v/>
      </c>
      <c r="AW81" s="50">
        <f>AW79*AW80</f>
        <v/>
      </c>
      <c r="AX81" s="50">
        <f>AX79*AX80</f>
        <v/>
      </c>
      <c r="AY81" s="50">
        <f>AY79*AY80</f>
        <v/>
      </c>
      <c r="AZ81" s="50">
        <f>AZ79*AZ80</f>
        <v/>
      </c>
      <c r="BA81" s="50">
        <f>BA79*BA80</f>
        <v/>
      </c>
      <c r="BB81" s="50">
        <f>BB79*BB80</f>
        <v/>
      </c>
      <c r="BC81" s="50">
        <f>BC79*BC80</f>
        <v/>
      </c>
      <c r="BD81" s="50">
        <f>BD79*BD80</f>
        <v/>
      </c>
      <c r="BE81" s="50">
        <f>BE79*BE80</f>
        <v/>
      </c>
    </row>
    <row r="82">
      <c r="B82" s="7" t="inlineStr">
        <is>
          <t>Blended recall (minors: academic model + rules; 18+: full ML)</t>
        </is>
      </c>
      <c r="C82" s="5" t="inlineStr">
        <is>
          <t>%</t>
        </is>
      </c>
      <c r="D82" s="39">
        <f>D35*D36+(1-D35)*D37</f>
        <v/>
      </c>
      <c r="E82" s="39">
        <f>E35*E36+(1-E35)*E37</f>
        <v/>
      </c>
      <c r="F82" s="39">
        <f>F35*F36+(1-F35)*F37</f>
        <v/>
      </c>
      <c r="G82" s="39">
        <f>G35*G36+(1-G35)*G37</f>
        <v/>
      </c>
      <c r="H82" s="39">
        <f>H35*H36+(1-H35)*H37</f>
        <v/>
      </c>
      <c r="I82" s="39">
        <f>I35*I36+(1-I35)*I37</f>
        <v/>
      </c>
      <c r="J82" s="39">
        <f>J35*J36+(1-J35)*J37</f>
        <v/>
      </c>
      <c r="K82" s="39">
        <f>K35*K36+(1-K35)*K37</f>
        <v/>
      </c>
      <c r="L82" s="39">
        <f>L35*L36+(1-L35)*L37</f>
        <v/>
      </c>
      <c r="M82" s="39">
        <f>M35*M36+(1-M35)*M37</f>
        <v/>
      </c>
      <c r="N82" s="39">
        <f>N35*N36+(1-N35)*N37</f>
        <v/>
      </c>
      <c r="O82" s="39">
        <f>O35*O36+(1-O35)*O37</f>
        <v/>
      </c>
      <c r="P82" s="39">
        <f>P35*P36+(1-P35)*P37</f>
        <v/>
      </c>
      <c r="Q82" s="39">
        <f>Q35*Q36+(1-Q35)*Q37</f>
        <v/>
      </c>
      <c r="R82" s="39">
        <f>R35*R36+(1-R35)*R37</f>
        <v/>
      </c>
      <c r="S82" s="39">
        <f>S35*S36+(1-S35)*S37</f>
        <v/>
      </c>
      <c r="T82" s="39">
        <f>T35*T36+(1-T35)*T37</f>
        <v/>
      </c>
      <c r="U82" s="39">
        <f>U35*U36+(1-U35)*U37</f>
        <v/>
      </c>
      <c r="V82" s="39">
        <f>V35*V36+(1-V35)*V37</f>
        <v/>
      </c>
      <c r="W82" s="39">
        <f>W35*W36+(1-W35)*W37</f>
        <v/>
      </c>
      <c r="X82" s="39">
        <f>X35*X36+(1-X35)*X37</f>
        <v/>
      </c>
      <c r="Y82" s="39">
        <f>Y35*Y36+(1-Y35)*Y37</f>
        <v/>
      </c>
      <c r="Z82" s="39">
        <f>Z35*Z36+(1-Z35)*Z37</f>
        <v/>
      </c>
      <c r="AA82" s="39">
        <f>AA35*AA36+(1-AA35)*AA37</f>
        <v/>
      </c>
      <c r="AB82" s="39">
        <f>AB35*AB36+(1-AB35)*AB37</f>
        <v/>
      </c>
      <c r="AC82" s="39">
        <f>AC35*AC36+(1-AC35)*AC37</f>
        <v/>
      </c>
      <c r="AD82" s="39">
        <f>AD35*AD36+(1-AD35)*AD37</f>
        <v/>
      </c>
      <c r="AE82" s="39">
        <f>AE35*AE36+(1-AE35)*AE37</f>
        <v/>
      </c>
      <c r="AF82" s="39">
        <f>AF35*AF36+(1-AF35)*AF37</f>
        <v/>
      </c>
      <c r="AG82" s="39">
        <f>AG35*AG36+(1-AG35)*AG37</f>
        <v/>
      </c>
      <c r="AH82" s="39">
        <f>AH35*AH36+(1-AH35)*AH37</f>
        <v/>
      </c>
      <c r="AI82" s="39">
        <f>AI35*AI36+(1-AI35)*AI37</f>
        <v/>
      </c>
      <c r="AJ82" s="39">
        <f>AJ35*AJ36+(1-AJ35)*AJ37</f>
        <v/>
      </c>
      <c r="AK82" s="39">
        <f>AK35*AK36+(1-AK35)*AK37</f>
        <v/>
      </c>
      <c r="AL82" s="39">
        <f>AL35*AL36+(1-AL35)*AL37</f>
        <v/>
      </c>
      <c r="AM82" s="39">
        <f>AM35*AM36+(1-AM35)*AM37</f>
        <v/>
      </c>
      <c r="AN82" s="39">
        <f>AN35*AN36+(1-AN35)*AN37</f>
        <v/>
      </c>
      <c r="AO82" s="39">
        <f>AO35*AO36+(1-AO35)*AO37</f>
        <v/>
      </c>
      <c r="AP82" s="39">
        <f>AP35*AP36+(1-AP35)*AP37</f>
        <v/>
      </c>
      <c r="AQ82" s="39">
        <f>AQ35*AQ36+(1-AQ35)*AQ37</f>
        <v/>
      </c>
      <c r="AR82" s="39">
        <f>AR35*AR36+(1-AR35)*AR37</f>
        <v/>
      </c>
      <c r="AS82" s="39">
        <f>AS35*AS36+(1-AS35)*AS37</f>
        <v/>
      </c>
      <c r="AT82" s="39">
        <f>AT35*AT36+(1-AT35)*AT37</f>
        <v/>
      </c>
      <c r="AU82" s="39">
        <f>AU35*AU36+(1-AU35)*AU37</f>
        <v/>
      </c>
      <c r="AV82" s="39">
        <f>AV35*AV36+(1-AV35)*AV37</f>
        <v/>
      </c>
      <c r="AW82" s="39">
        <f>AW35*AW36+(1-AW35)*AW37</f>
        <v/>
      </c>
      <c r="AX82" s="39">
        <f>AX35*AX36+(1-AX35)*AX37</f>
        <v/>
      </c>
      <c r="AY82" s="39">
        <f>AY35*AY36+(1-AY35)*AY37</f>
        <v/>
      </c>
      <c r="AZ82" s="39">
        <f>AZ35*AZ36+(1-AZ35)*AZ37</f>
        <v/>
      </c>
      <c r="BA82" s="39">
        <f>BA35*BA36+(1-BA35)*BA37</f>
        <v/>
      </c>
      <c r="BB82" s="39">
        <f>BB35*BB36+(1-BB35)*BB37</f>
        <v/>
      </c>
      <c r="BC82" s="39">
        <f>BC35*BC36+(1-BC35)*BC37</f>
        <v/>
      </c>
      <c r="BD82" s="39">
        <f>BD35*BD36+(1-BD35)*BD37</f>
        <v/>
      </c>
      <c r="BE82" s="39">
        <f>BE35*BE36+(1-BE35)*BE37</f>
        <v/>
      </c>
    </row>
    <row r="83">
      <c r="B83" s="7" t="inlineStr">
        <is>
          <t>Share of dropouts after the 'blind' months (enough test data to flag)</t>
        </is>
      </c>
      <c r="C83" s="5" t="inlineStr">
        <is>
          <t>%</t>
        </is>
      </c>
      <c r="D83" s="39">
        <f>SUMPRODUCT(DropTiming*(DropMonth&gt;D34))</f>
        <v/>
      </c>
      <c r="E83" s="39">
        <f>SUMPRODUCT(DropTiming*(DropMonth&gt;E34))</f>
        <v/>
      </c>
      <c r="F83" s="39">
        <f>SUMPRODUCT(DropTiming*(DropMonth&gt;F34))</f>
        <v/>
      </c>
      <c r="G83" s="39">
        <f>SUMPRODUCT(DropTiming*(DropMonth&gt;G34))</f>
        <v/>
      </c>
      <c r="H83" s="39">
        <f>SUMPRODUCT(DropTiming*(DropMonth&gt;H34))</f>
        <v/>
      </c>
      <c r="I83" s="39">
        <f>SUMPRODUCT(DropTiming*(DropMonth&gt;I34))</f>
        <v/>
      </c>
      <c r="J83" s="39">
        <f>SUMPRODUCT(DropTiming*(DropMonth&gt;J34))</f>
        <v/>
      </c>
      <c r="K83" s="39">
        <f>SUMPRODUCT(DropTiming*(DropMonth&gt;K34))</f>
        <v/>
      </c>
      <c r="L83" s="39">
        <f>SUMPRODUCT(DropTiming*(DropMonth&gt;L34))</f>
        <v/>
      </c>
      <c r="M83" s="39">
        <f>SUMPRODUCT(DropTiming*(DropMonth&gt;M34))</f>
        <v/>
      </c>
      <c r="N83" s="39">
        <f>SUMPRODUCT(DropTiming*(DropMonth&gt;N34))</f>
        <v/>
      </c>
      <c r="O83" s="39">
        <f>SUMPRODUCT(DropTiming*(DropMonth&gt;O34))</f>
        <v/>
      </c>
      <c r="P83" s="39">
        <f>SUMPRODUCT(DropTiming*(DropMonth&gt;P34))</f>
        <v/>
      </c>
      <c r="Q83" s="39">
        <f>SUMPRODUCT(DropTiming*(DropMonth&gt;Q34))</f>
        <v/>
      </c>
      <c r="R83" s="39">
        <f>SUMPRODUCT(DropTiming*(DropMonth&gt;R34))</f>
        <v/>
      </c>
      <c r="S83" s="39">
        <f>SUMPRODUCT(DropTiming*(DropMonth&gt;S34))</f>
        <v/>
      </c>
      <c r="T83" s="39">
        <f>SUMPRODUCT(DropTiming*(DropMonth&gt;T34))</f>
        <v/>
      </c>
      <c r="U83" s="39">
        <f>SUMPRODUCT(DropTiming*(DropMonth&gt;U34))</f>
        <v/>
      </c>
      <c r="V83" s="39">
        <f>SUMPRODUCT(DropTiming*(DropMonth&gt;V34))</f>
        <v/>
      </c>
      <c r="W83" s="39">
        <f>SUMPRODUCT(DropTiming*(DropMonth&gt;W34))</f>
        <v/>
      </c>
      <c r="X83" s="39">
        <f>SUMPRODUCT(DropTiming*(DropMonth&gt;X34))</f>
        <v/>
      </c>
      <c r="Y83" s="39">
        <f>SUMPRODUCT(DropTiming*(DropMonth&gt;Y34))</f>
        <v/>
      </c>
      <c r="Z83" s="39">
        <f>SUMPRODUCT(DropTiming*(DropMonth&gt;Z34))</f>
        <v/>
      </c>
      <c r="AA83" s="39">
        <f>SUMPRODUCT(DropTiming*(DropMonth&gt;AA34))</f>
        <v/>
      </c>
      <c r="AB83" s="39">
        <f>SUMPRODUCT(DropTiming*(DropMonth&gt;AB34))</f>
        <v/>
      </c>
      <c r="AC83" s="39">
        <f>SUMPRODUCT(DropTiming*(DropMonth&gt;AC34))</f>
        <v/>
      </c>
      <c r="AD83" s="39">
        <f>SUMPRODUCT(DropTiming*(DropMonth&gt;AD34))</f>
        <v/>
      </c>
      <c r="AE83" s="39">
        <f>SUMPRODUCT(DropTiming*(DropMonth&gt;AE34))</f>
        <v/>
      </c>
      <c r="AF83" s="39">
        <f>SUMPRODUCT(DropTiming*(DropMonth&gt;AF34))</f>
        <v/>
      </c>
      <c r="AG83" s="39">
        <f>SUMPRODUCT(DropTiming*(DropMonth&gt;AG34))</f>
        <v/>
      </c>
      <c r="AH83" s="39">
        <f>SUMPRODUCT(DropTiming*(DropMonth&gt;AH34))</f>
        <v/>
      </c>
      <c r="AI83" s="39">
        <f>SUMPRODUCT(DropTiming*(DropMonth&gt;AI34))</f>
        <v/>
      </c>
      <c r="AJ83" s="39">
        <f>SUMPRODUCT(DropTiming*(DropMonth&gt;AJ34))</f>
        <v/>
      </c>
      <c r="AK83" s="39">
        <f>SUMPRODUCT(DropTiming*(DropMonth&gt;AK34))</f>
        <v/>
      </c>
      <c r="AL83" s="39">
        <f>SUMPRODUCT(DropTiming*(DropMonth&gt;AL34))</f>
        <v/>
      </c>
      <c r="AM83" s="39">
        <f>SUMPRODUCT(DropTiming*(DropMonth&gt;AM34))</f>
        <v/>
      </c>
      <c r="AN83" s="39">
        <f>SUMPRODUCT(DropTiming*(DropMonth&gt;AN34))</f>
        <v/>
      </c>
      <c r="AO83" s="39">
        <f>SUMPRODUCT(DropTiming*(DropMonth&gt;AO34))</f>
        <v/>
      </c>
      <c r="AP83" s="39">
        <f>SUMPRODUCT(DropTiming*(DropMonth&gt;AP34))</f>
        <v/>
      </c>
      <c r="AQ83" s="39">
        <f>SUMPRODUCT(DropTiming*(DropMonth&gt;AQ34))</f>
        <v/>
      </c>
      <c r="AR83" s="39">
        <f>SUMPRODUCT(DropTiming*(DropMonth&gt;AR34))</f>
        <v/>
      </c>
      <c r="AS83" s="39">
        <f>SUMPRODUCT(DropTiming*(DropMonth&gt;AS34))</f>
        <v/>
      </c>
      <c r="AT83" s="39">
        <f>SUMPRODUCT(DropTiming*(DropMonth&gt;AT34))</f>
        <v/>
      </c>
      <c r="AU83" s="39">
        <f>SUMPRODUCT(DropTiming*(DropMonth&gt;AU34))</f>
        <v/>
      </c>
      <c r="AV83" s="39">
        <f>SUMPRODUCT(DropTiming*(DropMonth&gt;AV34))</f>
        <v/>
      </c>
      <c r="AW83" s="39">
        <f>SUMPRODUCT(DropTiming*(DropMonth&gt;AW34))</f>
        <v/>
      </c>
      <c r="AX83" s="39">
        <f>SUMPRODUCT(DropTiming*(DropMonth&gt;AX34))</f>
        <v/>
      </c>
      <c r="AY83" s="39">
        <f>SUMPRODUCT(DropTiming*(DropMonth&gt;AY34))</f>
        <v/>
      </c>
      <c r="AZ83" s="39">
        <f>SUMPRODUCT(DropTiming*(DropMonth&gt;AZ34))</f>
        <v/>
      </c>
      <c r="BA83" s="39">
        <f>SUMPRODUCT(DropTiming*(DropMonth&gt;BA34))</f>
        <v/>
      </c>
      <c r="BB83" s="39">
        <f>SUMPRODUCT(DropTiming*(DropMonth&gt;BB34))</f>
        <v/>
      </c>
      <c r="BC83" s="39">
        <f>SUMPRODUCT(DropTiming*(DropMonth&gt;BC34))</f>
        <v/>
      </c>
      <c r="BD83" s="39">
        <f>SUMPRODUCT(DropTiming*(DropMonth&gt;BD34))</f>
        <v/>
      </c>
      <c r="BE83" s="39">
        <f>SUMPRODUCT(DropTiming*(DropMonth&gt;BE34))</f>
        <v/>
      </c>
    </row>
    <row r="84">
      <c r="B84" s="7" t="inlineStr">
        <is>
          <t>Effective dropout reduction = recall × action × RCT effect × catchable</t>
        </is>
      </c>
      <c r="C84" s="5" t="inlineStr">
        <is>
          <t>%</t>
        </is>
      </c>
      <c r="D84" s="40">
        <f>D82*D39*D40*D83</f>
        <v/>
      </c>
      <c r="E84" s="40">
        <f>E82*E39*E40*E83</f>
        <v/>
      </c>
      <c r="F84" s="40">
        <f>F82*F39*F40*F83</f>
        <v/>
      </c>
      <c r="G84" s="40">
        <f>G82*G39*G40*G83</f>
        <v/>
      </c>
      <c r="H84" s="40">
        <f>H82*H39*H40*H83</f>
        <v/>
      </c>
      <c r="I84" s="40">
        <f>I82*I39*I40*I83</f>
        <v/>
      </c>
      <c r="J84" s="40">
        <f>J82*J39*J40*J83</f>
        <v/>
      </c>
      <c r="K84" s="40">
        <f>K82*K39*K40*K83</f>
        <v/>
      </c>
      <c r="L84" s="40">
        <f>L82*L39*L40*L83</f>
        <v/>
      </c>
      <c r="M84" s="40">
        <f>M82*M39*M40*M83</f>
        <v/>
      </c>
      <c r="N84" s="40">
        <f>N82*N39*N40*N83</f>
        <v/>
      </c>
      <c r="O84" s="40">
        <f>O82*O39*O40*O83</f>
        <v/>
      </c>
      <c r="P84" s="40">
        <f>P82*P39*P40*P83</f>
        <v/>
      </c>
      <c r="Q84" s="40">
        <f>Q82*Q39*Q40*Q83</f>
        <v/>
      </c>
      <c r="R84" s="40">
        <f>R82*R39*R40*R83</f>
        <v/>
      </c>
      <c r="S84" s="40">
        <f>S82*S39*S40*S83</f>
        <v/>
      </c>
      <c r="T84" s="40">
        <f>T82*T39*T40*T83</f>
        <v/>
      </c>
      <c r="U84" s="40">
        <f>U82*U39*U40*U83</f>
        <v/>
      </c>
      <c r="V84" s="40">
        <f>V82*V39*V40*V83</f>
        <v/>
      </c>
      <c r="W84" s="40">
        <f>W82*W39*W40*W83</f>
        <v/>
      </c>
      <c r="X84" s="40">
        <f>X82*X39*X40*X83</f>
        <v/>
      </c>
      <c r="Y84" s="40">
        <f>Y82*Y39*Y40*Y83</f>
        <v/>
      </c>
      <c r="Z84" s="40">
        <f>Z82*Z39*Z40*Z83</f>
        <v/>
      </c>
      <c r="AA84" s="40">
        <f>AA82*AA39*AA40*AA83</f>
        <v/>
      </c>
      <c r="AB84" s="40">
        <f>AB82*AB39*AB40*AB83</f>
        <v/>
      </c>
      <c r="AC84" s="40">
        <f>AC82*AC39*AC40*AC83</f>
        <v/>
      </c>
      <c r="AD84" s="40">
        <f>AD82*AD39*AD40*AD83</f>
        <v/>
      </c>
      <c r="AE84" s="40">
        <f>AE82*AE39*AE40*AE83</f>
        <v/>
      </c>
      <c r="AF84" s="40">
        <f>AF82*AF39*AF40*AF83</f>
        <v/>
      </c>
      <c r="AG84" s="40">
        <f>AG82*AG39*AG40*AG83</f>
        <v/>
      </c>
      <c r="AH84" s="40">
        <f>AH82*AH39*AH40*AH83</f>
        <v/>
      </c>
      <c r="AI84" s="40">
        <f>AI82*AI39*AI40*AI83</f>
        <v/>
      </c>
      <c r="AJ84" s="40">
        <f>AJ82*AJ39*AJ40*AJ83</f>
        <v/>
      </c>
      <c r="AK84" s="40">
        <f>AK82*AK39*AK40*AK83</f>
        <v/>
      </c>
      <c r="AL84" s="40">
        <f>AL82*AL39*AL40*AL83</f>
        <v/>
      </c>
      <c r="AM84" s="40">
        <f>AM82*AM39*AM40*AM83</f>
        <v/>
      </c>
      <c r="AN84" s="40">
        <f>AN82*AN39*AN40*AN83</f>
        <v/>
      </c>
      <c r="AO84" s="40">
        <f>AO82*AO39*AO40*AO83</f>
        <v/>
      </c>
      <c r="AP84" s="40">
        <f>AP82*AP39*AP40*AP83</f>
        <v/>
      </c>
      <c r="AQ84" s="40">
        <f>AQ82*AQ39*AQ40*AQ83</f>
        <v/>
      </c>
      <c r="AR84" s="40">
        <f>AR82*AR39*AR40*AR83</f>
        <v/>
      </c>
      <c r="AS84" s="40">
        <f>AS82*AS39*AS40*AS83</f>
        <v/>
      </c>
      <c r="AT84" s="40">
        <f>AT82*AT39*AT40*AT83</f>
        <v/>
      </c>
      <c r="AU84" s="40">
        <f>AU82*AU39*AU40*AU83</f>
        <v/>
      </c>
      <c r="AV84" s="40">
        <f>AV82*AV39*AV40*AV83</f>
        <v/>
      </c>
      <c r="AW84" s="40">
        <f>AW82*AW39*AW40*AW83</f>
        <v/>
      </c>
      <c r="AX84" s="40">
        <f>AX82*AX39*AX40*AX83</f>
        <v/>
      </c>
      <c r="AY84" s="40">
        <f>AY82*AY39*AY40*AY83</f>
        <v/>
      </c>
      <c r="AZ84" s="40">
        <f>AZ82*AZ39*AZ40*AZ83</f>
        <v/>
      </c>
      <c r="BA84" s="40">
        <f>BA82*BA39*BA40*BA83</f>
        <v/>
      </c>
      <c r="BB84" s="40">
        <f>BB82*BB39*BB40*BB83</f>
        <v/>
      </c>
      <c r="BC84" s="40">
        <f>BC82*BC39*BC40*BC83</f>
        <v/>
      </c>
      <c r="BD84" s="40">
        <f>BD82*BD39*BD40*BD83</f>
        <v/>
      </c>
      <c r="BE84" s="40">
        <f>BE82*BE39*BE40*BE83</f>
        <v/>
      </c>
    </row>
    <row r="85">
      <c r="B85" s="7" t="inlineStr">
        <is>
          <t>Dropouts prevented per year</t>
        </is>
      </c>
      <c r="C85" s="5" t="inlineStr">
        <is>
          <t>students/yr</t>
        </is>
      </c>
      <c r="D85" s="54">
        <f>D79*D84</f>
        <v/>
      </c>
      <c r="E85" s="54">
        <f>E79*E84</f>
        <v/>
      </c>
      <c r="F85" s="54">
        <f>F79*F84</f>
        <v/>
      </c>
      <c r="G85" s="54">
        <f>G79*G84</f>
        <v/>
      </c>
      <c r="H85" s="54">
        <f>H79*H84</f>
        <v/>
      </c>
      <c r="I85" s="54">
        <f>I79*I84</f>
        <v/>
      </c>
      <c r="J85" s="54">
        <f>J79*J84</f>
        <v/>
      </c>
      <c r="K85" s="54">
        <f>K79*K84</f>
        <v/>
      </c>
      <c r="L85" s="54">
        <f>L79*L84</f>
        <v/>
      </c>
      <c r="M85" s="54">
        <f>M79*M84</f>
        <v/>
      </c>
      <c r="N85" s="54">
        <f>N79*N84</f>
        <v/>
      </c>
      <c r="O85" s="54">
        <f>O79*O84</f>
        <v/>
      </c>
      <c r="P85" s="54">
        <f>P79*P84</f>
        <v/>
      </c>
      <c r="Q85" s="54">
        <f>Q79*Q84</f>
        <v/>
      </c>
      <c r="R85" s="54">
        <f>R79*R84</f>
        <v/>
      </c>
      <c r="S85" s="54">
        <f>S79*S84</f>
        <v/>
      </c>
      <c r="T85" s="54">
        <f>T79*T84</f>
        <v/>
      </c>
      <c r="U85" s="54">
        <f>U79*U84</f>
        <v/>
      </c>
      <c r="V85" s="54">
        <f>V79*V84</f>
        <v/>
      </c>
      <c r="W85" s="54">
        <f>W79*W84</f>
        <v/>
      </c>
      <c r="X85" s="54">
        <f>X79*X84</f>
        <v/>
      </c>
      <c r="Y85" s="54">
        <f>Y79*Y84</f>
        <v/>
      </c>
      <c r="Z85" s="54">
        <f>Z79*Z84</f>
        <v/>
      </c>
      <c r="AA85" s="54">
        <f>AA79*AA84</f>
        <v/>
      </c>
      <c r="AB85" s="54">
        <f>AB79*AB84</f>
        <v/>
      </c>
      <c r="AC85" s="54">
        <f>AC79*AC84</f>
        <v/>
      </c>
      <c r="AD85" s="54">
        <f>AD79*AD84</f>
        <v/>
      </c>
      <c r="AE85" s="54">
        <f>AE79*AE84</f>
        <v/>
      </c>
      <c r="AF85" s="54">
        <f>AF79*AF84</f>
        <v/>
      </c>
      <c r="AG85" s="54">
        <f>AG79*AG84</f>
        <v/>
      </c>
      <c r="AH85" s="54">
        <f>AH79*AH84</f>
        <v/>
      </c>
      <c r="AI85" s="54">
        <f>AI79*AI84</f>
        <v/>
      </c>
      <c r="AJ85" s="54">
        <f>AJ79*AJ84</f>
        <v/>
      </c>
      <c r="AK85" s="54">
        <f>AK79*AK84</f>
        <v/>
      </c>
      <c r="AL85" s="54">
        <f>AL79*AL84</f>
        <v/>
      </c>
      <c r="AM85" s="54">
        <f>AM79*AM84</f>
        <v/>
      </c>
      <c r="AN85" s="54">
        <f>AN79*AN84</f>
        <v/>
      </c>
      <c r="AO85" s="54">
        <f>AO79*AO84</f>
        <v/>
      </c>
      <c r="AP85" s="54">
        <f>AP79*AP84</f>
        <v/>
      </c>
      <c r="AQ85" s="54">
        <f>AQ79*AQ84</f>
        <v/>
      </c>
      <c r="AR85" s="54">
        <f>AR79*AR84</f>
        <v/>
      </c>
      <c r="AS85" s="54">
        <f>AS79*AS84</f>
        <v/>
      </c>
      <c r="AT85" s="54">
        <f>AT79*AT84</f>
        <v/>
      </c>
      <c r="AU85" s="54">
        <f>AU79*AU84</f>
        <v/>
      </c>
      <c r="AV85" s="54">
        <f>AV79*AV84</f>
        <v/>
      </c>
      <c r="AW85" s="54">
        <f>AW79*AW84</f>
        <v/>
      </c>
      <c r="AX85" s="54">
        <f>AX79*AX84</f>
        <v/>
      </c>
      <c r="AY85" s="54">
        <f>AY79*AY84</f>
        <v/>
      </c>
      <c r="AZ85" s="54">
        <f>AZ79*AZ84</f>
        <v/>
      </c>
      <c r="BA85" s="54">
        <f>BA79*BA84</f>
        <v/>
      </c>
      <c r="BB85" s="54">
        <f>BB79*BB84</f>
        <v/>
      </c>
      <c r="BC85" s="54">
        <f>BC79*BC84</f>
        <v/>
      </c>
      <c r="BD85" s="54">
        <f>BD79*BD84</f>
        <v/>
      </c>
      <c r="BE85" s="54">
        <f>BE79*BE84</f>
        <v/>
      </c>
    </row>
    <row r="86">
      <c r="B86" s="7" t="inlineStr">
        <is>
          <t>Fee saved per prevented dropout (catchable months only)</t>
        </is>
      </c>
      <c r="C86" s="5" t="inlineStr">
        <is>
          <t>₹/student</t>
        </is>
      </c>
      <c r="D86" s="52">
        <f>IF(D83&gt;0,SUMPRODUCT(DropTiming*(DropMonth&gt;D34)*D29*((1-D31)*(1-(INT((DropMonth-1)*D32/CourseMonths)+1)/D32)+D31*D33*DropRemain))/D83,0)</f>
        <v/>
      </c>
      <c r="E86" s="52">
        <f>IF(E83&gt;0,SUMPRODUCT(DropTiming*(DropMonth&gt;E34)*E29*((1-E31)*(1-(INT((DropMonth-1)*E32/CourseMonths)+1)/E32)+E31*E33*DropRemain))/E83,0)</f>
        <v/>
      </c>
      <c r="F86" s="52">
        <f>IF(F83&gt;0,SUMPRODUCT(DropTiming*(DropMonth&gt;F34)*F29*((1-F31)*(1-(INT((DropMonth-1)*F32/CourseMonths)+1)/F32)+F31*F33*DropRemain))/F83,0)</f>
        <v/>
      </c>
      <c r="G86" s="52">
        <f>IF(G83&gt;0,SUMPRODUCT(DropTiming*(DropMonth&gt;G34)*G29*((1-G31)*(1-(INT((DropMonth-1)*G32/CourseMonths)+1)/G32)+G31*G33*DropRemain))/G83,0)</f>
        <v/>
      </c>
      <c r="H86" s="52">
        <f>IF(H83&gt;0,SUMPRODUCT(DropTiming*(DropMonth&gt;H34)*H29*((1-H31)*(1-(INT((DropMonth-1)*H32/CourseMonths)+1)/H32)+H31*H33*DropRemain))/H83,0)</f>
        <v/>
      </c>
      <c r="I86" s="52">
        <f>IF(I83&gt;0,SUMPRODUCT(DropTiming*(DropMonth&gt;I34)*I29*((1-I31)*(1-(INT((DropMonth-1)*I32/CourseMonths)+1)/I32)+I31*I33*DropRemain))/I83,0)</f>
        <v/>
      </c>
      <c r="J86" s="52">
        <f>IF(J83&gt;0,SUMPRODUCT(DropTiming*(DropMonth&gt;J34)*J29*((1-J31)*(1-(INT((DropMonth-1)*J32/CourseMonths)+1)/J32)+J31*J33*DropRemain))/J83,0)</f>
        <v/>
      </c>
      <c r="K86" s="52">
        <f>IF(K83&gt;0,SUMPRODUCT(DropTiming*(DropMonth&gt;K34)*K29*((1-K31)*(1-(INT((DropMonth-1)*K32/CourseMonths)+1)/K32)+K31*K33*DropRemain))/K83,0)</f>
        <v/>
      </c>
      <c r="L86" s="52">
        <f>IF(L83&gt;0,SUMPRODUCT(DropTiming*(DropMonth&gt;L34)*L29*((1-L31)*(1-(INT((DropMonth-1)*L32/CourseMonths)+1)/L32)+L31*L33*DropRemain))/L83,0)</f>
        <v/>
      </c>
      <c r="M86" s="52">
        <f>IF(M83&gt;0,SUMPRODUCT(DropTiming*(DropMonth&gt;M34)*M29*((1-M31)*(1-(INT((DropMonth-1)*M32/CourseMonths)+1)/M32)+M31*M33*DropRemain))/M83,0)</f>
        <v/>
      </c>
      <c r="N86" s="52">
        <f>IF(N83&gt;0,SUMPRODUCT(DropTiming*(DropMonth&gt;N34)*N29*((1-N31)*(1-(INT((DropMonth-1)*N32/CourseMonths)+1)/N32)+N31*N33*DropRemain))/N83,0)</f>
        <v/>
      </c>
      <c r="O86" s="52">
        <f>IF(O83&gt;0,SUMPRODUCT(DropTiming*(DropMonth&gt;O34)*O29*((1-O31)*(1-(INT((DropMonth-1)*O32/CourseMonths)+1)/O32)+O31*O33*DropRemain))/O83,0)</f>
        <v/>
      </c>
      <c r="P86" s="52">
        <f>IF(P83&gt;0,SUMPRODUCT(DropTiming*(DropMonth&gt;P34)*P29*((1-P31)*(1-(INT((DropMonth-1)*P32/CourseMonths)+1)/P32)+P31*P33*DropRemain))/P83,0)</f>
        <v/>
      </c>
      <c r="Q86" s="52">
        <f>IF(Q83&gt;0,SUMPRODUCT(DropTiming*(DropMonth&gt;Q34)*Q29*((1-Q31)*(1-(INT((DropMonth-1)*Q32/CourseMonths)+1)/Q32)+Q31*Q33*DropRemain))/Q83,0)</f>
        <v/>
      </c>
      <c r="R86" s="52">
        <f>IF(R83&gt;0,SUMPRODUCT(DropTiming*(DropMonth&gt;R34)*R29*((1-R31)*(1-(INT((DropMonth-1)*R32/CourseMonths)+1)/R32)+R31*R33*DropRemain))/R83,0)</f>
        <v/>
      </c>
      <c r="S86" s="52">
        <f>IF(S83&gt;0,SUMPRODUCT(DropTiming*(DropMonth&gt;S34)*S29*((1-S31)*(1-(INT((DropMonth-1)*S32/CourseMonths)+1)/S32)+S31*S33*DropRemain))/S83,0)</f>
        <v/>
      </c>
      <c r="T86" s="52">
        <f>IF(T83&gt;0,SUMPRODUCT(DropTiming*(DropMonth&gt;T34)*T29*((1-T31)*(1-(INT((DropMonth-1)*T32/CourseMonths)+1)/T32)+T31*T33*DropRemain))/T83,0)</f>
        <v/>
      </c>
      <c r="U86" s="52">
        <f>IF(U83&gt;0,SUMPRODUCT(DropTiming*(DropMonth&gt;U34)*U29*((1-U31)*(1-(INT((DropMonth-1)*U32/CourseMonths)+1)/U32)+U31*U33*DropRemain))/U83,0)</f>
        <v/>
      </c>
      <c r="V86" s="52">
        <f>IF(V83&gt;0,SUMPRODUCT(DropTiming*(DropMonth&gt;V34)*V29*((1-V31)*(1-(INT((DropMonth-1)*V32/CourseMonths)+1)/V32)+V31*V33*DropRemain))/V83,0)</f>
        <v/>
      </c>
      <c r="W86" s="52">
        <f>IF(W83&gt;0,SUMPRODUCT(DropTiming*(DropMonth&gt;W34)*W29*((1-W31)*(1-(INT((DropMonth-1)*W32/CourseMonths)+1)/W32)+W31*W33*DropRemain))/W83,0)</f>
        <v/>
      </c>
      <c r="X86" s="52">
        <f>IF(X83&gt;0,SUMPRODUCT(DropTiming*(DropMonth&gt;X34)*X29*((1-X31)*(1-(INT((DropMonth-1)*X32/CourseMonths)+1)/X32)+X31*X33*DropRemain))/X83,0)</f>
        <v/>
      </c>
      <c r="Y86" s="52">
        <f>IF(Y83&gt;0,SUMPRODUCT(DropTiming*(DropMonth&gt;Y34)*Y29*((1-Y31)*(1-(INT((DropMonth-1)*Y32/CourseMonths)+1)/Y32)+Y31*Y33*DropRemain))/Y83,0)</f>
        <v/>
      </c>
      <c r="Z86" s="52">
        <f>IF(Z83&gt;0,SUMPRODUCT(DropTiming*(DropMonth&gt;Z34)*Z29*((1-Z31)*(1-(INT((DropMonth-1)*Z32/CourseMonths)+1)/Z32)+Z31*Z33*DropRemain))/Z83,0)</f>
        <v/>
      </c>
      <c r="AA86" s="52">
        <f>IF(AA83&gt;0,SUMPRODUCT(DropTiming*(DropMonth&gt;AA34)*AA29*((1-AA31)*(1-(INT((DropMonth-1)*AA32/CourseMonths)+1)/AA32)+AA31*AA33*DropRemain))/AA83,0)</f>
        <v/>
      </c>
      <c r="AB86" s="52">
        <f>IF(AB83&gt;0,SUMPRODUCT(DropTiming*(DropMonth&gt;AB34)*AB29*((1-AB31)*(1-(INT((DropMonth-1)*AB32/CourseMonths)+1)/AB32)+AB31*AB33*DropRemain))/AB83,0)</f>
        <v/>
      </c>
      <c r="AC86" s="52">
        <f>IF(AC83&gt;0,SUMPRODUCT(DropTiming*(DropMonth&gt;AC34)*AC29*((1-AC31)*(1-(INT((DropMonth-1)*AC32/CourseMonths)+1)/AC32)+AC31*AC33*DropRemain))/AC83,0)</f>
        <v/>
      </c>
      <c r="AD86" s="52">
        <f>IF(AD83&gt;0,SUMPRODUCT(DropTiming*(DropMonth&gt;AD34)*AD29*((1-AD31)*(1-(INT((DropMonth-1)*AD32/CourseMonths)+1)/AD32)+AD31*AD33*DropRemain))/AD83,0)</f>
        <v/>
      </c>
      <c r="AE86" s="52">
        <f>IF(AE83&gt;0,SUMPRODUCT(DropTiming*(DropMonth&gt;AE34)*AE29*((1-AE31)*(1-(INT((DropMonth-1)*AE32/CourseMonths)+1)/AE32)+AE31*AE33*DropRemain))/AE83,0)</f>
        <v/>
      </c>
      <c r="AF86" s="52">
        <f>IF(AF83&gt;0,SUMPRODUCT(DropTiming*(DropMonth&gt;AF34)*AF29*((1-AF31)*(1-(INT((DropMonth-1)*AF32/CourseMonths)+1)/AF32)+AF31*AF33*DropRemain))/AF83,0)</f>
        <v/>
      </c>
      <c r="AG86" s="52">
        <f>IF(AG83&gt;0,SUMPRODUCT(DropTiming*(DropMonth&gt;AG34)*AG29*((1-AG31)*(1-(INT((DropMonth-1)*AG32/CourseMonths)+1)/AG32)+AG31*AG33*DropRemain))/AG83,0)</f>
        <v/>
      </c>
      <c r="AH86" s="52">
        <f>IF(AH83&gt;0,SUMPRODUCT(DropTiming*(DropMonth&gt;AH34)*AH29*((1-AH31)*(1-(INT((DropMonth-1)*AH32/CourseMonths)+1)/AH32)+AH31*AH33*DropRemain))/AH83,0)</f>
        <v/>
      </c>
      <c r="AI86" s="52">
        <f>IF(AI83&gt;0,SUMPRODUCT(DropTiming*(DropMonth&gt;AI34)*AI29*((1-AI31)*(1-(INT((DropMonth-1)*AI32/CourseMonths)+1)/AI32)+AI31*AI33*DropRemain))/AI83,0)</f>
        <v/>
      </c>
      <c r="AJ86" s="52">
        <f>IF(AJ83&gt;0,SUMPRODUCT(DropTiming*(DropMonth&gt;AJ34)*AJ29*((1-AJ31)*(1-(INT((DropMonth-1)*AJ32/CourseMonths)+1)/AJ32)+AJ31*AJ33*DropRemain))/AJ83,0)</f>
        <v/>
      </c>
      <c r="AK86" s="52">
        <f>IF(AK83&gt;0,SUMPRODUCT(DropTiming*(DropMonth&gt;AK34)*AK29*((1-AK31)*(1-(INT((DropMonth-1)*AK32/CourseMonths)+1)/AK32)+AK31*AK33*DropRemain))/AK83,0)</f>
        <v/>
      </c>
      <c r="AL86" s="52">
        <f>IF(AL83&gt;0,SUMPRODUCT(DropTiming*(DropMonth&gt;AL34)*AL29*((1-AL31)*(1-(INT((DropMonth-1)*AL32/CourseMonths)+1)/AL32)+AL31*AL33*DropRemain))/AL83,0)</f>
        <v/>
      </c>
      <c r="AM86" s="52">
        <f>IF(AM83&gt;0,SUMPRODUCT(DropTiming*(DropMonth&gt;AM34)*AM29*((1-AM31)*(1-(INT((DropMonth-1)*AM32/CourseMonths)+1)/AM32)+AM31*AM33*DropRemain))/AM83,0)</f>
        <v/>
      </c>
      <c r="AN86" s="52">
        <f>IF(AN83&gt;0,SUMPRODUCT(DropTiming*(DropMonth&gt;AN34)*AN29*((1-AN31)*(1-(INT((DropMonth-1)*AN32/CourseMonths)+1)/AN32)+AN31*AN33*DropRemain))/AN83,0)</f>
        <v/>
      </c>
      <c r="AO86" s="52">
        <f>IF(AO83&gt;0,SUMPRODUCT(DropTiming*(DropMonth&gt;AO34)*AO29*((1-AO31)*(1-(INT((DropMonth-1)*AO32/CourseMonths)+1)/AO32)+AO31*AO33*DropRemain))/AO83,0)</f>
        <v/>
      </c>
      <c r="AP86" s="52">
        <f>IF(AP83&gt;0,SUMPRODUCT(DropTiming*(DropMonth&gt;AP34)*AP29*((1-AP31)*(1-(INT((DropMonth-1)*AP32/CourseMonths)+1)/AP32)+AP31*AP33*DropRemain))/AP83,0)</f>
        <v/>
      </c>
      <c r="AQ86" s="52">
        <f>IF(AQ83&gt;0,SUMPRODUCT(DropTiming*(DropMonth&gt;AQ34)*AQ29*((1-AQ31)*(1-(INT((DropMonth-1)*AQ32/CourseMonths)+1)/AQ32)+AQ31*AQ33*DropRemain))/AQ83,0)</f>
        <v/>
      </c>
      <c r="AR86" s="52">
        <f>IF(AR83&gt;0,SUMPRODUCT(DropTiming*(DropMonth&gt;AR34)*AR29*((1-AR31)*(1-(INT((DropMonth-1)*AR32/CourseMonths)+1)/AR32)+AR31*AR33*DropRemain))/AR83,0)</f>
        <v/>
      </c>
      <c r="AS86" s="52">
        <f>IF(AS83&gt;0,SUMPRODUCT(DropTiming*(DropMonth&gt;AS34)*AS29*((1-AS31)*(1-(INT((DropMonth-1)*AS32/CourseMonths)+1)/AS32)+AS31*AS33*DropRemain))/AS83,0)</f>
        <v/>
      </c>
      <c r="AT86" s="52">
        <f>IF(AT83&gt;0,SUMPRODUCT(DropTiming*(DropMonth&gt;AT34)*AT29*((1-AT31)*(1-(INT((DropMonth-1)*AT32/CourseMonths)+1)/AT32)+AT31*AT33*DropRemain))/AT83,0)</f>
        <v/>
      </c>
      <c r="AU86" s="52">
        <f>IF(AU83&gt;0,SUMPRODUCT(DropTiming*(DropMonth&gt;AU34)*AU29*((1-AU31)*(1-(INT((DropMonth-1)*AU32/CourseMonths)+1)/AU32)+AU31*AU33*DropRemain))/AU83,0)</f>
        <v/>
      </c>
      <c r="AV86" s="52">
        <f>IF(AV83&gt;0,SUMPRODUCT(DropTiming*(DropMonth&gt;AV34)*AV29*((1-AV31)*(1-(INT((DropMonth-1)*AV32/CourseMonths)+1)/AV32)+AV31*AV33*DropRemain))/AV83,0)</f>
        <v/>
      </c>
      <c r="AW86" s="52">
        <f>IF(AW83&gt;0,SUMPRODUCT(DropTiming*(DropMonth&gt;AW34)*AW29*((1-AW31)*(1-(INT((DropMonth-1)*AW32/CourseMonths)+1)/AW32)+AW31*AW33*DropRemain))/AW83,0)</f>
        <v/>
      </c>
      <c r="AX86" s="52">
        <f>IF(AX83&gt;0,SUMPRODUCT(DropTiming*(DropMonth&gt;AX34)*AX29*((1-AX31)*(1-(INT((DropMonth-1)*AX32/CourseMonths)+1)/AX32)+AX31*AX33*DropRemain))/AX83,0)</f>
        <v/>
      </c>
      <c r="AY86" s="52">
        <f>IF(AY83&gt;0,SUMPRODUCT(DropTiming*(DropMonth&gt;AY34)*AY29*((1-AY31)*(1-(INT((DropMonth-1)*AY32/CourseMonths)+1)/AY32)+AY31*AY33*DropRemain))/AY83,0)</f>
        <v/>
      </c>
      <c r="AZ86" s="52">
        <f>IF(AZ83&gt;0,SUMPRODUCT(DropTiming*(DropMonth&gt;AZ34)*AZ29*((1-AZ31)*(1-(INT((DropMonth-1)*AZ32/CourseMonths)+1)/AZ32)+AZ31*AZ33*DropRemain))/AZ83,0)</f>
        <v/>
      </c>
      <c r="BA86" s="52">
        <f>IF(BA83&gt;0,SUMPRODUCT(DropTiming*(DropMonth&gt;BA34)*BA29*((1-BA31)*(1-(INT((DropMonth-1)*BA32/CourseMonths)+1)/BA32)+BA31*BA33*DropRemain))/BA83,0)</f>
        <v/>
      </c>
      <c r="BB86" s="52">
        <f>IF(BB83&gt;0,SUMPRODUCT(DropTiming*(DropMonth&gt;BB34)*BB29*((1-BB31)*(1-(INT((DropMonth-1)*BB32/CourseMonths)+1)/BB32)+BB31*BB33*DropRemain))/BB83,0)</f>
        <v/>
      </c>
      <c r="BC86" s="52">
        <f>IF(BC83&gt;0,SUMPRODUCT(DropTiming*(DropMonth&gt;BC34)*BC29*((1-BC31)*(1-(INT((DropMonth-1)*BC32/CourseMonths)+1)/BC32)+BC31*BC33*DropRemain))/BC83,0)</f>
        <v/>
      </c>
      <c r="BD86" s="52">
        <f>IF(BD83&gt;0,SUMPRODUCT(DropTiming*(DropMonth&gt;BD34)*BD29*((1-BD31)*(1-(INT((DropMonth-1)*BD32/CourseMonths)+1)/BD32)+BD31*BD33*DropRemain))/BD83,0)</f>
        <v/>
      </c>
      <c r="BE86" s="52">
        <f>IF(BE83&gt;0,SUMPRODUCT(DropTiming*(DropMonth&gt;BE34)*BE29*((1-BE31)*(1-(INT((DropMonth-1)*BE32/CourseMonths)+1)/BE32)+BE31*BE33*DropRemain))/BE83,0)</f>
        <v/>
      </c>
    </row>
    <row r="87">
      <c r="B87" s="7" t="inlineStr">
        <is>
          <t>Fees retained</t>
        </is>
      </c>
      <c r="C87" s="5" t="inlineStr">
        <is>
          <t>₹/yr</t>
        </is>
      </c>
      <c r="D87" s="50">
        <f>D85*D86</f>
        <v/>
      </c>
      <c r="E87" s="50">
        <f>E85*E86</f>
        <v/>
      </c>
      <c r="F87" s="50">
        <f>F85*F86</f>
        <v/>
      </c>
      <c r="G87" s="50">
        <f>G85*G86</f>
        <v/>
      </c>
      <c r="H87" s="50">
        <f>H85*H86</f>
        <v/>
      </c>
      <c r="I87" s="50">
        <f>I85*I86</f>
        <v/>
      </c>
      <c r="J87" s="50">
        <f>J85*J86</f>
        <v/>
      </c>
      <c r="K87" s="50">
        <f>K85*K86</f>
        <v/>
      </c>
      <c r="L87" s="50">
        <f>L85*L86</f>
        <v/>
      </c>
      <c r="M87" s="50">
        <f>M85*M86</f>
        <v/>
      </c>
      <c r="N87" s="50">
        <f>N85*N86</f>
        <v/>
      </c>
      <c r="O87" s="50">
        <f>O85*O86</f>
        <v/>
      </c>
      <c r="P87" s="50">
        <f>P85*P86</f>
        <v/>
      </c>
      <c r="Q87" s="50">
        <f>Q85*Q86</f>
        <v/>
      </c>
      <c r="R87" s="50">
        <f>R85*R86</f>
        <v/>
      </c>
      <c r="S87" s="50">
        <f>S85*S86</f>
        <v/>
      </c>
      <c r="T87" s="50">
        <f>T85*T86</f>
        <v/>
      </c>
      <c r="U87" s="50">
        <f>U85*U86</f>
        <v/>
      </c>
      <c r="V87" s="50">
        <f>V85*V86</f>
        <v/>
      </c>
      <c r="W87" s="50">
        <f>W85*W86</f>
        <v/>
      </c>
      <c r="X87" s="50">
        <f>X85*X86</f>
        <v/>
      </c>
      <c r="Y87" s="50">
        <f>Y85*Y86</f>
        <v/>
      </c>
      <c r="Z87" s="50">
        <f>Z85*Z86</f>
        <v/>
      </c>
      <c r="AA87" s="50">
        <f>AA85*AA86</f>
        <v/>
      </c>
      <c r="AB87" s="50">
        <f>AB85*AB86</f>
        <v/>
      </c>
      <c r="AC87" s="50">
        <f>AC85*AC86</f>
        <v/>
      </c>
      <c r="AD87" s="50">
        <f>AD85*AD86</f>
        <v/>
      </c>
      <c r="AE87" s="50">
        <f>AE85*AE86</f>
        <v/>
      </c>
      <c r="AF87" s="50">
        <f>AF85*AF86</f>
        <v/>
      </c>
      <c r="AG87" s="50">
        <f>AG85*AG86</f>
        <v/>
      </c>
      <c r="AH87" s="50">
        <f>AH85*AH86</f>
        <v/>
      </c>
      <c r="AI87" s="50">
        <f>AI85*AI86</f>
        <v/>
      </c>
      <c r="AJ87" s="50">
        <f>AJ85*AJ86</f>
        <v/>
      </c>
      <c r="AK87" s="50">
        <f>AK85*AK86</f>
        <v/>
      </c>
      <c r="AL87" s="50">
        <f>AL85*AL86</f>
        <v/>
      </c>
      <c r="AM87" s="50">
        <f>AM85*AM86</f>
        <v/>
      </c>
      <c r="AN87" s="50">
        <f>AN85*AN86</f>
        <v/>
      </c>
      <c r="AO87" s="50">
        <f>AO85*AO86</f>
        <v/>
      </c>
      <c r="AP87" s="50">
        <f>AP85*AP86</f>
        <v/>
      </c>
      <c r="AQ87" s="50">
        <f>AQ85*AQ86</f>
        <v/>
      </c>
      <c r="AR87" s="50">
        <f>AR85*AR86</f>
        <v/>
      </c>
      <c r="AS87" s="50">
        <f>AS85*AS86</f>
        <v/>
      </c>
      <c r="AT87" s="50">
        <f>AT85*AT86</f>
        <v/>
      </c>
      <c r="AU87" s="50">
        <f>AU85*AU86</f>
        <v/>
      </c>
      <c r="AV87" s="50">
        <f>AV85*AV86</f>
        <v/>
      </c>
      <c r="AW87" s="50">
        <f>AW85*AW86</f>
        <v/>
      </c>
      <c r="AX87" s="50">
        <f>AX85*AX86</f>
        <v/>
      </c>
      <c r="AY87" s="50">
        <f>AY85*AY86</f>
        <v/>
      </c>
      <c r="AZ87" s="50">
        <f>AZ85*AZ86</f>
        <v/>
      </c>
      <c r="BA87" s="50">
        <f>BA85*BA86</f>
        <v/>
      </c>
      <c r="BB87" s="50">
        <f>BB85*BB86</f>
        <v/>
      </c>
      <c r="BC87" s="50">
        <f>BC85*BC86</f>
        <v/>
      </c>
      <c r="BD87" s="50">
        <f>BD85*BD86</f>
        <v/>
      </c>
      <c r="BE87" s="50">
        <f>BE85*BE86</f>
        <v/>
      </c>
    </row>
    <row r="88">
      <c r="B88" s="7" t="inlineStr">
        <is>
          <t>Margin on extra admissions (results / parent trust)</t>
        </is>
      </c>
      <c r="C88" s="5" t="inlineStr">
        <is>
          <t>₹/yr</t>
        </is>
      </c>
      <c r="D88" s="50">
        <f>D21*D41*D29*D42</f>
        <v/>
      </c>
      <c r="E88" s="50">
        <f>E21*E41*E29*E42</f>
        <v/>
      </c>
      <c r="F88" s="50">
        <f>F21*F41*F29*F42</f>
        <v/>
      </c>
      <c r="G88" s="50">
        <f>G21*G41*G29*G42</f>
        <v/>
      </c>
      <c r="H88" s="50">
        <f>H21*H41*H29*H42</f>
        <v/>
      </c>
      <c r="I88" s="50">
        <f>I21*I41*I29*I42</f>
        <v/>
      </c>
      <c r="J88" s="50">
        <f>J21*J41*J29*J42</f>
        <v/>
      </c>
      <c r="K88" s="50">
        <f>K21*K41*K29*K42</f>
        <v/>
      </c>
      <c r="L88" s="50">
        <f>L21*L41*L29*L42</f>
        <v/>
      </c>
      <c r="M88" s="50">
        <f>M21*M41*M29*M42</f>
        <v/>
      </c>
      <c r="N88" s="50">
        <f>N21*N41*N29*N42</f>
        <v/>
      </c>
      <c r="O88" s="50">
        <f>O21*O41*O29*O42</f>
        <v/>
      </c>
      <c r="P88" s="50">
        <f>P21*P41*P29*P42</f>
        <v/>
      </c>
      <c r="Q88" s="50">
        <f>Q21*Q41*Q29*Q42</f>
        <v/>
      </c>
      <c r="R88" s="50">
        <f>R21*R41*R29*R42</f>
        <v/>
      </c>
      <c r="S88" s="50">
        <f>S21*S41*S29*S42</f>
        <v/>
      </c>
      <c r="T88" s="50">
        <f>T21*T41*T29*T42</f>
        <v/>
      </c>
      <c r="U88" s="50">
        <f>U21*U41*U29*U42</f>
        <v/>
      </c>
      <c r="V88" s="50">
        <f>V21*V41*V29*V42</f>
        <v/>
      </c>
      <c r="W88" s="50">
        <f>W21*W41*W29*W42</f>
        <v/>
      </c>
      <c r="X88" s="50">
        <f>X21*X41*X29*X42</f>
        <v/>
      </c>
      <c r="Y88" s="50">
        <f>Y21*Y41*Y29*Y42</f>
        <v/>
      </c>
      <c r="Z88" s="50">
        <f>Z21*Z41*Z29*Z42</f>
        <v/>
      </c>
      <c r="AA88" s="50">
        <f>AA21*AA41*AA29*AA42</f>
        <v/>
      </c>
      <c r="AB88" s="50">
        <f>AB21*AB41*AB29*AB42</f>
        <v/>
      </c>
      <c r="AC88" s="50">
        <f>AC21*AC41*AC29*AC42</f>
        <v/>
      </c>
      <c r="AD88" s="50">
        <f>AD21*AD41*AD29*AD42</f>
        <v/>
      </c>
      <c r="AE88" s="50">
        <f>AE21*AE41*AE29*AE42</f>
        <v/>
      </c>
      <c r="AF88" s="50">
        <f>AF21*AF41*AF29*AF42</f>
        <v/>
      </c>
      <c r="AG88" s="50">
        <f>AG21*AG41*AG29*AG42</f>
        <v/>
      </c>
      <c r="AH88" s="50">
        <f>AH21*AH41*AH29*AH42</f>
        <v/>
      </c>
      <c r="AI88" s="50">
        <f>AI21*AI41*AI29*AI42</f>
        <v/>
      </c>
      <c r="AJ88" s="50">
        <f>AJ21*AJ41*AJ29*AJ42</f>
        <v/>
      </c>
      <c r="AK88" s="50">
        <f>AK21*AK41*AK29*AK42</f>
        <v/>
      </c>
      <c r="AL88" s="50">
        <f>AL21*AL41*AL29*AL42</f>
        <v/>
      </c>
      <c r="AM88" s="50">
        <f>AM21*AM41*AM29*AM42</f>
        <v/>
      </c>
      <c r="AN88" s="50">
        <f>AN21*AN41*AN29*AN42</f>
        <v/>
      </c>
      <c r="AO88" s="50">
        <f>AO21*AO41*AO29*AO42</f>
        <v/>
      </c>
      <c r="AP88" s="50">
        <f>AP21*AP41*AP29*AP42</f>
        <v/>
      </c>
      <c r="AQ88" s="50">
        <f>AQ21*AQ41*AQ29*AQ42</f>
        <v/>
      </c>
      <c r="AR88" s="50">
        <f>AR21*AR41*AR29*AR42</f>
        <v/>
      </c>
      <c r="AS88" s="50">
        <f>AS21*AS41*AS29*AS42</f>
        <v/>
      </c>
      <c r="AT88" s="50">
        <f>AT21*AT41*AT29*AT42</f>
        <v/>
      </c>
      <c r="AU88" s="50">
        <f>AU21*AU41*AU29*AU42</f>
        <v/>
      </c>
      <c r="AV88" s="50">
        <f>AV21*AV41*AV29*AV42</f>
        <v/>
      </c>
      <c r="AW88" s="50">
        <f>AW21*AW41*AW29*AW42</f>
        <v/>
      </c>
      <c r="AX88" s="50">
        <f>AX21*AX41*AX29*AX42</f>
        <v/>
      </c>
      <c r="AY88" s="50">
        <f>AY21*AY41*AY29*AY42</f>
        <v/>
      </c>
      <c r="AZ88" s="50">
        <f>AZ21*AZ41*AZ29*AZ42</f>
        <v/>
      </c>
      <c r="BA88" s="50">
        <f>BA21*BA41*BA29*BA42</f>
        <v/>
      </c>
      <c r="BB88" s="50">
        <f>BB21*BB41*BB29*BB42</f>
        <v/>
      </c>
      <c r="BC88" s="50">
        <f>BC21*BC41*BC29*BC42</f>
        <v/>
      </c>
      <c r="BD88" s="50">
        <f>BD21*BD41*BD29*BD42</f>
        <v/>
      </c>
      <c r="BE88" s="50">
        <f>BE21*BE41*BE29*BE42</f>
        <v/>
      </c>
    </row>
    <row r="89">
      <c r="B89" s="7" t="inlineStr">
        <is>
          <t>Staff time saved</t>
        </is>
      </c>
      <c r="C89" s="5" t="inlineStr">
        <is>
          <t>₹/yr</t>
        </is>
      </c>
      <c r="D89" s="50">
        <f>D43*D44*12</f>
        <v/>
      </c>
      <c r="E89" s="50">
        <f>E43*E44*12</f>
        <v/>
      </c>
      <c r="F89" s="50">
        <f>F43*F44*12</f>
        <v/>
      </c>
      <c r="G89" s="50">
        <f>G43*G44*12</f>
        <v/>
      </c>
      <c r="H89" s="50">
        <f>H43*H44*12</f>
        <v/>
      </c>
      <c r="I89" s="50">
        <f>I43*I44*12</f>
        <v/>
      </c>
      <c r="J89" s="50">
        <f>J43*J44*12</f>
        <v/>
      </c>
      <c r="K89" s="50">
        <f>K43*K44*12</f>
        <v/>
      </c>
      <c r="L89" s="50">
        <f>L43*L44*12</f>
        <v/>
      </c>
      <c r="M89" s="50">
        <f>M43*M44*12</f>
        <v/>
      </c>
      <c r="N89" s="50">
        <f>N43*N44*12</f>
        <v/>
      </c>
      <c r="O89" s="50">
        <f>O43*O44*12</f>
        <v/>
      </c>
      <c r="P89" s="50">
        <f>P43*P44*12</f>
        <v/>
      </c>
      <c r="Q89" s="50">
        <f>Q43*Q44*12</f>
        <v/>
      </c>
      <c r="R89" s="50">
        <f>R43*R44*12</f>
        <v/>
      </c>
      <c r="S89" s="50">
        <f>S43*S44*12</f>
        <v/>
      </c>
      <c r="T89" s="50">
        <f>T43*T44*12</f>
        <v/>
      </c>
      <c r="U89" s="50">
        <f>U43*U44*12</f>
        <v/>
      </c>
      <c r="V89" s="50">
        <f>V43*V44*12</f>
        <v/>
      </c>
      <c r="W89" s="50">
        <f>W43*W44*12</f>
        <v/>
      </c>
      <c r="X89" s="50">
        <f>X43*X44*12</f>
        <v/>
      </c>
      <c r="Y89" s="50">
        <f>Y43*Y44*12</f>
        <v/>
      </c>
      <c r="Z89" s="50">
        <f>Z43*Z44*12</f>
        <v/>
      </c>
      <c r="AA89" s="50">
        <f>AA43*AA44*12</f>
        <v/>
      </c>
      <c r="AB89" s="50">
        <f>AB43*AB44*12</f>
        <v/>
      </c>
      <c r="AC89" s="50">
        <f>AC43*AC44*12</f>
        <v/>
      </c>
      <c r="AD89" s="50">
        <f>AD43*AD44*12</f>
        <v/>
      </c>
      <c r="AE89" s="50">
        <f>AE43*AE44*12</f>
        <v/>
      </c>
      <c r="AF89" s="50">
        <f>AF43*AF44*12</f>
        <v/>
      </c>
      <c r="AG89" s="50">
        <f>AG43*AG44*12</f>
        <v/>
      </c>
      <c r="AH89" s="50">
        <f>AH43*AH44*12</f>
        <v/>
      </c>
      <c r="AI89" s="50">
        <f>AI43*AI44*12</f>
        <v/>
      </c>
      <c r="AJ89" s="50">
        <f>AJ43*AJ44*12</f>
        <v/>
      </c>
      <c r="AK89" s="50">
        <f>AK43*AK44*12</f>
        <v/>
      </c>
      <c r="AL89" s="50">
        <f>AL43*AL44*12</f>
        <v/>
      </c>
      <c r="AM89" s="50">
        <f>AM43*AM44*12</f>
        <v/>
      </c>
      <c r="AN89" s="50">
        <f>AN43*AN44*12</f>
        <v/>
      </c>
      <c r="AO89" s="50">
        <f>AO43*AO44*12</f>
        <v/>
      </c>
      <c r="AP89" s="50">
        <f>AP43*AP44*12</f>
        <v/>
      </c>
      <c r="AQ89" s="50">
        <f>AQ43*AQ44*12</f>
        <v/>
      </c>
      <c r="AR89" s="50">
        <f>AR43*AR44*12</f>
        <v/>
      </c>
      <c r="AS89" s="50">
        <f>AS43*AS44*12</f>
        <v/>
      </c>
      <c r="AT89" s="50">
        <f>AT43*AT44*12</f>
        <v/>
      </c>
      <c r="AU89" s="50">
        <f>AU43*AU44*12</f>
        <v/>
      </c>
      <c r="AV89" s="50">
        <f>AV43*AV44*12</f>
        <v/>
      </c>
      <c r="AW89" s="50">
        <f>AW43*AW44*12</f>
        <v/>
      </c>
      <c r="AX89" s="50">
        <f>AX43*AX44*12</f>
        <v/>
      </c>
      <c r="AY89" s="50">
        <f>AY43*AY44*12</f>
        <v/>
      </c>
      <c r="AZ89" s="50">
        <f>AZ43*AZ44*12</f>
        <v/>
      </c>
      <c r="BA89" s="50">
        <f>BA43*BA44*12</f>
        <v/>
      </c>
      <c r="BB89" s="50">
        <f>BB43*BB44*12</f>
        <v/>
      </c>
      <c r="BC89" s="50">
        <f>BC43*BC44*12</f>
        <v/>
      </c>
      <c r="BD89" s="50">
        <f>BD43*BD44*12</f>
        <v/>
      </c>
      <c r="BE89" s="50">
        <f>BE43*BE44*12</f>
        <v/>
      </c>
    </row>
    <row r="90">
      <c r="B90" s="7" t="inlineStr">
        <is>
          <t>Total value</t>
        </is>
      </c>
      <c r="C90" s="5" t="inlineStr">
        <is>
          <t>₹/yr</t>
        </is>
      </c>
      <c r="D90" s="52">
        <f>D87+D88+D89</f>
        <v/>
      </c>
      <c r="E90" s="52">
        <f>E87+E88+E89</f>
        <v/>
      </c>
      <c r="F90" s="52">
        <f>F87+F88+F89</f>
        <v/>
      </c>
      <c r="G90" s="52">
        <f>G87+G88+G89</f>
        <v/>
      </c>
      <c r="H90" s="52">
        <f>H87+H88+H89</f>
        <v/>
      </c>
      <c r="I90" s="52">
        <f>I87+I88+I89</f>
        <v/>
      </c>
      <c r="J90" s="52">
        <f>J87+J88+J89</f>
        <v/>
      </c>
      <c r="K90" s="52">
        <f>K87+K88+K89</f>
        <v/>
      </c>
      <c r="L90" s="52">
        <f>L87+L88+L89</f>
        <v/>
      </c>
      <c r="M90" s="52">
        <f>M87+M88+M89</f>
        <v/>
      </c>
      <c r="N90" s="52">
        <f>N87+N88+N89</f>
        <v/>
      </c>
      <c r="O90" s="52">
        <f>O87+O88+O89</f>
        <v/>
      </c>
      <c r="P90" s="52">
        <f>P87+P88+P89</f>
        <v/>
      </c>
      <c r="Q90" s="52">
        <f>Q87+Q88+Q89</f>
        <v/>
      </c>
      <c r="R90" s="52">
        <f>R87+R88+R89</f>
        <v/>
      </c>
      <c r="S90" s="52">
        <f>S87+S88+S89</f>
        <v/>
      </c>
      <c r="T90" s="52">
        <f>T87+T88+T89</f>
        <v/>
      </c>
      <c r="U90" s="52">
        <f>U87+U88+U89</f>
        <v/>
      </c>
      <c r="V90" s="52">
        <f>V87+V88+V89</f>
        <v/>
      </c>
      <c r="W90" s="52">
        <f>W87+W88+W89</f>
        <v/>
      </c>
      <c r="X90" s="52">
        <f>X87+X88+X89</f>
        <v/>
      </c>
      <c r="Y90" s="52">
        <f>Y87+Y88+Y89</f>
        <v/>
      </c>
      <c r="Z90" s="52">
        <f>Z87+Z88+Z89</f>
        <v/>
      </c>
      <c r="AA90" s="52">
        <f>AA87+AA88+AA89</f>
        <v/>
      </c>
      <c r="AB90" s="52">
        <f>AB87+AB88+AB89</f>
        <v/>
      </c>
      <c r="AC90" s="52">
        <f>AC87+AC88+AC89</f>
        <v/>
      </c>
      <c r="AD90" s="52">
        <f>AD87+AD88+AD89</f>
        <v/>
      </c>
      <c r="AE90" s="52">
        <f>AE87+AE88+AE89</f>
        <v/>
      </c>
      <c r="AF90" s="52">
        <f>AF87+AF88+AF89</f>
        <v/>
      </c>
      <c r="AG90" s="52">
        <f>AG87+AG88+AG89</f>
        <v/>
      </c>
      <c r="AH90" s="52">
        <f>AH87+AH88+AH89</f>
        <v/>
      </c>
      <c r="AI90" s="52">
        <f>AI87+AI88+AI89</f>
        <v/>
      </c>
      <c r="AJ90" s="52">
        <f>AJ87+AJ88+AJ89</f>
        <v/>
      </c>
      <c r="AK90" s="52">
        <f>AK87+AK88+AK89</f>
        <v/>
      </c>
      <c r="AL90" s="52">
        <f>AL87+AL88+AL89</f>
        <v/>
      </c>
      <c r="AM90" s="52">
        <f>AM87+AM88+AM89</f>
        <v/>
      </c>
      <c r="AN90" s="52">
        <f>AN87+AN88+AN89</f>
        <v/>
      </c>
      <c r="AO90" s="52">
        <f>AO87+AO88+AO89</f>
        <v/>
      </c>
      <c r="AP90" s="52">
        <f>AP87+AP88+AP89</f>
        <v/>
      </c>
      <c r="AQ90" s="52">
        <f>AQ87+AQ88+AQ89</f>
        <v/>
      </c>
      <c r="AR90" s="52">
        <f>AR87+AR88+AR89</f>
        <v/>
      </c>
      <c r="AS90" s="52">
        <f>AS87+AS88+AS89</f>
        <v/>
      </c>
      <c r="AT90" s="52">
        <f>AT87+AT88+AT89</f>
        <v/>
      </c>
      <c r="AU90" s="52">
        <f>AU87+AU88+AU89</f>
        <v/>
      </c>
      <c r="AV90" s="52">
        <f>AV87+AV88+AV89</f>
        <v/>
      </c>
      <c r="AW90" s="52">
        <f>AW87+AW88+AW89</f>
        <v/>
      </c>
      <c r="AX90" s="52">
        <f>AX87+AX88+AX89</f>
        <v/>
      </c>
      <c r="AY90" s="52">
        <f>AY87+AY88+AY89</f>
        <v/>
      </c>
      <c r="AZ90" s="52">
        <f>AZ87+AZ88+AZ89</f>
        <v/>
      </c>
      <c r="BA90" s="52">
        <f>BA87+BA88+BA89</f>
        <v/>
      </c>
      <c r="BB90" s="52">
        <f>BB87+BB88+BB89</f>
        <v/>
      </c>
      <c r="BC90" s="52">
        <f>BC87+BC88+BC89</f>
        <v/>
      </c>
      <c r="BD90" s="52">
        <f>BD87+BD88+BD89</f>
        <v/>
      </c>
      <c r="BE90" s="52">
        <f>BE87+BE88+BE89</f>
        <v/>
      </c>
    </row>
    <row r="91">
      <c r="B91" s="7" t="inlineStr">
        <is>
          <t>Platform fee (seasonal active students, min fee, discounts; ex-GST)</t>
        </is>
      </c>
      <c r="C91" s="5" t="inlineStr">
        <is>
          <t>₹/yr</t>
        </is>
      </c>
      <c r="D91" s="50">
        <f>SUMPRODUCT((D21*Season_Idx*D22&gt;D23)*(D21*Season_Idx*D22)+(D21*Season_Idx*D22&lt;=D23)*D23)*(1-D75)</f>
        <v/>
      </c>
      <c r="E91" s="50">
        <f>SUMPRODUCT((E21*Season_Idx*E22&gt;E23)*(E21*Season_Idx*E22)+(E21*Season_Idx*E22&lt;=E23)*E23)*(1-E75)</f>
        <v/>
      </c>
      <c r="F91" s="50">
        <f>SUMPRODUCT((F21*Season_Idx*F22&gt;F23)*(F21*Season_Idx*F22)+(F21*Season_Idx*F22&lt;=F23)*F23)*(1-F75)</f>
        <v/>
      </c>
      <c r="G91" s="50">
        <f>SUMPRODUCT((G21*Season_Idx*G22&gt;G23)*(G21*Season_Idx*G22)+(G21*Season_Idx*G22&lt;=G23)*G23)*(1-G75)</f>
        <v/>
      </c>
      <c r="H91" s="50">
        <f>SUMPRODUCT((H21*Season_Idx*H22&gt;H23)*(H21*Season_Idx*H22)+(H21*Season_Idx*H22&lt;=H23)*H23)*(1-H75)</f>
        <v/>
      </c>
      <c r="I91" s="50">
        <f>SUMPRODUCT((I21*Season_Idx*I22&gt;I23)*(I21*Season_Idx*I22)+(I21*Season_Idx*I22&lt;=I23)*I23)*(1-I75)</f>
        <v/>
      </c>
      <c r="J91" s="50">
        <f>SUMPRODUCT((J21*Season_Idx*J22&gt;J23)*(J21*Season_Idx*J22)+(J21*Season_Idx*J22&lt;=J23)*J23)*(1-J75)</f>
        <v/>
      </c>
      <c r="K91" s="50">
        <f>SUMPRODUCT((K21*Season_Idx*K22&gt;K23)*(K21*Season_Idx*K22)+(K21*Season_Idx*K22&lt;=K23)*K23)*(1-K75)</f>
        <v/>
      </c>
      <c r="L91" s="50">
        <f>SUMPRODUCT((L21*Season_Idx*L22&gt;L23)*(L21*Season_Idx*L22)+(L21*Season_Idx*L22&lt;=L23)*L23)*(1-L75)</f>
        <v/>
      </c>
      <c r="M91" s="50">
        <f>SUMPRODUCT((M21*Season_Idx*M22&gt;M23)*(M21*Season_Idx*M22)+(M21*Season_Idx*M22&lt;=M23)*M23)*(1-M75)</f>
        <v/>
      </c>
      <c r="N91" s="50">
        <f>SUMPRODUCT((N21*Season_Idx*N22&gt;N23)*(N21*Season_Idx*N22)+(N21*Season_Idx*N22&lt;=N23)*N23)*(1-N75)</f>
        <v/>
      </c>
      <c r="O91" s="50">
        <f>SUMPRODUCT((O21*Season_Idx*O22&gt;O23)*(O21*Season_Idx*O22)+(O21*Season_Idx*O22&lt;=O23)*O23)*(1-O75)</f>
        <v/>
      </c>
      <c r="P91" s="50">
        <f>SUMPRODUCT((P21*Season_Idx*P22&gt;P23)*(P21*Season_Idx*P22)+(P21*Season_Idx*P22&lt;=P23)*P23)*(1-P75)</f>
        <v/>
      </c>
      <c r="Q91" s="50">
        <f>SUMPRODUCT((Q21*Season_Idx*Q22&gt;Q23)*(Q21*Season_Idx*Q22)+(Q21*Season_Idx*Q22&lt;=Q23)*Q23)*(1-Q75)</f>
        <v/>
      </c>
      <c r="R91" s="50">
        <f>SUMPRODUCT((R21*Season_Idx*R22&gt;R23)*(R21*Season_Idx*R22)+(R21*Season_Idx*R22&lt;=R23)*R23)*(1-R75)</f>
        <v/>
      </c>
      <c r="S91" s="50">
        <f>SUMPRODUCT((S21*Season_Idx*S22&gt;S23)*(S21*Season_Idx*S22)+(S21*Season_Idx*S22&lt;=S23)*S23)*(1-S75)</f>
        <v/>
      </c>
      <c r="T91" s="50">
        <f>SUMPRODUCT((T21*Season_Idx*T22&gt;T23)*(T21*Season_Idx*T22)+(T21*Season_Idx*T22&lt;=T23)*T23)*(1-T75)</f>
        <v/>
      </c>
      <c r="U91" s="50">
        <f>SUMPRODUCT((U21*Season_Idx*U22&gt;U23)*(U21*Season_Idx*U22)+(U21*Season_Idx*U22&lt;=U23)*U23)*(1-U75)</f>
        <v/>
      </c>
      <c r="V91" s="50">
        <f>SUMPRODUCT((V21*Season_Idx*V22&gt;V23)*(V21*Season_Idx*V22)+(V21*Season_Idx*V22&lt;=V23)*V23)*(1-V75)</f>
        <v/>
      </c>
      <c r="W91" s="50">
        <f>SUMPRODUCT((W21*Season_Idx*W22&gt;W23)*(W21*Season_Idx*W22)+(W21*Season_Idx*W22&lt;=W23)*W23)*(1-W75)</f>
        <v/>
      </c>
      <c r="X91" s="50">
        <f>SUMPRODUCT((X21*Season_Idx*X22&gt;X23)*(X21*Season_Idx*X22)+(X21*Season_Idx*X22&lt;=X23)*X23)*(1-X75)</f>
        <v/>
      </c>
      <c r="Y91" s="50">
        <f>SUMPRODUCT((Y21*Season_Idx*Y22&gt;Y23)*(Y21*Season_Idx*Y22)+(Y21*Season_Idx*Y22&lt;=Y23)*Y23)*(1-Y75)</f>
        <v/>
      </c>
      <c r="Z91" s="50">
        <f>SUMPRODUCT((Z21*Season_Idx*Z22&gt;Z23)*(Z21*Season_Idx*Z22)+(Z21*Season_Idx*Z22&lt;=Z23)*Z23)*(1-Z75)</f>
        <v/>
      </c>
      <c r="AA91" s="50">
        <f>SUMPRODUCT((AA21*Season_Idx*AA22&gt;AA23)*(AA21*Season_Idx*AA22)+(AA21*Season_Idx*AA22&lt;=AA23)*AA23)*(1-AA75)</f>
        <v/>
      </c>
      <c r="AB91" s="50">
        <f>SUMPRODUCT((AB21*Season_Idx*AB22&gt;AB23)*(AB21*Season_Idx*AB22)+(AB21*Season_Idx*AB22&lt;=AB23)*AB23)*(1-AB75)</f>
        <v/>
      </c>
      <c r="AC91" s="50">
        <f>SUMPRODUCT((AC21*Season_Idx*AC22&gt;AC23)*(AC21*Season_Idx*AC22)+(AC21*Season_Idx*AC22&lt;=AC23)*AC23)*(1-AC75)</f>
        <v/>
      </c>
      <c r="AD91" s="50">
        <f>SUMPRODUCT((AD21*Season_Idx*AD22&gt;AD23)*(AD21*Season_Idx*AD22)+(AD21*Season_Idx*AD22&lt;=AD23)*AD23)*(1-AD75)</f>
        <v/>
      </c>
      <c r="AE91" s="50">
        <f>SUMPRODUCT((AE21*Season_Idx*AE22&gt;AE23)*(AE21*Season_Idx*AE22)+(AE21*Season_Idx*AE22&lt;=AE23)*AE23)*(1-AE75)</f>
        <v/>
      </c>
      <c r="AF91" s="50">
        <f>SUMPRODUCT((AF21*Season_Idx*AF22&gt;AF23)*(AF21*Season_Idx*AF22)+(AF21*Season_Idx*AF22&lt;=AF23)*AF23)*(1-AF75)</f>
        <v/>
      </c>
      <c r="AG91" s="50">
        <f>SUMPRODUCT((AG21*Season_Idx*AG22&gt;AG23)*(AG21*Season_Idx*AG22)+(AG21*Season_Idx*AG22&lt;=AG23)*AG23)*(1-AG75)</f>
        <v/>
      </c>
      <c r="AH91" s="50">
        <f>SUMPRODUCT((AH21*Season_Idx*AH22&gt;AH23)*(AH21*Season_Idx*AH22)+(AH21*Season_Idx*AH22&lt;=AH23)*AH23)*(1-AH75)</f>
        <v/>
      </c>
      <c r="AI91" s="50">
        <f>SUMPRODUCT((AI21*Season_Idx*AI22&gt;AI23)*(AI21*Season_Idx*AI22)+(AI21*Season_Idx*AI22&lt;=AI23)*AI23)*(1-AI75)</f>
        <v/>
      </c>
      <c r="AJ91" s="50">
        <f>SUMPRODUCT((AJ21*Season_Idx*AJ22&gt;AJ23)*(AJ21*Season_Idx*AJ22)+(AJ21*Season_Idx*AJ22&lt;=AJ23)*AJ23)*(1-AJ75)</f>
        <v/>
      </c>
      <c r="AK91" s="50">
        <f>SUMPRODUCT((AK21*Season_Idx*AK22&gt;AK23)*(AK21*Season_Idx*AK22)+(AK21*Season_Idx*AK22&lt;=AK23)*AK23)*(1-AK75)</f>
        <v/>
      </c>
      <c r="AL91" s="50">
        <f>SUMPRODUCT((AL21*Season_Idx*AL22&gt;AL23)*(AL21*Season_Idx*AL22)+(AL21*Season_Idx*AL22&lt;=AL23)*AL23)*(1-AL75)</f>
        <v/>
      </c>
      <c r="AM91" s="50">
        <f>SUMPRODUCT((AM21*Season_Idx*AM22&gt;AM23)*(AM21*Season_Idx*AM22)+(AM21*Season_Idx*AM22&lt;=AM23)*AM23)*(1-AM75)</f>
        <v/>
      </c>
      <c r="AN91" s="50">
        <f>SUMPRODUCT((AN21*Season_Idx*AN22&gt;AN23)*(AN21*Season_Idx*AN22)+(AN21*Season_Idx*AN22&lt;=AN23)*AN23)*(1-AN75)</f>
        <v/>
      </c>
      <c r="AO91" s="50">
        <f>SUMPRODUCT((AO21*Season_Idx*AO22&gt;AO23)*(AO21*Season_Idx*AO22)+(AO21*Season_Idx*AO22&lt;=AO23)*AO23)*(1-AO75)</f>
        <v/>
      </c>
      <c r="AP91" s="50">
        <f>SUMPRODUCT((AP21*Season_Idx*AP22&gt;AP23)*(AP21*Season_Idx*AP22)+(AP21*Season_Idx*AP22&lt;=AP23)*AP23)*(1-AP75)</f>
        <v/>
      </c>
      <c r="AQ91" s="50">
        <f>SUMPRODUCT((AQ21*Season_Idx*AQ22&gt;AQ23)*(AQ21*Season_Idx*AQ22)+(AQ21*Season_Idx*AQ22&lt;=AQ23)*AQ23)*(1-AQ75)</f>
        <v/>
      </c>
      <c r="AR91" s="50">
        <f>SUMPRODUCT((AR21*Season_Idx*AR22&gt;AR23)*(AR21*Season_Idx*AR22)+(AR21*Season_Idx*AR22&lt;=AR23)*AR23)*(1-AR75)</f>
        <v/>
      </c>
      <c r="AS91" s="50">
        <f>SUMPRODUCT((AS21*Season_Idx*AS22&gt;AS23)*(AS21*Season_Idx*AS22)+(AS21*Season_Idx*AS22&lt;=AS23)*AS23)*(1-AS75)</f>
        <v/>
      </c>
      <c r="AT91" s="50">
        <f>SUMPRODUCT((AT21*Season_Idx*AT22&gt;AT23)*(AT21*Season_Idx*AT22)+(AT21*Season_Idx*AT22&lt;=AT23)*AT23)*(1-AT75)</f>
        <v/>
      </c>
      <c r="AU91" s="50">
        <f>SUMPRODUCT((AU21*Season_Idx*AU22&gt;AU23)*(AU21*Season_Idx*AU22)+(AU21*Season_Idx*AU22&lt;=AU23)*AU23)*(1-AU75)</f>
        <v/>
      </c>
      <c r="AV91" s="50">
        <f>SUMPRODUCT((AV21*Season_Idx*AV22&gt;AV23)*(AV21*Season_Idx*AV22)+(AV21*Season_Idx*AV22&lt;=AV23)*AV23)*(1-AV75)</f>
        <v/>
      </c>
      <c r="AW91" s="50">
        <f>SUMPRODUCT((AW21*Season_Idx*AW22&gt;AW23)*(AW21*Season_Idx*AW22)+(AW21*Season_Idx*AW22&lt;=AW23)*AW23)*(1-AW75)</f>
        <v/>
      </c>
      <c r="AX91" s="50">
        <f>SUMPRODUCT((AX21*Season_Idx*AX22&gt;AX23)*(AX21*Season_Idx*AX22)+(AX21*Season_Idx*AX22&lt;=AX23)*AX23)*(1-AX75)</f>
        <v/>
      </c>
      <c r="AY91" s="50">
        <f>SUMPRODUCT((AY21*Season_Idx*AY22&gt;AY23)*(AY21*Season_Idx*AY22)+(AY21*Season_Idx*AY22&lt;=AY23)*AY23)*(1-AY75)</f>
        <v/>
      </c>
      <c r="AZ91" s="50">
        <f>SUMPRODUCT((AZ21*Season_Idx*AZ22&gt;AZ23)*(AZ21*Season_Idx*AZ22)+(AZ21*Season_Idx*AZ22&lt;=AZ23)*AZ23)*(1-AZ75)</f>
        <v/>
      </c>
      <c r="BA91" s="50">
        <f>SUMPRODUCT((BA21*Season_Idx*BA22&gt;BA23)*(BA21*Season_Idx*BA22)+(BA21*Season_Idx*BA22&lt;=BA23)*BA23)*(1-BA75)</f>
        <v/>
      </c>
      <c r="BB91" s="50">
        <f>SUMPRODUCT((BB21*Season_Idx*BB22&gt;BB23)*(BB21*Season_Idx*BB22)+(BB21*Season_Idx*BB22&lt;=BB23)*BB23)*(1-BB75)</f>
        <v/>
      </c>
      <c r="BC91" s="50">
        <f>SUMPRODUCT((BC21*Season_Idx*BC22&gt;BC23)*(BC21*Season_Idx*BC22)+(BC21*Season_Idx*BC22&lt;=BC23)*BC23)*(1-BC75)</f>
        <v/>
      </c>
      <c r="BD91" s="50">
        <f>SUMPRODUCT((BD21*Season_Idx*BD22&gt;BD23)*(BD21*Season_Idx*BD22)+(BD21*Season_Idx*BD22&lt;=BD23)*BD23)*(1-BD75)</f>
        <v/>
      </c>
      <c r="BE91" s="50">
        <f>SUMPRODUCT((BE21*Season_Idx*BE22&gt;BE23)*(BE21*Season_Idx*BE22)+(BE21*Season_Idx*BE22&lt;=BE23)*BE23)*(1-BE75)</f>
        <v/>
      </c>
    </row>
    <row r="92">
      <c r="B92" s="7" t="inlineStr">
        <is>
          <t>GST the institute cannot reclaim</t>
        </is>
      </c>
      <c r="C92" s="5" t="inlineStr">
        <is>
          <t>₹/yr</t>
        </is>
      </c>
      <c r="D92" s="50">
        <f>D91*D27*(1-D47)</f>
        <v/>
      </c>
      <c r="E92" s="50">
        <f>E91*E27*(1-E47)</f>
        <v/>
      </c>
      <c r="F92" s="50">
        <f>F91*F27*(1-F47)</f>
        <v/>
      </c>
      <c r="G92" s="50">
        <f>G91*G27*(1-G47)</f>
        <v/>
      </c>
      <c r="H92" s="50">
        <f>H91*H27*(1-H47)</f>
        <v/>
      </c>
      <c r="I92" s="50">
        <f>I91*I27*(1-I47)</f>
        <v/>
      </c>
      <c r="J92" s="50">
        <f>J91*J27*(1-J47)</f>
        <v/>
      </c>
      <c r="K92" s="50">
        <f>K91*K27*(1-K47)</f>
        <v/>
      </c>
      <c r="L92" s="50">
        <f>L91*L27*(1-L47)</f>
        <v/>
      </c>
      <c r="M92" s="50">
        <f>M91*M27*(1-M47)</f>
        <v/>
      </c>
      <c r="N92" s="50">
        <f>N91*N27*(1-N47)</f>
        <v/>
      </c>
      <c r="O92" s="50">
        <f>O91*O27*(1-O47)</f>
        <v/>
      </c>
      <c r="P92" s="50">
        <f>P91*P27*(1-P47)</f>
        <v/>
      </c>
      <c r="Q92" s="50">
        <f>Q91*Q27*(1-Q47)</f>
        <v/>
      </c>
      <c r="R92" s="50">
        <f>R91*R27*(1-R47)</f>
        <v/>
      </c>
      <c r="S92" s="50">
        <f>S91*S27*(1-S47)</f>
        <v/>
      </c>
      <c r="T92" s="50">
        <f>T91*T27*(1-T47)</f>
        <v/>
      </c>
      <c r="U92" s="50">
        <f>U91*U27*(1-U47)</f>
        <v/>
      </c>
      <c r="V92" s="50">
        <f>V91*V27*(1-V47)</f>
        <v/>
      </c>
      <c r="W92" s="50">
        <f>W91*W27*(1-W47)</f>
        <v/>
      </c>
      <c r="X92" s="50">
        <f>X91*X27*(1-X47)</f>
        <v/>
      </c>
      <c r="Y92" s="50">
        <f>Y91*Y27*(1-Y47)</f>
        <v/>
      </c>
      <c r="Z92" s="50">
        <f>Z91*Z27*(1-Z47)</f>
        <v/>
      </c>
      <c r="AA92" s="50">
        <f>AA91*AA27*(1-AA47)</f>
        <v/>
      </c>
      <c r="AB92" s="50">
        <f>AB91*AB27*(1-AB47)</f>
        <v/>
      </c>
      <c r="AC92" s="50">
        <f>AC91*AC27*(1-AC47)</f>
        <v/>
      </c>
      <c r="AD92" s="50">
        <f>AD91*AD27*(1-AD47)</f>
        <v/>
      </c>
      <c r="AE92" s="50">
        <f>AE91*AE27*(1-AE47)</f>
        <v/>
      </c>
      <c r="AF92" s="50">
        <f>AF91*AF27*(1-AF47)</f>
        <v/>
      </c>
      <c r="AG92" s="50">
        <f>AG91*AG27*(1-AG47)</f>
        <v/>
      </c>
      <c r="AH92" s="50">
        <f>AH91*AH27*(1-AH47)</f>
        <v/>
      </c>
      <c r="AI92" s="50">
        <f>AI91*AI27*(1-AI47)</f>
        <v/>
      </c>
      <c r="AJ92" s="50">
        <f>AJ91*AJ27*(1-AJ47)</f>
        <v/>
      </c>
      <c r="AK92" s="50">
        <f>AK91*AK27*(1-AK47)</f>
        <v/>
      </c>
      <c r="AL92" s="50">
        <f>AL91*AL27*(1-AL47)</f>
        <v/>
      </c>
      <c r="AM92" s="50">
        <f>AM91*AM27*(1-AM47)</f>
        <v/>
      </c>
      <c r="AN92" s="50">
        <f>AN91*AN27*(1-AN47)</f>
        <v/>
      </c>
      <c r="AO92" s="50">
        <f>AO91*AO27*(1-AO47)</f>
        <v/>
      </c>
      <c r="AP92" s="50">
        <f>AP91*AP27*(1-AP47)</f>
        <v/>
      </c>
      <c r="AQ92" s="50">
        <f>AQ91*AQ27*(1-AQ47)</f>
        <v/>
      </c>
      <c r="AR92" s="50">
        <f>AR91*AR27*(1-AR47)</f>
        <v/>
      </c>
      <c r="AS92" s="50">
        <f>AS91*AS27*(1-AS47)</f>
        <v/>
      </c>
      <c r="AT92" s="50">
        <f>AT91*AT27*(1-AT47)</f>
        <v/>
      </c>
      <c r="AU92" s="50">
        <f>AU91*AU27*(1-AU47)</f>
        <v/>
      </c>
      <c r="AV92" s="50">
        <f>AV91*AV27*(1-AV47)</f>
        <v/>
      </c>
      <c r="AW92" s="50">
        <f>AW91*AW27*(1-AW47)</f>
        <v/>
      </c>
      <c r="AX92" s="50">
        <f>AX91*AX27*(1-AX47)</f>
        <v/>
      </c>
      <c r="AY92" s="50">
        <f>AY91*AY27*(1-AY47)</f>
        <v/>
      </c>
      <c r="AZ92" s="50">
        <f>AZ91*AZ27*(1-AZ47)</f>
        <v/>
      </c>
      <c r="BA92" s="50">
        <f>BA91*BA27*(1-BA47)</f>
        <v/>
      </c>
      <c r="BB92" s="50">
        <f>BB91*BB27*(1-BB47)</f>
        <v/>
      </c>
      <c r="BC92" s="50">
        <f>BC91*BC27*(1-BC47)</f>
        <v/>
      </c>
      <c r="BD92" s="50">
        <f>BD91*BD27*(1-BD47)</f>
        <v/>
      </c>
      <c r="BE92" s="50">
        <f>BE91*BE27*(1-BE47)</f>
        <v/>
      </c>
    </row>
    <row r="93">
      <c r="B93" s="7" t="inlineStr">
        <is>
          <t>Students flagged per year (true + false alarms)</t>
        </is>
      </c>
      <c r="C93" s="5" t="inlineStr">
        <is>
          <t>students/yr</t>
        </is>
      </c>
      <c r="D93" s="53">
        <f>IF(D38&gt;0,D79*D82/D38,0)</f>
        <v/>
      </c>
      <c r="E93" s="53">
        <f>IF(E38&gt;0,E79*E82/E38,0)</f>
        <v/>
      </c>
      <c r="F93" s="53">
        <f>IF(F38&gt;0,F79*F82/F38,0)</f>
        <v/>
      </c>
      <c r="G93" s="53">
        <f>IF(G38&gt;0,G79*G82/G38,0)</f>
        <v/>
      </c>
      <c r="H93" s="53">
        <f>IF(H38&gt;0,H79*H82/H38,0)</f>
        <v/>
      </c>
      <c r="I93" s="53">
        <f>IF(I38&gt;0,I79*I82/I38,0)</f>
        <v/>
      </c>
      <c r="J93" s="53">
        <f>IF(J38&gt;0,J79*J82/J38,0)</f>
        <v/>
      </c>
      <c r="K93" s="53">
        <f>IF(K38&gt;0,K79*K82/K38,0)</f>
        <v/>
      </c>
      <c r="L93" s="53">
        <f>IF(L38&gt;0,L79*L82/L38,0)</f>
        <v/>
      </c>
      <c r="M93" s="53">
        <f>IF(M38&gt;0,M79*M82/M38,0)</f>
        <v/>
      </c>
      <c r="N93" s="53">
        <f>IF(N38&gt;0,N79*N82/N38,0)</f>
        <v/>
      </c>
      <c r="O93" s="53">
        <f>IF(O38&gt;0,O79*O82/O38,0)</f>
        <v/>
      </c>
      <c r="P93" s="53">
        <f>IF(P38&gt;0,P79*P82/P38,0)</f>
        <v/>
      </c>
      <c r="Q93" s="53">
        <f>IF(Q38&gt;0,Q79*Q82/Q38,0)</f>
        <v/>
      </c>
      <c r="R93" s="53">
        <f>IF(R38&gt;0,R79*R82/R38,0)</f>
        <v/>
      </c>
      <c r="S93" s="53">
        <f>IF(S38&gt;0,S79*S82/S38,0)</f>
        <v/>
      </c>
      <c r="T93" s="53">
        <f>IF(T38&gt;0,T79*T82/T38,0)</f>
        <v/>
      </c>
      <c r="U93" s="53">
        <f>IF(U38&gt;0,U79*U82/U38,0)</f>
        <v/>
      </c>
      <c r="V93" s="53">
        <f>IF(V38&gt;0,V79*V82/V38,0)</f>
        <v/>
      </c>
      <c r="W93" s="53">
        <f>IF(W38&gt;0,W79*W82/W38,0)</f>
        <v/>
      </c>
      <c r="X93" s="53">
        <f>IF(X38&gt;0,X79*X82/X38,0)</f>
        <v/>
      </c>
      <c r="Y93" s="53">
        <f>IF(Y38&gt;0,Y79*Y82/Y38,0)</f>
        <v/>
      </c>
      <c r="Z93" s="53">
        <f>IF(Z38&gt;0,Z79*Z82/Z38,0)</f>
        <v/>
      </c>
      <c r="AA93" s="53">
        <f>IF(AA38&gt;0,AA79*AA82/AA38,0)</f>
        <v/>
      </c>
      <c r="AB93" s="53">
        <f>IF(AB38&gt;0,AB79*AB82/AB38,0)</f>
        <v/>
      </c>
      <c r="AC93" s="53">
        <f>IF(AC38&gt;0,AC79*AC82/AC38,0)</f>
        <v/>
      </c>
      <c r="AD93" s="53">
        <f>IF(AD38&gt;0,AD79*AD82/AD38,0)</f>
        <v/>
      </c>
      <c r="AE93" s="53">
        <f>IF(AE38&gt;0,AE79*AE82/AE38,0)</f>
        <v/>
      </c>
      <c r="AF93" s="53">
        <f>IF(AF38&gt;0,AF79*AF82/AF38,0)</f>
        <v/>
      </c>
      <c r="AG93" s="53">
        <f>IF(AG38&gt;0,AG79*AG82/AG38,0)</f>
        <v/>
      </c>
      <c r="AH93" s="53">
        <f>IF(AH38&gt;0,AH79*AH82/AH38,0)</f>
        <v/>
      </c>
      <c r="AI93" s="53">
        <f>IF(AI38&gt;0,AI79*AI82/AI38,0)</f>
        <v/>
      </c>
      <c r="AJ93" s="53">
        <f>IF(AJ38&gt;0,AJ79*AJ82/AJ38,0)</f>
        <v/>
      </c>
      <c r="AK93" s="53">
        <f>IF(AK38&gt;0,AK79*AK82/AK38,0)</f>
        <v/>
      </c>
      <c r="AL93" s="53">
        <f>IF(AL38&gt;0,AL79*AL82/AL38,0)</f>
        <v/>
      </c>
      <c r="AM93" s="53">
        <f>IF(AM38&gt;0,AM79*AM82/AM38,0)</f>
        <v/>
      </c>
      <c r="AN93" s="53">
        <f>IF(AN38&gt;0,AN79*AN82/AN38,0)</f>
        <v/>
      </c>
      <c r="AO93" s="53">
        <f>IF(AO38&gt;0,AO79*AO82/AO38,0)</f>
        <v/>
      </c>
      <c r="AP93" s="53">
        <f>IF(AP38&gt;0,AP79*AP82/AP38,0)</f>
        <v/>
      </c>
      <c r="AQ93" s="53">
        <f>IF(AQ38&gt;0,AQ79*AQ82/AQ38,0)</f>
        <v/>
      </c>
      <c r="AR93" s="53">
        <f>IF(AR38&gt;0,AR79*AR82/AR38,0)</f>
        <v/>
      </c>
      <c r="AS93" s="53">
        <f>IF(AS38&gt;0,AS79*AS82/AS38,0)</f>
        <v/>
      </c>
      <c r="AT93" s="53">
        <f>IF(AT38&gt;0,AT79*AT82/AT38,0)</f>
        <v/>
      </c>
      <c r="AU93" s="53">
        <f>IF(AU38&gt;0,AU79*AU82/AU38,0)</f>
        <v/>
      </c>
      <c r="AV93" s="53">
        <f>IF(AV38&gt;0,AV79*AV82/AV38,0)</f>
        <v/>
      </c>
      <c r="AW93" s="53">
        <f>IF(AW38&gt;0,AW79*AW82/AW38,0)</f>
        <v/>
      </c>
      <c r="AX93" s="53">
        <f>IF(AX38&gt;0,AX79*AX82/AX38,0)</f>
        <v/>
      </c>
      <c r="AY93" s="53">
        <f>IF(AY38&gt;0,AY79*AY82/AY38,0)</f>
        <v/>
      </c>
      <c r="AZ93" s="53">
        <f>IF(AZ38&gt;0,AZ79*AZ82/AZ38,0)</f>
        <v/>
      </c>
      <c r="BA93" s="53">
        <f>IF(BA38&gt;0,BA79*BA82/BA38,0)</f>
        <v/>
      </c>
      <c r="BB93" s="53">
        <f>IF(BB38&gt;0,BB79*BB82/BB38,0)</f>
        <v/>
      </c>
      <c r="BC93" s="53">
        <f>IF(BC38&gt;0,BC79*BC82/BC38,0)</f>
        <v/>
      </c>
      <c r="BD93" s="53">
        <f>IF(BD38&gt;0,BD79*BD82/BD38,0)</f>
        <v/>
      </c>
      <c r="BE93" s="53">
        <f>IF(BE38&gt;0,BE79*BE82/BE38,0)</f>
        <v/>
      </c>
    </row>
    <row r="94">
      <c r="B94" s="7" t="inlineStr">
        <is>
          <t>Share of the roll flagged per year (alert load)</t>
        </is>
      </c>
      <c r="C94" s="5" t="inlineStr">
        <is>
          <t>%</t>
        </is>
      </c>
      <c r="D94" s="39">
        <f>IF(D21&gt;0,D93/D21,0)</f>
        <v/>
      </c>
      <c r="E94" s="39">
        <f>IF(E21&gt;0,E93/E21,0)</f>
        <v/>
      </c>
      <c r="F94" s="39">
        <f>IF(F21&gt;0,F93/F21,0)</f>
        <v/>
      </c>
      <c r="G94" s="39">
        <f>IF(G21&gt;0,G93/G21,0)</f>
        <v/>
      </c>
      <c r="H94" s="39">
        <f>IF(H21&gt;0,H93/H21,0)</f>
        <v/>
      </c>
      <c r="I94" s="39">
        <f>IF(I21&gt;0,I93/I21,0)</f>
        <v/>
      </c>
      <c r="J94" s="39">
        <f>IF(J21&gt;0,J93/J21,0)</f>
        <v/>
      </c>
      <c r="K94" s="39">
        <f>IF(K21&gt;0,K93/K21,0)</f>
        <v/>
      </c>
      <c r="L94" s="39">
        <f>IF(L21&gt;0,L93/L21,0)</f>
        <v/>
      </c>
      <c r="M94" s="39">
        <f>IF(M21&gt;0,M93/M21,0)</f>
        <v/>
      </c>
      <c r="N94" s="39">
        <f>IF(N21&gt;0,N93/N21,0)</f>
        <v/>
      </c>
      <c r="O94" s="39">
        <f>IF(O21&gt;0,O93/O21,0)</f>
        <v/>
      </c>
      <c r="P94" s="39">
        <f>IF(P21&gt;0,P93/P21,0)</f>
        <v/>
      </c>
      <c r="Q94" s="39">
        <f>IF(Q21&gt;0,Q93/Q21,0)</f>
        <v/>
      </c>
      <c r="R94" s="39">
        <f>IF(R21&gt;0,R93/R21,0)</f>
        <v/>
      </c>
      <c r="S94" s="39">
        <f>IF(S21&gt;0,S93/S21,0)</f>
        <v/>
      </c>
      <c r="T94" s="39">
        <f>IF(T21&gt;0,T93/T21,0)</f>
        <v/>
      </c>
      <c r="U94" s="39">
        <f>IF(U21&gt;0,U93/U21,0)</f>
        <v/>
      </c>
      <c r="V94" s="39">
        <f>IF(V21&gt;0,V93/V21,0)</f>
        <v/>
      </c>
      <c r="W94" s="39">
        <f>IF(W21&gt;0,W93/W21,0)</f>
        <v/>
      </c>
      <c r="X94" s="39">
        <f>IF(X21&gt;0,X93/X21,0)</f>
        <v/>
      </c>
      <c r="Y94" s="39">
        <f>IF(Y21&gt;0,Y93/Y21,0)</f>
        <v/>
      </c>
      <c r="Z94" s="39">
        <f>IF(Z21&gt;0,Z93/Z21,0)</f>
        <v/>
      </c>
      <c r="AA94" s="39">
        <f>IF(AA21&gt;0,AA93/AA21,0)</f>
        <v/>
      </c>
      <c r="AB94" s="39">
        <f>IF(AB21&gt;0,AB93/AB21,0)</f>
        <v/>
      </c>
      <c r="AC94" s="39">
        <f>IF(AC21&gt;0,AC93/AC21,0)</f>
        <v/>
      </c>
      <c r="AD94" s="39">
        <f>IF(AD21&gt;0,AD93/AD21,0)</f>
        <v/>
      </c>
      <c r="AE94" s="39">
        <f>IF(AE21&gt;0,AE93/AE21,0)</f>
        <v/>
      </c>
      <c r="AF94" s="39">
        <f>IF(AF21&gt;0,AF93/AF21,0)</f>
        <v/>
      </c>
      <c r="AG94" s="39">
        <f>IF(AG21&gt;0,AG93/AG21,0)</f>
        <v/>
      </c>
      <c r="AH94" s="39">
        <f>IF(AH21&gt;0,AH93/AH21,0)</f>
        <v/>
      </c>
      <c r="AI94" s="39">
        <f>IF(AI21&gt;0,AI93/AI21,0)</f>
        <v/>
      </c>
      <c r="AJ94" s="39">
        <f>IF(AJ21&gt;0,AJ93/AJ21,0)</f>
        <v/>
      </c>
      <c r="AK94" s="39">
        <f>IF(AK21&gt;0,AK93/AK21,0)</f>
        <v/>
      </c>
      <c r="AL94" s="39">
        <f>IF(AL21&gt;0,AL93/AL21,0)</f>
        <v/>
      </c>
      <c r="AM94" s="39">
        <f>IF(AM21&gt;0,AM93/AM21,0)</f>
        <v/>
      </c>
      <c r="AN94" s="39">
        <f>IF(AN21&gt;0,AN93/AN21,0)</f>
        <v/>
      </c>
      <c r="AO94" s="39">
        <f>IF(AO21&gt;0,AO93/AO21,0)</f>
        <v/>
      </c>
      <c r="AP94" s="39">
        <f>IF(AP21&gt;0,AP93/AP21,0)</f>
        <v/>
      </c>
      <c r="AQ94" s="39">
        <f>IF(AQ21&gt;0,AQ93/AQ21,0)</f>
        <v/>
      </c>
      <c r="AR94" s="39">
        <f>IF(AR21&gt;0,AR93/AR21,0)</f>
        <v/>
      </c>
      <c r="AS94" s="39">
        <f>IF(AS21&gt;0,AS93/AS21,0)</f>
        <v/>
      </c>
      <c r="AT94" s="39">
        <f>IF(AT21&gt;0,AT93/AT21,0)</f>
        <v/>
      </c>
      <c r="AU94" s="39">
        <f>IF(AU21&gt;0,AU93/AU21,0)</f>
        <v/>
      </c>
      <c r="AV94" s="39">
        <f>IF(AV21&gt;0,AV93/AV21,0)</f>
        <v/>
      </c>
      <c r="AW94" s="39">
        <f>IF(AW21&gt;0,AW93/AW21,0)</f>
        <v/>
      </c>
      <c r="AX94" s="39">
        <f>IF(AX21&gt;0,AX93/AX21,0)</f>
        <v/>
      </c>
      <c r="AY94" s="39">
        <f>IF(AY21&gt;0,AY93/AY21,0)</f>
        <v/>
      </c>
      <c r="AZ94" s="39">
        <f>IF(AZ21&gt;0,AZ93/AZ21,0)</f>
        <v/>
      </c>
      <c r="BA94" s="39">
        <f>IF(BA21&gt;0,BA93/BA21,0)</f>
        <v/>
      </c>
      <c r="BB94" s="39">
        <f>IF(BB21&gt;0,BB93/BB21,0)</f>
        <v/>
      </c>
      <c r="BC94" s="39">
        <f>IF(BC21&gt;0,BC93/BC21,0)</f>
        <v/>
      </c>
      <c r="BD94" s="39">
        <f>IF(BD21&gt;0,BD93/BD21,0)</f>
        <v/>
      </c>
      <c r="BE94" s="39">
        <f>IF(BE21&gt;0,BE93/BE21,0)</f>
        <v/>
      </c>
    </row>
    <row r="95">
      <c r="B95" s="7" t="inlineStr">
        <is>
          <t>Mentor time spent acting on flags</t>
        </is>
      </c>
      <c r="C95" s="5" t="inlineStr">
        <is>
          <t>₹/yr</t>
        </is>
      </c>
      <c r="D95" s="50">
        <f>D93*D39*D45/60*D46</f>
        <v/>
      </c>
      <c r="E95" s="50">
        <f>E93*E39*E45/60*E46</f>
        <v/>
      </c>
      <c r="F95" s="50">
        <f>F93*F39*F45/60*F46</f>
        <v/>
      </c>
      <c r="G95" s="50">
        <f>G93*G39*G45/60*G46</f>
        <v/>
      </c>
      <c r="H95" s="50">
        <f>H93*H39*H45/60*H46</f>
        <v/>
      </c>
      <c r="I95" s="50">
        <f>I93*I39*I45/60*I46</f>
        <v/>
      </c>
      <c r="J95" s="50">
        <f>J93*J39*J45/60*J46</f>
        <v/>
      </c>
      <c r="K95" s="50">
        <f>K93*K39*K45/60*K46</f>
        <v/>
      </c>
      <c r="L95" s="50">
        <f>L93*L39*L45/60*L46</f>
        <v/>
      </c>
      <c r="M95" s="50">
        <f>M93*M39*M45/60*M46</f>
        <v/>
      </c>
      <c r="N95" s="50">
        <f>N93*N39*N45/60*N46</f>
        <v/>
      </c>
      <c r="O95" s="50">
        <f>O93*O39*O45/60*O46</f>
        <v/>
      </c>
      <c r="P95" s="50">
        <f>P93*P39*P45/60*P46</f>
        <v/>
      </c>
      <c r="Q95" s="50">
        <f>Q93*Q39*Q45/60*Q46</f>
        <v/>
      </c>
      <c r="R95" s="50">
        <f>R93*R39*R45/60*R46</f>
        <v/>
      </c>
      <c r="S95" s="50">
        <f>S93*S39*S45/60*S46</f>
        <v/>
      </c>
      <c r="T95" s="50">
        <f>T93*T39*T45/60*T46</f>
        <v/>
      </c>
      <c r="U95" s="50">
        <f>U93*U39*U45/60*U46</f>
        <v/>
      </c>
      <c r="V95" s="50">
        <f>V93*V39*V45/60*V46</f>
        <v/>
      </c>
      <c r="W95" s="50">
        <f>W93*W39*W45/60*W46</f>
        <v/>
      </c>
      <c r="X95" s="50">
        <f>X93*X39*X45/60*X46</f>
        <v/>
      </c>
      <c r="Y95" s="50">
        <f>Y93*Y39*Y45/60*Y46</f>
        <v/>
      </c>
      <c r="Z95" s="50">
        <f>Z93*Z39*Z45/60*Z46</f>
        <v/>
      </c>
      <c r="AA95" s="50">
        <f>AA93*AA39*AA45/60*AA46</f>
        <v/>
      </c>
      <c r="AB95" s="50">
        <f>AB93*AB39*AB45/60*AB46</f>
        <v/>
      </c>
      <c r="AC95" s="50">
        <f>AC93*AC39*AC45/60*AC46</f>
        <v/>
      </c>
      <c r="AD95" s="50">
        <f>AD93*AD39*AD45/60*AD46</f>
        <v/>
      </c>
      <c r="AE95" s="50">
        <f>AE93*AE39*AE45/60*AE46</f>
        <v/>
      </c>
      <c r="AF95" s="50">
        <f>AF93*AF39*AF45/60*AF46</f>
        <v/>
      </c>
      <c r="AG95" s="50">
        <f>AG93*AG39*AG45/60*AG46</f>
        <v/>
      </c>
      <c r="AH95" s="50">
        <f>AH93*AH39*AH45/60*AH46</f>
        <v/>
      </c>
      <c r="AI95" s="50">
        <f>AI93*AI39*AI45/60*AI46</f>
        <v/>
      </c>
      <c r="AJ95" s="50">
        <f>AJ93*AJ39*AJ45/60*AJ46</f>
        <v/>
      </c>
      <c r="AK95" s="50">
        <f>AK93*AK39*AK45/60*AK46</f>
        <v/>
      </c>
      <c r="AL95" s="50">
        <f>AL93*AL39*AL45/60*AL46</f>
        <v/>
      </c>
      <c r="AM95" s="50">
        <f>AM93*AM39*AM45/60*AM46</f>
        <v/>
      </c>
      <c r="AN95" s="50">
        <f>AN93*AN39*AN45/60*AN46</f>
        <v/>
      </c>
      <c r="AO95" s="50">
        <f>AO93*AO39*AO45/60*AO46</f>
        <v/>
      </c>
      <c r="AP95" s="50">
        <f>AP93*AP39*AP45/60*AP46</f>
        <v/>
      </c>
      <c r="AQ95" s="50">
        <f>AQ93*AQ39*AQ45/60*AQ46</f>
        <v/>
      </c>
      <c r="AR95" s="50">
        <f>AR93*AR39*AR45/60*AR46</f>
        <v/>
      </c>
      <c r="AS95" s="50">
        <f>AS93*AS39*AS45/60*AS46</f>
        <v/>
      </c>
      <c r="AT95" s="50">
        <f>AT93*AT39*AT45/60*AT46</f>
        <v/>
      </c>
      <c r="AU95" s="50">
        <f>AU93*AU39*AU45/60*AU46</f>
        <v/>
      </c>
      <c r="AV95" s="50">
        <f>AV93*AV39*AV45/60*AV46</f>
        <v/>
      </c>
      <c r="AW95" s="50">
        <f>AW93*AW39*AW45/60*AW46</f>
        <v/>
      </c>
      <c r="AX95" s="50">
        <f>AX93*AX39*AX45/60*AX46</f>
        <v/>
      </c>
      <c r="AY95" s="50">
        <f>AY93*AY39*AY45/60*AY46</f>
        <v/>
      </c>
      <c r="AZ95" s="50">
        <f>AZ93*AZ39*AZ45/60*AZ46</f>
        <v/>
      </c>
      <c r="BA95" s="50">
        <f>BA93*BA39*BA45/60*BA46</f>
        <v/>
      </c>
      <c r="BB95" s="50">
        <f>BB93*BB39*BB45/60*BB46</f>
        <v/>
      </c>
      <c r="BC95" s="50">
        <f>BC93*BC39*BC45/60*BC46</f>
        <v/>
      </c>
      <c r="BD95" s="50">
        <f>BD93*BD39*BD45/60*BD46</f>
        <v/>
      </c>
      <c r="BE95" s="50">
        <f>BE93*BE39*BE45/60*BE46</f>
        <v/>
      </c>
    </row>
    <row r="96">
      <c r="B96" s="7" t="inlineStr">
        <is>
          <t>Total cost</t>
        </is>
      </c>
      <c r="C96" s="5" t="inlineStr">
        <is>
          <t>₹/yr</t>
        </is>
      </c>
      <c r="D96" s="52">
        <f>D91+D92+D95</f>
        <v/>
      </c>
      <c r="E96" s="52">
        <f>E91+E92+E95</f>
        <v/>
      </c>
      <c r="F96" s="52">
        <f>F91+F92+F95</f>
        <v/>
      </c>
      <c r="G96" s="52">
        <f>G91+G92+G95</f>
        <v/>
      </c>
      <c r="H96" s="52">
        <f>H91+H92+H95</f>
        <v/>
      </c>
      <c r="I96" s="52">
        <f>I91+I92+I95</f>
        <v/>
      </c>
      <c r="J96" s="52">
        <f>J91+J92+J95</f>
        <v/>
      </c>
      <c r="K96" s="52">
        <f>K91+K92+K95</f>
        <v/>
      </c>
      <c r="L96" s="52">
        <f>L91+L92+L95</f>
        <v/>
      </c>
      <c r="M96" s="52">
        <f>M91+M92+M95</f>
        <v/>
      </c>
      <c r="N96" s="52">
        <f>N91+N92+N95</f>
        <v/>
      </c>
      <c r="O96" s="52">
        <f>O91+O92+O95</f>
        <v/>
      </c>
      <c r="P96" s="52">
        <f>P91+P92+P95</f>
        <v/>
      </c>
      <c r="Q96" s="52">
        <f>Q91+Q92+Q95</f>
        <v/>
      </c>
      <c r="R96" s="52">
        <f>R91+R92+R95</f>
        <v/>
      </c>
      <c r="S96" s="52">
        <f>S91+S92+S95</f>
        <v/>
      </c>
      <c r="T96" s="52">
        <f>T91+T92+T95</f>
        <v/>
      </c>
      <c r="U96" s="52">
        <f>U91+U92+U95</f>
        <v/>
      </c>
      <c r="V96" s="52">
        <f>V91+V92+V95</f>
        <v/>
      </c>
      <c r="W96" s="52">
        <f>W91+W92+W95</f>
        <v/>
      </c>
      <c r="X96" s="52">
        <f>X91+X92+X95</f>
        <v/>
      </c>
      <c r="Y96" s="52">
        <f>Y91+Y92+Y95</f>
        <v/>
      </c>
      <c r="Z96" s="52">
        <f>Z91+Z92+Z95</f>
        <v/>
      </c>
      <c r="AA96" s="52">
        <f>AA91+AA92+AA95</f>
        <v/>
      </c>
      <c r="AB96" s="52">
        <f>AB91+AB92+AB95</f>
        <v/>
      </c>
      <c r="AC96" s="52">
        <f>AC91+AC92+AC95</f>
        <v/>
      </c>
      <c r="AD96" s="52">
        <f>AD91+AD92+AD95</f>
        <v/>
      </c>
      <c r="AE96" s="52">
        <f>AE91+AE92+AE95</f>
        <v/>
      </c>
      <c r="AF96" s="52">
        <f>AF91+AF92+AF95</f>
        <v/>
      </c>
      <c r="AG96" s="52">
        <f>AG91+AG92+AG95</f>
        <v/>
      </c>
      <c r="AH96" s="52">
        <f>AH91+AH92+AH95</f>
        <v/>
      </c>
      <c r="AI96" s="52">
        <f>AI91+AI92+AI95</f>
        <v/>
      </c>
      <c r="AJ96" s="52">
        <f>AJ91+AJ92+AJ95</f>
        <v/>
      </c>
      <c r="AK96" s="52">
        <f>AK91+AK92+AK95</f>
        <v/>
      </c>
      <c r="AL96" s="52">
        <f>AL91+AL92+AL95</f>
        <v/>
      </c>
      <c r="AM96" s="52">
        <f>AM91+AM92+AM95</f>
        <v/>
      </c>
      <c r="AN96" s="52">
        <f>AN91+AN92+AN95</f>
        <v/>
      </c>
      <c r="AO96" s="52">
        <f>AO91+AO92+AO95</f>
        <v/>
      </c>
      <c r="AP96" s="52">
        <f>AP91+AP92+AP95</f>
        <v/>
      </c>
      <c r="AQ96" s="52">
        <f>AQ91+AQ92+AQ95</f>
        <v/>
      </c>
      <c r="AR96" s="52">
        <f>AR91+AR92+AR95</f>
        <v/>
      </c>
      <c r="AS96" s="52">
        <f>AS91+AS92+AS95</f>
        <v/>
      </c>
      <c r="AT96" s="52">
        <f>AT91+AT92+AT95</f>
        <v/>
      </c>
      <c r="AU96" s="52">
        <f>AU91+AU92+AU95</f>
        <v/>
      </c>
      <c r="AV96" s="52">
        <f>AV91+AV92+AV95</f>
        <v/>
      </c>
      <c r="AW96" s="52">
        <f>AW91+AW92+AW95</f>
        <v/>
      </c>
      <c r="AX96" s="52">
        <f>AX91+AX92+AX95</f>
        <v/>
      </c>
      <c r="AY96" s="52">
        <f>AY91+AY92+AY95</f>
        <v/>
      </c>
      <c r="AZ96" s="52">
        <f>AZ91+AZ92+AZ95</f>
        <v/>
      </c>
      <c r="BA96" s="52">
        <f>BA91+BA92+BA95</f>
        <v/>
      </c>
      <c r="BB96" s="52">
        <f>BB91+BB92+BB95</f>
        <v/>
      </c>
      <c r="BC96" s="52">
        <f>BC91+BC92+BC95</f>
        <v/>
      </c>
      <c r="BD96" s="52">
        <f>BD91+BD92+BD95</f>
        <v/>
      </c>
      <c r="BE96" s="52">
        <f>BE91+BE92+BE95</f>
        <v/>
      </c>
    </row>
    <row r="97">
      <c r="B97" s="7" t="inlineStr">
        <is>
          <t>Net benefit to institute</t>
        </is>
      </c>
      <c r="C97" s="5" t="inlineStr">
        <is>
          <t>₹/yr</t>
        </is>
      </c>
      <c r="D97" s="52">
        <f>D90-D96</f>
        <v/>
      </c>
      <c r="E97" s="52">
        <f>E90-E96</f>
        <v/>
      </c>
      <c r="F97" s="52">
        <f>F90-F96</f>
        <v/>
      </c>
      <c r="G97" s="52">
        <f>G90-G96</f>
        <v/>
      </c>
      <c r="H97" s="52">
        <f>H90-H96</f>
        <v/>
      </c>
      <c r="I97" s="52">
        <f>I90-I96</f>
        <v/>
      </c>
      <c r="J97" s="52">
        <f>J90-J96</f>
        <v/>
      </c>
      <c r="K97" s="52">
        <f>K90-K96</f>
        <v/>
      </c>
      <c r="L97" s="52">
        <f>L90-L96</f>
        <v/>
      </c>
      <c r="M97" s="52">
        <f>M90-M96</f>
        <v/>
      </c>
      <c r="N97" s="52">
        <f>N90-N96</f>
        <v/>
      </c>
      <c r="O97" s="52">
        <f>O90-O96</f>
        <v/>
      </c>
      <c r="P97" s="52">
        <f>P90-P96</f>
        <v/>
      </c>
      <c r="Q97" s="52">
        <f>Q90-Q96</f>
        <v/>
      </c>
      <c r="R97" s="52">
        <f>R90-R96</f>
        <v/>
      </c>
      <c r="S97" s="52">
        <f>S90-S96</f>
        <v/>
      </c>
      <c r="T97" s="52">
        <f>T90-T96</f>
        <v/>
      </c>
      <c r="U97" s="52">
        <f>U90-U96</f>
        <v/>
      </c>
      <c r="V97" s="52">
        <f>V90-V96</f>
        <v/>
      </c>
      <c r="W97" s="52">
        <f>W90-W96</f>
        <v/>
      </c>
      <c r="X97" s="52">
        <f>X90-X96</f>
        <v/>
      </c>
      <c r="Y97" s="52">
        <f>Y90-Y96</f>
        <v/>
      </c>
      <c r="Z97" s="52">
        <f>Z90-Z96</f>
        <v/>
      </c>
      <c r="AA97" s="52">
        <f>AA90-AA96</f>
        <v/>
      </c>
      <c r="AB97" s="52">
        <f>AB90-AB96</f>
        <v/>
      </c>
      <c r="AC97" s="52">
        <f>AC90-AC96</f>
        <v/>
      </c>
      <c r="AD97" s="52">
        <f>AD90-AD96</f>
        <v/>
      </c>
      <c r="AE97" s="52">
        <f>AE90-AE96</f>
        <v/>
      </c>
      <c r="AF97" s="52">
        <f>AF90-AF96</f>
        <v/>
      </c>
      <c r="AG97" s="52">
        <f>AG90-AG96</f>
        <v/>
      </c>
      <c r="AH97" s="52">
        <f>AH90-AH96</f>
        <v/>
      </c>
      <c r="AI97" s="52">
        <f>AI90-AI96</f>
        <v/>
      </c>
      <c r="AJ97" s="52">
        <f>AJ90-AJ96</f>
        <v/>
      </c>
      <c r="AK97" s="52">
        <f>AK90-AK96</f>
        <v/>
      </c>
      <c r="AL97" s="52">
        <f>AL90-AL96</f>
        <v/>
      </c>
      <c r="AM97" s="52">
        <f>AM90-AM96</f>
        <v/>
      </c>
      <c r="AN97" s="52">
        <f>AN90-AN96</f>
        <v/>
      </c>
      <c r="AO97" s="52">
        <f>AO90-AO96</f>
        <v/>
      </c>
      <c r="AP97" s="52">
        <f>AP90-AP96</f>
        <v/>
      </c>
      <c r="AQ97" s="52">
        <f>AQ90-AQ96</f>
        <v/>
      </c>
      <c r="AR97" s="52">
        <f>AR90-AR96</f>
        <v/>
      </c>
      <c r="AS97" s="52">
        <f>AS90-AS96</f>
        <v/>
      </c>
      <c r="AT97" s="52">
        <f>AT90-AT96</f>
        <v/>
      </c>
      <c r="AU97" s="52">
        <f>AU90-AU96</f>
        <v/>
      </c>
      <c r="AV97" s="52">
        <f>AV90-AV96</f>
        <v/>
      </c>
      <c r="AW97" s="52">
        <f>AW90-AW96</f>
        <v/>
      </c>
      <c r="AX97" s="52">
        <f>AX90-AX96</f>
        <v/>
      </c>
      <c r="AY97" s="52">
        <f>AY90-AY96</f>
        <v/>
      </c>
      <c r="AZ97" s="52">
        <f>AZ90-AZ96</f>
        <v/>
      </c>
      <c r="BA97" s="52">
        <f>BA90-BA96</f>
        <v/>
      </c>
      <c r="BB97" s="52">
        <f>BB90-BB96</f>
        <v/>
      </c>
      <c r="BC97" s="52">
        <f>BC90-BC96</f>
        <v/>
      </c>
      <c r="BD97" s="52">
        <f>BD90-BD96</f>
        <v/>
      </c>
      <c r="BE97" s="52">
        <f>BE90-BE96</f>
        <v/>
      </c>
    </row>
    <row r="98">
      <c r="B98" s="7" t="inlineStr">
        <is>
          <t>Institute ROI (value ÷ cost)</t>
        </is>
      </c>
      <c r="C98" s="5" t="inlineStr">
        <is>
          <t>x</t>
        </is>
      </c>
      <c r="D98" s="55">
        <f>IF(D96&gt;0,D90/D96,0)</f>
        <v/>
      </c>
      <c r="E98" s="55">
        <f>IF(E96&gt;0,E90/E96,0)</f>
        <v/>
      </c>
      <c r="F98" s="55">
        <f>IF(F96&gt;0,F90/F96,0)</f>
        <v/>
      </c>
      <c r="G98" s="55">
        <f>IF(G96&gt;0,G90/G96,0)</f>
        <v/>
      </c>
      <c r="H98" s="55">
        <f>IF(H96&gt;0,H90/H96,0)</f>
        <v/>
      </c>
      <c r="I98" s="55">
        <f>IF(I96&gt;0,I90/I96,0)</f>
        <v/>
      </c>
      <c r="J98" s="55">
        <f>IF(J96&gt;0,J90/J96,0)</f>
        <v/>
      </c>
      <c r="K98" s="55">
        <f>IF(K96&gt;0,K90/K96,0)</f>
        <v/>
      </c>
      <c r="L98" s="55">
        <f>IF(L96&gt;0,L90/L96,0)</f>
        <v/>
      </c>
      <c r="M98" s="55">
        <f>IF(M96&gt;0,M90/M96,0)</f>
        <v/>
      </c>
      <c r="N98" s="55">
        <f>IF(N96&gt;0,N90/N96,0)</f>
        <v/>
      </c>
      <c r="O98" s="55">
        <f>IF(O96&gt;0,O90/O96,0)</f>
        <v/>
      </c>
      <c r="P98" s="55">
        <f>IF(P96&gt;0,P90/P96,0)</f>
        <v/>
      </c>
      <c r="Q98" s="55">
        <f>IF(Q96&gt;0,Q90/Q96,0)</f>
        <v/>
      </c>
      <c r="R98" s="55">
        <f>IF(R96&gt;0,R90/R96,0)</f>
        <v/>
      </c>
      <c r="S98" s="55">
        <f>IF(S96&gt;0,S90/S96,0)</f>
        <v/>
      </c>
      <c r="T98" s="55">
        <f>IF(T96&gt;0,T90/T96,0)</f>
        <v/>
      </c>
      <c r="U98" s="55">
        <f>IF(U96&gt;0,U90/U96,0)</f>
        <v/>
      </c>
      <c r="V98" s="55">
        <f>IF(V96&gt;0,V90/V96,0)</f>
        <v/>
      </c>
      <c r="W98" s="55">
        <f>IF(W96&gt;0,W90/W96,0)</f>
        <v/>
      </c>
      <c r="X98" s="55">
        <f>IF(X96&gt;0,X90/X96,0)</f>
        <v/>
      </c>
      <c r="Y98" s="55">
        <f>IF(Y96&gt;0,Y90/Y96,0)</f>
        <v/>
      </c>
      <c r="Z98" s="55">
        <f>IF(Z96&gt;0,Z90/Z96,0)</f>
        <v/>
      </c>
      <c r="AA98" s="55">
        <f>IF(AA96&gt;0,AA90/AA96,0)</f>
        <v/>
      </c>
      <c r="AB98" s="55">
        <f>IF(AB96&gt;0,AB90/AB96,0)</f>
        <v/>
      </c>
      <c r="AC98" s="55">
        <f>IF(AC96&gt;0,AC90/AC96,0)</f>
        <v/>
      </c>
      <c r="AD98" s="55">
        <f>IF(AD96&gt;0,AD90/AD96,0)</f>
        <v/>
      </c>
      <c r="AE98" s="55">
        <f>IF(AE96&gt;0,AE90/AE96,0)</f>
        <v/>
      </c>
      <c r="AF98" s="55">
        <f>IF(AF96&gt;0,AF90/AF96,0)</f>
        <v/>
      </c>
      <c r="AG98" s="55">
        <f>IF(AG96&gt;0,AG90/AG96,0)</f>
        <v/>
      </c>
      <c r="AH98" s="55">
        <f>IF(AH96&gt;0,AH90/AH96,0)</f>
        <v/>
      </c>
      <c r="AI98" s="55">
        <f>IF(AI96&gt;0,AI90/AI96,0)</f>
        <v/>
      </c>
      <c r="AJ98" s="55">
        <f>IF(AJ96&gt;0,AJ90/AJ96,0)</f>
        <v/>
      </c>
      <c r="AK98" s="55">
        <f>IF(AK96&gt;0,AK90/AK96,0)</f>
        <v/>
      </c>
      <c r="AL98" s="55">
        <f>IF(AL96&gt;0,AL90/AL96,0)</f>
        <v/>
      </c>
      <c r="AM98" s="55">
        <f>IF(AM96&gt;0,AM90/AM96,0)</f>
        <v/>
      </c>
      <c r="AN98" s="55">
        <f>IF(AN96&gt;0,AN90/AN96,0)</f>
        <v/>
      </c>
      <c r="AO98" s="55">
        <f>IF(AO96&gt;0,AO90/AO96,0)</f>
        <v/>
      </c>
      <c r="AP98" s="55">
        <f>IF(AP96&gt;0,AP90/AP96,0)</f>
        <v/>
      </c>
      <c r="AQ98" s="55">
        <f>IF(AQ96&gt;0,AQ90/AQ96,0)</f>
        <v/>
      </c>
      <c r="AR98" s="55">
        <f>IF(AR96&gt;0,AR90/AR96,0)</f>
        <v/>
      </c>
      <c r="AS98" s="55">
        <f>IF(AS96&gt;0,AS90/AS96,0)</f>
        <v/>
      </c>
      <c r="AT98" s="55">
        <f>IF(AT96&gt;0,AT90/AT96,0)</f>
        <v/>
      </c>
      <c r="AU98" s="55">
        <f>IF(AU96&gt;0,AU90/AU96,0)</f>
        <v/>
      </c>
      <c r="AV98" s="55">
        <f>IF(AV96&gt;0,AV90/AV96,0)</f>
        <v/>
      </c>
      <c r="AW98" s="55">
        <f>IF(AW96&gt;0,AW90/AW96,0)</f>
        <v/>
      </c>
      <c r="AX98" s="55">
        <f>IF(AX96&gt;0,AX90/AX96,0)</f>
        <v/>
      </c>
      <c r="AY98" s="55">
        <f>IF(AY96&gt;0,AY90/AY96,0)</f>
        <v/>
      </c>
      <c r="AZ98" s="55">
        <f>IF(AZ96&gt;0,AZ90/AZ96,0)</f>
        <v/>
      </c>
      <c r="BA98" s="55">
        <f>IF(BA96&gt;0,BA90/BA96,0)</f>
        <v/>
      </c>
      <c r="BB98" s="55">
        <f>IF(BB96&gt;0,BB90/BB96,0)</f>
        <v/>
      </c>
      <c r="BC98" s="55">
        <f>IF(BC96&gt;0,BC90/BC96,0)</f>
        <v/>
      </c>
      <c r="BD98" s="55">
        <f>IF(BD96&gt;0,BD90/BD96,0)</f>
        <v/>
      </c>
      <c r="BE98" s="55">
        <f>IF(BE96&gt;0,BE90/BE96,0)</f>
        <v/>
      </c>
    </row>
    <row r="99">
      <c r="B99" s="7" t="inlineStr">
        <is>
          <t>Fees-only ROI (no soft benefits)</t>
        </is>
      </c>
      <c r="C99" s="5" t="inlineStr">
        <is>
          <t>x</t>
        </is>
      </c>
      <c r="D99" s="55">
        <f>IF(D96&gt;0,D87/D96,0)</f>
        <v/>
      </c>
      <c r="E99" s="55">
        <f>IF(E96&gt;0,E87/E96,0)</f>
        <v/>
      </c>
      <c r="F99" s="55">
        <f>IF(F96&gt;0,F87/F96,0)</f>
        <v/>
      </c>
      <c r="G99" s="55">
        <f>IF(G96&gt;0,G87/G96,0)</f>
        <v/>
      </c>
      <c r="H99" s="55">
        <f>IF(H96&gt;0,H87/H96,0)</f>
        <v/>
      </c>
      <c r="I99" s="55">
        <f>IF(I96&gt;0,I87/I96,0)</f>
        <v/>
      </c>
      <c r="J99" s="55">
        <f>IF(J96&gt;0,J87/J96,0)</f>
        <v/>
      </c>
      <c r="K99" s="55">
        <f>IF(K96&gt;0,K87/K96,0)</f>
        <v/>
      </c>
      <c r="L99" s="55">
        <f>IF(L96&gt;0,L87/L96,0)</f>
        <v/>
      </c>
      <c r="M99" s="55">
        <f>IF(M96&gt;0,M87/M96,0)</f>
        <v/>
      </c>
      <c r="N99" s="55">
        <f>IF(N96&gt;0,N87/N96,0)</f>
        <v/>
      </c>
      <c r="O99" s="55">
        <f>IF(O96&gt;0,O87/O96,0)</f>
        <v/>
      </c>
      <c r="P99" s="55">
        <f>IF(P96&gt;0,P87/P96,0)</f>
        <v/>
      </c>
      <c r="Q99" s="55">
        <f>IF(Q96&gt;0,Q87/Q96,0)</f>
        <v/>
      </c>
      <c r="R99" s="55">
        <f>IF(R96&gt;0,R87/R96,0)</f>
        <v/>
      </c>
      <c r="S99" s="55">
        <f>IF(S96&gt;0,S87/S96,0)</f>
        <v/>
      </c>
      <c r="T99" s="55">
        <f>IF(T96&gt;0,T87/T96,0)</f>
        <v/>
      </c>
      <c r="U99" s="55">
        <f>IF(U96&gt;0,U87/U96,0)</f>
        <v/>
      </c>
      <c r="V99" s="55">
        <f>IF(V96&gt;0,V87/V96,0)</f>
        <v/>
      </c>
      <c r="W99" s="55">
        <f>IF(W96&gt;0,W87/W96,0)</f>
        <v/>
      </c>
      <c r="X99" s="55">
        <f>IF(X96&gt;0,X87/X96,0)</f>
        <v/>
      </c>
      <c r="Y99" s="55">
        <f>IF(Y96&gt;0,Y87/Y96,0)</f>
        <v/>
      </c>
      <c r="Z99" s="55">
        <f>IF(Z96&gt;0,Z87/Z96,0)</f>
        <v/>
      </c>
      <c r="AA99" s="55">
        <f>IF(AA96&gt;0,AA87/AA96,0)</f>
        <v/>
      </c>
      <c r="AB99" s="55">
        <f>IF(AB96&gt;0,AB87/AB96,0)</f>
        <v/>
      </c>
      <c r="AC99" s="55">
        <f>IF(AC96&gt;0,AC87/AC96,0)</f>
        <v/>
      </c>
      <c r="AD99" s="55">
        <f>IF(AD96&gt;0,AD87/AD96,0)</f>
        <v/>
      </c>
      <c r="AE99" s="55">
        <f>IF(AE96&gt;0,AE87/AE96,0)</f>
        <v/>
      </c>
      <c r="AF99" s="55">
        <f>IF(AF96&gt;0,AF87/AF96,0)</f>
        <v/>
      </c>
      <c r="AG99" s="55">
        <f>IF(AG96&gt;0,AG87/AG96,0)</f>
        <v/>
      </c>
      <c r="AH99" s="55">
        <f>IF(AH96&gt;0,AH87/AH96,0)</f>
        <v/>
      </c>
      <c r="AI99" s="55">
        <f>IF(AI96&gt;0,AI87/AI96,0)</f>
        <v/>
      </c>
      <c r="AJ99" s="55">
        <f>IF(AJ96&gt;0,AJ87/AJ96,0)</f>
        <v/>
      </c>
      <c r="AK99" s="55">
        <f>IF(AK96&gt;0,AK87/AK96,0)</f>
        <v/>
      </c>
      <c r="AL99" s="55">
        <f>IF(AL96&gt;0,AL87/AL96,0)</f>
        <v/>
      </c>
      <c r="AM99" s="55">
        <f>IF(AM96&gt;0,AM87/AM96,0)</f>
        <v/>
      </c>
      <c r="AN99" s="55">
        <f>IF(AN96&gt;0,AN87/AN96,0)</f>
        <v/>
      </c>
      <c r="AO99" s="55">
        <f>IF(AO96&gt;0,AO87/AO96,0)</f>
        <v/>
      </c>
      <c r="AP99" s="55">
        <f>IF(AP96&gt;0,AP87/AP96,0)</f>
        <v/>
      </c>
      <c r="AQ99" s="55">
        <f>IF(AQ96&gt;0,AQ87/AQ96,0)</f>
        <v/>
      </c>
      <c r="AR99" s="55">
        <f>IF(AR96&gt;0,AR87/AR96,0)</f>
        <v/>
      </c>
      <c r="AS99" s="55">
        <f>IF(AS96&gt;0,AS87/AS96,0)</f>
        <v/>
      </c>
      <c r="AT99" s="55">
        <f>IF(AT96&gt;0,AT87/AT96,0)</f>
        <v/>
      </c>
      <c r="AU99" s="55">
        <f>IF(AU96&gt;0,AU87/AU96,0)</f>
        <v/>
      </c>
      <c r="AV99" s="55">
        <f>IF(AV96&gt;0,AV87/AV96,0)</f>
        <v/>
      </c>
      <c r="AW99" s="55">
        <f>IF(AW96&gt;0,AW87/AW96,0)</f>
        <v/>
      </c>
      <c r="AX99" s="55">
        <f>IF(AX96&gt;0,AX87/AX96,0)</f>
        <v/>
      </c>
      <c r="AY99" s="55">
        <f>IF(AY96&gt;0,AY87/AY96,0)</f>
        <v/>
      </c>
      <c r="AZ99" s="55">
        <f>IF(AZ96&gt;0,AZ87/AZ96,0)</f>
        <v/>
      </c>
      <c r="BA99" s="55">
        <f>IF(BA96&gt;0,BA87/BA96,0)</f>
        <v/>
      </c>
      <c r="BB99" s="55">
        <f>IF(BB96&gt;0,BB87/BB96,0)</f>
        <v/>
      </c>
      <c r="BC99" s="55">
        <f>IF(BC96&gt;0,BC87/BC96,0)</f>
        <v/>
      </c>
      <c r="BD99" s="55">
        <f>IF(BD96&gt;0,BD87/BD96,0)</f>
        <v/>
      </c>
      <c r="BE99" s="55">
        <f>IF(BE96&gt;0,BE87/BE96,0)</f>
        <v/>
      </c>
    </row>
    <row r="100">
      <c r="B100" s="7" t="inlineStr">
        <is>
          <t>Hard-benefit ROI (fees retained + staff time, no admissions)</t>
        </is>
      </c>
      <c r="C100" s="5" t="inlineStr">
        <is>
          <t>x</t>
        </is>
      </c>
      <c r="D100" s="55">
        <f>IF(D96&gt;0,(D87+D89)/D96,0)</f>
        <v/>
      </c>
      <c r="E100" s="55">
        <f>IF(E96&gt;0,(E87+E89)/E96,0)</f>
        <v/>
      </c>
      <c r="F100" s="55">
        <f>IF(F96&gt;0,(F87+F89)/F96,0)</f>
        <v/>
      </c>
      <c r="G100" s="55">
        <f>IF(G96&gt;0,(G87+G89)/G96,0)</f>
        <v/>
      </c>
      <c r="H100" s="55">
        <f>IF(H96&gt;0,(H87+H89)/H96,0)</f>
        <v/>
      </c>
      <c r="I100" s="55">
        <f>IF(I96&gt;0,(I87+I89)/I96,0)</f>
        <v/>
      </c>
      <c r="J100" s="55">
        <f>IF(J96&gt;0,(J87+J89)/J96,0)</f>
        <v/>
      </c>
      <c r="K100" s="55">
        <f>IF(K96&gt;0,(K87+K89)/K96,0)</f>
        <v/>
      </c>
      <c r="L100" s="55">
        <f>IF(L96&gt;0,(L87+L89)/L96,0)</f>
        <v/>
      </c>
      <c r="M100" s="55">
        <f>IF(M96&gt;0,(M87+M89)/M96,0)</f>
        <v/>
      </c>
      <c r="N100" s="55">
        <f>IF(N96&gt;0,(N87+N89)/N96,0)</f>
        <v/>
      </c>
      <c r="O100" s="55">
        <f>IF(O96&gt;0,(O87+O89)/O96,0)</f>
        <v/>
      </c>
      <c r="P100" s="55">
        <f>IF(P96&gt;0,(P87+P89)/P96,0)</f>
        <v/>
      </c>
      <c r="Q100" s="55">
        <f>IF(Q96&gt;0,(Q87+Q89)/Q96,0)</f>
        <v/>
      </c>
      <c r="R100" s="55">
        <f>IF(R96&gt;0,(R87+R89)/R96,0)</f>
        <v/>
      </c>
      <c r="S100" s="55">
        <f>IF(S96&gt;0,(S87+S89)/S96,0)</f>
        <v/>
      </c>
      <c r="T100" s="55">
        <f>IF(T96&gt;0,(T87+T89)/T96,0)</f>
        <v/>
      </c>
      <c r="U100" s="55">
        <f>IF(U96&gt;0,(U87+U89)/U96,0)</f>
        <v/>
      </c>
      <c r="V100" s="55">
        <f>IF(V96&gt;0,(V87+V89)/V96,0)</f>
        <v/>
      </c>
      <c r="W100" s="55">
        <f>IF(W96&gt;0,(W87+W89)/W96,0)</f>
        <v/>
      </c>
      <c r="X100" s="55">
        <f>IF(X96&gt;0,(X87+X89)/X96,0)</f>
        <v/>
      </c>
      <c r="Y100" s="55">
        <f>IF(Y96&gt;0,(Y87+Y89)/Y96,0)</f>
        <v/>
      </c>
      <c r="Z100" s="55">
        <f>IF(Z96&gt;0,(Z87+Z89)/Z96,0)</f>
        <v/>
      </c>
      <c r="AA100" s="55">
        <f>IF(AA96&gt;0,(AA87+AA89)/AA96,0)</f>
        <v/>
      </c>
      <c r="AB100" s="55">
        <f>IF(AB96&gt;0,(AB87+AB89)/AB96,0)</f>
        <v/>
      </c>
      <c r="AC100" s="55">
        <f>IF(AC96&gt;0,(AC87+AC89)/AC96,0)</f>
        <v/>
      </c>
      <c r="AD100" s="55">
        <f>IF(AD96&gt;0,(AD87+AD89)/AD96,0)</f>
        <v/>
      </c>
      <c r="AE100" s="55">
        <f>IF(AE96&gt;0,(AE87+AE89)/AE96,0)</f>
        <v/>
      </c>
      <c r="AF100" s="55">
        <f>IF(AF96&gt;0,(AF87+AF89)/AF96,0)</f>
        <v/>
      </c>
      <c r="AG100" s="55">
        <f>IF(AG96&gt;0,(AG87+AG89)/AG96,0)</f>
        <v/>
      </c>
      <c r="AH100" s="55">
        <f>IF(AH96&gt;0,(AH87+AH89)/AH96,0)</f>
        <v/>
      </c>
      <c r="AI100" s="55">
        <f>IF(AI96&gt;0,(AI87+AI89)/AI96,0)</f>
        <v/>
      </c>
      <c r="AJ100" s="55">
        <f>IF(AJ96&gt;0,(AJ87+AJ89)/AJ96,0)</f>
        <v/>
      </c>
      <c r="AK100" s="55">
        <f>IF(AK96&gt;0,(AK87+AK89)/AK96,0)</f>
        <v/>
      </c>
      <c r="AL100" s="55">
        <f>IF(AL96&gt;0,(AL87+AL89)/AL96,0)</f>
        <v/>
      </c>
      <c r="AM100" s="55">
        <f>IF(AM96&gt;0,(AM87+AM89)/AM96,0)</f>
        <v/>
      </c>
      <c r="AN100" s="55">
        <f>IF(AN96&gt;0,(AN87+AN89)/AN96,0)</f>
        <v/>
      </c>
      <c r="AO100" s="55">
        <f>IF(AO96&gt;0,(AO87+AO89)/AO96,0)</f>
        <v/>
      </c>
      <c r="AP100" s="55">
        <f>IF(AP96&gt;0,(AP87+AP89)/AP96,0)</f>
        <v/>
      </c>
      <c r="AQ100" s="55">
        <f>IF(AQ96&gt;0,(AQ87+AQ89)/AQ96,0)</f>
        <v/>
      </c>
      <c r="AR100" s="55">
        <f>IF(AR96&gt;0,(AR87+AR89)/AR96,0)</f>
        <v/>
      </c>
      <c r="AS100" s="55">
        <f>IF(AS96&gt;0,(AS87+AS89)/AS96,0)</f>
        <v/>
      </c>
      <c r="AT100" s="55">
        <f>IF(AT96&gt;0,(AT87+AT89)/AT96,0)</f>
        <v/>
      </c>
      <c r="AU100" s="55">
        <f>IF(AU96&gt;0,(AU87+AU89)/AU96,0)</f>
        <v/>
      </c>
      <c r="AV100" s="55">
        <f>IF(AV96&gt;0,(AV87+AV89)/AV96,0)</f>
        <v/>
      </c>
      <c r="AW100" s="55">
        <f>IF(AW96&gt;0,(AW87+AW89)/AW96,0)</f>
        <v/>
      </c>
      <c r="AX100" s="55">
        <f>IF(AX96&gt;0,(AX87+AX89)/AX96,0)</f>
        <v/>
      </c>
      <c r="AY100" s="55">
        <f>IF(AY96&gt;0,(AY87+AY89)/AY96,0)</f>
        <v/>
      </c>
      <c r="AZ100" s="55">
        <f>IF(AZ96&gt;0,(AZ87+AZ89)/AZ96,0)</f>
        <v/>
      </c>
      <c r="BA100" s="55">
        <f>IF(BA96&gt;0,(BA87+BA89)/BA96,0)</f>
        <v/>
      </c>
      <c r="BB100" s="55">
        <f>IF(BB96&gt;0,(BB87+BB89)/BB96,0)</f>
        <v/>
      </c>
      <c r="BC100" s="55">
        <f>IF(BC96&gt;0,(BC87+BC89)/BC96,0)</f>
        <v/>
      </c>
      <c r="BD100" s="55">
        <f>IF(BD96&gt;0,(BD87+BD89)/BD96,0)</f>
        <v/>
      </c>
      <c r="BE100" s="55">
        <f>IF(BE96&gt;0,(BE87+BE89)/BE96,0)</f>
        <v/>
      </c>
    </row>
    <row r="101">
      <c r="B101" s="7" t="inlineStr">
        <is>
          <t>Break-even: students to save per year (fees only)</t>
        </is>
      </c>
      <c r="C101" s="5" t="inlineStr">
        <is>
          <t>students/yr</t>
        </is>
      </c>
      <c r="D101" s="54">
        <f>IF(D86&gt;0,D96/D86,0)</f>
        <v/>
      </c>
      <c r="E101" s="54">
        <f>IF(E86&gt;0,E96/E86,0)</f>
        <v/>
      </c>
      <c r="F101" s="54">
        <f>IF(F86&gt;0,F96/F86,0)</f>
        <v/>
      </c>
      <c r="G101" s="54">
        <f>IF(G86&gt;0,G96/G86,0)</f>
        <v/>
      </c>
      <c r="H101" s="54">
        <f>IF(H86&gt;0,H96/H86,0)</f>
        <v/>
      </c>
      <c r="I101" s="54">
        <f>IF(I86&gt;0,I96/I86,0)</f>
        <v/>
      </c>
      <c r="J101" s="54">
        <f>IF(J86&gt;0,J96/J86,0)</f>
        <v/>
      </c>
      <c r="K101" s="54">
        <f>IF(K86&gt;0,K96/K86,0)</f>
        <v/>
      </c>
      <c r="L101" s="54">
        <f>IF(L86&gt;0,L96/L86,0)</f>
        <v/>
      </c>
      <c r="M101" s="54">
        <f>IF(M86&gt;0,M96/M86,0)</f>
        <v/>
      </c>
      <c r="N101" s="54">
        <f>IF(N86&gt;0,N96/N86,0)</f>
        <v/>
      </c>
      <c r="O101" s="54">
        <f>IF(O86&gt;0,O96/O86,0)</f>
        <v/>
      </c>
      <c r="P101" s="54">
        <f>IF(P86&gt;0,P96/P86,0)</f>
        <v/>
      </c>
      <c r="Q101" s="54">
        <f>IF(Q86&gt;0,Q96/Q86,0)</f>
        <v/>
      </c>
      <c r="R101" s="54">
        <f>IF(R86&gt;0,R96/R86,0)</f>
        <v/>
      </c>
      <c r="S101" s="54">
        <f>IF(S86&gt;0,S96/S86,0)</f>
        <v/>
      </c>
      <c r="T101" s="54">
        <f>IF(T86&gt;0,T96/T86,0)</f>
        <v/>
      </c>
      <c r="U101" s="54">
        <f>IF(U86&gt;0,U96/U86,0)</f>
        <v/>
      </c>
      <c r="V101" s="54">
        <f>IF(V86&gt;0,V96/V86,0)</f>
        <v/>
      </c>
      <c r="W101" s="54">
        <f>IF(W86&gt;0,W96/W86,0)</f>
        <v/>
      </c>
      <c r="X101" s="54">
        <f>IF(X86&gt;0,X96/X86,0)</f>
        <v/>
      </c>
      <c r="Y101" s="54">
        <f>IF(Y86&gt;0,Y96/Y86,0)</f>
        <v/>
      </c>
      <c r="Z101" s="54">
        <f>IF(Z86&gt;0,Z96/Z86,0)</f>
        <v/>
      </c>
      <c r="AA101" s="54">
        <f>IF(AA86&gt;0,AA96/AA86,0)</f>
        <v/>
      </c>
      <c r="AB101" s="54">
        <f>IF(AB86&gt;0,AB96/AB86,0)</f>
        <v/>
      </c>
      <c r="AC101" s="54">
        <f>IF(AC86&gt;0,AC96/AC86,0)</f>
        <v/>
      </c>
      <c r="AD101" s="54">
        <f>IF(AD86&gt;0,AD96/AD86,0)</f>
        <v/>
      </c>
      <c r="AE101" s="54">
        <f>IF(AE86&gt;0,AE96/AE86,0)</f>
        <v/>
      </c>
      <c r="AF101" s="54">
        <f>IF(AF86&gt;0,AF96/AF86,0)</f>
        <v/>
      </c>
      <c r="AG101" s="54">
        <f>IF(AG86&gt;0,AG96/AG86,0)</f>
        <v/>
      </c>
      <c r="AH101" s="54">
        <f>IF(AH86&gt;0,AH96/AH86,0)</f>
        <v/>
      </c>
      <c r="AI101" s="54">
        <f>IF(AI86&gt;0,AI96/AI86,0)</f>
        <v/>
      </c>
      <c r="AJ101" s="54">
        <f>IF(AJ86&gt;0,AJ96/AJ86,0)</f>
        <v/>
      </c>
      <c r="AK101" s="54">
        <f>IF(AK86&gt;0,AK96/AK86,0)</f>
        <v/>
      </c>
      <c r="AL101" s="54">
        <f>IF(AL86&gt;0,AL96/AL86,0)</f>
        <v/>
      </c>
      <c r="AM101" s="54">
        <f>IF(AM86&gt;0,AM96/AM86,0)</f>
        <v/>
      </c>
      <c r="AN101" s="54">
        <f>IF(AN86&gt;0,AN96/AN86,0)</f>
        <v/>
      </c>
      <c r="AO101" s="54">
        <f>IF(AO86&gt;0,AO96/AO86,0)</f>
        <v/>
      </c>
      <c r="AP101" s="54">
        <f>IF(AP86&gt;0,AP96/AP86,0)</f>
        <v/>
      </c>
      <c r="AQ101" s="54">
        <f>IF(AQ86&gt;0,AQ96/AQ86,0)</f>
        <v/>
      </c>
      <c r="AR101" s="54">
        <f>IF(AR86&gt;0,AR96/AR86,0)</f>
        <v/>
      </c>
      <c r="AS101" s="54">
        <f>IF(AS86&gt;0,AS96/AS86,0)</f>
        <v/>
      </c>
      <c r="AT101" s="54">
        <f>IF(AT86&gt;0,AT96/AT86,0)</f>
        <v/>
      </c>
      <c r="AU101" s="54">
        <f>IF(AU86&gt;0,AU96/AU86,0)</f>
        <v/>
      </c>
      <c r="AV101" s="54">
        <f>IF(AV86&gt;0,AV96/AV86,0)</f>
        <v/>
      </c>
      <c r="AW101" s="54">
        <f>IF(AW86&gt;0,AW96/AW86,0)</f>
        <v/>
      </c>
      <c r="AX101" s="54">
        <f>IF(AX86&gt;0,AX96/AX86,0)</f>
        <v/>
      </c>
      <c r="AY101" s="54">
        <f>IF(AY86&gt;0,AY96/AY86,0)</f>
        <v/>
      </c>
      <c r="AZ101" s="54">
        <f>IF(AZ86&gt;0,AZ96/AZ86,0)</f>
        <v/>
      </c>
      <c r="BA101" s="54">
        <f>IF(BA86&gt;0,BA96/BA86,0)</f>
        <v/>
      </c>
      <c r="BB101" s="54">
        <f>IF(BB86&gt;0,BB96/BB86,0)</f>
        <v/>
      </c>
      <c r="BC101" s="54">
        <f>IF(BC86&gt;0,BC96/BC86,0)</f>
        <v/>
      </c>
      <c r="BD101" s="54">
        <f>IF(BD86&gt;0,BD96/BD86,0)</f>
        <v/>
      </c>
      <c r="BE101" s="54">
        <f>IF(BE86&gt;0,BE96/BE86,0)</f>
        <v/>
      </c>
    </row>
    <row r="102">
      <c r="B102" s="7" t="inlineStr">
        <is>
          <t>Break-even dropout reduction needed</t>
        </is>
      </c>
      <c r="C102" s="5" t="inlineStr">
        <is>
          <t>%</t>
        </is>
      </c>
      <c r="D102" s="40">
        <f>IF(D79&gt;0,D101/D79,0)</f>
        <v/>
      </c>
      <c r="E102" s="40">
        <f>IF(E79&gt;0,E101/E79,0)</f>
        <v/>
      </c>
      <c r="F102" s="40">
        <f>IF(F79&gt;0,F101/F79,0)</f>
        <v/>
      </c>
      <c r="G102" s="40">
        <f>IF(G79&gt;0,G101/G79,0)</f>
        <v/>
      </c>
      <c r="H102" s="40">
        <f>IF(H79&gt;0,H101/H79,0)</f>
        <v/>
      </c>
      <c r="I102" s="40">
        <f>IF(I79&gt;0,I101/I79,0)</f>
        <v/>
      </c>
      <c r="J102" s="40">
        <f>IF(J79&gt;0,J101/J79,0)</f>
        <v/>
      </c>
      <c r="K102" s="40">
        <f>IF(K79&gt;0,K101/K79,0)</f>
        <v/>
      </c>
      <c r="L102" s="40">
        <f>IF(L79&gt;0,L101/L79,0)</f>
        <v/>
      </c>
      <c r="M102" s="40">
        <f>IF(M79&gt;0,M101/M79,0)</f>
        <v/>
      </c>
      <c r="N102" s="40">
        <f>IF(N79&gt;0,N101/N79,0)</f>
        <v/>
      </c>
      <c r="O102" s="40">
        <f>IF(O79&gt;0,O101/O79,0)</f>
        <v/>
      </c>
      <c r="P102" s="40">
        <f>IF(P79&gt;0,P101/P79,0)</f>
        <v/>
      </c>
      <c r="Q102" s="40">
        <f>IF(Q79&gt;0,Q101/Q79,0)</f>
        <v/>
      </c>
      <c r="R102" s="40">
        <f>IF(R79&gt;0,R101/R79,0)</f>
        <v/>
      </c>
      <c r="S102" s="40">
        <f>IF(S79&gt;0,S101/S79,0)</f>
        <v/>
      </c>
      <c r="T102" s="40">
        <f>IF(T79&gt;0,T101/T79,0)</f>
        <v/>
      </c>
      <c r="U102" s="40">
        <f>IF(U79&gt;0,U101/U79,0)</f>
        <v/>
      </c>
      <c r="V102" s="40">
        <f>IF(V79&gt;0,V101/V79,0)</f>
        <v/>
      </c>
      <c r="W102" s="40">
        <f>IF(W79&gt;0,W101/W79,0)</f>
        <v/>
      </c>
      <c r="X102" s="40">
        <f>IF(X79&gt;0,X101/X79,0)</f>
        <v/>
      </c>
      <c r="Y102" s="40">
        <f>IF(Y79&gt;0,Y101/Y79,0)</f>
        <v/>
      </c>
      <c r="Z102" s="40">
        <f>IF(Z79&gt;0,Z101/Z79,0)</f>
        <v/>
      </c>
      <c r="AA102" s="40">
        <f>IF(AA79&gt;0,AA101/AA79,0)</f>
        <v/>
      </c>
      <c r="AB102" s="40">
        <f>IF(AB79&gt;0,AB101/AB79,0)</f>
        <v/>
      </c>
      <c r="AC102" s="40">
        <f>IF(AC79&gt;0,AC101/AC79,0)</f>
        <v/>
      </c>
      <c r="AD102" s="40">
        <f>IF(AD79&gt;0,AD101/AD79,0)</f>
        <v/>
      </c>
      <c r="AE102" s="40">
        <f>IF(AE79&gt;0,AE101/AE79,0)</f>
        <v/>
      </c>
      <c r="AF102" s="40">
        <f>IF(AF79&gt;0,AF101/AF79,0)</f>
        <v/>
      </c>
      <c r="AG102" s="40">
        <f>IF(AG79&gt;0,AG101/AG79,0)</f>
        <v/>
      </c>
      <c r="AH102" s="40">
        <f>IF(AH79&gt;0,AH101/AH79,0)</f>
        <v/>
      </c>
      <c r="AI102" s="40">
        <f>IF(AI79&gt;0,AI101/AI79,0)</f>
        <v/>
      </c>
      <c r="AJ102" s="40">
        <f>IF(AJ79&gt;0,AJ101/AJ79,0)</f>
        <v/>
      </c>
      <c r="AK102" s="40">
        <f>IF(AK79&gt;0,AK101/AK79,0)</f>
        <v/>
      </c>
      <c r="AL102" s="40">
        <f>IF(AL79&gt;0,AL101/AL79,0)</f>
        <v/>
      </c>
      <c r="AM102" s="40">
        <f>IF(AM79&gt;0,AM101/AM79,0)</f>
        <v/>
      </c>
      <c r="AN102" s="40">
        <f>IF(AN79&gt;0,AN101/AN79,0)</f>
        <v/>
      </c>
      <c r="AO102" s="40">
        <f>IF(AO79&gt;0,AO101/AO79,0)</f>
        <v/>
      </c>
      <c r="AP102" s="40">
        <f>IF(AP79&gt;0,AP101/AP79,0)</f>
        <v/>
      </c>
      <c r="AQ102" s="40">
        <f>IF(AQ79&gt;0,AQ101/AQ79,0)</f>
        <v/>
      </c>
      <c r="AR102" s="40">
        <f>IF(AR79&gt;0,AR101/AR79,0)</f>
        <v/>
      </c>
      <c r="AS102" s="40">
        <f>IF(AS79&gt;0,AS101/AS79,0)</f>
        <v/>
      </c>
      <c r="AT102" s="40">
        <f>IF(AT79&gt;0,AT101/AT79,0)</f>
        <v/>
      </c>
      <c r="AU102" s="40">
        <f>IF(AU79&gt;0,AU101/AU79,0)</f>
        <v/>
      </c>
      <c r="AV102" s="40">
        <f>IF(AV79&gt;0,AV101/AV79,0)</f>
        <v/>
      </c>
      <c r="AW102" s="40">
        <f>IF(AW79&gt;0,AW101/AW79,0)</f>
        <v/>
      </c>
      <c r="AX102" s="40">
        <f>IF(AX79&gt;0,AX101/AX79,0)</f>
        <v/>
      </c>
      <c r="AY102" s="40">
        <f>IF(AY79&gt;0,AY101/AY79,0)</f>
        <v/>
      </c>
      <c r="AZ102" s="40">
        <f>IF(AZ79&gt;0,AZ101/AZ79,0)</f>
        <v/>
      </c>
      <c r="BA102" s="40">
        <f>IF(BA79&gt;0,BA101/BA79,0)</f>
        <v/>
      </c>
      <c r="BB102" s="40">
        <f>IF(BB79&gt;0,BB101/BB79,0)</f>
        <v/>
      </c>
      <c r="BC102" s="40">
        <f>IF(BC79&gt;0,BC101/BC79,0)</f>
        <v/>
      </c>
      <c r="BD102" s="40">
        <f>IF(BD79&gt;0,BD101/BD79,0)</f>
        <v/>
      </c>
      <c r="BE102" s="40">
        <f>IF(BE79&gt;0,BE101/BE79,0)</f>
        <v/>
      </c>
    </row>
    <row r="103">
      <c r="B103" s="7" t="inlineStr">
        <is>
          <t>Admissions uplift needed to break even, after fees + staff time</t>
        </is>
      </c>
      <c r="C103" s="5" t="inlineStr">
        <is>
          <t>% of students</t>
        </is>
      </c>
      <c r="D103" s="40">
        <f>IF(D21*D29*D42&gt;0,MAX(0,D96-D87-D89)/(D21*D29*D42),0)</f>
        <v/>
      </c>
      <c r="E103" s="40">
        <f>IF(E21*E29*E42&gt;0,MAX(0,E96-E87-E89)/(E21*E29*E42),0)</f>
        <v/>
      </c>
      <c r="F103" s="40">
        <f>IF(F21*F29*F42&gt;0,MAX(0,F96-F87-F89)/(F21*F29*F42),0)</f>
        <v/>
      </c>
      <c r="G103" s="40">
        <f>IF(G21*G29*G42&gt;0,MAX(0,G96-G87-G89)/(G21*G29*G42),0)</f>
        <v/>
      </c>
      <c r="H103" s="40">
        <f>IF(H21*H29*H42&gt;0,MAX(0,H96-H87-H89)/(H21*H29*H42),0)</f>
        <v/>
      </c>
      <c r="I103" s="40">
        <f>IF(I21*I29*I42&gt;0,MAX(0,I96-I87-I89)/(I21*I29*I42),0)</f>
        <v/>
      </c>
      <c r="J103" s="40">
        <f>IF(J21*J29*J42&gt;0,MAX(0,J96-J87-J89)/(J21*J29*J42),0)</f>
        <v/>
      </c>
      <c r="K103" s="40">
        <f>IF(K21*K29*K42&gt;0,MAX(0,K96-K87-K89)/(K21*K29*K42),0)</f>
        <v/>
      </c>
      <c r="L103" s="40">
        <f>IF(L21*L29*L42&gt;0,MAX(0,L96-L87-L89)/(L21*L29*L42),0)</f>
        <v/>
      </c>
      <c r="M103" s="40">
        <f>IF(M21*M29*M42&gt;0,MAX(0,M96-M87-M89)/(M21*M29*M42),0)</f>
        <v/>
      </c>
      <c r="N103" s="40">
        <f>IF(N21*N29*N42&gt;0,MAX(0,N96-N87-N89)/(N21*N29*N42),0)</f>
        <v/>
      </c>
      <c r="O103" s="40">
        <f>IF(O21*O29*O42&gt;0,MAX(0,O96-O87-O89)/(O21*O29*O42),0)</f>
        <v/>
      </c>
      <c r="P103" s="40">
        <f>IF(P21*P29*P42&gt;0,MAX(0,P96-P87-P89)/(P21*P29*P42),0)</f>
        <v/>
      </c>
      <c r="Q103" s="40">
        <f>IF(Q21*Q29*Q42&gt;0,MAX(0,Q96-Q87-Q89)/(Q21*Q29*Q42),0)</f>
        <v/>
      </c>
      <c r="R103" s="40">
        <f>IF(R21*R29*R42&gt;0,MAX(0,R96-R87-R89)/(R21*R29*R42),0)</f>
        <v/>
      </c>
      <c r="S103" s="40">
        <f>IF(S21*S29*S42&gt;0,MAX(0,S96-S87-S89)/(S21*S29*S42),0)</f>
        <v/>
      </c>
      <c r="T103" s="40">
        <f>IF(T21*T29*T42&gt;0,MAX(0,T96-T87-T89)/(T21*T29*T42),0)</f>
        <v/>
      </c>
      <c r="U103" s="40">
        <f>IF(U21*U29*U42&gt;0,MAX(0,U96-U87-U89)/(U21*U29*U42),0)</f>
        <v/>
      </c>
      <c r="V103" s="40">
        <f>IF(V21*V29*V42&gt;0,MAX(0,V96-V87-V89)/(V21*V29*V42),0)</f>
        <v/>
      </c>
      <c r="W103" s="40">
        <f>IF(W21*W29*W42&gt;0,MAX(0,W96-W87-W89)/(W21*W29*W42),0)</f>
        <v/>
      </c>
      <c r="X103" s="40">
        <f>IF(X21*X29*X42&gt;0,MAX(0,X96-X87-X89)/(X21*X29*X42),0)</f>
        <v/>
      </c>
      <c r="Y103" s="40">
        <f>IF(Y21*Y29*Y42&gt;0,MAX(0,Y96-Y87-Y89)/(Y21*Y29*Y42),0)</f>
        <v/>
      </c>
      <c r="Z103" s="40">
        <f>IF(Z21*Z29*Z42&gt;0,MAX(0,Z96-Z87-Z89)/(Z21*Z29*Z42),0)</f>
        <v/>
      </c>
      <c r="AA103" s="40">
        <f>IF(AA21*AA29*AA42&gt;0,MAX(0,AA96-AA87-AA89)/(AA21*AA29*AA42),0)</f>
        <v/>
      </c>
      <c r="AB103" s="40">
        <f>IF(AB21*AB29*AB42&gt;0,MAX(0,AB96-AB87-AB89)/(AB21*AB29*AB42),0)</f>
        <v/>
      </c>
      <c r="AC103" s="40">
        <f>IF(AC21*AC29*AC42&gt;0,MAX(0,AC96-AC87-AC89)/(AC21*AC29*AC42),0)</f>
        <v/>
      </c>
      <c r="AD103" s="40">
        <f>IF(AD21*AD29*AD42&gt;0,MAX(0,AD96-AD87-AD89)/(AD21*AD29*AD42),0)</f>
        <v/>
      </c>
      <c r="AE103" s="40">
        <f>IF(AE21*AE29*AE42&gt;0,MAX(0,AE96-AE87-AE89)/(AE21*AE29*AE42),0)</f>
        <v/>
      </c>
      <c r="AF103" s="40">
        <f>IF(AF21*AF29*AF42&gt;0,MAX(0,AF96-AF87-AF89)/(AF21*AF29*AF42),0)</f>
        <v/>
      </c>
      <c r="AG103" s="40">
        <f>IF(AG21*AG29*AG42&gt;0,MAX(0,AG96-AG87-AG89)/(AG21*AG29*AG42),0)</f>
        <v/>
      </c>
      <c r="AH103" s="40">
        <f>IF(AH21*AH29*AH42&gt;0,MAX(0,AH96-AH87-AH89)/(AH21*AH29*AH42),0)</f>
        <v/>
      </c>
      <c r="AI103" s="40">
        <f>IF(AI21*AI29*AI42&gt;0,MAX(0,AI96-AI87-AI89)/(AI21*AI29*AI42),0)</f>
        <v/>
      </c>
      <c r="AJ103" s="40">
        <f>IF(AJ21*AJ29*AJ42&gt;0,MAX(0,AJ96-AJ87-AJ89)/(AJ21*AJ29*AJ42),0)</f>
        <v/>
      </c>
      <c r="AK103" s="40">
        <f>IF(AK21*AK29*AK42&gt;0,MAX(0,AK96-AK87-AK89)/(AK21*AK29*AK42),0)</f>
        <v/>
      </c>
      <c r="AL103" s="40">
        <f>IF(AL21*AL29*AL42&gt;0,MAX(0,AL96-AL87-AL89)/(AL21*AL29*AL42),0)</f>
        <v/>
      </c>
      <c r="AM103" s="40">
        <f>IF(AM21*AM29*AM42&gt;0,MAX(0,AM96-AM87-AM89)/(AM21*AM29*AM42),0)</f>
        <v/>
      </c>
      <c r="AN103" s="40">
        <f>IF(AN21*AN29*AN42&gt;0,MAX(0,AN96-AN87-AN89)/(AN21*AN29*AN42),0)</f>
        <v/>
      </c>
      <c r="AO103" s="40">
        <f>IF(AO21*AO29*AO42&gt;0,MAX(0,AO96-AO87-AO89)/(AO21*AO29*AO42),0)</f>
        <v/>
      </c>
      <c r="AP103" s="40">
        <f>IF(AP21*AP29*AP42&gt;0,MAX(0,AP96-AP87-AP89)/(AP21*AP29*AP42),0)</f>
        <v/>
      </c>
      <c r="AQ103" s="40">
        <f>IF(AQ21*AQ29*AQ42&gt;0,MAX(0,AQ96-AQ87-AQ89)/(AQ21*AQ29*AQ42),0)</f>
        <v/>
      </c>
      <c r="AR103" s="40">
        <f>IF(AR21*AR29*AR42&gt;0,MAX(0,AR96-AR87-AR89)/(AR21*AR29*AR42),0)</f>
        <v/>
      </c>
      <c r="AS103" s="40">
        <f>IF(AS21*AS29*AS42&gt;0,MAX(0,AS96-AS87-AS89)/(AS21*AS29*AS42),0)</f>
        <v/>
      </c>
      <c r="AT103" s="40">
        <f>IF(AT21*AT29*AT42&gt;0,MAX(0,AT96-AT87-AT89)/(AT21*AT29*AT42),0)</f>
        <v/>
      </c>
      <c r="AU103" s="40">
        <f>IF(AU21*AU29*AU42&gt;0,MAX(0,AU96-AU87-AU89)/(AU21*AU29*AU42),0)</f>
        <v/>
      </c>
      <c r="AV103" s="40">
        <f>IF(AV21*AV29*AV42&gt;0,MAX(0,AV96-AV87-AV89)/(AV21*AV29*AV42),0)</f>
        <v/>
      </c>
      <c r="AW103" s="40">
        <f>IF(AW21*AW29*AW42&gt;0,MAX(0,AW96-AW87-AW89)/(AW21*AW29*AW42),0)</f>
        <v/>
      </c>
      <c r="AX103" s="40">
        <f>IF(AX21*AX29*AX42&gt;0,MAX(0,AX96-AX87-AX89)/(AX21*AX29*AX42),0)</f>
        <v/>
      </c>
      <c r="AY103" s="40">
        <f>IF(AY21*AY29*AY42&gt;0,MAX(0,AY96-AY87-AY89)/(AY21*AY29*AY42),0)</f>
        <v/>
      </c>
      <c r="AZ103" s="40">
        <f>IF(AZ21*AZ29*AZ42&gt;0,MAX(0,AZ96-AZ87-AZ89)/(AZ21*AZ29*AZ42),0)</f>
        <v/>
      </c>
      <c r="BA103" s="40">
        <f>IF(BA21*BA29*BA42&gt;0,MAX(0,BA96-BA87-BA89)/(BA21*BA29*BA42),0)</f>
        <v/>
      </c>
      <c r="BB103" s="40">
        <f>IF(BB21*BB29*BB42&gt;0,MAX(0,BB96-BB87-BB89)/(BB21*BB29*BB42),0)</f>
        <v/>
      </c>
      <c r="BC103" s="40">
        <f>IF(BC21*BC29*BC42&gt;0,MAX(0,BC96-BC87-BC89)/(BC21*BC29*BC42),0)</f>
        <v/>
      </c>
      <c r="BD103" s="40">
        <f>IF(BD21*BD29*BD42&gt;0,MAX(0,BD96-BD87-BD89)/(BD21*BD29*BD42),0)</f>
        <v/>
      </c>
      <c r="BE103" s="40">
        <f>IF(BE21*BE29*BE42&gt;0,MAX(0,BE96-BE87-BE89)/(BE21*BE29*BE42),0)</f>
        <v/>
      </c>
    </row>
    <row r="104">
      <c r="B104" s="7" t="inlineStr">
        <is>
          <t>…in extra admissions per year</t>
        </is>
      </c>
      <c r="C104" s="5" t="inlineStr">
        <is>
          <t>students/yr</t>
        </is>
      </c>
      <c r="D104" s="54">
        <f>D103*D21</f>
        <v/>
      </c>
      <c r="E104" s="54">
        <f>E103*E21</f>
        <v/>
      </c>
      <c r="F104" s="54">
        <f>F103*F21</f>
        <v/>
      </c>
      <c r="G104" s="54">
        <f>G103*G21</f>
        <v/>
      </c>
      <c r="H104" s="54">
        <f>H103*H21</f>
        <v/>
      </c>
      <c r="I104" s="54">
        <f>I103*I21</f>
        <v/>
      </c>
      <c r="J104" s="54">
        <f>J103*J21</f>
        <v/>
      </c>
      <c r="K104" s="54">
        <f>K103*K21</f>
        <v/>
      </c>
      <c r="L104" s="54">
        <f>L103*L21</f>
        <v/>
      </c>
      <c r="M104" s="54">
        <f>M103*M21</f>
        <v/>
      </c>
      <c r="N104" s="54">
        <f>N103*N21</f>
        <v/>
      </c>
      <c r="O104" s="54">
        <f>O103*O21</f>
        <v/>
      </c>
      <c r="P104" s="54">
        <f>P103*P21</f>
        <v/>
      </c>
      <c r="Q104" s="54">
        <f>Q103*Q21</f>
        <v/>
      </c>
      <c r="R104" s="54">
        <f>R103*R21</f>
        <v/>
      </c>
      <c r="S104" s="54">
        <f>S103*S21</f>
        <v/>
      </c>
      <c r="T104" s="54">
        <f>T103*T21</f>
        <v/>
      </c>
      <c r="U104" s="54">
        <f>U103*U21</f>
        <v/>
      </c>
      <c r="V104" s="54">
        <f>V103*V21</f>
        <v/>
      </c>
      <c r="W104" s="54">
        <f>W103*W21</f>
        <v/>
      </c>
      <c r="X104" s="54">
        <f>X103*X21</f>
        <v/>
      </c>
      <c r="Y104" s="54">
        <f>Y103*Y21</f>
        <v/>
      </c>
      <c r="Z104" s="54">
        <f>Z103*Z21</f>
        <v/>
      </c>
      <c r="AA104" s="54">
        <f>AA103*AA21</f>
        <v/>
      </c>
      <c r="AB104" s="54">
        <f>AB103*AB21</f>
        <v/>
      </c>
      <c r="AC104" s="54">
        <f>AC103*AC21</f>
        <v/>
      </c>
      <c r="AD104" s="54">
        <f>AD103*AD21</f>
        <v/>
      </c>
      <c r="AE104" s="54">
        <f>AE103*AE21</f>
        <v/>
      </c>
      <c r="AF104" s="54">
        <f>AF103*AF21</f>
        <v/>
      </c>
      <c r="AG104" s="54">
        <f>AG103*AG21</f>
        <v/>
      </c>
      <c r="AH104" s="54">
        <f>AH103*AH21</f>
        <v/>
      </c>
      <c r="AI104" s="54">
        <f>AI103*AI21</f>
        <v/>
      </c>
      <c r="AJ104" s="54">
        <f>AJ103*AJ21</f>
        <v/>
      </c>
      <c r="AK104" s="54">
        <f>AK103*AK21</f>
        <v/>
      </c>
      <c r="AL104" s="54">
        <f>AL103*AL21</f>
        <v/>
      </c>
      <c r="AM104" s="54">
        <f>AM103*AM21</f>
        <v/>
      </c>
      <c r="AN104" s="54">
        <f>AN103*AN21</f>
        <v/>
      </c>
      <c r="AO104" s="54">
        <f>AO103*AO21</f>
        <v/>
      </c>
      <c r="AP104" s="54">
        <f>AP103*AP21</f>
        <v/>
      </c>
      <c r="AQ104" s="54">
        <f>AQ103*AQ21</f>
        <v/>
      </c>
      <c r="AR104" s="54">
        <f>AR103*AR21</f>
        <v/>
      </c>
      <c r="AS104" s="54">
        <f>AS103*AS21</f>
        <v/>
      </c>
      <c r="AT104" s="54">
        <f>AT103*AT21</f>
        <v/>
      </c>
      <c r="AU104" s="54">
        <f>AU103*AU21</f>
        <v/>
      </c>
      <c r="AV104" s="54">
        <f>AV103*AV21</f>
        <v/>
      </c>
      <c r="AW104" s="54">
        <f>AW103*AW21</f>
        <v/>
      </c>
      <c r="AX104" s="54">
        <f>AX103*AX21</f>
        <v/>
      </c>
      <c r="AY104" s="54">
        <f>AY103*AY21</f>
        <v/>
      </c>
      <c r="AZ104" s="54">
        <f>AZ103*AZ21</f>
        <v/>
      </c>
      <c r="BA104" s="54">
        <f>BA103*BA21</f>
        <v/>
      </c>
      <c r="BB104" s="54">
        <f>BB103*BB21</f>
        <v/>
      </c>
      <c r="BC104" s="54">
        <f>BC103*BC21</f>
        <v/>
      </c>
      <c r="BD104" s="54">
        <f>BD103*BD21</f>
        <v/>
      </c>
      <c r="BE104" s="54">
        <f>BE103*BE21</f>
        <v/>
      </c>
    </row>
    <row r="105">
      <c r="B105" s="7" t="inlineStr">
        <is>
          <t>Platform cost per student per year (incl. unreclaimed GST)</t>
        </is>
      </c>
      <c r="C105" s="5" t="inlineStr">
        <is>
          <t>₹/student/yr</t>
        </is>
      </c>
      <c r="D105" s="52">
        <f>(D91+D92)/D21</f>
        <v/>
      </c>
      <c r="E105" s="52">
        <f>(E91+E92)/E21</f>
        <v/>
      </c>
      <c r="F105" s="52">
        <f>(F91+F92)/F21</f>
        <v/>
      </c>
      <c r="G105" s="52">
        <f>(G91+G92)/G21</f>
        <v/>
      </c>
      <c r="H105" s="52">
        <f>(H91+H92)/H21</f>
        <v/>
      </c>
      <c r="I105" s="52">
        <f>(I91+I92)/I21</f>
        <v/>
      </c>
      <c r="J105" s="52">
        <f>(J91+J92)/J21</f>
        <v/>
      </c>
      <c r="K105" s="52">
        <f>(K91+K92)/K21</f>
        <v/>
      </c>
      <c r="L105" s="52">
        <f>(L91+L92)/L21</f>
        <v/>
      </c>
      <c r="M105" s="52">
        <f>(M91+M92)/M21</f>
        <v/>
      </c>
      <c r="N105" s="52">
        <f>(N91+N92)/N21</f>
        <v/>
      </c>
      <c r="O105" s="52">
        <f>(O91+O92)/O21</f>
        <v/>
      </c>
      <c r="P105" s="52">
        <f>(P91+P92)/P21</f>
        <v/>
      </c>
      <c r="Q105" s="52">
        <f>(Q91+Q92)/Q21</f>
        <v/>
      </c>
      <c r="R105" s="52">
        <f>(R91+R92)/R21</f>
        <v/>
      </c>
      <c r="S105" s="52">
        <f>(S91+S92)/S21</f>
        <v/>
      </c>
      <c r="T105" s="52">
        <f>(T91+T92)/T21</f>
        <v/>
      </c>
      <c r="U105" s="52">
        <f>(U91+U92)/U21</f>
        <v/>
      </c>
      <c r="V105" s="52">
        <f>(V91+V92)/V21</f>
        <v/>
      </c>
      <c r="W105" s="52">
        <f>(W91+W92)/W21</f>
        <v/>
      </c>
      <c r="X105" s="52">
        <f>(X91+X92)/X21</f>
        <v/>
      </c>
      <c r="Y105" s="52">
        <f>(Y91+Y92)/Y21</f>
        <v/>
      </c>
      <c r="Z105" s="52">
        <f>(Z91+Z92)/Z21</f>
        <v/>
      </c>
      <c r="AA105" s="52">
        <f>(AA91+AA92)/AA21</f>
        <v/>
      </c>
      <c r="AB105" s="52">
        <f>(AB91+AB92)/AB21</f>
        <v/>
      </c>
      <c r="AC105" s="52">
        <f>(AC91+AC92)/AC21</f>
        <v/>
      </c>
      <c r="AD105" s="52">
        <f>(AD91+AD92)/AD21</f>
        <v/>
      </c>
      <c r="AE105" s="52">
        <f>(AE91+AE92)/AE21</f>
        <v/>
      </c>
      <c r="AF105" s="52">
        <f>(AF91+AF92)/AF21</f>
        <v/>
      </c>
      <c r="AG105" s="52">
        <f>(AG91+AG92)/AG21</f>
        <v/>
      </c>
      <c r="AH105" s="52">
        <f>(AH91+AH92)/AH21</f>
        <v/>
      </c>
      <c r="AI105" s="52">
        <f>(AI91+AI92)/AI21</f>
        <v/>
      </c>
      <c r="AJ105" s="52">
        <f>(AJ91+AJ92)/AJ21</f>
        <v/>
      </c>
      <c r="AK105" s="52">
        <f>(AK91+AK92)/AK21</f>
        <v/>
      </c>
      <c r="AL105" s="52">
        <f>(AL91+AL92)/AL21</f>
        <v/>
      </c>
      <c r="AM105" s="52">
        <f>(AM91+AM92)/AM21</f>
        <v/>
      </c>
      <c r="AN105" s="52">
        <f>(AN91+AN92)/AN21</f>
        <v/>
      </c>
      <c r="AO105" s="52">
        <f>(AO91+AO92)/AO21</f>
        <v/>
      </c>
      <c r="AP105" s="52">
        <f>(AP91+AP92)/AP21</f>
        <v/>
      </c>
      <c r="AQ105" s="52">
        <f>(AQ91+AQ92)/AQ21</f>
        <v/>
      </c>
      <c r="AR105" s="52">
        <f>(AR91+AR92)/AR21</f>
        <v/>
      </c>
      <c r="AS105" s="52">
        <f>(AS91+AS92)/AS21</f>
        <v/>
      </c>
      <c r="AT105" s="52">
        <f>(AT91+AT92)/AT21</f>
        <v/>
      </c>
      <c r="AU105" s="52">
        <f>(AU91+AU92)/AU21</f>
        <v/>
      </c>
      <c r="AV105" s="52">
        <f>(AV91+AV92)/AV21</f>
        <v/>
      </c>
      <c r="AW105" s="52">
        <f>(AW91+AW92)/AW21</f>
        <v/>
      </c>
      <c r="AX105" s="52">
        <f>(AX91+AX92)/AX21</f>
        <v/>
      </c>
      <c r="AY105" s="52">
        <f>(AY91+AY92)/AY21</f>
        <v/>
      </c>
      <c r="AZ105" s="52">
        <f>(AZ91+AZ92)/AZ21</f>
        <v/>
      </c>
      <c r="BA105" s="52">
        <f>(BA91+BA92)/BA21</f>
        <v/>
      </c>
      <c r="BB105" s="52">
        <f>(BB91+BB92)/BB21</f>
        <v/>
      </c>
      <c r="BC105" s="52">
        <f>(BC91+BC92)/BC21</f>
        <v/>
      </c>
      <c r="BD105" s="52">
        <f>(BD91+BD92)/BD21</f>
        <v/>
      </c>
      <c r="BE105" s="52">
        <f>(BE91+BE92)/BE21</f>
        <v/>
      </c>
    </row>
    <row r="106">
      <c r="B106" s="7" t="inlineStr">
        <is>
          <t>Platform cost as % of the student's fee</t>
        </is>
      </c>
      <c r="C106" s="5" t="inlineStr">
        <is>
          <t>%</t>
        </is>
      </c>
      <c r="D106" s="40">
        <f>D105/D29</f>
        <v/>
      </c>
      <c r="E106" s="40">
        <f>E105/E29</f>
        <v/>
      </c>
      <c r="F106" s="40">
        <f>F105/F29</f>
        <v/>
      </c>
      <c r="G106" s="40">
        <f>G105/G29</f>
        <v/>
      </c>
      <c r="H106" s="40">
        <f>H105/H29</f>
        <v/>
      </c>
      <c r="I106" s="40">
        <f>I105/I29</f>
        <v/>
      </c>
      <c r="J106" s="40">
        <f>J105/J29</f>
        <v/>
      </c>
      <c r="K106" s="40">
        <f>K105/K29</f>
        <v/>
      </c>
      <c r="L106" s="40">
        <f>L105/L29</f>
        <v/>
      </c>
      <c r="M106" s="40">
        <f>M105/M29</f>
        <v/>
      </c>
      <c r="N106" s="40">
        <f>N105/N29</f>
        <v/>
      </c>
      <c r="O106" s="40">
        <f>O105/O29</f>
        <v/>
      </c>
      <c r="P106" s="40">
        <f>P105/P29</f>
        <v/>
      </c>
      <c r="Q106" s="40">
        <f>Q105/Q29</f>
        <v/>
      </c>
      <c r="R106" s="40">
        <f>R105/R29</f>
        <v/>
      </c>
      <c r="S106" s="40">
        <f>S105/S29</f>
        <v/>
      </c>
      <c r="T106" s="40">
        <f>T105/T29</f>
        <v/>
      </c>
      <c r="U106" s="40">
        <f>U105/U29</f>
        <v/>
      </c>
      <c r="V106" s="40">
        <f>V105/V29</f>
        <v/>
      </c>
      <c r="W106" s="40">
        <f>W105/W29</f>
        <v/>
      </c>
      <c r="X106" s="40">
        <f>X105/X29</f>
        <v/>
      </c>
      <c r="Y106" s="40">
        <f>Y105/Y29</f>
        <v/>
      </c>
      <c r="Z106" s="40">
        <f>Z105/Z29</f>
        <v/>
      </c>
      <c r="AA106" s="40">
        <f>AA105/AA29</f>
        <v/>
      </c>
      <c r="AB106" s="40">
        <f>AB105/AB29</f>
        <v/>
      </c>
      <c r="AC106" s="40">
        <f>AC105/AC29</f>
        <v/>
      </c>
      <c r="AD106" s="40">
        <f>AD105/AD29</f>
        <v/>
      </c>
      <c r="AE106" s="40">
        <f>AE105/AE29</f>
        <v/>
      </c>
      <c r="AF106" s="40">
        <f>AF105/AF29</f>
        <v/>
      </c>
      <c r="AG106" s="40">
        <f>AG105/AG29</f>
        <v/>
      </c>
      <c r="AH106" s="40">
        <f>AH105/AH29</f>
        <v/>
      </c>
      <c r="AI106" s="40">
        <f>AI105/AI29</f>
        <v/>
      </c>
      <c r="AJ106" s="40">
        <f>AJ105/AJ29</f>
        <v/>
      </c>
      <c r="AK106" s="40">
        <f>AK105/AK29</f>
        <v/>
      </c>
      <c r="AL106" s="40">
        <f>AL105/AL29</f>
        <v/>
      </c>
      <c r="AM106" s="40">
        <f>AM105/AM29</f>
        <v/>
      </c>
      <c r="AN106" s="40">
        <f>AN105/AN29</f>
        <v/>
      </c>
      <c r="AO106" s="40">
        <f>AO105/AO29</f>
        <v/>
      </c>
      <c r="AP106" s="40">
        <f>AP105/AP29</f>
        <v/>
      </c>
      <c r="AQ106" s="40">
        <f>AQ105/AQ29</f>
        <v/>
      </c>
      <c r="AR106" s="40">
        <f>AR105/AR29</f>
        <v/>
      </c>
      <c r="AS106" s="40">
        <f>AS105/AS29</f>
        <v/>
      </c>
      <c r="AT106" s="40">
        <f>AT105/AT29</f>
        <v/>
      </c>
      <c r="AU106" s="40">
        <f>AU105/AU29</f>
        <v/>
      </c>
      <c r="AV106" s="40">
        <f>AV105/AV29</f>
        <v/>
      </c>
      <c r="AW106" s="40">
        <f>AW105/AW29</f>
        <v/>
      </c>
      <c r="AX106" s="40">
        <f>AX105/AX29</f>
        <v/>
      </c>
      <c r="AY106" s="40">
        <f>AY105/AY29</f>
        <v/>
      </c>
      <c r="AZ106" s="40">
        <f>AZ105/AZ29</f>
        <v/>
      </c>
      <c r="BA106" s="40">
        <f>BA105/BA29</f>
        <v/>
      </c>
      <c r="BB106" s="40">
        <f>BB105/BB29</f>
        <v/>
      </c>
      <c r="BC106" s="40">
        <f>BC105/BC29</f>
        <v/>
      </c>
      <c r="BD106" s="40">
        <f>BD105/BD29</f>
        <v/>
      </c>
      <c r="BE106" s="40">
        <f>BE105/BE29</f>
        <v/>
      </c>
    </row>
    <row r="107">
      <c r="B107" s="7" t="inlineStr">
        <is>
          <t>Collected revenue, first 12 paid months (ex-GST, after bad debt)</t>
        </is>
      </c>
      <c r="C107" s="5" t="inlineStr">
        <is>
          <t>₹/yr</t>
        </is>
      </c>
      <c r="D107" s="52">
        <f>SUM(D131:D142)</f>
        <v/>
      </c>
      <c r="E107" s="52">
        <f>SUM(E131:E142)</f>
        <v/>
      </c>
      <c r="F107" s="52">
        <f>SUM(F131:F142)</f>
        <v/>
      </c>
      <c r="G107" s="52">
        <f>SUM(G131:G142)</f>
        <v/>
      </c>
      <c r="H107" s="52">
        <f>SUM(H131:H142)</f>
        <v/>
      </c>
      <c r="I107" s="52">
        <f>SUM(I131:I142)</f>
        <v/>
      </c>
      <c r="J107" s="52">
        <f>SUM(J131:J142)</f>
        <v/>
      </c>
      <c r="K107" s="52">
        <f>SUM(K131:K142)</f>
        <v/>
      </c>
      <c r="L107" s="52">
        <f>SUM(L131:L142)</f>
        <v/>
      </c>
      <c r="M107" s="52">
        <f>SUM(M131:M142)</f>
        <v/>
      </c>
      <c r="N107" s="52">
        <f>SUM(N131:N142)</f>
        <v/>
      </c>
      <c r="O107" s="52">
        <f>SUM(O131:O142)</f>
        <v/>
      </c>
      <c r="P107" s="52">
        <f>SUM(P131:P142)</f>
        <v/>
      </c>
      <c r="Q107" s="52">
        <f>SUM(Q131:Q142)</f>
        <v/>
      </c>
      <c r="R107" s="52">
        <f>SUM(R131:R142)</f>
        <v/>
      </c>
      <c r="S107" s="52">
        <f>SUM(S131:S142)</f>
        <v/>
      </c>
      <c r="T107" s="52">
        <f>SUM(T131:T142)</f>
        <v/>
      </c>
      <c r="U107" s="52">
        <f>SUM(U131:U142)</f>
        <v/>
      </c>
      <c r="V107" s="52">
        <f>SUM(V131:V142)</f>
        <v/>
      </c>
      <c r="W107" s="52">
        <f>SUM(W131:W142)</f>
        <v/>
      </c>
      <c r="X107" s="52">
        <f>SUM(X131:X142)</f>
        <v/>
      </c>
      <c r="Y107" s="52">
        <f>SUM(Y131:Y142)</f>
        <v/>
      </c>
      <c r="Z107" s="52">
        <f>SUM(Z131:Z142)</f>
        <v/>
      </c>
      <c r="AA107" s="52">
        <f>SUM(AA131:AA142)</f>
        <v/>
      </c>
      <c r="AB107" s="52">
        <f>SUM(AB131:AB142)</f>
        <v/>
      </c>
      <c r="AC107" s="52">
        <f>SUM(AC131:AC142)</f>
        <v/>
      </c>
      <c r="AD107" s="52">
        <f>SUM(AD131:AD142)</f>
        <v/>
      </c>
      <c r="AE107" s="52">
        <f>SUM(AE131:AE142)</f>
        <v/>
      </c>
      <c r="AF107" s="52">
        <f>SUM(AF131:AF142)</f>
        <v/>
      </c>
      <c r="AG107" s="52">
        <f>SUM(AG131:AG142)</f>
        <v/>
      </c>
      <c r="AH107" s="52">
        <f>SUM(AH131:AH142)</f>
        <v/>
      </c>
      <c r="AI107" s="52">
        <f>SUM(AI131:AI142)</f>
        <v/>
      </c>
      <c r="AJ107" s="52">
        <f>SUM(AJ131:AJ142)</f>
        <v/>
      </c>
      <c r="AK107" s="52">
        <f>SUM(AK131:AK142)</f>
        <v/>
      </c>
      <c r="AL107" s="52">
        <f>SUM(AL131:AL142)</f>
        <v/>
      </c>
      <c r="AM107" s="52">
        <f>SUM(AM131:AM142)</f>
        <v/>
      </c>
      <c r="AN107" s="52">
        <f>SUM(AN131:AN142)</f>
        <v/>
      </c>
      <c r="AO107" s="52">
        <f>SUM(AO131:AO142)</f>
        <v/>
      </c>
      <c r="AP107" s="52">
        <f>SUM(AP131:AP142)</f>
        <v/>
      </c>
      <c r="AQ107" s="52">
        <f>SUM(AQ131:AQ142)</f>
        <v/>
      </c>
      <c r="AR107" s="52">
        <f>SUM(AR131:AR142)</f>
        <v/>
      </c>
      <c r="AS107" s="52">
        <f>SUM(AS131:AS142)</f>
        <v/>
      </c>
      <c r="AT107" s="52">
        <f>SUM(AT131:AT142)</f>
        <v/>
      </c>
      <c r="AU107" s="52">
        <f>SUM(AU131:AU142)</f>
        <v/>
      </c>
      <c r="AV107" s="52">
        <f>SUM(AV131:AV142)</f>
        <v/>
      </c>
      <c r="AW107" s="52">
        <f>SUM(AW131:AW142)</f>
        <v/>
      </c>
      <c r="AX107" s="52">
        <f>SUM(AX131:AX142)</f>
        <v/>
      </c>
      <c r="AY107" s="52">
        <f>SUM(AY131:AY142)</f>
        <v/>
      </c>
      <c r="AZ107" s="52">
        <f>SUM(AZ131:AZ142)</f>
        <v/>
      </c>
      <c r="BA107" s="52">
        <f>SUM(BA131:BA142)</f>
        <v/>
      </c>
      <c r="BB107" s="52">
        <f>SUM(BB131:BB142)</f>
        <v/>
      </c>
      <c r="BC107" s="52">
        <f>SUM(BC131:BC142)</f>
        <v/>
      </c>
      <c r="BD107" s="52">
        <f>SUM(BD131:BD142)</f>
        <v/>
      </c>
      <c r="BE107" s="52">
        <f>SUM(BE131:BE142)</f>
        <v/>
      </c>
    </row>
    <row r="108">
      <c r="B108" s="7" t="inlineStr">
        <is>
          <t>Average monthly revenue</t>
        </is>
      </c>
      <c r="C108" s="5" t="inlineStr">
        <is>
          <t>₹/month</t>
        </is>
      </c>
      <c r="D108" s="52">
        <f>D107/12</f>
        <v/>
      </c>
      <c r="E108" s="52">
        <f>E107/12</f>
        <v/>
      </c>
      <c r="F108" s="52">
        <f>F107/12</f>
        <v/>
      </c>
      <c r="G108" s="52">
        <f>G107/12</f>
        <v/>
      </c>
      <c r="H108" s="52">
        <f>H107/12</f>
        <v/>
      </c>
      <c r="I108" s="52">
        <f>I107/12</f>
        <v/>
      </c>
      <c r="J108" s="52">
        <f>J107/12</f>
        <v/>
      </c>
      <c r="K108" s="52">
        <f>K107/12</f>
        <v/>
      </c>
      <c r="L108" s="52">
        <f>L107/12</f>
        <v/>
      </c>
      <c r="M108" s="52">
        <f>M107/12</f>
        <v/>
      </c>
      <c r="N108" s="52">
        <f>N107/12</f>
        <v/>
      </c>
      <c r="O108" s="52">
        <f>O107/12</f>
        <v/>
      </c>
      <c r="P108" s="52">
        <f>P107/12</f>
        <v/>
      </c>
      <c r="Q108" s="52">
        <f>Q107/12</f>
        <v/>
      </c>
      <c r="R108" s="52">
        <f>R107/12</f>
        <v/>
      </c>
      <c r="S108" s="52">
        <f>S107/12</f>
        <v/>
      </c>
      <c r="T108" s="52">
        <f>T107/12</f>
        <v/>
      </c>
      <c r="U108" s="52">
        <f>U107/12</f>
        <v/>
      </c>
      <c r="V108" s="52">
        <f>V107/12</f>
        <v/>
      </c>
      <c r="W108" s="52">
        <f>W107/12</f>
        <v/>
      </c>
      <c r="X108" s="52">
        <f>X107/12</f>
        <v/>
      </c>
      <c r="Y108" s="52">
        <f>Y107/12</f>
        <v/>
      </c>
      <c r="Z108" s="52">
        <f>Z107/12</f>
        <v/>
      </c>
      <c r="AA108" s="52">
        <f>AA107/12</f>
        <v/>
      </c>
      <c r="AB108" s="52">
        <f>AB107/12</f>
        <v/>
      </c>
      <c r="AC108" s="52">
        <f>AC107/12</f>
        <v/>
      </c>
      <c r="AD108" s="52">
        <f>AD107/12</f>
        <v/>
      </c>
      <c r="AE108" s="52">
        <f>AE107/12</f>
        <v/>
      </c>
      <c r="AF108" s="52">
        <f>AF107/12</f>
        <v/>
      </c>
      <c r="AG108" s="52">
        <f>AG107/12</f>
        <v/>
      </c>
      <c r="AH108" s="52">
        <f>AH107/12</f>
        <v/>
      </c>
      <c r="AI108" s="52">
        <f>AI107/12</f>
        <v/>
      </c>
      <c r="AJ108" s="52">
        <f>AJ107/12</f>
        <v/>
      </c>
      <c r="AK108" s="52">
        <f>AK107/12</f>
        <v/>
      </c>
      <c r="AL108" s="52">
        <f>AL107/12</f>
        <v/>
      </c>
      <c r="AM108" s="52">
        <f>AM107/12</f>
        <v/>
      </c>
      <c r="AN108" s="52">
        <f>AN107/12</f>
        <v/>
      </c>
      <c r="AO108" s="52">
        <f>AO107/12</f>
        <v/>
      </c>
      <c r="AP108" s="52">
        <f>AP107/12</f>
        <v/>
      </c>
      <c r="AQ108" s="52">
        <f>AQ107/12</f>
        <v/>
      </c>
      <c r="AR108" s="52">
        <f>AR107/12</f>
        <v/>
      </c>
      <c r="AS108" s="52">
        <f>AS107/12</f>
        <v/>
      </c>
      <c r="AT108" s="52">
        <f>AT107/12</f>
        <v/>
      </c>
      <c r="AU108" s="52">
        <f>AU107/12</f>
        <v/>
      </c>
      <c r="AV108" s="52">
        <f>AV107/12</f>
        <v/>
      </c>
      <c r="AW108" s="52">
        <f>AW107/12</f>
        <v/>
      </c>
      <c r="AX108" s="52">
        <f>AX107/12</f>
        <v/>
      </c>
      <c r="AY108" s="52">
        <f>AY107/12</f>
        <v/>
      </c>
      <c r="AZ108" s="52">
        <f>AZ107/12</f>
        <v/>
      </c>
      <c r="BA108" s="52">
        <f>BA107/12</f>
        <v/>
      </c>
      <c r="BB108" s="52">
        <f>BB107/12</f>
        <v/>
      </c>
      <c r="BC108" s="52">
        <f>BC107/12</f>
        <v/>
      </c>
      <c r="BD108" s="52">
        <f>BD107/12</f>
        <v/>
      </c>
      <c r="BE108" s="52">
        <f>BE107/12</f>
        <v/>
      </c>
    </row>
    <row r="109">
      <c r="B109" s="7" t="inlineStr">
        <is>
          <t>COGS, first 12 months (students × seasonality × COGS + fixed + gateway)</t>
        </is>
      </c>
      <c r="C109" s="5" t="inlineStr">
        <is>
          <t>₹/yr</t>
        </is>
      </c>
      <c r="D109" s="50">
        <f>D21*D71*SUM(Seasonality!$C$37:$C$48)+12*D73+D49*D107</f>
        <v/>
      </c>
      <c r="E109" s="50">
        <f>E21*E71*SUM(Seasonality!$C$37:$C$48)+12*E73+E49*E107</f>
        <v/>
      </c>
      <c r="F109" s="50">
        <f>F21*F71*SUM(Seasonality!$C$37:$C$48)+12*F73+F49*F107</f>
        <v/>
      </c>
      <c r="G109" s="50">
        <f>G21*G71*SUM(Seasonality!$C$37:$C$48)+12*G73+G49*G107</f>
        <v/>
      </c>
      <c r="H109" s="50">
        <f>H21*H71*SUM(Seasonality!$C$37:$C$48)+12*H73+H49*H107</f>
        <v/>
      </c>
      <c r="I109" s="50">
        <f>I21*I71*SUM(Seasonality!$C$37:$C$48)+12*I73+I49*I107</f>
        <v/>
      </c>
      <c r="J109" s="50">
        <f>J21*J71*SUM(Seasonality!$C$37:$C$48)+12*J73+J49*J107</f>
        <v/>
      </c>
      <c r="K109" s="50">
        <f>K21*K71*SUM(Seasonality!$C$37:$C$48)+12*K73+K49*K107</f>
        <v/>
      </c>
      <c r="L109" s="50">
        <f>L21*L71*SUM(Seasonality!$C$37:$C$48)+12*L73+L49*L107</f>
        <v/>
      </c>
      <c r="M109" s="50">
        <f>M21*M71*SUM(Seasonality!$C$37:$C$48)+12*M73+M49*M107</f>
        <v/>
      </c>
      <c r="N109" s="50">
        <f>N21*N71*SUM(Seasonality!$C$37:$C$48)+12*N73+N49*N107</f>
        <v/>
      </c>
      <c r="O109" s="50">
        <f>O21*O71*SUM(Seasonality!$C$37:$C$48)+12*O73+O49*O107</f>
        <v/>
      </c>
      <c r="P109" s="50">
        <f>P21*P71*SUM(Seasonality!$C$37:$C$48)+12*P73+P49*P107</f>
        <v/>
      </c>
      <c r="Q109" s="50">
        <f>Q21*Q71*SUM(Seasonality!$C$37:$C$48)+12*Q73+Q49*Q107</f>
        <v/>
      </c>
      <c r="R109" s="50">
        <f>R21*R71*SUM(Seasonality!$C$37:$C$48)+12*R73+R49*R107</f>
        <v/>
      </c>
      <c r="S109" s="50">
        <f>S21*S71*SUM(Seasonality!$C$37:$C$48)+12*S73+S49*S107</f>
        <v/>
      </c>
      <c r="T109" s="50">
        <f>T21*T71*SUM(Seasonality!$C$37:$C$48)+12*T73+T49*T107</f>
        <v/>
      </c>
      <c r="U109" s="50">
        <f>U21*U71*SUM(Seasonality!$C$37:$C$48)+12*U73+U49*U107</f>
        <v/>
      </c>
      <c r="V109" s="50">
        <f>V21*V71*SUM(Seasonality!$C$37:$C$48)+12*V73+V49*V107</f>
        <v/>
      </c>
      <c r="W109" s="50">
        <f>W21*W71*SUM(Seasonality!$C$37:$C$48)+12*W73+W49*W107</f>
        <v/>
      </c>
      <c r="X109" s="50">
        <f>X21*X71*SUM(Seasonality!$C$37:$C$48)+12*X73+X49*X107</f>
        <v/>
      </c>
      <c r="Y109" s="50">
        <f>Y21*Y71*SUM(Seasonality!$C$37:$C$48)+12*Y73+Y49*Y107</f>
        <v/>
      </c>
      <c r="Z109" s="50">
        <f>Z21*Z71*SUM(Seasonality!$C$37:$C$48)+12*Z73+Z49*Z107</f>
        <v/>
      </c>
      <c r="AA109" s="50">
        <f>AA21*AA71*SUM(Seasonality!$C$37:$C$48)+12*AA73+AA49*AA107</f>
        <v/>
      </c>
      <c r="AB109" s="50">
        <f>AB21*AB71*SUM(Seasonality!$C$37:$C$48)+12*AB73+AB49*AB107</f>
        <v/>
      </c>
      <c r="AC109" s="50">
        <f>AC21*AC71*SUM(Seasonality!$C$37:$C$48)+12*AC73+AC49*AC107</f>
        <v/>
      </c>
      <c r="AD109" s="50">
        <f>AD21*AD71*SUM(Seasonality!$C$37:$C$48)+12*AD73+AD49*AD107</f>
        <v/>
      </c>
      <c r="AE109" s="50">
        <f>AE21*AE71*SUM(Seasonality!$C$37:$C$48)+12*AE73+AE49*AE107</f>
        <v/>
      </c>
      <c r="AF109" s="50">
        <f>AF21*AF71*SUM(Seasonality!$C$37:$C$48)+12*AF73+AF49*AF107</f>
        <v/>
      </c>
      <c r="AG109" s="50">
        <f>AG21*AG71*SUM(Seasonality!$C$37:$C$48)+12*AG73+AG49*AG107</f>
        <v/>
      </c>
      <c r="AH109" s="50">
        <f>AH21*AH71*SUM(Seasonality!$C$37:$C$48)+12*AH73+AH49*AH107</f>
        <v/>
      </c>
      <c r="AI109" s="50">
        <f>AI21*AI71*SUM(Seasonality!$C$37:$C$48)+12*AI73+AI49*AI107</f>
        <v/>
      </c>
      <c r="AJ109" s="50">
        <f>AJ21*AJ71*SUM(Seasonality!$C$37:$C$48)+12*AJ73+AJ49*AJ107</f>
        <v/>
      </c>
      <c r="AK109" s="50">
        <f>AK21*AK71*SUM(Seasonality!$C$37:$C$48)+12*AK73+AK49*AK107</f>
        <v/>
      </c>
      <c r="AL109" s="50">
        <f>AL21*AL71*SUM(Seasonality!$C$37:$C$48)+12*AL73+AL49*AL107</f>
        <v/>
      </c>
      <c r="AM109" s="50">
        <f>AM21*AM71*SUM(Seasonality!$C$37:$C$48)+12*AM73+AM49*AM107</f>
        <v/>
      </c>
      <c r="AN109" s="50">
        <f>AN21*AN71*SUM(Seasonality!$C$37:$C$48)+12*AN73+AN49*AN107</f>
        <v/>
      </c>
      <c r="AO109" s="50">
        <f>AO21*AO71*SUM(Seasonality!$C$37:$C$48)+12*AO73+AO49*AO107</f>
        <v/>
      </c>
      <c r="AP109" s="50">
        <f>AP21*AP71*SUM(Seasonality!$C$37:$C$48)+12*AP73+AP49*AP107</f>
        <v/>
      </c>
      <c r="AQ109" s="50">
        <f>AQ21*AQ71*SUM(Seasonality!$C$37:$C$48)+12*AQ73+AQ49*AQ107</f>
        <v/>
      </c>
      <c r="AR109" s="50">
        <f>AR21*AR71*SUM(Seasonality!$C$37:$C$48)+12*AR73+AR49*AR107</f>
        <v/>
      </c>
      <c r="AS109" s="50">
        <f>AS21*AS71*SUM(Seasonality!$C$37:$C$48)+12*AS73+AS49*AS107</f>
        <v/>
      </c>
      <c r="AT109" s="50">
        <f>AT21*AT71*SUM(Seasonality!$C$37:$C$48)+12*AT73+AT49*AT107</f>
        <v/>
      </c>
      <c r="AU109" s="50">
        <f>AU21*AU71*SUM(Seasonality!$C$37:$C$48)+12*AU73+AU49*AU107</f>
        <v/>
      </c>
      <c r="AV109" s="50">
        <f>AV21*AV71*SUM(Seasonality!$C$37:$C$48)+12*AV73+AV49*AV107</f>
        <v/>
      </c>
      <c r="AW109" s="50">
        <f>AW21*AW71*SUM(Seasonality!$C$37:$C$48)+12*AW73+AW49*AW107</f>
        <v/>
      </c>
      <c r="AX109" s="50">
        <f>AX21*AX71*SUM(Seasonality!$C$37:$C$48)+12*AX73+AX49*AX107</f>
        <v/>
      </c>
      <c r="AY109" s="50">
        <f>AY21*AY71*SUM(Seasonality!$C$37:$C$48)+12*AY73+AY49*AY107</f>
        <v/>
      </c>
      <c r="AZ109" s="50">
        <f>AZ21*AZ71*SUM(Seasonality!$C$37:$C$48)+12*AZ73+AZ49*AZ107</f>
        <v/>
      </c>
      <c r="BA109" s="50">
        <f>BA21*BA71*SUM(Seasonality!$C$37:$C$48)+12*BA73+BA49*BA107</f>
        <v/>
      </c>
      <c r="BB109" s="50">
        <f>BB21*BB71*SUM(Seasonality!$C$37:$C$48)+12*BB73+BB49*BB107</f>
        <v/>
      </c>
      <c r="BC109" s="50">
        <f>BC21*BC71*SUM(Seasonality!$C$37:$C$48)+12*BC73+BC49*BC107</f>
        <v/>
      </c>
      <c r="BD109" s="50">
        <f>BD21*BD71*SUM(Seasonality!$C$37:$C$48)+12*BD73+BD49*BD107</f>
        <v/>
      </c>
      <c r="BE109" s="50">
        <f>BE21*BE71*SUM(Seasonality!$C$37:$C$48)+12*BE73+BE49*BE107</f>
        <v/>
      </c>
    </row>
    <row r="110">
      <c r="B110" s="7" t="inlineStr">
        <is>
          <t>Product gross margin (before customer-success staff)</t>
        </is>
      </c>
      <c r="C110" s="5" t="inlineStr">
        <is>
          <t>%</t>
        </is>
      </c>
      <c r="D110" s="40">
        <f>IF(D107&gt;0,(D107-D109)/D107,0)</f>
        <v/>
      </c>
      <c r="E110" s="40">
        <f>IF(E107&gt;0,(E107-E109)/E107,0)</f>
        <v/>
      </c>
      <c r="F110" s="40">
        <f>IF(F107&gt;0,(F107-F109)/F107,0)</f>
        <v/>
      </c>
      <c r="G110" s="40">
        <f>IF(G107&gt;0,(G107-G109)/G107,0)</f>
        <v/>
      </c>
      <c r="H110" s="40">
        <f>IF(H107&gt;0,(H107-H109)/H107,0)</f>
        <v/>
      </c>
      <c r="I110" s="40">
        <f>IF(I107&gt;0,(I107-I109)/I107,0)</f>
        <v/>
      </c>
      <c r="J110" s="40">
        <f>IF(J107&gt;0,(J107-J109)/J107,0)</f>
        <v/>
      </c>
      <c r="K110" s="40">
        <f>IF(K107&gt;0,(K107-K109)/K107,0)</f>
        <v/>
      </c>
      <c r="L110" s="40">
        <f>IF(L107&gt;0,(L107-L109)/L107,0)</f>
        <v/>
      </c>
      <c r="M110" s="40">
        <f>IF(M107&gt;0,(M107-M109)/M107,0)</f>
        <v/>
      </c>
      <c r="N110" s="40">
        <f>IF(N107&gt;0,(N107-N109)/N107,0)</f>
        <v/>
      </c>
      <c r="O110" s="40">
        <f>IF(O107&gt;0,(O107-O109)/O107,0)</f>
        <v/>
      </c>
      <c r="P110" s="40">
        <f>IF(P107&gt;0,(P107-P109)/P107,0)</f>
        <v/>
      </c>
      <c r="Q110" s="40">
        <f>IF(Q107&gt;0,(Q107-Q109)/Q107,0)</f>
        <v/>
      </c>
      <c r="R110" s="40">
        <f>IF(R107&gt;0,(R107-R109)/R107,0)</f>
        <v/>
      </c>
      <c r="S110" s="40">
        <f>IF(S107&gt;0,(S107-S109)/S107,0)</f>
        <v/>
      </c>
      <c r="T110" s="40">
        <f>IF(T107&gt;0,(T107-T109)/T107,0)</f>
        <v/>
      </c>
      <c r="U110" s="40">
        <f>IF(U107&gt;0,(U107-U109)/U107,0)</f>
        <v/>
      </c>
      <c r="V110" s="40">
        <f>IF(V107&gt;0,(V107-V109)/V107,0)</f>
        <v/>
      </c>
      <c r="W110" s="40">
        <f>IF(W107&gt;0,(W107-W109)/W107,0)</f>
        <v/>
      </c>
      <c r="X110" s="40">
        <f>IF(X107&gt;0,(X107-X109)/X107,0)</f>
        <v/>
      </c>
      <c r="Y110" s="40">
        <f>IF(Y107&gt;0,(Y107-Y109)/Y107,0)</f>
        <v/>
      </c>
      <c r="Z110" s="40">
        <f>IF(Z107&gt;0,(Z107-Z109)/Z107,0)</f>
        <v/>
      </c>
      <c r="AA110" s="40">
        <f>IF(AA107&gt;0,(AA107-AA109)/AA107,0)</f>
        <v/>
      </c>
      <c r="AB110" s="40">
        <f>IF(AB107&gt;0,(AB107-AB109)/AB107,0)</f>
        <v/>
      </c>
      <c r="AC110" s="40">
        <f>IF(AC107&gt;0,(AC107-AC109)/AC107,0)</f>
        <v/>
      </c>
      <c r="AD110" s="40">
        <f>IF(AD107&gt;0,(AD107-AD109)/AD107,0)</f>
        <v/>
      </c>
      <c r="AE110" s="40">
        <f>IF(AE107&gt;0,(AE107-AE109)/AE107,0)</f>
        <v/>
      </c>
      <c r="AF110" s="40">
        <f>IF(AF107&gt;0,(AF107-AF109)/AF107,0)</f>
        <v/>
      </c>
      <c r="AG110" s="40">
        <f>IF(AG107&gt;0,(AG107-AG109)/AG107,0)</f>
        <v/>
      </c>
      <c r="AH110" s="40">
        <f>IF(AH107&gt;0,(AH107-AH109)/AH107,0)</f>
        <v/>
      </c>
      <c r="AI110" s="40">
        <f>IF(AI107&gt;0,(AI107-AI109)/AI107,0)</f>
        <v/>
      </c>
      <c r="AJ110" s="40">
        <f>IF(AJ107&gt;0,(AJ107-AJ109)/AJ107,0)</f>
        <v/>
      </c>
      <c r="AK110" s="40">
        <f>IF(AK107&gt;0,(AK107-AK109)/AK107,0)</f>
        <v/>
      </c>
      <c r="AL110" s="40">
        <f>IF(AL107&gt;0,(AL107-AL109)/AL107,0)</f>
        <v/>
      </c>
      <c r="AM110" s="40">
        <f>IF(AM107&gt;0,(AM107-AM109)/AM107,0)</f>
        <v/>
      </c>
      <c r="AN110" s="40">
        <f>IF(AN107&gt;0,(AN107-AN109)/AN107,0)</f>
        <v/>
      </c>
      <c r="AO110" s="40">
        <f>IF(AO107&gt;0,(AO107-AO109)/AO107,0)</f>
        <v/>
      </c>
      <c r="AP110" s="40">
        <f>IF(AP107&gt;0,(AP107-AP109)/AP107,0)</f>
        <v/>
      </c>
      <c r="AQ110" s="40">
        <f>IF(AQ107&gt;0,(AQ107-AQ109)/AQ107,0)</f>
        <v/>
      </c>
      <c r="AR110" s="40">
        <f>IF(AR107&gt;0,(AR107-AR109)/AR107,0)</f>
        <v/>
      </c>
      <c r="AS110" s="40">
        <f>IF(AS107&gt;0,(AS107-AS109)/AS107,0)</f>
        <v/>
      </c>
      <c r="AT110" s="40">
        <f>IF(AT107&gt;0,(AT107-AT109)/AT107,0)</f>
        <v/>
      </c>
      <c r="AU110" s="40">
        <f>IF(AU107&gt;0,(AU107-AU109)/AU107,0)</f>
        <v/>
      </c>
      <c r="AV110" s="40">
        <f>IF(AV107&gt;0,(AV107-AV109)/AV107,0)</f>
        <v/>
      </c>
      <c r="AW110" s="40">
        <f>IF(AW107&gt;0,(AW107-AW109)/AW107,0)</f>
        <v/>
      </c>
      <c r="AX110" s="40">
        <f>IF(AX107&gt;0,(AX107-AX109)/AX107,0)</f>
        <v/>
      </c>
      <c r="AY110" s="40">
        <f>IF(AY107&gt;0,(AY107-AY109)/AY107,0)</f>
        <v/>
      </c>
      <c r="AZ110" s="40">
        <f>IF(AZ107&gt;0,(AZ107-AZ109)/AZ107,0)</f>
        <v/>
      </c>
      <c r="BA110" s="40">
        <f>IF(BA107&gt;0,(BA107-BA109)/BA107,0)</f>
        <v/>
      </c>
      <c r="BB110" s="40">
        <f>IF(BB107&gt;0,(BB107-BB109)/BB107,0)</f>
        <v/>
      </c>
      <c r="BC110" s="40">
        <f>IF(BC107&gt;0,(BC107-BC109)/BC107,0)</f>
        <v/>
      </c>
      <c r="BD110" s="40">
        <f>IF(BD107&gt;0,(BD107-BD109)/BD107,0)</f>
        <v/>
      </c>
      <c r="BE110" s="40">
        <f>IF(BE107&gt;0,(BE107-BE109)/BE107,0)</f>
        <v/>
      </c>
    </row>
    <row r="111">
      <c r="B111" s="7" t="inlineStr">
        <is>
          <t>Customer-success cost per institute</t>
        </is>
      </c>
      <c r="C111" s="5" t="inlineStr">
        <is>
          <t>₹/month</t>
        </is>
      </c>
      <c r="D111" s="50">
        <f>D52/D53</f>
        <v/>
      </c>
      <c r="E111" s="50">
        <f>E52/E53</f>
        <v/>
      </c>
      <c r="F111" s="50">
        <f>F52/F53</f>
        <v/>
      </c>
      <c r="G111" s="50">
        <f>G52/G53</f>
        <v/>
      </c>
      <c r="H111" s="50">
        <f>H52/H53</f>
        <v/>
      </c>
      <c r="I111" s="50">
        <f>I52/I53</f>
        <v/>
      </c>
      <c r="J111" s="50">
        <f>J52/J53</f>
        <v/>
      </c>
      <c r="K111" s="50">
        <f>K52/K53</f>
        <v/>
      </c>
      <c r="L111" s="50">
        <f>L52/L53</f>
        <v/>
      </c>
      <c r="M111" s="50">
        <f>M52/M53</f>
        <v/>
      </c>
      <c r="N111" s="50">
        <f>N52/N53</f>
        <v/>
      </c>
      <c r="O111" s="50">
        <f>O52/O53</f>
        <v/>
      </c>
      <c r="P111" s="50">
        <f>P52/P53</f>
        <v/>
      </c>
      <c r="Q111" s="50">
        <f>Q52/Q53</f>
        <v/>
      </c>
      <c r="R111" s="50">
        <f>R52/R53</f>
        <v/>
      </c>
      <c r="S111" s="50">
        <f>S52/S53</f>
        <v/>
      </c>
      <c r="T111" s="50">
        <f>T52/T53</f>
        <v/>
      </c>
      <c r="U111" s="50">
        <f>U52/U53</f>
        <v/>
      </c>
      <c r="V111" s="50">
        <f>V52/V53</f>
        <v/>
      </c>
      <c r="W111" s="50">
        <f>W52/W53</f>
        <v/>
      </c>
      <c r="X111" s="50">
        <f>X52/X53</f>
        <v/>
      </c>
      <c r="Y111" s="50">
        <f>Y52/Y53</f>
        <v/>
      </c>
      <c r="Z111" s="50">
        <f>Z52/Z53</f>
        <v/>
      </c>
      <c r="AA111" s="50">
        <f>AA52/AA53</f>
        <v/>
      </c>
      <c r="AB111" s="50">
        <f>AB52/AB53</f>
        <v/>
      </c>
      <c r="AC111" s="50">
        <f>AC52/AC53</f>
        <v/>
      </c>
      <c r="AD111" s="50">
        <f>AD52/AD53</f>
        <v/>
      </c>
      <c r="AE111" s="50">
        <f>AE52/AE53</f>
        <v/>
      </c>
      <c r="AF111" s="50">
        <f>AF52/AF53</f>
        <v/>
      </c>
      <c r="AG111" s="50">
        <f>AG52/AG53</f>
        <v/>
      </c>
      <c r="AH111" s="50">
        <f>AH52/AH53</f>
        <v/>
      </c>
      <c r="AI111" s="50">
        <f>AI52/AI53</f>
        <v/>
      </c>
      <c r="AJ111" s="50">
        <f>AJ52/AJ53</f>
        <v/>
      </c>
      <c r="AK111" s="50">
        <f>AK52/AK53</f>
        <v/>
      </c>
      <c r="AL111" s="50">
        <f>AL52/AL53</f>
        <v/>
      </c>
      <c r="AM111" s="50">
        <f>AM52/AM53</f>
        <v/>
      </c>
      <c r="AN111" s="50">
        <f>AN52/AN53</f>
        <v/>
      </c>
      <c r="AO111" s="50">
        <f>AO52/AO53</f>
        <v/>
      </c>
      <c r="AP111" s="50">
        <f>AP52/AP53</f>
        <v/>
      </c>
      <c r="AQ111" s="50">
        <f>AQ52/AQ53</f>
        <v/>
      </c>
      <c r="AR111" s="50">
        <f>AR52/AR53</f>
        <v/>
      </c>
      <c r="AS111" s="50">
        <f>AS52/AS53</f>
        <v/>
      </c>
      <c r="AT111" s="50">
        <f>AT52/AT53</f>
        <v/>
      </c>
      <c r="AU111" s="50">
        <f>AU52/AU53</f>
        <v/>
      </c>
      <c r="AV111" s="50">
        <f>AV52/AV53</f>
        <v/>
      </c>
      <c r="AW111" s="50">
        <f>AW52/AW53</f>
        <v/>
      </c>
      <c r="AX111" s="50">
        <f>AX52/AX53</f>
        <v/>
      </c>
      <c r="AY111" s="50">
        <f>AY52/AY53</f>
        <v/>
      </c>
      <c r="AZ111" s="50">
        <f>AZ52/AZ53</f>
        <v/>
      </c>
      <c r="BA111" s="50">
        <f>BA52/BA53</f>
        <v/>
      </c>
      <c r="BB111" s="50">
        <f>BB52/BB53</f>
        <v/>
      </c>
      <c r="BC111" s="50">
        <f>BC52/BC53</f>
        <v/>
      </c>
      <c r="BD111" s="50">
        <f>BD52/BD53</f>
        <v/>
      </c>
      <c r="BE111" s="50">
        <f>BE52/BE53</f>
        <v/>
      </c>
    </row>
    <row r="112">
      <c r="B112" s="7" t="inlineStr">
        <is>
          <t>Average monthly contribution (after COGS + support)</t>
        </is>
      </c>
      <c r="C112" s="5" t="inlineStr">
        <is>
          <t>₹/month</t>
        </is>
      </c>
      <c r="D112" s="52">
        <f>SUM(D191:D202)/12</f>
        <v/>
      </c>
      <c r="E112" s="52">
        <f>SUM(E191:E202)/12</f>
        <v/>
      </c>
      <c r="F112" s="52">
        <f>SUM(F191:F202)/12</f>
        <v/>
      </c>
      <c r="G112" s="52">
        <f>SUM(G191:G202)/12</f>
        <v/>
      </c>
      <c r="H112" s="52">
        <f>SUM(H191:H202)/12</f>
        <v/>
      </c>
      <c r="I112" s="52">
        <f>SUM(I191:I202)/12</f>
        <v/>
      </c>
      <c r="J112" s="52">
        <f>SUM(J191:J202)/12</f>
        <v/>
      </c>
      <c r="K112" s="52">
        <f>SUM(K191:K202)/12</f>
        <v/>
      </c>
      <c r="L112" s="52">
        <f>SUM(L191:L202)/12</f>
        <v/>
      </c>
      <c r="M112" s="52">
        <f>SUM(M191:M202)/12</f>
        <v/>
      </c>
      <c r="N112" s="52">
        <f>SUM(N191:N202)/12</f>
        <v/>
      </c>
      <c r="O112" s="52">
        <f>SUM(O191:O202)/12</f>
        <v/>
      </c>
      <c r="P112" s="52">
        <f>SUM(P191:P202)/12</f>
        <v/>
      </c>
      <c r="Q112" s="52">
        <f>SUM(Q191:Q202)/12</f>
        <v/>
      </c>
      <c r="R112" s="52">
        <f>SUM(R191:R202)/12</f>
        <v/>
      </c>
      <c r="S112" s="52">
        <f>SUM(S191:S202)/12</f>
        <v/>
      </c>
      <c r="T112" s="52">
        <f>SUM(T191:T202)/12</f>
        <v/>
      </c>
      <c r="U112" s="52">
        <f>SUM(U191:U202)/12</f>
        <v/>
      </c>
      <c r="V112" s="52">
        <f>SUM(V191:V202)/12</f>
        <v/>
      </c>
      <c r="W112" s="52">
        <f>SUM(W191:W202)/12</f>
        <v/>
      </c>
      <c r="X112" s="52">
        <f>SUM(X191:X202)/12</f>
        <v/>
      </c>
      <c r="Y112" s="52">
        <f>SUM(Y191:Y202)/12</f>
        <v/>
      </c>
      <c r="Z112" s="52">
        <f>SUM(Z191:Z202)/12</f>
        <v/>
      </c>
      <c r="AA112" s="52">
        <f>SUM(AA191:AA202)/12</f>
        <v/>
      </c>
      <c r="AB112" s="52">
        <f>SUM(AB191:AB202)/12</f>
        <v/>
      </c>
      <c r="AC112" s="52">
        <f>SUM(AC191:AC202)/12</f>
        <v/>
      </c>
      <c r="AD112" s="52">
        <f>SUM(AD191:AD202)/12</f>
        <v/>
      </c>
      <c r="AE112" s="52">
        <f>SUM(AE191:AE202)/12</f>
        <v/>
      </c>
      <c r="AF112" s="52">
        <f>SUM(AF191:AF202)/12</f>
        <v/>
      </c>
      <c r="AG112" s="52">
        <f>SUM(AG191:AG202)/12</f>
        <v/>
      </c>
      <c r="AH112" s="52">
        <f>SUM(AH191:AH202)/12</f>
        <v/>
      </c>
      <c r="AI112" s="52">
        <f>SUM(AI191:AI202)/12</f>
        <v/>
      </c>
      <c r="AJ112" s="52">
        <f>SUM(AJ191:AJ202)/12</f>
        <v/>
      </c>
      <c r="AK112" s="52">
        <f>SUM(AK191:AK202)/12</f>
        <v/>
      </c>
      <c r="AL112" s="52">
        <f>SUM(AL191:AL202)/12</f>
        <v/>
      </c>
      <c r="AM112" s="52">
        <f>SUM(AM191:AM202)/12</f>
        <v/>
      </c>
      <c r="AN112" s="52">
        <f>SUM(AN191:AN202)/12</f>
        <v/>
      </c>
      <c r="AO112" s="52">
        <f>SUM(AO191:AO202)/12</f>
        <v/>
      </c>
      <c r="AP112" s="52">
        <f>SUM(AP191:AP202)/12</f>
        <v/>
      </c>
      <c r="AQ112" s="52">
        <f>SUM(AQ191:AQ202)/12</f>
        <v/>
      </c>
      <c r="AR112" s="52">
        <f>SUM(AR191:AR202)/12</f>
        <v/>
      </c>
      <c r="AS112" s="52">
        <f>SUM(AS191:AS202)/12</f>
        <v/>
      </c>
      <c r="AT112" s="52">
        <f>SUM(AT191:AT202)/12</f>
        <v/>
      </c>
      <c r="AU112" s="52">
        <f>SUM(AU191:AU202)/12</f>
        <v/>
      </c>
      <c r="AV112" s="52">
        <f>SUM(AV191:AV202)/12</f>
        <v/>
      </c>
      <c r="AW112" s="52">
        <f>SUM(AW191:AW202)/12</f>
        <v/>
      </c>
      <c r="AX112" s="52">
        <f>SUM(AX191:AX202)/12</f>
        <v/>
      </c>
      <c r="AY112" s="52">
        <f>SUM(AY191:AY202)/12</f>
        <v/>
      </c>
      <c r="AZ112" s="52">
        <f>SUM(AZ191:AZ202)/12</f>
        <v/>
      </c>
      <c r="BA112" s="52">
        <f>SUM(BA191:BA202)/12</f>
        <v/>
      </c>
      <c r="BB112" s="52">
        <f>SUM(BB191:BB202)/12</f>
        <v/>
      </c>
      <c r="BC112" s="52">
        <f>SUM(BC191:BC202)/12</f>
        <v/>
      </c>
      <c r="BD112" s="52">
        <f>SUM(BD191:BD202)/12</f>
        <v/>
      </c>
      <c r="BE112" s="52">
        <f>SUM(BE191:BE202)/12</f>
        <v/>
      </c>
    </row>
    <row r="113">
      <c r="B113" s="7" t="inlineStr">
        <is>
          <t>Contribution margin (after support: the PS's definition, a peer's 'gross margin')</t>
        </is>
      </c>
      <c r="C113" s="5" t="inlineStr">
        <is>
          <t>%</t>
        </is>
      </c>
      <c r="D113" s="40">
        <f>IF(D108&gt;0,D112/D108,0)</f>
        <v/>
      </c>
      <c r="E113" s="40">
        <f>IF(E108&gt;0,E112/E108,0)</f>
        <v/>
      </c>
      <c r="F113" s="40">
        <f>IF(F108&gt;0,F112/F108,0)</f>
        <v/>
      </c>
      <c r="G113" s="40">
        <f>IF(G108&gt;0,G112/G108,0)</f>
        <v/>
      </c>
      <c r="H113" s="40">
        <f>IF(H108&gt;0,H112/H108,0)</f>
        <v/>
      </c>
      <c r="I113" s="40">
        <f>IF(I108&gt;0,I112/I108,0)</f>
        <v/>
      </c>
      <c r="J113" s="40">
        <f>IF(J108&gt;0,J112/J108,0)</f>
        <v/>
      </c>
      <c r="K113" s="40">
        <f>IF(K108&gt;0,K112/K108,0)</f>
        <v/>
      </c>
      <c r="L113" s="40">
        <f>IF(L108&gt;0,L112/L108,0)</f>
        <v/>
      </c>
      <c r="M113" s="40">
        <f>IF(M108&gt;0,M112/M108,0)</f>
        <v/>
      </c>
      <c r="N113" s="40">
        <f>IF(N108&gt;0,N112/N108,0)</f>
        <v/>
      </c>
      <c r="O113" s="40">
        <f>IF(O108&gt;0,O112/O108,0)</f>
        <v/>
      </c>
      <c r="P113" s="40">
        <f>IF(P108&gt;0,P112/P108,0)</f>
        <v/>
      </c>
      <c r="Q113" s="40">
        <f>IF(Q108&gt;0,Q112/Q108,0)</f>
        <v/>
      </c>
      <c r="R113" s="40">
        <f>IF(R108&gt;0,R112/R108,0)</f>
        <v/>
      </c>
      <c r="S113" s="40">
        <f>IF(S108&gt;0,S112/S108,0)</f>
        <v/>
      </c>
      <c r="T113" s="40">
        <f>IF(T108&gt;0,T112/T108,0)</f>
        <v/>
      </c>
      <c r="U113" s="40">
        <f>IF(U108&gt;0,U112/U108,0)</f>
        <v/>
      </c>
      <c r="V113" s="40">
        <f>IF(V108&gt;0,V112/V108,0)</f>
        <v/>
      </c>
      <c r="W113" s="40">
        <f>IF(W108&gt;0,W112/W108,0)</f>
        <v/>
      </c>
      <c r="X113" s="40">
        <f>IF(X108&gt;0,X112/X108,0)</f>
        <v/>
      </c>
      <c r="Y113" s="40">
        <f>IF(Y108&gt;0,Y112/Y108,0)</f>
        <v/>
      </c>
      <c r="Z113" s="40">
        <f>IF(Z108&gt;0,Z112/Z108,0)</f>
        <v/>
      </c>
      <c r="AA113" s="40">
        <f>IF(AA108&gt;0,AA112/AA108,0)</f>
        <v/>
      </c>
      <c r="AB113" s="40">
        <f>IF(AB108&gt;0,AB112/AB108,0)</f>
        <v/>
      </c>
      <c r="AC113" s="40">
        <f>IF(AC108&gt;0,AC112/AC108,0)</f>
        <v/>
      </c>
      <c r="AD113" s="40">
        <f>IF(AD108&gt;0,AD112/AD108,0)</f>
        <v/>
      </c>
      <c r="AE113" s="40">
        <f>IF(AE108&gt;0,AE112/AE108,0)</f>
        <v/>
      </c>
      <c r="AF113" s="40">
        <f>IF(AF108&gt;0,AF112/AF108,0)</f>
        <v/>
      </c>
      <c r="AG113" s="40">
        <f>IF(AG108&gt;0,AG112/AG108,0)</f>
        <v/>
      </c>
      <c r="AH113" s="40">
        <f>IF(AH108&gt;0,AH112/AH108,0)</f>
        <v/>
      </c>
      <c r="AI113" s="40">
        <f>IF(AI108&gt;0,AI112/AI108,0)</f>
        <v/>
      </c>
      <c r="AJ113" s="40">
        <f>IF(AJ108&gt;0,AJ112/AJ108,0)</f>
        <v/>
      </c>
      <c r="AK113" s="40">
        <f>IF(AK108&gt;0,AK112/AK108,0)</f>
        <v/>
      </c>
      <c r="AL113" s="40">
        <f>IF(AL108&gt;0,AL112/AL108,0)</f>
        <v/>
      </c>
      <c r="AM113" s="40">
        <f>IF(AM108&gt;0,AM112/AM108,0)</f>
        <v/>
      </c>
      <c r="AN113" s="40">
        <f>IF(AN108&gt;0,AN112/AN108,0)</f>
        <v/>
      </c>
      <c r="AO113" s="40">
        <f>IF(AO108&gt;0,AO112/AO108,0)</f>
        <v/>
      </c>
      <c r="AP113" s="40">
        <f>IF(AP108&gt;0,AP112/AP108,0)</f>
        <v/>
      </c>
      <c r="AQ113" s="40">
        <f>IF(AQ108&gt;0,AQ112/AQ108,0)</f>
        <v/>
      </c>
      <c r="AR113" s="40">
        <f>IF(AR108&gt;0,AR112/AR108,0)</f>
        <v/>
      </c>
      <c r="AS113" s="40">
        <f>IF(AS108&gt;0,AS112/AS108,0)</f>
        <v/>
      </c>
      <c r="AT113" s="40">
        <f>IF(AT108&gt;0,AT112/AT108,0)</f>
        <v/>
      </c>
      <c r="AU113" s="40">
        <f>IF(AU108&gt;0,AU112/AU108,0)</f>
        <v/>
      </c>
      <c r="AV113" s="40">
        <f>IF(AV108&gt;0,AV112/AV108,0)</f>
        <v/>
      </c>
      <c r="AW113" s="40">
        <f>IF(AW108&gt;0,AW112/AW108,0)</f>
        <v/>
      </c>
      <c r="AX113" s="40">
        <f>IF(AX108&gt;0,AX112/AX108,0)</f>
        <v/>
      </c>
      <c r="AY113" s="40">
        <f>IF(AY108&gt;0,AY112/AY108,0)</f>
        <v/>
      </c>
      <c r="AZ113" s="40">
        <f>IF(AZ108&gt;0,AZ112/AZ108,0)</f>
        <v/>
      </c>
      <c r="BA113" s="40">
        <f>IF(BA108&gt;0,BA112/BA108,0)</f>
        <v/>
      </c>
      <c r="BB113" s="40">
        <f>IF(BB108&gt;0,BB112/BB108,0)</f>
        <v/>
      </c>
      <c r="BC113" s="40">
        <f>IF(BC108&gt;0,BC112/BC108,0)</f>
        <v/>
      </c>
      <c r="BD113" s="40">
        <f>IF(BD108&gt;0,BD112/BD108,0)</f>
        <v/>
      </c>
      <c r="BE113" s="40">
        <f>IF(BE108&gt;0,BE112/BE108,0)</f>
        <v/>
      </c>
    </row>
    <row r="114">
      <c r="B114" s="7" t="inlineStr">
        <is>
          <t>Sales cost per pilot started (rep CTC + travel, loaded with overhead, ÷ pilots)</t>
        </is>
      </c>
      <c r="C114" s="5" t="inlineStr">
        <is>
          <t>₹</t>
        </is>
      </c>
      <c r="D114" s="50">
        <f>(D54+D55)*(1+D63)/D56</f>
        <v/>
      </c>
      <c r="E114" s="50">
        <f>(E54+E55)*(1+E63)/E56</f>
        <v/>
      </c>
      <c r="F114" s="50">
        <f>(F54+F55)*(1+F63)/F56</f>
        <v/>
      </c>
      <c r="G114" s="50">
        <f>(G54+G55)*(1+G63)/G56</f>
        <v/>
      </c>
      <c r="H114" s="50">
        <f>(H54+H55)*(1+H63)/H56</f>
        <v/>
      </c>
      <c r="I114" s="50">
        <f>(I54+I55)*(1+I63)/I56</f>
        <v/>
      </c>
      <c r="J114" s="50">
        <f>(J54+J55)*(1+J63)/J56</f>
        <v/>
      </c>
      <c r="K114" s="50">
        <f>(K54+K55)*(1+K63)/K56</f>
        <v/>
      </c>
      <c r="L114" s="50">
        <f>(L54+L55)*(1+L63)/L56</f>
        <v/>
      </c>
      <c r="M114" s="50">
        <f>(M54+M55)*(1+M63)/M56</f>
        <v/>
      </c>
      <c r="N114" s="50">
        <f>(N54+N55)*(1+N63)/N56</f>
        <v/>
      </c>
      <c r="O114" s="50">
        <f>(O54+O55)*(1+O63)/O56</f>
        <v/>
      </c>
      <c r="P114" s="50">
        <f>(P54+P55)*(1+P63)/P56</f>
        <v/>
      </c>
      <c r="Q114" s="50">
        <f>(Q54+Q55)*(1+Q63)/Q56</f>
        <v/>
      </c>
      <c r="R114" s="50">
        <f>(R54+R55)*(1+R63)/R56</f>
        <v/>
      </c>
      <c r="S114" s="50">
        <f>(S54+S55)*(1+S63)/S56</f>
        <v/>
      </c>
      <c r="T114" s="50">
        <f>(T54+T55)*(1+T63)/T56</f>
        <v/>
      </c>
      <c r="U114" s="50">
        <f>(U54+U55)*(1+U63)/U56</f>
        <v/>
      </c>
      <c r="V114" s="50">
        <f>(V54+V55)*(1+V63)/V56</f>
        <v/>
      </c>
      <c r="W114" s="50">
        <f>(W54+W55)*(1+W63)/W56</f>
        <v/>
      </c>
      <c r="X114" s="50">
        <f>(X54+X55)*(1+X63)/X56</f>
        <v/>
      </c>
      <c r="Y114" s="50">
        <f>(Y54+Y55)*(1+Y63)/Y56</f>
        <v/>
      </c>
      <c r="Z114" s="50">
        <f>(Z54+Z55)*(1+Z63)/Z56</f>
        <v/>
      </c>
      <c r="AA114" s="50">
        <f>(AA54+AA55)*(1+AA63)/AA56</f>
        <v/>
      </c>
      <c r="AB114" s="50">
        <f>(AB54+AB55)*(1+AB63)/AB56</f>
        <v/>
      </c>
      <c r="AC114" s="50">
        <f>(AC54+AC55)*(1+AC63)/AC56</f>
        <v/>
      </c>
      <c r="AD114" s="50">
        <f>(AD54+AD55)*(1+AD63)/AD56</f>
        <v/>
      </c>
      <c r="AE114" s="50">
        <f>(AE54+AE55)*(1+AE63)/AE56</f>
        <v/>
      </c>
      <c r="AF114" s="50">
        <f>(AF54+AF55)*(1+AF63)/AF56</f>
        <v/>
      </c>
      <c r="AG114" s="50">
        <f>(AG54+AG55)*(1+AG63)/AG56</f>
        <v/>
      </c>
      <c r="AH114" s="50">
        <f>(AH54+AH55)*(1+AH63)/AH56</f>
        <v/>
      </c>
      <c r="AI114" s="50">
        <f>(AI54+AI55)*(1+AI63)/AI56</f>
        <v/>
      </c>
      <c r="AJ114" s="50">
        <f>(AJ54+AJ55)*(1+AJ63)/AJ56</f>
        <v/>
      </c>
      <c r="AK114" s="50">
        <f>(AK54+AK55)*(1+AK63)/AK56</f>
        <v/>
      </c>
      <c r="AL114" s="50">
        <f>(AL54+AL55)*(1+AL63)/AL56</f>
        <v/>
      </c>
      <c r="AM114" s="50">
        <f>(AM54+AM55)*(1+AM63)/AM56</f>
        <v/>
      </c>
      <c r="AN114" s="50">
        <f>(AN54+AN55)*(1+AN63)/AN56</f>
        <v/>
      </c>
      <c r="AO114" s="50">
        <f>(AO54+AO55)*(1+AO63)/AO56</f>
        <v/>
      </c>
      <c r="AP114" s="50">
        <f>(AP54+AP55)*(1+AP63)/AP56</f>
        <v/>
      </c>
      <c r="AQ114" s="50">
        <f>(AQ54+AQ55)*(1+AQ63)/AQ56</f>
        <v/>
      </c>
      <c r="AR114" s="50">
        <f>(AR54+AR55)*(1+AR63)/AR56</f>
        <v/>
      </c>
      <c r="AS114" s="50">
        <f>(AS54+AS55)*(1+AS63)/AS56</f>
        <v/>
      </c>
      <c r="AT114" s="50">
        <f>(AT54+AT55)*(1+AT63)/AT56</f>
        <v/>
      </c>
      <c r="AU114" s="50">
        <f>(AU54+AU55)*(1+AU63)/AU56</f>
        <v/>
      </c>
      <c r="AV114" s="50">
        <f>(AV54+AV55)*(1+AV63)/AV56</f>
        <v/>
      </c>
      <c r="AW114" s="50">
        <f>(AW54+AW55)*(1+AW63)/AW56</f>
        <v/>
      </c>
      <c r="AX114" s="50">
        <f>(AX54+AX55)*(1+AX63)/AX56</f>
        <v/>
      </c>
      <c r="AY114" s="50">
        <f>(AY54+AY55)*(1+AY63)/AY56</f>
        <v/>
      </c>
      <c r="AZ114" s="50">
        <f>(AZ54+AZ55)*(1+AZ63)/AZ56</f>
        <v/>
      </c>
      <c r="BA114" s="50">
        <f>(BA54+BA55)*(1+BA63)/BA56</f>
        <v/>
      </c>
      <c r="BB114" s="50">
        <f>(BB54+BB55)*(1+BB63)/BB56</f>
        <v/>
      </c>
      <c r="BC114" s="50">
        <f>(BC54+BC55)*(1+BC63)/BC56</f>
        <v/>
      </c>
      <c r="BD114" s="50">
        <f>(BD54+BD55)*(1+BD63)/BD56</f>
        <v/>
      </c>
      <c r="BE114" s="50">
        <f>(BE54+BE55)*(1+BE63)/BE56</f>
        <v/>
      </c>
    </row>
    <row r="115">
      <c r="B115" s="7" t="inlineStr">
        <is>
          <t>Onboarding cost (data migration + training)</t>
        </is>
      </c>
      <c r="C115" s="5" t="inlineStr">
        <is>
          <t>₹</t>
        </is>
      </c>
      <c r="D115" s="50">
        <f>D60*D61</f>
        <v/>
      </c>
      <c r="E115" s="50">
        <f>E60*E61</f>
        <v/>
      </c>
      <c r="F115" s="50">
        <f>F60*F61</f>
        <v/>
      </c>
      <c r="G115" s="50">
        <f>G60*G61</f>
        <v/>
      </c>
      <c r="H115" s="50">
        <f>H60*H61</f>
        <v/>
      </c>
      <c r="I115" s="50">
        <f>I60*I61</f>
        <v/>
      </c>
      <c r="J115" s="50">
        <f>J60*J61</f>
        <v/>
      </c>
      <c r="K115" s="50">
        <f>K60*K61</f>
        <v/>
      </c>
      <c r="L115" s="50">
        <f>L60*L61</f>
        <v/>
      </c>
      <c r="M115" s="50">
        <f>M60*M61</f>
        <v/>
      </c>
      <c r="N115" s="50">
        <f>N60*N61</f>
        <v/>
      </c>
      <c r="O115" s="50">
        <f>O60*O61</f>
        <v/>
      </c>
      <c r="P115" s="50">
        <f>P60*P61</f>
        <v/>
      </c>
      <c r="Q115" s="50">
        <f>Q60*Q61</f>
        <v/>
      </c>
      <c r="R115" s="50">
        <f>R60*R61</f>
        <v/>
      </c>
      <c r="S115" s="50">
        <f>S60*S61</f>
        <v/>
      </c>
      <c r="T115" s="50">
        <f>T60*T61</f>
        <v/>
      </c>
      <c r="U115" s="50">
        <f>U60*U61</f>
        <v/>
      </c>
      <c r="V115" s="50">
        <f>V60*V61</f>
        <v/>
      </c>
      <c r="W115" s="50">
        <f>W60*W61</f>
        <v/>
      </c>
      <c r="X115" s="50">
        <f>X60*X61</f>
        <v/>
      </c>
      <c r="Y115" s="50">
        <f>Y60*Y61</f>
        <v/>
      </c>
      <c r="Z115" s="50">
        <f>Z60*Z61</f>
        <v/>
      </c>
      <c r="AA115" s="50">
        <f>AA60*AA61</f>
        <v/>
      </c>
      <c r="AB115" s="50">
        <f>AB60*AB61</f>
        <v/>
      </c>
      <c r="AC115" s="50">
        <f>AC60*AC61</f>
        <v/>
      </c>
      <c r="AD115" s="50">
        <f>AD60*AD61</f>
        <v/>
      </c>
      <c r="AE115" s="50">
        <f>AE60*AE61</f>
        <v/>
      </c>
      <c r="AF115" s="50">
        <f>AF60*AF61</f>
        <v/>
      </c>
      <c r="AG115" s="50">
        <f>AG60*AG61</f>
        <v/>
      </c>
      <c r="AH115" s="50">
        <f>AH60*AH61</f>
        <v/>
      </c>
      <c r="AI115" s="50">
        <f>AI60*AI61</f>
        <v/>
      </c>
      <c r="AJ115" s="50">
        <f>AJ60*AJ61</f>
        <v/>
      </c>
      <c r="AK115" s="50">
        <f>AK60*AK61</f>
        <v/>
      </c>
      <c r="AL115" s="50">
        <f>AL60*AL61</f>
        <v/>
      </c>
      <c r="AM115" s="50">
        <f>AM60*AM61</f>
        <v/>
      </c>
      <c r="AN115" s="50">
        <f>AN60*AN61</f>
        <v/>
      </c>
      <c r="AO115" s="50">
        <f>AO60*AO61</f>
        <v/>
      </c>
      <c r="AP115" s="50">
        <f>AP60*AP61</f>
        <v/>
      </c>
      <c r="AQ115" s="50">
        <f>AQ60*AQ61</f>
        <v/>
      </c>
      <c r="AR115" s="50">
        <f>AR60*AR61</f>
        <v/>
      </c>
      <c r="AS115" s="50">
        <f>AS60*AS61</f>
        <v/>
      </c>
      <c r="AT115" s="50">
        <f>AT60*AT61</f>
        <v/>
      </c>
      <c r="AU115" s="50">
        <f>AU60*AU61</f>
        <v/>
      </c>
      <c r="AV115" s="50">
        <f>AV60*AV61</f>
        <v/>
      </c>
      <c r="AW115" s="50">
        <f>AW60*AW61</f>
        <v/>
      </c>
      <c r="AX115" s="50">
        <f>AX60*AX61</f>
        <v/>
      </c>
      <c r="AY115" s="50">
        <f>AY60*AY61</f>
        <v/>
      </c>
      <c r="AZ115" s="50">
        <f>AZ60*AZ61</f>
        <v/>
      </c>
      <c r="BA115" s="50">
        <f>BA60*BA61</f>
        <v/>
      </c>
      <c r="BB115" s="50">
        <f>BB60*BB61</f>
        <v/>
      </c>
      <c r="BC115" s="50">
        <f>BC60*BC61</f>
        <v/>
      </c>
      <c r="BD115" s="50">
        <f>BD60*BD61</f>
        <v/>
      </c>
      <c r="BE115" s="50">
        <f>BE60*BE61</f>
        <v/>
      </c>
    </row>
    <row r="116">
      <c r="B116" s="7" t="inlineStr">
        <is>
          <t>Cost of serving the free pilot</t>
        </is>
      </c>
      <c r="C116" s="5" t="inlineStr">
        <is>
          <t>₹</t>
        </is>
      </c>
      <c r="D116" s="50">
        <f>D58*(D21*D71+D73)</f>
        <v/>
      </c>
      <c r="E116" s="50">
        <f>E58*(E21*E71+E73)</f>
        <v/>
      </c>
      <c r="F116" s="50">
        <f>F58*(F21*F71+F73)</f>
        <v/>
      </c>
      <c r="G116" s="50">
        <f>G58*(G21*G71+G73)</f>
        <v/>
      </c>
      <c r="H116" s="50">
        <f>H58*(H21*H71+H73)</f>
        <v/>
      </c>
      <c r="I116" s="50">
        <f>I58*(I21*I71+I73)</f>
        <v/>
      </c>
      <c r="J116" s="50">
        <f>J58*(J21*J71+J73)</f>
        <v/>
      </c>
      <c r="K116" s="50">
        <f>K58*(K21*K71+K73)</f>
        <v/>
      </c>
      <c r="L116" s="50">
        <f>L58*(L21*L71+L73)</f>
        <v/>
      </c>
      <c r="M116" s="50">
        <f>M58*(M21*M71+M73)</f>
        <v/>
      </c>
      <c r="N116" s="50">
        <f>N58*(N21*N71+N73)</f>
        <v/>
      </c>
      <c r="O116" s="50">
        <f>O58*(O21*O71+O73)</f>
        <v/>
      </c>
      <c r="P116" s="50">
        <f>P58*(P21*P71+P73)</f>
        <v/>
      </c>
      <c r="Q116" s="50">
        <f>Q58*(Q21*Q71+Q73)</f>
        <v/>
      </c>
      <c r="R116" s="50">
        <f>R58*(R21*R71+R73)</f>
        <v/>
      </c>
      <c r="S116" s="50">
        <f>S58*(S21*S71+S73)</f>
        <v/>
      </c>
      <c r="T116" s="50">
        <f>T58*(T21*T71+T73)</f>
        <v/>
      </c>
      <c r="U116" s="50">
        <f>U58*(U21*U71+U73)</f>
        <v/>
      </c>
      <c r="V116" s="50">
        <f>V58*(V21*V71+V73)</f>
        <v/>
      </c>
      <c r="W116" s="50">
        <f>W58*(W21*W71+W73)</f>
        <v/>
      </c>
      <c r="X116" s="50">
        <f>X58*(X21*X71+X73)</f>
        <v/>
      </c>
      <c r="Y116" s="50">
        <f>Y58*(Y21*Y71+Y73)</f>
        <v/>
      </c>
      <c r="Z116" s="50">
        <f>Z58*(Z21*Z71+Z73)</f>
        <v/>
      </c>
      <c r="AA116" s="50">
        <f>AA58*(AA21*AA71+AA73)</f>
        <v/>
      </c>
      <c r="AB116" s="50">
        <f>AB58*(AB21*AB71+AB73)</f>
        <v/>
      </c>
      <c r="AC116" s="50">
        <f>AC58*(AC21*AC71+AC73)</f>
        <v/>
      </c>
      <c r="AD116" s="50">
        <f>AD58*(AD21*AD71+AD73)</f>
        <v/>
      </c>
      <c r="AE116" s="50">
        <f>AE58*(AE21*AE71+AE73)</f>
        <v/>
      </c>
      <c r="AF116" s="50">
        <f>AF58*(AF21*AF71+AF73)</f>
        <v/>
      </c>
      <c r="AG116" s="50">
        <f>AG58*(AG21*AG71+AG73)</f>
        <v/>
      </c>
      <c r="AH116" s="50">
        <f>AH58*(AH21*AH71+AH73)</f>
        <v/>
      </c>
      <c r="AI116" s="50">
        <f>AI58*(AI21*AI71+AI73)</f>
        <v/>
      </c>
      <c r="AJ116" s="50">
        <f>AJ58*(AJ21*AJ71+AJ73)</f>
        <v/>
      </c>
      <c r="AK116" s="50">
        <f>AK58*(AK21*AK71+AK73)</f>
        <v/>
      </c>
      <c r="AL116" s="50">
        <f>AL58*(AL21*AL71+AL73)</f>
        <v/>
      </c>
      <c r="AM116" s="50">
        <f>AM58*(AM21*AM71+AM73)</f>
        <v/>
      </c>
      <c r="AN116" s="50">
        <f>AN58*(AN21*AN71+AN73)</f>
        <v/>
      </c>
      <c r="AO116" s="50">
        <f>AO58*(AO21*AO71+AO73)</f>
        <v/>
      </c>
      <c r="AP116" s="50">
        <f>AP58*(AP21*AP71+AP73)</f>
        <v/>
      </c>
      <c r="AQ116" s="50">
        <f>AQ58*(AQ21*AQ71+AQ73)</f>
        <v/>
      </c>
      <c r="AR116" s="50">
        <f>AR58*(AR21*AR71+AR73)</f>
        <v/>
      </c>
      <c r="AS116" s="50">
        <f>AS58*(AS21*AS71+AS73)</f>
        <v/>
      </c>
      <c r="AT116" s="50">
        <f>AT58*(AT21*AT71+AT73)</f>
        <v/>
      </c>
      <c r="AU116" s="50">
        <f>AU58*(AU21*AU71+AU73)</f>
        <v/>
      </c>
      <c r="AV116" s="50">
        <f>AV58*(AV21*AV71+AV73)</f>
        <v/>
      </c>
      <c r="AW116" s="50">
        <f>AW58*(AW21*AW71+AW73)</f>
        <v/>
      </c>
      <c r="AX116" s="50">
        <f>AX58*(AX21*AX71+AX73)</f>
        <v/>
      </c>
      <c r="AY116" s="50">
        <f>AY58*(AY21*AY71+AY73)</f>
        <v/>
      </c>
      <c r="AZ116" s="50">
        <f>AZ58*(AZ21*AZ71+AZ73)</f>
        <v/>
      </c>
      <c r="BA116" s="50">
        <f>BA58*(BA21*BA71+BA73)</f>
        <v/>
      </c>
      <c r="BB116" s="50">
        <f>BB58*(BB21*BB71+BB73)</f>
        <v/>
      </c>
      <c r="BC116" s="50">
        <f>BC58*(BC21*BC71+BC73)</f>
        <v/>
      </c>
      <c r="BD116" s="50">
        <f>BD58*(BD21*BD71+BD73)</f>
        <v/>
      </c>
      <c r="BE116" s="50">
        <f>BE58*(BE21*BE71+BE73)</f>
        <v/>
      </c>
    </row>
    <row r="117">
      <c r="B117" s="7" t="inlineStr">
        <is>
          <t>CAC (PS definition): sales + marketing per paying institute (failed pilots included)</t>
        </is>
      </c>
      <c r="C117" s="5" t="inlineStr">
        <is>
          <t>₹</t>
        </is>
      </c>
      <c r="D117" s="52">
        <f>D114/D57+D62</f>
        <v/>
      </c>
      <c r="E117" s="52">
        <f>E114/E57+E62</f>
        <v/>
      </c>
      <c r="F117" s="52">
        <f>F114/F57+F62</f>
        <v/>
      </c>
      <c r="G117" s="52">
        <f>G114/G57+G62</f>
        <v/>
      </c>
      <c r="H117" s="52">
        <f>H114/H57+H62</f>
        <v/>
      </c>
      <c r="I117" s="52">
        <f>I114/I57+I62</f>
        <v/>
      </c>
      <c r="J117" s="52">
        <f>J114/J57+J62</f>
        <v/>
      </c>
      <c r="K117" s="52">
        <f>K114/K57+K62</f>
        <v/>
      </c>
      <c r="L117" s="52">
        <f>L114/L57+L62</f>
        <v/>
      </c>
      <c r="M117" s="52">
        <f>M114/M57+M62</f>
        <v/>
      </c>
      <c r="N117" s="52">
        <f>N114/N57+N62</f>
        <v/>
      </c>
      <c r="O117" s="52">
        <f>O114/O57+O62</f>
        <v/>
      </c>
      <c r="P117" s="52">
        <f>P114/P57+P62</f>
        <v/>
      </c>
      <c r="Q117" s="52">
        <f>Q114/Q57+Q62</f>
        <v/>
      </c>
      <c r="R117" s="52">
        <f>R114/R57+R62</f>
        <v/>
      </c>
      <c r="S117" s="52">
        <f>S114/S57+S62</f>
        <v/>
      </c>
      <c r="T117" s="52">
        <f>T114/T57+T62</f>
        <v/>
      </c>
      <c r="U117" s="52">
        <f>U114/U57+U62</f>
        <v/>
      </c>
      <c r="V117" s="52">
        <f>V114/V57+V62</f>
        <v/>
      </c>
      <c r="W117" s="52">
        <f>W114/W57+W62</f>
        <v/>
      </c>
      <c r="X117" s="52">
        <f>X114/X57+X62</f>
        <v/>
      </c>
      <c r="Y117" s="52">
        <f>Y114/Y57+Y62</f>
        <v/>
      </c>
      <c r="Z117" s="52">
        <f>Z114/Z57+Z62</f>
        <v/>
      </c>
      <c r="AA117" s="52">
        <f>AA114/AA57+AA62</f>
        <v/>
      </c>
      <c r="AB117" s="52">
        <f>AB114/AB57+AB62</f>
        <v/>
      </c>
      <c r="AC117" s="52">
        <f>AC114/AC57+AC62</f>
        <v/>
      </c>
      <c r="AD117" s="52">
        <f>AD114/AD57+AD62</f>
        <v/>
      </c>
      <c r="AE117" s="52">
        <f>AE114/AE57+AE62</f>
        <v/>
      </c>
      <c r="AF117" s="52">
        <f>AF114/AF57+AF62</f>
        <v/>
      </c>
      <c r="AG117" s="52">
        <f>AG114/AG57+AG62</f>
        <v/>
      </c>
      <c r="AH117" s="52">
        <f>AH114/AH57+AH62</f>
        <v/>
      </c>
      <c r="AI117" s="52">
        <f>AI114/AI57+AI62</f>
        <v/>
      </c>
      <c r="AJ117" s="52">
        <f>AJ114/AJ57+AJ62</f>
        <v/>
      </c>
      <c r="AK117" s="52">
        <f>AK114/AK57+AK62</f>
        <v/>
      </c>
      <c r="AL117" s="52">
        <f>AL114/AL57+AL62</f>
        <v/>
      </c>
      <c r="AM117" s="52">
        <f>AM114/AM57+AM62</f>
        <v/>
      </c>
      <c r="AN117" s="52">
        <f>AN114/AN57+AN62</f>
        <v/>
      </c>
      <c r="AO117" s="52">
        <f>AO114/AO57+AO62</f>
        <v/>
      </c>
      <c r="AP117" s="52">
        <f>AP114/AP57+AP62</f>
        <v/>
      </c>
      <c r="AQ117" s="52">
        <f>AQ114/AQ57+AQ62</f>
        <v/>
      </c>
      <c r="AR117" s="52">
        <f>AR114/AR57+AR62</f>
        <v/>
      </c>
      <c r="AS117" s="52">
        <f>AS114/AS57+AS62</f>
        <v/>
      </c>
      <c r="AT117" s="52">
        <f>AT114/AT57+AT62</f>
        <v/>
      </c>
      <c r="AU117" s="52">
        <f>AU114/AU57+AU62</f>
        <v/>
      </c>
      <c r="AV117" s="52">
        <f>AV114/AV57+AV62</f>
        <v/>
      </c>
      <c r="AW117" s="52">
        <f>AW114/AW57+AW62</f>
        <v/>
      </c>
      <c r="AX117" s="52">
        <f>AX114/AX57+AX62</f>
        <v/>
      </c>
      <c r="AY117" s="52">
        <f>AY114/AY57+AY62</f>
        <v/>
      </c>
      <c r="AZ117" s="52">
        <f>AZ114/AZ57+AZ62</f>
        <v/>
      </c>
      <c r="BA117" s="52">
        <f>BA114/BA57+BA62</f>
        <v/>
      </c>
      <c r="BB117" s="52">
        <f>BB114/BB57+BB62</f>
        <v/>
      </c>
      <c r="BC117" s="52">
        <f>BC114/BC57+BC62</f>
        <v/>
      </c>
      <c r="BD117" s="52">
        <f>BD114/BD57+BD62</f>
        <v/>
      </c>
      <c r="BE117" s="52">
        <f>BE114/BE57+BE62</f>
        <v/>
      </c>
    </row>
    <row r="118">
      <c r="B118" s="7" t="inlineStr">
        <is>
          <t>Fully loaded acquisition cost = (sales + pilot setup + pilot COGS) ÷ conversion + onboarding (paid only) + marketing</t>
        </is>
      </c>
      <c r="C118" s="5" t="inlineStr">
        <is>
          <t>₹</t>
        </is>
      </c>
      <c r="D118" s="52">
        <f>(D114+D59+D116)/D57+D115+D62</f>
        <v/>
      </c>
      <c r="E118" s="52">
        <f>(E114+E59+E116)/E57+E115+E62</f>
        <v/>
      </c>
      <c r="F118" s="52">
        <f>(F114+F59+F116)/F57+F115+F62</f>
        <v/>
      </c>
      <c r="G118" s="52">
        <f>(G114+G59+G116)/G57+G115+G62</f>
        <v/>
      </c>
      <c r="H118" s="52">
        <f>(H114+H59+H116)/H57+H115+H62</f>
        <v/>
      </c>
      <c r="I118" s="52">
        <f>(I114+I59+I116)/I57+I115+I62</f>
        <v/>
      </c>
      <c r="J118" s="52">
        <f>(J114+J59+J116)/J57+J115+J62</f>
        <v/>
      </c>
      <c r="K118" s="52">
        <f>(K114+K59+K116)/K57+K115+K62</f>
        <v/>
      </c>
      <c r="L118" s="52">
        <f>(L114+L59+L116)/L57+L115+L62</f>
        <v/>
      </c>
      <c r="M118" s="52">
        <f>(M114+M59+M116)/M57+M115+M62</f>
        <v/>
      </c>
      <c r="N118" s="52">
        <f>(N114+N59+N116)/N57+N115+N62</f>
        <v/>
      </c>
      <c r="O118" s="52">
        <f>(O114+O59+O116)/O57+O115+O62</f>
        <v/>
      </c>
      <c r="P118" s="52">
        <f>(P114+P59+P116)/P57+P115+P62</f>
        <v/>
      </c>
      <c r="Q118" s="52">
        <f>(Q114+Q59+Q116)/Q57+Q115+Q62</f>
        <v/>
      </c>
      <c r="R118" s="52">
        <f>(R114+R59+R116)/R57+R115+R62</f>
        <v/>
      </c>
      <c r="S118" s="52">
        <f>(S114+S59+S116)/S57+S115+S62</f>
        <v/>
      </c>
      <c r="T118" s="52">
        <f>(T114+T59+T116)/T57+T115+T62</f>
        <v/>
      </c>
      <c r="U118" s="52">
        <f>(U114+U59+U116)/U57+U115+U62</f>
        <v/>
      </c>
      <c r="V118" s="52">
        <f>(V114+V59+V116)/V57+V115+V62</f>
        <v/>
      </c>
      <c r="W118" s="52">
        <f>(W114+W59+W116)/W57+W115+W62</f>
        <v/>
      </c>
      <c r="X118" s="52">
        <f>(X114+X59+X116)/X57+X115+X62</f>
        <v/>
      </c>
      <c r="Y118" s="52">
        <f>(Y114+Y59+Y116)/Y57+Y115+Y62</f>
        <v/>
      </c>
      <c r="Z118" s="52">
        <f>(Z114+Z59+Z116)/Z57+Z115+Z62</f>
        <v/>
      </c>
      <c r="AA118" s="52">
        <f>(AA114+AA59+AA116)/AA57+AA115+AA62</f>
        <v/>
      </c>
      <c r="AB118" s="52">
        <f>(AB114+AB59+AB116)/AB57+AB115+AB62</f>
        <v/>
      </c>
      <c r="AC118" s="52">
        <f>(AC114+AC59+AC116)/AC57+AC115+AC62</f>
        <v/>
      </c>
      <c r="AD118" s="52">
        <f>(AD114+AD59+AD116)/AD57+AD115+AD62</f>
        <v/>
      </c>
      <c r="AE118" s="52">
        <f>(AE114+AE59+AE116)/AE57+AE115+AE62</f>
        <v/>
      </c>
      <c r="AF118" s="52">
        <f>(AF114+AF59+AF116)/AF57+AF115+AF62</f>
        <v/>
      </c>
      <c r="AG118" s="52">
        <f>(AG114+AG59+AG116)/AG57+AG115+AG62</f>
        <v/>
      </c>
      <c r="AH118" s="52">
        <f>(AH114+AH59+AH116)/AH57+AH115+AH62</f>
        <v/>
      </c>
      <c r="AI118" s="52">
        <f>(AI114+AI59+AI116)/AI57+AI115+AI62</f>
        <v/>
      </c>
      <c r="AJ118" s="52">
        <f>(AJ114+AJ59+AJ116)/AJ57+AJ115+AJ62</f>
        <v/>
      </c>
      <c r="AK118" s="52">
        <f>(AK114+AK59+AK116)/AK57+AK115+AK62</f>
        <v/>
      </c>
      <c r="AL118" s="52">
        <f>(AL114+AL59+AL116)/AL57+AL115+AL62</f>
        <v/>
      </c>
      <c r="AM118" s="52">
        <f>(AM114+AM59+AM116)/AM57+AM115+AM62</f>
        <v/>
      </c>
      <c r="AN118" s="52">
        <f>(AN114+AN59+AN116)/AN57+AN115+AN62</f>
        <v/>
      </c>
      <c r="AO118" s="52">
        <f>(AO114+AO59+AO116)/AO57+AO115+AO62</f>
        <v/>
      </c>
      <c r="AP118" s="52">
        <f>(AP114+AP59+AP116)/AP57+AP115+AP62</f>
        <v/>
      </c>
      <c r="AQ118" s="52">
        <f>(AQ114+AQ59+AQ116)/AQ57+AQ115+AQ62</f>
        <v/>
      </c>
      <c r="AR118" s="52">
        <f>(AR114+AR59+AR116)/AR57+AR115+AR62</f>
        <v/>
      </c>
      <c r="AS118" s="52">
        <f>(AS114+AS59+AS116)/AS57+AS115+AS62</f>
        <v/>
      </c>
      <c r="AT118" s="52">
        <f>(AT114+AT59+AT116)/AT57+AT115+AT62</f>
        <v/>
      </c>
      <c r="AU118" s="52">
        <f>(AU114+AU59+AU116)/AU57+AU115+AU62</f>
        <v/>
      </c>
      <c r="AV118" s="52">
        <f>(AV114+AV59+AV116)/AV57+AV115+AV62</f>
        <v/>
      </c>
      <c r="AW118" s="52">
        <f>(AW114+AW59+AW116)/AW57+AW115+AW62</f>
        <v/>
      </c>
      <c r="AX118" s="52">
        <f>(AX114+AX59+AX116)/AX57+AX115+AX62</f>
        <v/>
      </c>
      <c r="AY118" s="52">
        <f>(AY114+AY59+AY116)/AY57+AY115+AY62</f>
        <v/>
      </c>
      <c r="AZ118" s="52">
        <f>(AZ114+AZ59+AZ116)/AZ57+AZ115+AZ62</f>
        <v/>
      </c>
      <c r="BA118" s="52">
        <f>(BA114+BA59+BA116)/BA57+BA115+BA62</f>
        <v/>
      </c>
      <c r="BB118" s="52">
        <f>(BB114+BB59+BB116)/BB57+BB115+BB62</f>
        <v/>
      </c>
      <c r="BC118" s="52">
        <f>(BC114+BC59+BC116)/BC57+BC115+BC62</f>
        <v/>
      </c>
      <c r="BD118" s="52">
        <f>(BD114+BD59+BD116)/BD57+BD115+BD62</f>
        <v/>
      </c>
      <c r="BE118" s="52">
        <f>(BE114+BE59+BE116)/BE57+BE115+BE62</f>
        <v/>
      </c>
    </row>
    <row r="119">
      <c r="B119" s="7" t="inlineStr">
        <is>
          <t>In-season churn, monthly payers only (prepaid annual plans cannot leave mid-year)</t>
        </is>
      </c>
      <c r="C119" s="5" t="inlineStr">
        <is>
          <t>%/month</t>
        </is>
      </c>
      <c r="D119" s="39">
        <f>D50*(1-D25)</f>
        <v/>
      </c>
      <c r="E119" s="39">
        <f>E50*(1-E25)</f>
        <v/>
      </c>
      <c r="F119" s="39">
        <f>F50*(1-F25)</f>
        <v/>
      </c>
      <c r="G119" s="39">
        <f>G50*(1-G25)</f>
        <v/>
      </c>
      <c r="H119" s="39">
        <f>H50*(1-H25)</f>
        <v/>
      </c>
      <c r="I119" s="39">
        <f>I50*(1-I25)</f>
        <v/>
      </c>
      <c r="J119" s="39">
        <f>J50*(1-J25)</f>
        <v/>
      </c>
      <c r="K119" s="39">
        <f>K50*(1-K25)</f>
        <v/>
      </c>
      <c r="L119" s="39">
        <f>L50*(1-L25)</f>
        <v/>
      </c>
      <c r="M119" s="39">
        <f>M50*(1-M25)</f>
        <v/>
      </c>
      <c r="N119" s="39">
        <f>N50*(1-N25)</f>
        <v/>
      </c>
      <c r="O119" s="39">
        <f>O50*(1-O25)</f>
        <v/>
      </c>
      <c r="P119" s="39">
        <f>P50*(1-P25)</f>
        <v/>
      </c>
      <c r="Q119" s="39">
        <f>Q50*(1-Q25)</f>
        <v/>
      </c>
      <c r="R119" s="39">
        <f>R50*(1-R25)</f>
        <v/>
      </c>
      <c r="S119" s="39">
        <f>S50*(1-S25)</f>
        <v/>
      </c>
      <c r="T119" s="39">
        <f>T50*(1-T25)</f>
        <v/>
      </c>
      <c r="U119" s="39">
        <f>U50*(1-U25)</f>
        <v/>
      </c>
      <c r="V119" s="39">
        <f>V50*(1-V25)</f>
        <v/>
      </c>
      <c r="W119" s="39">
        <f>W50*(1-W25)</f>
        <v/>
      </c>
      <c r="X119" s="39">
        <f>X50*(1-X25)</f>
        <v/>
      </c>
      <c r="Y119" s="39">
        <f>Y50*(1-Y25)</f>
        <v/>
      </c>
      <c r="Z119" s="39">
        <f>Z50*(1-Z25)</f>
        <v/>
      </c>
      <c r="AA119" s="39">
        <f>AA50*(1-AA25)</f>
        <v/>
      </c>
      <c r="AB119" s="39">
        <f>AB50*(1-AB25)</f>
        <v/>
      </c>
      <c r="AC119" s="39">
        <f>AC50*(1-AC25)</f>
        <v/>
      </c>
      <c r="AD119" s="39">
        <f>AD50*(1-AD25)</f>
        <v/>
      </c>
      <c r="AE119" s="39">
        <f>AE50*(1-AE25)</f>
        <v/>
      </c>
      <c r="AF119" s="39">
        <f>AF50*(1-AF25)</f>
        <v/>
      </c>
      <c r="AG119" s="39">
        <f>AG50*(1-AG25)</f>
        <v/>
      </c>
      <c r="AH119" s="39">
        <f>AH50*(1-AH25)</f>
        <v/>
      </c>
      <c r="AI119" s="39">
        <f>AI50*(1-AI25)</f>
        <v/>
      </c>
      <c r="AJ119" s="39">
        <f>AJ50*(1-AJ25)</f>
        <v/>
      </c>
      <c r="AK119" s="39">
        <f>AK50*(1-AK25)</f>
        <v/>
      </c>
      <c r="AL119" s="39">
        <f>AL50*(1-AL25)</f>
        <v/>
      </c>
      <c r="AM119" s="39">
        <f>AM50*(1-AM25)</f>
        <v/>
      </c>
      <c r="AN119" s="39">
        <f>AN50*(1-AN25)</f>
        <v/>
      </c>
      <c r="AO119" s="39">
        <f>AO50*(1-AO25)</f>
        <v/>
      </c>
      <c r="AP119" s="39">
        <f>AP50*(1-AP25)</f>
        <v/>
      </c>
      <c r="AQ119" s="39">
        <f>AQ50*(1-AQ25)</f>
        <v/>
      </c>
      <c r="AR119" s="39">
        <f>AR50*(1-AR25)</f>
        <v/>
      </c>
      <c r="AS119" s="39">
        <f>AS50*(1-AS25)</f>
        <v/>
      </c>
      <c r="AT119" s="39">
        <f>AT50*(1-AT25)</f>
        <v/>
      </c>
      <c r="AU119" s="39">
        <f>AU50*(1-AU25)</f>
        <v/>
      </c>
      <c r="AV119" s="39">
        <f>AV50*(1-AV25)</f>
        <v/>
      </c>
      <c r="AW119" s="39">
        <f>AW50*(1-AW25)</f>
        <v/>
      </c>
      <c r="AX119" s="39">
        <f>AX50*(1-AX25)</f>
        <v/>
      </c>
      <c r="AY119" s="39">
        <f>AY50*(1-AY25)</f>
        <v/>
      </c>
      <c r="AZ119" s="39">
        <f>AZ50*(1-AZ25)</f>
        <v/>
      </c>
      <c r="BA119" s="39">
        <f>BA50*(1-BA25)</f>
        <v/>
      </c>
      <c r="BB119" s="39">
        <f>BB50*(1-BB25)</f>
        <v/>
      </c>
      <c r="BC119" s="39">
        <f>BC50*(1-BC25)</f>
        <v/>
      </c>
      <c r="BD119" s="39">
        <f>BD50*(1-BD25)</f>
        <v/>
      </c>
      <c r="BE119" s="39">
        <f>BE50*(1-BE25)</f>
        <v/>
      </c>
    </row>
    <row r="120">
      <c r="B120" s="7" t="inlineStr">
        <is>
          <t>Extra churn per renewal month</t>
        </is>
      </c>
      <c r="C120" s="5" t="inlineStr">
        <is>
          <t>%/month</t>
        </is>
      </c>
      <c r="D120" s="39">
        <f>1-(1-D51)^(1/NRenew)</f>
        <v/>
      </c>
      <c r="E120" s="39">
        <f>1-(1-E51)^(1/NRenew)</f>
        <v/>
      </c>
      <c r="F120" s="39">
        <f>1-(1-F51)^(1/NRenew)</f>
        <v/>
      </c>
      <c r="G120" s="39">
        <f>1-(1-G51)^(1/NRenew)</f>
        <v/>
      </c>
      <c r="H120" s="39">
        <f>1-(1-H51)^(1/NRenew)</f>
        <v/>
      </c>
      <c r="I120" s="39">
        <f>1-(1-I51)^(1/NRenew)</f>
        <v/>
      </c>
      <c r="J120" s="39">
        <f>1-(1-J51)^(1/NRenew)</f>
        <v/>
      </c>
      <c r="K120" s="39">
        <f>1-(1-K51)^(1/NRenew)</f>
        <v/>
      </c>
      <c r="L120" s="39">
        <f>1-(1-L51)^(1/NRenew)</f>
        <v/>
      </c>
      <c r="M120" s="39">
        <f>1-(1-M51)^(1/NRenew)</f>
        <v/>
      </c>
      <c r="N120" s="39">
        <f>1-(1-N51)^(1/NRenew)</f>
        <v/>
      </c>
      <c r="O120" s="39">
        <f>1-(1-O51)^(1/NRenew)</f>
        <v/>
      </c>
      <c r="P120" s="39">
        <f>1-(1-P51)^(1/NRenew)</f>
        <v/>
      </c>
      <c r="Q120" s="39">
        <f>1-(1-Q51)^(1/NRenew)</f>
        <v/>
      </c>
      <c r="R120" s="39">
        <f>1-(1-R51)^(1/NRenew)</f>
        <v/>
      </c>
      <c r="S120" s="39">
        <f>1-(1-S51)^(1/NRenew)</f>
        <v/>
      </c>
      <c r="T120" s="39">
        <f>1-(1-T51)^(1/NRenew)</f>
        <v/>
      </c>
      <c r="U120" s="39">
        <f>1-(1-U51)^(1/NRenew)</f>
        <v/>
      </c>
      <c r="V120" s="39">
        <f>1-(1-V51)^(1/NRenew)</f>
        <v/>
      </c>
      <c r="W120" s="39">
        <f>1-(1-W51)^(1/NRenew)</f>
        <v/>
      </c>
      <c r="X120" s="39">
        <f>1-(1-X51)^(1/NRenew)</f>
        <v/>
      </c>
      <c r="Y120" s="39">
        <f>1-(1-Y51)^(1/NRenew)</f>
        <v/>
      </c>
      <c r="Z120" s="39">
        <f>1-(1-Z51)^(1/NRenew)</f>
        <v/>
      </c>
      <c r="AA120" s="39">
        <f>1-(1-AA51)^(1/NRenew)</f>
        <v/>
      </c>
      <c r="AB120" s="39">
        <f>1-(1-AB51)^(1/NRenew)</f>
        <v/>
      </c>
      <c r="AC120" s="39">
        <f>1-(1-AC51)^(1/NRenew)</f>
        <v/>
      </c>
      <c r="AD120" s="39">
        <f>1-(1-AD51)^(1/NRenew)</f>
        <v/>
      </c>
      <c r="AE120" s="39">
        <f>1-(1-AE51)^(1/NRenew)</f>
        <v/>
      </c>
      <c r="AF120" s="39">
        <f>1-(1-AF51)^(1/NRenew)</f>
        <v/>
      </c>
      <c r="AG120" s="39">
        <f>1-(1-AG51)^(1/NRenew)</f>
        <v/>
      </c>
      <c r="AH120" s="39">
        <f>1-(1-AH51)^(1/NRenew)</f>
        <v/>
      </c>
      <c r="AI120" s="39">
        <f>1-(1-AI51)^(1/NRenew)</f>
        <v/>
      </c>
      <c r="AJ120" s="39">
        <f>1-(1-AJ51)^(1/NRenew)</f>
        <v/>
      </c>
      <c r="AK120" s="39">
        <f>1-(1-AK51)^(1/NRenew)</f>
        <v/>
      </c>
      <c r="AL120" s="39">
        <f>1-(1-AL51)^(1/NRenew)</f>
        <v/>
      </c>
      <c r="AM120" s="39">
        <f>1-(1-AM51)^(1/NRenew)</f>
        <v/>
      </c>
      <c r="AN120" s="39">
        <f>1-(1-AN51)^(1/NRenew)</f>
        <v/>
      </c>
      <c r="AO120" s="39">
        <f>1-(1-AO51)^(1/NRenew)</f>
        <v/>
      </c>
      <c r="AP120" s="39">
        <f>1-(1-AP51)^(1/NRenew)</f>
        <v/>
      </c>
      <c r="AQ120" s="39">
        <f>1-(1-AQ51)^(1/NRenew)</f>
        <v/>
      </c>
      <c r="AR120" s="39">
        <f>1-(1-AR51)^(1/NRenew)</f>
        <v/>
      </c>
      <c r="AS120" s="39">
        <f>1-(1-AS51)^(1/NRenew)</f>
        <v/>
      </c>
      <c r="AT120" s="39">
        <f>1-(1-AT51)^(1/NRenew)</f>
        <v/>
      </c>
      <c r="AU120" s="39">
        <f>1-(1-AU51)^(1/NRenew)</f>
        <v/>
      </c>
      <c r="AV120" s="39">
        <f>1-(1-AV51)^(1/NRenew)</f>
        <v/>
      </c>
      <c r="AW120" s="39">
        <f>1-(1-AW51)^(1/NRenew)</f>
        <v/>
      </c>
      <c r="AX120" s="39">
        <f>1-(1-AX51)^(1/NRenew)</f>
        <v/>
      </c>
      <c r="AY120" s="39">
        <f>1-(1-AY51)^(1/NRenew)</f>
        <v/>
      </c>
      <c r="AZ120" s="39">
        <f>1-(1-AZ51)^(1/NRenew)</f>
        <v/>
      </c>
      <c r="BA120" s="39">
        <f>1-(1-BA51)^(1/NRenew)</f>
        <v/>
      </c>
      <c r="BB120" s="39">
        <f>1-(1-BB51)^(1/NRenew)</f>
        <v/>
      </c>
      <c r="BC120" s="39">
        <f>1-(1-BC51)^(1/NRenew)</f>
        <v/>
      </c>
      <c r="BD120" s="39">
        <f>1-(1-BD51)^(1/NRenew)</f>
        <v/>
      </c>
      <c r="BE120" s="39">
        <f>1-(1-BE51)^(1/NRenew)</f>
        <v/>
      </c>
    </row>
    <row r="121">
      <c r="B121" s="7" t="inlineStr">
        <is>
          <t>Annual logo retention</t>
        </is>
      </c>
      <c r="C121" s="5" t="inlineStr">
        <is>
          <t>%</t>
        </is>
      </c>
      <c r="D121" s="40">
        <f>(1-D119)^12*(1-D51)</f>
        <v/>
      </c>
      <c r="E121" s="40">
        <f>(1-E119)^12*(1-E51)</f>
        <v/>
      </c>
      <c r="F121" s="40">
        <f>(1-F119)^12*(1-F51)</f>
        <v/>
      </c>
      <c r="G121" s="40">
        <f>(1-G119)^12*(1-G51)</f>
        <v/>
      </c>
      <c r="H121" s="40">
        <f>(1-H119)^12*(1-H51)</f>
        <v/>
      </c>
      <c r="I121" s="40">
        <f>(1-I119)^12*(1-I51)</f>
        <v/>
      </c>
      <c r="J121" s="40">
        <f>(1-J119)^12*(1-J51)</f>
        <v/>
      </c>
      <c r="K121" s="40">
        <f>(1-K119)^12*(1-K51)</f>
        <v/>
      </c>
      <c r="L121" s="40">
        <f>(1-L119)^12*(1-L51)</f>
        <v/>
      </c>
      <c r="M121" s="40">
        <f>(1-M119)^12*(1-M51)</f>
        <v/>
      </c>
      <c r="N121" s="40">
        <f>(1-N119)^12*(1-N51)</f>
        <v/>
      </c>
      <c r="O121" s="40">
        <f>(1-O119)^12*(1-O51)</f>
        <v/>
      </c>
      <c r="P121" s="40">
        <f>(1-P119)^12*(1-P51)</f>
        <v/>
      </c>
      <c r="Q121" s="40">
        <f>(1-Q119)^12*(1-Q51)</f>
        <v/>
      </c>
      <c r="R121" s="40">
        <f>(1-R119)^12*(1-R51)</f>
        <v/>
      </c>
      <c r="S121" s="40">
        <f>(1-S119)^12*(1-S51)</f>
        <v/>
      </c>
      <c r="T121" s="40">
        <f>(1-T119)^12*(1-T51)</f>
        <v/>
      </c>
      <c r="U121" s="40">
        <f>(1-U119)^12*(1-U51)</f>
        <v/>
      </c>
      <c r="V121" s="40">
        <f>(1-V119)^12*(1-V51)</f>
        <v/>
      </c>
      <c r="W121" s="40">
        <f>(1-W119)^12*(1-W51)</f>
        <v/>
      </c>
      <c r="X121" s="40">
        <f>(1-X119)^12*(1-X51)</f>
        <v/>
      </c>
      <c r="Y121" s="40">
        <f>(1-Y119)^12*(1-Y51)</f>
        <v/>
      </c>
      <c r="Z121" s="40">
        <f>(1-Z119)^12*(1-Z51)</f>
        <v/>
      </c>
      <c r="AA121" s="40">
        <f>(1-AA119)^12*(1-AA51)</f>
        <v/>
      </c>
      <c r="AB121" s="40">
        <f>(1-AB119)^12*(1-AB51)</f>
        <v/>
      </c>
      <c r="AC121" s="40">
        <f>(1-AC119)^12*(1-AC51)</f>
        <v/>
      </c>
      <c r="AD121" s="40">
        <f>(1-AD119)^12*(1-AD51)</f>
        <v/>
      </c>
      <c r="AE121" s="40">
        <f>(1-AE119)^12*(1-AE51)</f>
        <v/>
      </c>
      <c r="AF121" s="40">
        <f>(1-AF119)^12*(1-AF51)</f>
        <v/>
      </c>
      <c r="AG121" s="40">
        <f>(1-AG119)^12*(1-AG51)</f>
        <v/>
      </c>
      <c r="AH121" s="40">
        <f>(1-AH119)^12*(1-AH51)</f>
        <v/>
      </c>
      <c r="AI121" s="40">
        <f>(1-AI119)^12*(1-AI51)</f>
        <v/>
      </c>
      <c r="AJ121" s="40">
        <f>(1-AJ119)^12*(1-AJ51)</f>
        <v/>
      </c>
      <c r="AK121" s="40">
        <f>(1-AK119)^12*(1-AK51)</f>
        <v/>
      </c>
      <c r="AL121" s="40">
        <f>(1-AL119)^12*(1-AL51)</f>
        <v/>
      </c>
      <c r="AM121" s="40">
        <f>(1-AM119)^12*(1-AM51)</f>
        <v/>
      </c>
      <c r="AN121" s="40">
        <f>(1-AN119)^12*(1-AN51)</f>
        <v/>
      </c>
      <c r="AO121" s="40">
        <f>(1-AO119)^12*(1-AO51)</f>
        <v/>
      </c>
      <c r="AP121" s="40">
        <f>(1-AP119)^12*(1-AP51)</f>
        <v/>
      </c>
      <c r="AQ121" s="40">
        <f>(1-AQ119)^12*(1-AQ51)</f>
        <v/>
      </c>
      <c r="AR121" s="40">
        <f>(1-AR119)^12*(1-AR51)</f>
        <v/>
      </c>
      <c r="AS121" s="40">
        <f>(1-AS119)^12*(1-AS51)</f>
        <v/>
      </c>
      <c r="AT121" s="40">
        <f>(1-AT119)^12*(1-AT51)</f>
        <v/>
      </c>
      <c r="AU121" s="40">
        <f>(1-AU119)^12*(1-AU51)</f>
        <v/>
      </c>
      <c r="AV121" s="40">
        <f>(1-AV119)^12*(1-AV51)</f>
        <v/>
      </c>
      <c r="AW121" s="40">
        <f>(1-AW119)^12*(1-AW51)</f>
        <v/>
      </c>
      <c r="AX121" s="40">
        <f>(1-AX119)^12*(1-AX51)</f>
        <v/>
      </c>
      <c r="AY121" s="40">
        <f>(1-AY119)^12*(1-AY51)</f>
        <v/>
      </c>
      <c r="AZ121" s="40">
        <f>(1-AZ119)^12*(1-AZ51)</f>
        <v/>
      </c>
      <c r="BA121" s="40">
        <f>(1-BA119)^12*(1-BA51)</f>
        <v/>
      </c>
      <c r="BB121" s="40">
        <f>(1-BB119)^12*(1-BB51)</f>
        <v/>
      </c>
      <c r="BC121" s="40">
        <f>(1-BC119)^12*(1-BC51)</f>
        <v/>
      </c>
      <c r="BD121" s="40">
        <f>(1-BD119)^12*(1-BD51)</f>
        <v/>
      </c>
      <c r="BE121" s="40">
        <f>(1-BE119)^12*(1-BE51)</f>
        <v/>
      </c>
    </row>
    <row r="122">
      <c r="B122" s="7" t="inlineStr">
        <is>
          <t>Expected paid lifetime within horizon</t>
        </is>
      </c>
      <c r="C122" s="5" t="inlineStr">
        <is>
          <t>months</t>
        </is>
      </c>
      <c r="D122" s="54">
        <f>SUM(D251:D310)</f>
        <v/>
      </c>
      <c r="E122" s="54">
        <f>SUM(E251:E310)</f>
        <v/>
      </c>
      <c r="F122" s="54">
        <f>SUM(F251:F310)</f>
        <v/>
      </c>
      <c r="G122" s="54">
        <f>SUM(G251:G310)</f>
        <v/>
      </c>
      <c r="H122" s="54">
        <f>SUM(H251:H310)</f>
        <v/>
      </c>
      <c r="I122" s="54">
        <f>SUM(I251:I310)</f>
        <v/>
      </c>
      <c r="J122" s="54">
        <f>SUM(J251:J310)</f>
        <v/>
      </c>
      <c r="K122" s="54">
        <f>SUM(K251:K310)</f>
        <v/>
      </c>
      <c r="L122" s="54">
        <f>SUM(L251:L310)</f>
        <v/>
      </c>
      <c r="M122" s="54">
        <f>SUM(M251:M310)</f>
        <v/>
      </c>
      <c r="N122" s="54">
        <f>SUM(N251:N310)</f>
        <v/>
      </c>
      <c r="O122" s="54">
        <f>SUM(O251:O310)</f>
        <v/>
      </c>
      <c r="P122" s="54">
        <f>SUM(P251:P310)</f>
        <v/>
      </c>
      <c r="Q122" s="54">
        <f>SUM(Q251:Q310)</f>
        <v/>
      </c>
      <c r="R122" s="54">
        <f>SUM(R251:R310)</f>
        <v/>
      </c>
      <c r="S122" s="54">
        <f>SUM(S251:S310)</f>
        <v/>
      </c>
      <c r="T122" s="54">
        <f>SUM(T251:T310)</f>
        <v/>
      </c>
      <c r="U122" s="54">
        <f>SUM(U251:U310)</f>
        <v/>
      </c>
      <c r="V122" s="54">
        <f>SUM(V251:V310)</f>
        <v/>
      </c>
      <c r="W122" s="54">
        <f>SUM(W251:W310)</f>
        <v/>
      </c>
      <c r="X122" s="54">
        <f>SUM(X251:X310)</f>
        <v/>
      </c>
      <c r="Y122" s="54">
        <f>SUM(Y251:Y310)</f>
        <v/>
      </c>
      <c r="Z122" s="54">
        <f>SUM(Z251:Z310)</f>
        <v/>
      </c>
      <c r="AA122" s="54">
        <f>SUM(AA251:AA310)</f>
        <v/>
      </c>
      <c r="AB122" s="54">
        <f>SUM(AB251:AB310)</f>
        <v/>
      </c>
      <c r="AC122" s="54">
        <f>SUM(AC251:AC310)</f>
        <v/>
      </c>
      <c r="AD122" s="54">
        <f>SUM(AD251:AD310)</f>
        <v/>
      </c>
      <c r="AE122" s="54">
        <f>SUM(AE251:AE310)</f>
        <v/>
      </c>
      <c r="AF122" s="54">
        <f>SUM(AF251:AF310)</f>
        <v/>
      </c>
      <c r="AG122" s="54">
        <f>SUM(AG251:AG310)</f>
        <v/>
      </c>
      <c r="AH122" s="54">
        <f>SUM(AH251:AH310)</f>
        <v/>
      </c>
      <c r="AI122" s="54">
        <f>SUM(AI251:AI310)</f>
        <v/>
      </c>
      <c r="AJ122" s="54">
        <f>SUM(AJ251:AJ310)</f>
        <v/>
      </c>
      <c r="AK122" s="54">
        <f>SUM(AK251:AK310)</f>
        <v/>
      </c>
      <c r="AL122" s="54">
        <f>SUM(AL251:AL310)</f>
        <v/>
      </c>
      <c r="AM122" s="54">
        <f>SUM(AM251:AM310)</f>
        <v/>
      </c>
      <c r="AN122" s="54">
        <f>SUM(AN251:AN310)</f>
        <v/>
      </c>
      <c r="AO122" s="54">
        <f>SUM(AO251:AO310)</f>
        <v/>
      </c>
      <c r="AP122" s="54">
        <f>SUM(AP251:AP310)</f>
        <v/>
      </c>
      <c r="AQ122" s="54">
        <f>SUM(AQ251:AQ310)</f>
        <v/>
      </c>
      <c r="AR122" s="54">
        <f>SUM(AR251:AR310)</f>
        <v/>
      </c>
      <c r="AS122" s="54">
        <f>SUM(AS251:AS310)</f>
        <v/>
      </c>
      <c r="AT122" s="54">
        <f>SUM(AT251:AT310)</f>
        <v/>
      </c>
      <c r="AU122" s="54">
        <f>SUM(AU251:AU310)</f>
        <v/>
      </c>
      <c r="AV122" s="54">
        <f>SUM(AV251:AV310)</f>
        <v/>
      </c>
      <c r="AW122" s="54">
        <f>SUM(AW251:AW310)</f>
        <v/>
      </c>
      <c r="AX122" s="54">
        <f>SUM(AX251:AX310)</f>
        <v/>
      </c>
      <c r="AY122" s="54">
        <f>SUM(AY251:AY310)</f>
        <v/>
      </c>
      <c r="AZ122" s="54">
        <f>SUM(AZ251:AZ310)</f>
        <v/>
      </c>
      <c r="BA122" s="54">
        <f>SUM(BA251:BA310)</f>
        <v/>
      </c>
      <c r="BB122" s="54">
        <f>SUM(BB251:BB310)</f>
        <v/>
      </c>
      <c r="BC122" s="54">
        <f>SUM(BC251:BC310)</f>
        <v/>
      </c>
      <c r="BD122" s="54">
        <f>SUM(BD251:BD310)</f>
        <v/>
      </c>
      <c r="BE122" s="54">
        <f>SUM(BE251:BE310)</f>
        <v/>
      </c>
    </row>
    <row r="123">
      <c r="B123" s="7" t="inlineStr">
        <is>
          <t>LTV (contribution)</t>
        </is>
      </c>
      <c r="C123" s="5" t="inlineStr">
        <is>
          <t>₹</t>
        </is>
      </c>
      <c r="D123" s="52">
        <f>D370</f>
        <v/>
      </c>
      <c r="E123" s="52">
        <f>E370</f>
        <v/>
      </c>
      <c r="F123" s="52">
        <f>F370</f>
        <v/>
      </c>
      <c r="G123" s="52">
        <f>G370</f>
        <v/>
      </c>
      <c r="H123" s="52">
        <f>H370</f>
        <v/>
      </c>
      <c r="I123" s="52">
        <f>I370</f>
        <v/>
      </c>
      <c r="J123" s="52">
        <f>J370</f>
        <v/>
      </c>
      <c r="K123" s="52">
        <f>K370</f>
        <v/>
      </c>
      <c r="L123" s="52">
        <f>L370</f>
        <v/>
      </c>
      <c r="M123" s="52">
        <f>M370</f>
        <v/>
      </c>
      <c r="N123" s="52">
        <f>N370</f>
        <v/>
      </c>
      <c r="O123" s="52">
        <f>O370</f>
        <v/>
      </c>
      <c r="P123" s="52">
        <f>P370</f>
        <v/>
      </c>
      <c r="Q123" s="52">
        <f>Q370</f>
        <v/>
      </c>
      <c r="R123" s="52">
        <f>R370</f>
        <v/>
      </c>
      <c r="S123" s="52">
        <f>S370</f>
        <v/>
      </c>
      <c r="T123" s="52">
        <f>T370</f>
        <v/>
      </c>
      <c r="U123" s="52">
        <f>U370</f>
        <v/>
      </c>
      <c r="V123" s="52">
        <f>V370</f>
        <v/>
      </c>
      <c r="W123" s="52">
        <f>W370</f>
        <v/>
      </c>
      <c r="X123" s="52">
        <f>X370</f>
        <v/>
      </c>
      <c r="Y123" s="52">
        <f>Y370</f>
        <v/>
      </c>
      <c r="Z123" s="52">
        <f>Z370</f>
        <v/>
      </c>
      <c r="AA123" s="52">
        <f>AA370</f>
        <v/>
      </c>
      <c r="AB123" s="52">
        <f>AB370</f>
        <v/>
      </c>
      <c r="AC123" s="52">
        <f>AC370</f>
        <v/>
      </c>
      <c r="AD123" s="52">
        <f>AD370</f>
        <v/>
      </c>
      <c r="AE123" s="52">
        <f>AE370</f>
        <v/>
      </c>
      <c r="AF123" s="52">
        <f>AF370</f>
        <v/>
      </c>
      <c r="AG123" s="52">
        <f>AG370</f>
        <v/>
      </c>
      <c r="AH123" s="52">
        <f>AH370</f>
        <v/>
      </c>
      <c r="AI123" s="52">
        <f>AI370</f>
        <v/>
      </c>
      <c r="AJ123" s="52">
        <f>AJ370</f>
        <v/>
      </c>
      <c r="AK123" s="52">
        <f>AK370</f>
        <v/>
      </c>
      <c r="AL123" s="52">
        <f>AL370</f>
        <v/>
      </c>
      <c r="AM123" s="52">
        <f>AM370</f>
        <v/>
      </c>
      <c r="AN123" s="52">
        <f>AN370</f>
        <v/>
      </c>
      <c r="AO123" s="52">
        <f>AO370</f>
        <v/>
      </c>
      <c r="AP123" s="52">
        <f>AP370</f>
        <v/>
      </c>
      <c r="AQ123" s="52">
        <f>AQ370</f>
        <v/>
      </c>
      <c r="AR123" s="52">
        <f>AR370</f>
        <v/>
      </c>
      <c r="AS123" s="52">
        <f>AS370</f>
        <v/>
      </c>
      <c r="AT123" s="52">
        <f>AT370</f>
        <v/>
      </c>
      <c r="AU123" s="52">
        <f>AU370</f>
        <v/>
      </c>
      <c r="AV123" s="52">
        <f>AV370</f>
        <v/>
      </c>
      <c r="AW123" s="52">
        <f>AW370</f>
        <v/>
      </c>
      <c r="AX123" s="52">
        <f>AX370</f>
        <v/>
      </c>
      <c r="AY123" s="52">
        <f>AY370</f>
        <v/>
      </c>
      <c r="AZ123" s="52">
        <f>AZ370</f>
        <v/>
      </c>
      <c r="BA123" s="52">
        <f>BA370</f>
        <v/>
      </c>
      <c r="BB123" s="52">
        <f>BB370</f>
        <v/>
      </c>
      <c r="BC123" s="52">
        <f>BC370</f>
        <v/>
      </c>
      <c r="BD123" s="52">
        <f>BD370</f>
        <v/>
      </c>
      <c r="BE123" s="52">
        <f>BE370</f>
        <v/>
      </c>
    </row>
    <row r="124">
      <c r="B124" s="7" t="inlineStr">
        <is>
          <t>LTV ÷ fully loaded acquisition cost</t>
        </is>
      </c>
      <c r="C124" s="5" t="inlineStr">
        <is>
          <t>x</t>
        </is>
      </c>
      <c r="D124" s="55">
        <f>IF(D118&gt;0,D123/D118,0)</f>
        <v/>
      </c>
      <c r="E124" s="55">
        <f>IF(E118&gt;0,E123/E118,0)</f>
        <v/>
      </c>
      <c r="F124" s="55">
        <f>IF(F118&gt;0,F123/F118,0)</f>
        <v/>
      </c>
      <c r="G124" s="55">
        <f>IF(G118&gt;0,G123/G118,0)</f>
        <v/>
      </c>
      <c r="H124" s="55">
        <f>IF(H118&gt;0,H123/H118,0)</f>
        <v/>
      </c>
      <c r="I124" s="55">
        <f>IF(I118&gt;0,I123/I118,0)</f>
        <v/>
      </c>
      <c r="J124" s="55">
        <f>IF(J118&gt;0,J123/J118,0)</f>
        <v/>
      </c>
      <c r="K124" s="55">
        <f>IF(K118&gt;0,K123/K118,0)</f>
        <v/>
      </c>
      <c r="L124" s="55">
        <f>IF(L118&gt;0,L123/L118,0)</f>
        <v/>
      </c>
      <c r="M124" s="55">
        <f>IF(M118&gt;0,M123/M118,0)</f>
        <v/>
      </c>
      <c r="N124" s="55">
        <f>IF(N118&gt;0,N123/N118,0)</f>
        <v/>
      </c>
      <c r="O124" s="55">
        <f>IF(O118&gt;0,O123/O118,0)</f>
        <v/>
      </c>
      <c r="P124" s="55">
        <f>IF(P118&gt;0,P123/P118,0)</f>
        <v/>
      </c>
      <c r="Q124" s="55">
        <f>IF(Q118&gt;0,Q123/Q118,0)</f>
        <v/>
      </c>
      <c r="R124" s="55">
        <f>IF(R118&gt;0,R123/R118,0)</f>
        <v/>
      </c>
      <c r="S124" s="55">
        <f>IF(S118&gt;0,S123/S118,0)</f>
        <v/>
      </c>
      <c r="T124" s="55">
        <f>IF(T118&gt;0,T123/T118,0)</f>
        <v/>
      </c>
      <c r="U124" s="55">
        <f>IF(U118&gt;0,U123/U118,0)</f>
        <v/>
      </c>
      <c r="V124" s="55">
        <f>IF(V118&gt;0,V123/V118,0)</f>
        <v/>
      </c>
      <c r="W124" s="55">
        <f>IF(W118&gt;0,W123/W118,0)</f>
        <v/>
      </c>
      <c r="X124" s="55">
        <f>IF(X118&gt;0,X123/X118,0)</f>
        <v/>
      </c>
      <c r="Y124" s="55">
        <f>IF(Y118&gt;0,Y123/Y118,0)</f>
        <v/>
      </c>
      <c r="Z124" s="55">
        <f>IF(Z118&gt;0,Z123/Z118,0)</f>
        <v/>
      </c>
      <c r="AA124" s="55">
        <f>IF(AA118&gt;0,AA123/AA118,0)</f>
        <v/>
      </c>
      <c r="AB124" s="55">
        <f>IF(AB118&gt;0,AB123/AB118,0)</f>
        <v/>
      </c>
      <c r="AC124" s="55">
        <f>IF(AC118&gt;0,AC123/AC118,0)</f>
        <v/>
      </c>
      <c r="AD124" s="55">
        <f>IF(AD118&gt;0,AD123/AD118,0)</f>
        <v/>
      </c>
      <c r="AE124" s="55">
        <f>IF(AE118&gt;0,AE123/AE118,0)</f>
        <v/>
      </c>
      <c r="AF124" s="55">
        <f>IF(AF118&gt;0,AF123/AF118,0)</f>
        <v/>
      </c>
      <c r="AG124" s="55">
        <f>IF(AG118&gt;0,AG123/AG118,0)</f>
        <v/>
      </c>
      <c r="AH124" s="55">
        <f>IF(AH118&gt;0,AH123/AH118,0)</f>
        <v/>
      </c>
      <c r="AI124" s="55">
        <f>IF(AI118&gt;0,AI123/AI118,0)</f>
        <v/>
      </c>
      <c r="AJ124" s="55">
        <f>IF(AJ118&gt;0,AJ123/AJ118,0)</f>
        <v/>
      </c>
      <c r="AK124" s="55">
        <f>IF(AK118&gt;0,AK123/AK118,0)</f>
        <v/>
      </c>
      <c r="AL124" s="55">
        <f>IF(AL118&gt;0,AL123/AL118,0)</f>
        <v/>
      </c>
      <c r="AM124" s="55">
        <f>IF(AM118&gt;0,AM123/AM118,0)</f>
        <v/>
      </c>
      <c r="AN124" s="55">
        <f>IF(AN118&gt;0,AN123/AN118,0)</f>
        <v/>
      </c>
      <c r="AO124" s="55">
        <f>IF(AO118&gt;0,AO123/AO118,0)</f>
        <v/>
      </c>
      <c r="AP124" s="55">
        <f>IF(AP118&gt;0,AP123/AP118,0)</f>
        <v/>
      </c>
      <c r="AQ124" s="55">
        <f>IF(AQ118&gt;0,AQ123/AQ118,0)</f>
        <v/>
      </c>
      <c r="AR124" s="55">
        <f>IF(AR118&gt;0,AR123/AR118,0)</f>
        <v/>
      </c>
      <c r="AS124" s="55">
        <f>IF(AS118&gt;0,AS123/AS118,0)</f>
        <v/>
      </c>
      <c r="AT124" s="55">
        <f>IF(AT118&gt;0,AT123/AT118,0)</f>
        <v/>
      </c>
      <c r="AU124" s="55">
        <f>IF(AU118&gt;0,AU123/AU118,0)</f>
        <v/>
      </c>
      <c r="AV124" s="55">
        <f>IF(AV118&gt;0,AV123/AV118,0)</f>
        <v/>
      </c>
      <c r="AW124" s="55">
        <f>IF(AW118&gt;0,AW123/AW118,0)</f>
        <v/>
      </c>
      <c r="AX124" s="55">
        <f>IF(AX118&gt;0,AX123/AX118,0)</f>
        <v/>
      </c>
      <c r="AY124" s="55">
        <f>IF(AY118&gt;0,AY123/AY118,0)</f>
        <v/>
      </c>
      <c r="AZ124" s="55">
        <f>IF(AZ118&gt;0,AZ123/AZ118,0)</f>
        <v/>
      </c>
      <c r="BA124" s="55">
        <f>IF(BA118&gt;0,BA123/BA118,0)</f>
        <v/>
      </c>
      <c r="BB124" s="55">
        <f>IF(BB118&gt;0,BB123/BB118,0)</f>
        <v/>
      </c>
      <c r="BC124" s="55">
        <f>IF(BC118&gt;0,BC123/BC118,0)</f>
        <v/>
      </c>
      <c r="BD124" s="55">
        <f>IF(BD118&gt;0,BD123/BD118,0)</f>
        <v/>
      </c>
      <c r="BE124" s="55">
        <f>IF(BE118&gt;0,BE123/BE118,0)</f>
        <v/>
      </c>
    </row>
    <row r="125">
      <c r="B125" s="7" t="inlineStr">
        <is>
          <t>Payback (months of paid life, discounted)</t>
        </is>
      </c>
      <c r="C125" s="5" t="inlineStr">
        <is>
          <t>months</t>
        </is>
      </c>
      <c r="D125" s="60">
        <f>IF(D370&lt;D118,61,COUNTIF(D311:D370,"&lt;"&amp;D118)+1)</f>
        <v/>
      </c>
      <c r="E125" s="60">
        <f>IF(E370&lt;E118,61,COUNTIF(E311:E370,"&lt;"&amp;E118)+1)</f>
        <v/>
      </c>
      <c r="F125" s="60">
        <f>IF(F370&lt;F118,61,COUNTIF(F311:F370,"&lt;"&amp;F118)+1)</f>
        <v/>
      </c>
      <c r="G125" s="60">
        <f>IF(G370&lt;G118,61,COUNTIF(G311:G370,"&lt;"&amp;G118)+1)</f>
        <v/>
      </c>
      <c r="H125" s="60">
        <f>IF(H370&lt;H118,61,COUNTIF(H311:H370,"&lt;"&amp;H118)+1)</f>
        <v/>
      </c>
      <c r="I125" s="60">
        <f>IF(I370&lt;I118,61,COUNTIF(I311:I370,"&lt;"&amp;I118)+1)</f>
        <v/>
      </c>
      <c r="J125" s="60">
        <f>IF(J370&lt;J118,61,COUNTIF(J311:J370,"&lt;"&amp;J118)+1)</f>
        <v/>
      </c>
      <c r="K125" s="60">
        <f>IF(K370&lt;K118,61,COUNTIF(K311:K370,"&lt;"&amp;K118)+1)</f>
        <v/>
      </c>
      <c r="L125" s="60">
        <f>IF(L370&lt;L118,61,COUNTIF(L311:L370,"&lt;"&amp;L118)+1)</f>
        <v/>
      </c>
      <c r="M125" s="60">
        <f>IF(M370&lt;M118,61,COUNTIF(M311:M370,"&lt;"&amp;M118)+1)</f>
        <v/>
      </c>
      <c r="N125" s="60">
        <f>IF(N370&lt;N118,61,COUNTIF(N311:N370,"&lt;"&amp;N118)+1)</f>
        <v/>
      </c>
      <c r="O125" s="60">
        <f>IF(O370&lt;O118,61,COUNTIF(O311:O370,"&lt;"&amp;O118)+1)</f>
        <v/>
      </c>
      <c r="P125" s="60">
        <f>IF(P370&lt;P118,61,COUNTIF(P311:P370,"&lt;"&amp;P118)+1)</f>
        <v/>
      </c>
      <c r="Q125" s="60">
        <f>IF(Q370&lt;Q118,61,COUNTIF(Q311:Q370,"&lt;"&amp;Q118)+1)</f>
        <v/>
      </c>
      <c r="R125" s="60">
        <f>IF(R370&lt;R118,61,COUNTIF(R311:R370,"&lt;"&amp;R118)+1)</f>
        <v/>
      </c>
      <c r="S125" s="60">
        <f>IF(S370&lt;S118,61,COUNTIF(S311:S370,"&lt;"&amp;S118)+1)</f>
        <v/>
      </c>
      <c r="T125" s="60">
        <f>IF(T370&lt;T118,61,COUNTIF(T311:T370,"&lt;"&amp;T118)+1)</f>
        <v/>
      </c>
      <c r="U125" s="60">
        <f>IF(U370&lt;U118,61,COUNTIF(U311:U370,"&lt;"&amp;U118)+1)</f>
        <v/>
      </c>
      <c r="V125" s="60">
        <f>IF(V370&lt;V118,61,COUNTIF(V311:V370,"&lt;"&amp;V118)+1)</f>
        <v/>
      </c>
      <c r="W125" s="60">
        <f>IF(W370&lt;W118,61,COUNTIF(W311:W370,"&lt;"&amp;W118)+1)</f>
        <v/>
      </c>
      <c r="X125" s="60">
        <f>IF(X370&lt;X118,61,COUNTIF(X311:X370,"&lt;"&amp;X118)+1)</f>
        <v/>
      </c>
      <c r="Y125" s="60">
        <f>IF(Y370&lt;Y118,61,COUNTIF(Y311:Y370,"&lt;"&amp;Y118)+1)</f>
        <v/>
      </c>
      <c r="Z125" s="60">
        <f>IF(Z370&lt;Z118,61,COUNTIF(Z311:Z370,"&lt;"&amp;Z118)+1)</f>
        <v/>
      </c>
      <c r="AA125" s="60">
        <f>IF(AA370&lt;AA118,61,COUNTIF(AA311:AA370,"&lt;"&amp;AA118)+1)</f>
        <v/>
      </c>
      <c r="AB125" s="60">
        <f>IF(AB370&lt;AB118,61,COUNTIF(AB311:AB370,"&lt;"&amp;AB118)+1)</f>
        <v/>
      </c>
      <c r="AC125" s="60">
        <f>IF(AC370&lt;AC118,61,COUNTIF(AC311:AC370,"&lt;"&amp;AC118)+1)</f>
        <v/>
      </c>
      <c r="AD125" s="60">
        <f>IF(AD370&lt;AD118,61,COUNTIF(AD311:AD370,"&lt;"&amp;AD118)+1)</f>
        <v/>
      </c>
      <c r="AE125" s="60">
        <f>IF(AE370&lt;AE118,61,COUNTIF(AE311:AE370,"&lt;"&amp;AE118)+1)</f>
        <v/>
      </c>
      <c r="AF125" s="60">
        <f>IF(AF370&lt;AF118,61,COUNTIF(AF311:AF370,"&lt;"&amp;AF118)+1)</f>
        <v/>
      </c>
      <c r="AG125" s="60">
        <f>IF(AG370&lt;AG118,61,COUNTIF(AG311:AG370,"&lt;"&amp;AG118)+1)</f>
        <v/>
      </c>
      <c r="AH125" s="60">
        <f>IF(AH370&lt;AH118,61,COUNTIF(AH311:AH370,"&lt;"&amp;AH118)+1)</f>
        <v/>
      </c>
      <c r="AI125" s="60">
        <f>IF(AI370&lt;AI118,61,COUNTIF(AI311:AI370,"&lt;"&amp;AI118)+1)</f>
        <v/>
      </c>
      <c r="AJ125" s="60">
        <f>IF(AJ370&lt;AJ118,61,COUNTIF(AJ311:AJ370,"&lt;"&amp;AJ118)+1)</f>
        <v/>
      </c>
      <c r="AK125" s="60">
        <f>IF(AK370&lt;AK118,61,COUNTIF(AK311:AK370,"&lt;"&amp;AK118)+1)</f>
        <v/>
      </c>
      <c r="AL125" s="60">
        <f>IF(AL370&lt;AL118,61,COUNTIF(AL311:AL370,"&lt;"&amp;AL118)+1)</f>
        <v/>
      </c>
      <c r="AM125" s="60">
        <f>IF(AM370&lt;AM118,61,COUNTIF(AM311:AM370,"&lt;"&amp;AM118)+1)</f>
        <v/>
      </c>
      <c r="AN125" s="60">
        <f>IF(AN370&lt;AN118,61,COUNTIF(AN311:AN370,"&lt;"&amp;AN118)+1)</f>
        <v/>
      </c>
      <c r="AO125" s="60">
        <f>IF(AO370&lt;AO118,61,COUNTIF(AO311:AO370,"&lt;"&amp;AO118)+1)</f>
        <v/>
      </c>
      <c r="AP125" s="60">
        <f>IF(AP370&lt;AP118,61,COUNTIF(AP311:AP370,"&lt;"&amp;AP118)+1)</f>
        <v/>
      </c>
      <c r="AQ125" s="60">
        <f>IF(AQ370&lt;AQ118,61,COUNTIF(AQ311:AQ370,"&lt;"&amp;AQ118)+1)</f>
        <v/>
      </c>
      <c r="AR125" s="60">
        <f>IF(AR370&lt;AR118,61,COUNTIF(AR311:AR370,"&lt;"&amp;AR118)+1)</f>
        <v/>
      </c>
      <c r="AS125" s="60">
        <f>IF(AS370&lt;AS118,61,COUNTIF(AS311:AS370,"&lt;"&amp;AS118)+1)</f>
        <v/>
      </c>
      <c r="AT125" s="60">
        <f>IF(AT370&lt;AT118,61,COUNTIF(AT311:AT370,"&lt;"&amp;AT118)+1)</f>
        <v/>
      </c>
      <c r="AU125" s="60">
        <f>IF(AU370&lt;AU118,61,COUNTIF(AU311:AU370,"&lt;"&amp;AU118)+1)</f>
        <v/>
      </c>
      <c r="AV125" s="60">
        <f>IF(AV370&lt;AV118,61,COUNTIF(AV311:AV370,"&lt;"&amp;AV118)+1)</f>
        <v/>
      </c>
      <c r="AW125" s="60">
        <f>IF(AW370&lt;AW118,61,COUNTIF(AW311:AW370,"&lt;"&amp;AW118)+1)</f>
        <v/>
      </c>
      <c r="AX125" s="60">
        <f>IF(AX370&lt;AX118,61,COUNTIF(AX311:AX370,"&lt;"&amp;AX118)+1)</f>
        <v/>
      </c>
      <c r="AY125" s="60">
        <f>IF(AY370&lt;AY118,61,COUNTIF(AY311:AY370,"&lt;"&amp;AY118)+1)</f>
        <v/>
      </c>
      <c r="AZ125" s="60">
        <f>IF(AZ370&lt;AZ118,61,COUNTIF(AZ311:AZ370,"&lt;"&amp;AZ118)+1)</f>
        <v/>
      </c>
      <c r="BA125" s="60">
        <f>IF(BA370&lt;BA118,61,COUNTIF(BA311:BA370,"&lt;"&amp;BA118)+1)</f>
        <v/>
      </c>
      <c r="BB125" s="60">
        <f>IF(BB370&lt;BB118,61,COUNTIF(BB311:BB370,"&lt;"&amp;BB118)+1)</f>
        <v/>
      </c>
      <c r="BC125" s="60">
        <f>IF(BC370&lt;BC118,61,COUNTIF(BC311:BC370,"&lt;"&amp;BC118)+1)</f>
        <v/>
      </c>
      <c r="BD125" s="60">
        <f>IF(BD370&lt;BD118,61,COUNTIF(BD311:BD370,"&lt;"&amp;BD118)+1)</f>
        <v/>
      </c>
      <c r="BE125" s="60">
        <f>IF(BE370&lt;BE118,61,COUNTIF(BE311:BE370,"&lt;"&amp;BE118)+1)</f>
        <v/>
      </c>
    </row>
    <row r="126">
      <c r="B126" s="7" t="inlineStr">
        <is>
          <t>Payback, simple (acquisition cost ÷ average monthly contribution)</t>
        </is>
      </c>
      <c r="C126" s="5" t="inlineStr">
        <is>
          <t>months</t>
        </is>
      </c>
      <c r="D126" s="54">
        <f>IF(D112&gt;0,D118/D112,99)</f>
        <v/>
      </c>
      <c r="E126" s="54">
        <f>IF(E112&gt;0,E118/E112,99)</f>
        <v/>
      </c>
      <c r="F126" s="54">
        <f>IF(F112&gt;0,F118/F112,99)</f>
        <v/>
      </c>
      <c r="G126" s="54">
        <f>IF(G112&gt;0,G118/G112,99)</f>
        <v/>
      </c>
      <c r="H126" s="54">
        <f>IF(H112&gt;0,H118/H112,99)</f>
        <v/>
      </c>
      <c r="I126" s="54">
        <f>IF(I112&gt;0,I118/I112,99)</f>
        <v/>
      </c>
      <c r="J126" s="54">
        <f>IF(J112&gt;0,J118/J112,99)</f>
        <v/>
      </c>
      <c r="K126" s="54">
        <f>IF(K112&gt;0,K118/K112,99)</f>
        <v/>
      </c>
      <c r="L126" s="54">
        <f>IF(L112&gt;0,L118/L112,99)</f>
        <v/>
      </c>
      <c r="M126" s="54">
        <f>IF(M112&gt;0,M118/M112,99)</f>
        <v/>
      </c>
      <c r="N126" s="54">
        <f>IF(N112&gt;0,N118/N112,99)</f>
        <v/>
      </c>
      <c r="O126" s="54">
        <f>IF(O112&gt;0,O118/O112,99)</f>
        <v/>
      </c>
      <c r="P126" s="54">
        <f>IF(P112&gt;0,P118/P112,99)</f>
        <v/>
      </c>
      <c r="Q126" s="54">
        <f>IF(Q112&gt;0,Q118/Q112,99)</f>
        <v/>
      </c>
      <c r="R126" s="54">
        <f>IF(R112&gt;0,R118/R112,99)</f>
        <v/>
      </c>
      <c r="S126" s="54">
        <f>IF(S112&gt;0,S118/S112,99)</f>
        <v/>
      </c>
      <c r="T126" s="54">
        <f>IF(T112&gt;0,T118/T112,99)</f>
        <v/>
      </c>
      <c r="U126" s="54">
        <f>IF(U112&gt;0,U118/U112,99)</f>
        <v/>
      </c>
      <c r="V126" s="54">
        <f>IF(V112&gt;0,V118/V112,99)</f>
        <v/>
      </c>
      <c r="W126" s="54">
        <f>IF(W112&gt;0,W118/W112,99)</f>
        <v/>
      </c>
      <c r="X126" s="54">
        <f>IF(X112&gt;0,X118/X112,99)</f>
        <v/>
      </c>
      <c r="Y126" s="54">
        <f>IF(Y112&gt;0,Y118/Y112,99)</f>
        <v/>
      </c>
      <c r="Z126" s="54">
        <f>IF(Z112&gt;0,Z118/Z112,99)</f>
        <v/>
      </c>
      <c r="AA126" s="54">
        <f>IF(AA112&gt;0,AA118/AA112,99)</f>
        <v/>
      </c>
      <c r="AB126" s="54">
        <f>IF(AB112&gt;0,AB118/AB112,99)</f>
        <v/>
      </c>
      <c r="AC126" s="54">
        <f>IF(AC112&gt;0,AC118/AC112,99)</f>
        <v/>
      </c>
      <c r="AD126" s="54">
        <f>IF(AD112&gt;0,AD118/AD112,99)</f>
        <v/>
      </c>
      <c r="AE126" s="54">
        <f>IF(AE112&gt;0,AE118/AE112,99)</f>
        <v/>
      </c>
      <c r="AF126" s="54">
        <f>IF(AF112&gt;0,AF118/AF112,99)</f>
        <v/>
      </c>
      <c r="AG126" s="54">
        <f>IF(AG112&gt;0,AG118/AG112,99)</f>
        <v/>
      </c>
      <c r="AH126" s="54">
        <f>IF(AH112&gt;0,AH118/AH112,99)</f>
        <v/>
      </c>
      <c r="AI126" s="54">
        <f>IF(AI112&gt;0,AI118/AI112,99)</f>
        <v/>
      </c>
      <c r="AJ126" s="54">
        <f>IF(AJ112&gt;0,AJ118/AJ112,99)</f>
        <v/>
      </c>
      <c r="AK126" s="54">
        <f>IF(AK112&gt;0,AK118/AK112,99)</f>
        <v/>
      </c>
      <c r="AL126" s="54">
        <f>IF(AL112&gt;0,AL118/AL112,99)</f>
        <v/>
      </c>
      <c r="AM126" s="54">
        <f>IF(AM112&gt;0,AM118/AM112,99)</f>
        <v/>
      </c>
      <c r="AN126" s="54">
        <f>IF(AN112&gt;0,AN118/AN112,99)</f>
        <v/>
      </c>
      <c r="AO126" s="54">
        <f>IF(AO112&gt;0,AO118/AO112,99)</f>
        <v/>
      </c>
      <c r="AP126" s="54">
        <f>IF(AP112&gt;0,AP118/AP112,99)</f>
        <v/>
      </c>
      <c r="AQ126" s="54">
        <f>IF(AQ112&gt;0,AQ118/AQ112,99)</f>
        <v/>
      </c>
      <c r="AR126" s="54">
        <f>IF(AR112&gt;0,AR118/AR112,99)</f>
        <v/>
      </c>
      <c r="AS126" s="54">
        <f>IF(AS112&gt;0,AS118/AS112,99)</f>
        <v/>
      </c>
      <c r="AT126" s="54">
        <f>IF(AT112&gt;0,AT118/AT112,99)</f>
        <v/>
      </c>
      <c r="AU126" s="54">
        <f>IF(AU112&gt;0,AU118/AU112,99)</f>
        <v/>
      </c>
      <c r="AV126" s="54">
        <f>IF(AV112&gt;0,AV118/AV112,99)</f>
        <v/>
      </c>
      <c r="AW126" s="54">
        <f>IF(AW112&gt;0,AW118/AW112,99)</f>
        <v/>
      </c>
      <c r="AX126" s="54">
        <f>IF(AX112&gt;0,AX118/AX112,99)</f>
        <v/>
      </c>
      <c r="AY126" s="54">
        <f>IF(AY112&gt;0,AY118/AY112,99)</f>
        <v/>
      </c>
      <c r="AZ126" s="54">
        <f>IF(AZ112&gt;0,AZ118/AZ112,99)</f>
        <v/>
      </c>
      <c r="BA126" s="54">
        <f>IF(BA112&gt;0,BA118/BA112,99)</f>
        <v/>
      </c>
      <c r="BB126" s="54">
        <f>IF(BB112&gt;0,BB118/BB112,99)</f>
        <v/>
      </c>
      <c r="BC126" s="54">
        <f>IF(BC112&gt;0,BC118/BC112,99)</f>
        <v/>
      </c>
      <c r="BD126" s="54">
        <f>IF(BD112&gt;0,BD118/BD112,99)</f>
        <v/>
      </c>
      <c r="BE126" s="54">
        <f>IF(BE112&gt;0,BE118/BE112,99)</f>
        <v/>
      </c>
    </row>
    <row r="127">
      <c r="B127" s="7" t="inlineStr">
        <is>
          <t>LTV, undiscounted (survival-weighted)</t>
        </is>
      </c>
      <c r="C127" s="5" t="inlineStr">
        <is>
          <t>₹</t>
        </is>
      </c>
      <c r="D127" s="50">
        <f>SUMPRODUCT(D251:D310,D191:D250)</f>
        <v/>
      </c>
      <c r="E127" s="50">
        <f>SUMPRODUCT(E251:E310,E191:E250)</f>
        <v/>
      </c>
      <c r="F127" s="50">
        <f>SUMPRODUCT(F251:F310,F191:F250)</f>
        <v/>
      </c>
      <c r="G127" s="50">
        <f>SUMPRODUCT(G251:G310,G191:G250)</f>
        <v/>
      </c>
      <c r="H127" s="50">
        <f>SUMPRODUCT(H251:H310,H191:H250)</f>
        <v/>
      </c>
      <c r="I127" s="50">
        <f>SUMPRODUCT(I251:I310,I191:I250)</f>
        <v/>
      </c>
      <c r="J127" s="50">
        <f>SUMPRODUCT(J251:J310,J191:J250)</f>
        <v/>
      </c>
      <c r="K127" s="50">
        <f>SUMPRODUCT(K251:K310,K191:K250)</f>
        <v/>
      </c>
      <c r="L127" s="50">
        <f>SUMPRODUCT(L251:L310,L191:L250)</f>
        <v/>
      </c>
      <c r="M127" s="50">
        <f>SUMPRODUCT(M251:M310,M191:M250)</f>
        <v/>
      </c>
      <c r="N127" s="50">
        <f>SUMPRODUCT(N251:N310,N191:N250)</f>
        <v/>
      </c>
      <c r="O127" s="50">
        <f>SUMPRODUCT(O251:O310,O191:O250)</f>
        <v/>
      </c>
      <c r="P127" s="50">
        <f>SUMPRODUCT(P251:P310,P191:P250)</f>
        <v/>
      </c>
      <c r="Q127" s="50">
        <f>SUMPRODUCT(Q251:Q310,Q191:Q250)</f>
        <v/>
      </c>
      <c r="R127" s="50">
        <f>SUMPRODUCT(R251:R310,R191:R250)</f>
        <v/>
      </c>
      <c r="S127" s="50">
        <f>SUMPRODUCT(S251:S310,S191:S250)</f>
        <v/>
      </c>
      <c r="T127" s="50">
        <f>SUMPRODUCT(T251:T310,T191:T250)</f>
        <v/>
      </c>
      <c r="U127" s="50">
        <f>SUMPRODUCT(U251:U310,U191:U250)</f>
        <v/>
      </c>
      <c r="V127" s="50">
        <f>SUMPRODUCT(V251:V310,V191:V250)</f>
        <v/>
      </c>
      <c r="W127" s="50">
        <f>SUMPRODUCT(W251:W310,W191:W250)</f>
        <v/>
      </c>
      <c r="X127" s="50">
        <f>SUMPRODUCT(X251:X310,X191:X250)</f>
        <v/>
      </c>
      <c r="Y127" s="50">
        <f>SUMPRODUCT(Y251:Y310,Y191:Y250)</f>
        <v/>
      </c>
      <c r="Z127" s="50">
        <f>SUMPRODUCT(Z251:Z310,Z191:Z250)</f>
        <v/>
      </c>
      <c r="AA127" s="50">
        <f>SUMPRODUCT(AA251:AA310,AA191:AA250)</f>
        <v/>
      </c>
      <c r="AB127" s="50">
        <f>SUMPRODUCT(AB251:AB310,AB191:AB250)</f>
        <v/>
      </c>
      <c r="AC127" s="50">
        <f>SUMPRODUCT(AC251:AC310,AC191:AC250)</f>
        <v/>
      </c>
      <c r="AD127" s="50">
        <f>SUMPRODUCT(AD251:AD310,AD191:AD250)</f>
        <v/>
      </c>
      <c r="AE127" s="50">
        <f>SUMPRODUCT(AE251:AE310,AE191:AE250)</f>
        <v/>
      </c>
      <c r="AF127" s="50">
        <f>SUMPRODUCT(AF251:AF310,AF191:AF250)</f>
        <v/>
      </c>
      <c r="AG127" s="50">
        <f>SUMPRODUCT(AG251:AG310,AG191:AG250)</f>
        <v/>
      </c>
      <c r="AH127" s="50">
        <f>SUMPRODUCT(AH251:AH310,AH191:AH250)</f>
        <v/>
      </c>
      <c r="AI127" s="50">
        <f>SUMPRODUCT(AI251:AI310,AI191:AI250)</f>
        <v/>
      </c>
      <c r="AJ127" s="50">
        <f>SUMPRODUCT(AJ251:AJ310,AJ191:AJ250)</f>
        <v/>
      </c>
      <c r="AK127" s="50">
        <f>SUMPRODUCT(AK251:AK310,AK191:AK250)</f>
        <v/>
      </c>
      <c r="AL127" s="50">
        <f>SUMPRODUCT(AL251:AL310,AL191:AL250)</f>
        <v/>
      </c>
      <c r="AM127" s="50">
        <f>SUMPRODUCT(AM251:AM310,AM191:AM250)</f>
        <v/>
      </c>
      <c r="AN127" s="50">
        <f>SUMPRODUCT(AN251:AN310,AN191:AN250)</f>
        <v/>
      </c>
      <c r="AO127" s="50">
        <f>SUMPRODUCT(AO251:AO310,AO191:AO250)</f>
        <v/>
      </c>
      <c r="AP127" s="50">
        <f>SUMPRODUCT(AP251:AP310,AP191:AP250)</f>
        <v/>
      </c>
      <c r="AQ127" s="50">
        <f>SUMPRODUCT(AQ251:AQ310,AQ191:AQ250)</f>
        <v/>
      </c>
      <c r="AR127" s="50">
        <f>SUMPRODUCT(AR251:AR310,AR191:AR250)</f>
        <v/>
      </c>
      <c r="AS127" s="50">
        <f>SUMPRODUCT(AS251:AS310,AS191:AS250)</f>
        <v/>
      </c>
      <c r="AT127" s="50">
        <f>SUMPRODUCT(AT251:AT310,AT191:AT250)</f>
        <v/>
      </c>
      <c r="AU127" s="50">
        <f>SUMPRODUCT(AU251:AU310,AU191:AU250)</f>
        <v/>
      </c>
      <c r="AV127" s="50">
        <f>SUMPRODUCT(AV251:AV310,AV191:AV250)</f>
        <v/>
      </c>
      <c r="AW127" s="50">
        <f>SUMPRODUCT(AW251:AW310,AW191:AW250)</f>
        <v/>
      </c>
      <c r="AX127" s="50">
        <f>SUMPRODUCT(AX251:AX310,AX191:AX250)</f>
        <v/>
      </c>
      <c r="AY127" s="50">
        <f>SUMPRODUCT(AY251:AY310,AY191:AY250)</f>
        <v/>
      </c>
      <c r="AZ127" s="50">
        <f>SUMPRODUCT(AZ251:AZ310,AZ191:AZ250)</f>
        <v/>
      </c>
      <c r="BA127" s="50">
        <f>SUMPRODUCT(BA251:BA310,BA191:BA250)</f>
        <v/>
      </c>
      <c r="BB127" s="50">
        <f>SUMPRODUCT(BB251:BB310,BB191:BB250)</f>
        <v/>
      </c>
      <c r="BC127" s="50">
        <f>SUMPRODUCT(BC251:BC310,BC191:BC250)</f>
        <v/>
      </c>
      <c r="BD127" s="50">
        <f>SUMPRODUCT(BD251:BD310,BD191:BD250)</f>
        <v/>
      </c>
      <c r="BE127" s="50">
        <f>SUMPRODUCT(BE251:BE310,BE191:BE250)</f>
        <v/>
      </c>
    </row>
    <row r="128">
      <c r="B128" s="7" t="inlineStr">
        <is>
          <t>LTV ÷ acquisition cost, undiscounted (the peer convention)</t>
        </is>
      </c>
      <c r="C128" s="5" t="inlineStr">
        <is>
          <t>x</t>
        </is>
      </c>
      <c r="D128" s="55">
        <f>IF(D118&gt;0,D127/D118,0)</f>
        <v/>
      </c>
      <c r="E128" s="55">
        <f>IF(E118&gt;0,E127/E118,0)</f>
        <v/>
      </c>
      <c r="F128" s="55">
        <f>IF(F118&gt;0,F127/F118,0)</f>
        <v/>
      </c>
      <c r="G128" s="55">
        <f>IF(G118&gt;0,G127/G118,0)</f>
        <v/>
      </c>
      <c r="H128" s="55">
        <f>IF(H118&gt;0,H127/H118,0)</f>
        <v/>
      </c>
      <c r="I128" s="55">
        <f>IF(I118&gt;0,I127/I118,0)</f>
        <v/>
      </c>
      <c r="J128" s="55">
        <f>IF(J118&gt;0,J127/J118,0)</f>
        <v/>
      </c>
      <c r="K128" s="55">
        <f>IF(K118&gt;0,K127/K118,0)</f>
        <v/>
      </c>
      <c r="L128" s="55">
        <f>IF(L118&gt;0,L127/L118,0)</f>
        <v/>
      </c>
      <c r="M128" s="55">
        <f>IF(M118&gt;0,M127/M118,0)</f>
        <v/>
      </c>
      <c r="N128" s="55">
        <f>IF(N118&gt;0,N127/N118,0)</f>
        <v/>
      </c>
      <c r="O128" s="55">
        <f>IF(O118&gt;0,O127/O118,0)</f>
        <v/>
      </c>
      <c r="P128" s="55">
        <f>IF(P118&gt;0,P127/P118,0)</f>
        <v/>
      </c>
      <c r="Q128" s="55">
        <f>IF(Q118&gt;0,Q127/Q118,0)</f>
        <v/>
      </c>
      <c r="R128" s="55">
        <f>IF(R118&gt;0,R127/R118,0)</f>
        <v/>
      </c>
      <c r="S128" s="55">
        <f>IF(S118&gt;0,S127/S118,0)</f>
        <v/>
      </c>
      <c r="T128" s="55">
        <f>IF(T118&gt;0,T127/T118,0)</f>
        <v/>
      </c>
      <c r="U128" s="55">
        <f>IF(U118&gt;0,U127/U118,0)</f>
        <v/>
      </c>
      <c r="V128" s="55">
        <f>IF(V118&gt;0,V127/V118,0)</f>
        <v/>
      </c>
      <c r="W128" s="55">
        <f>IF(W118&gt;0,W127/W118,0)</f>
        <v/>
      </c>
      <c r="X128" s="55">
        <f>IF(X118&gt;0,X127/X118,0)</f>
        <v/>
      </c>
      <c r="Y128" s="55">
        <f>IF(Y118&gt;0,Y127/Y118,0)</f>
        <v/>
      </c>
      <c r="Z128" s="55">
        <f>IF(Z118&gt;0,Z127/Z118,0)</f>
        <v/>
      </c>
      <c r="AA128" s="55">
        <f>IF(AA118&gt;0,AA127/AA118,0)</f>
        <v/>
      </c>
      <c r="AB128" s="55">
        <f>IF(AB118&gt;0,AB127/AB118,0)</f>
        <v/>
      </c>
      <c r="AC128" s="55">
        <f>IF(AC118&gt;0,AC127/AC118,0)</f>
        <v/>
      </c>
      <c r="AD128" s="55">
        <f>IF(AD118&gt;0,AD127/AD118,0)</f>
        <v/>
      </c>
      <c r="AE128" s="55">
        <f>IF(AE118&gt;0,AE127/AE118,0)</f>
        <v/>
      </c>
      <c r="AF128" s="55">
        <f>IF(AF118&gt;0,AF127/AF118,0)</f>
        <v/>
      </c>
      <c r="AG128" s="55">
        <f>IF(AG118&gt;0,AG127/AG118,0)</f>
        <v/>
      </c>
      <c r="AH128" s="55">
        <f>IF(AH118&gt;0,AH127/AH118,0)</f>
        <v/>
      </c>
      <c r="AI128" s="55">
        <f>IF(AI118&gt;0,AI127/AI118,0)</f>
        <v/>
      </c>
      <c r="AJ128" s="55">
        <f>IF(AJ118&gt;0,AJ127/AJ118,0)</f>
        <v/>
      </c>
      <c r="AK128" s="55">
        <f>IF(AK118&gt;0,AK127/AK118,0)</f>
        <v/>
      </c>
      <c r="AL128" s="55">
        <f>IF(AL118&gt;0,AL127/AL118,0)</f>
        <v/>
      </c>
      <c r="AM128" s="55">
        <f>IF(AM118&gt;0,AM127/AM118,0)</f>
        <v/>
      </c>
      <c r="AN128" s="55">
        <f>IF(AN118&gt;0,AN127/AN118,0)</f>
        <v/>
      </c>
      <c r="AO128" s="55">
        <f>IF(AO118&gt;0,AO127/AO118,0)</f>
        <v/>
      </c>
      <c r="AP128" s="55">
        <f>IF(AP118&gt;0,AP127/AP118,0)</f>
        <v/>
      </c>
      <c r="AQ128" s="55">
        <f>IF(AQ118&gt;0,AQ127/AQ118,0)</f>
        <v/>
      </c>
      <c r="AR128" s="55">
        <f>IF(AR118&gt;0,AR127/AR118,0)</f>
        <v/>
      </c>
      <c r="AS128" s="55">
        <f>IF(AS118&gt;0,AS127/AS118,0)</f>
        <v/>
      </c>
      <c r="AT128" s="55">
        <f>IF(AT118&gt;0,AT127/AT118,0)</f>
        <v/>
      </c>
      <c r="AU128" s="55">
        <f>IF(AU118&gt;0,AU127/AU118,0)</f>
        <v/>
      </c>
      <c r="AV128" s="55">
        <f>IF(AV118&gt;0,AV127/AV118,0)</f>
        <v/>
      </c>
      <c r="AW128" s="55">
        <f>IF(AW118&gt;0,AW127/AW118,0)</f>
        <v/>
      </c>
      <c r="AX128" s="55">
        <f>IF(AX118&gt;0,AX127/AX118,0)</f>
        <v/>
      </c>
      <c r="AY128" s="55">
        <f>IF(AY118&gt;0,AY127/AY118,0)</f>
        <v/>
      </c>
      <c r="AZ128" s="55">
        <f>IF(AZ118&gt;0,AZ127/AZ118,0)</f>
        <v/>
      </c>
      <c r="BA128" s="55">
        <f>IF(BA118&gt;0,BA127/BA118,0)</f>
        <v/>
      </c>
      <c r="BB128" s="55">
        <f>IF(BB118&gt;0,BB127/BB118,0)</f>
        <v/>
      </c>
      <c r="BC128" s="55">
        <f>IF(BC118&gt;0,BC127/BC118,0)</f>
        <v/>
      </c>
      <c r="BD128" s="55">
        <f>IF(BD118&gt;0,BD127/BD118,0)</f>
        <v/>
      </c>
      <c r="BE128" s="55">
        <f>IF(BE118&gt;0,BE127/BE118,0)</f>
        <v/>
      </c>
    </row>
    <row r="129">
      <c r="B129" s="7" t="inlineStr">
        <is>
          <t>Acquisition cost via a channel partner (commission on year-1 revenue + our onboarding)</t>
        </is>
      </c>
      <c r="C129" s="5" t="inlineStr">
        <is>
          <t>₹</t>
        </is>
      </c>
      <c r="D129" s="50">
        <f>D65*D107+D115</f>
        <v/>
      </c>
      <c r="E129" s="50">
        <f>E65*E107+E115</f>
        <v/>
      </c>
      <c r="F129" s="50">
        <f>F65*F107+F115</f>
        <v/>
      </c>
      <c r="G129" s="50">
        <f>G65*G107+G115</f>
        <v/>
      </c>
      <c r="H129" s="50">
        <f>H65*H107+H115</f>
        <v/>
      </c>
      <c r="I129" s="50">
        <f>I65*I107+I115</f>
        <v/>
      </c>
      <c r="J129" s="50">
        <f>J65*J107+J115</f>
        <v/>
      </c>
      <c r="K129" s="50">
        <f>K65*K107+K115</f>
        <v/>
      </c>
      <c r="L129" s="50">
        <f>L65*L107+L115</f>
        <v/>
      </c>
      <c r="M129" s="50">
        <f>M65*M107+M115</f>
        <v/>
      </c>
      <c r="N129" s="50">
        <f>N65*N107+N115</f>
        <v/>
      </c>
      <c r="O129" s="50">
        <f>O65*O107+O115</f>
        <v/>
      </c>
      <c r="P129" s="50">
        <f>P65*P107+P115</f>
        <v/>
      </c>
      <c r="Q129" s="50">
        <f>Q65*Q107+Q115</f>
        <v/>
      </c>
      <c r="R129" s="50">
        <f>R65*R107+R115</f>
        <v/>
      </c>
      <c r="S129" s="50">
        <f>S65*S107+S115</f>
        <v/>
      </c>
      <c r="T129" s="50">
        <f>T65*T107+T115</f>
        <v/>
      </c>
      <c r="U129" s="50">
        <f>U65*U107+U115</f>
        <v/>
      </c>
      <c r="V129" s="50">
        <f>V65*V107+V115</f>
        <v/>
      </c>
      <c r="W129" s="50">
        <f>W65*W107+W115</f>
        <v/>
      </c>
      <c r="X129" s="50">
        <f>X65*X107+X115</f>
        <v/>
      </c>
      <c r="Y129" s="50">
        <f>Y65*Y107+Y115</f>
        <v/>
      </c>
      <c r="Z129" s="50">
        <f>Z65*Z107+Z115</f>
        <v/>
      </c>
      <c r="AA129" s="50">
        <f>AA65*AA107+AA115</f>
        <v/>
      </c>
      <c r="AB129" s="50">
        <f>AB65*AB107+AB115</f>
        <v/>
      </c>
      <c r="AC129" s="50">
        <f>AC65*AC107+AC115</f>
        <v/>
      </c>
      <c r="AD129" s="50">
        <f>AD65*AD107+AD115</f>
        <v/>
      </c>
      <c r="AE129" s="50">
        <f>AE65*AE107+AE115</f>
        <v/>
      </c>
      <c r="AF129" s="50">
        <f>AF65*AF107+AF115</f>
        <v/>
      </c>
      <c r="AG129" s="50">
        <f>AG65*AG107+AG115</f>
        <v/>
      </c>
      <c r="AH129" s="50">
        <f>AH65*AH107+AH115</f>
        <v/>
      </c>
      <c r="AI129" s="50">
        <f>AI65*AI107+AI115</f>
        <v/>
      </c>
      <c r="AJ129" s="50">
        <f>AJ65*AJ107+AJ115</f>
        <v/>
      </c>
      <c r="AK129" s="50">
        <f>AK65*AK107+AK115</f>
        <v/>
      </c>
      <c r="AL129" s="50">
        <f>AL65*AL107+AL115</f>
        <v/>
      </c>
      <c r="AM129" s="50">
        <f>AM65*AM107+AM115</f>
        <v/>
      </c>
      <c r="AN129" s="50">
        <f>AN65*AN107+AN115</f>
        <v/>
      </c>
      <c r="AO129" s="50">
        <f>AO65*AO107+AO115</f>
        <v/>
      </c>
      <c r="AP129" s="50">
        <f>AP65*AP107+AP115</f>
        <v/>
      </c>
      <c r="AQ129" s="50">
        <f>AQ65*AQ107+AQ115</f>
        <v/>
      </c>
      <c r="AR129" s="50">
        <f>AR65*AR107+AR115</f>
        <v/>
      </c>
      <c r="AS129" s="50">
        <f>AS65*AS107+AS115</f>
        <v/>
      </c>
      <c r="AT129" s="50">
        <f>AT65*AT107+AT115</f>
        <v/>
      </c>
      <c r="AU129" s="50">
        <f>AU65*AU107+AU115</f>
        <v/>
      </c>
      <c r="AV129" s="50">
        <f>AV65*AV107+AV115</f>
        <v/>
      </c>
      <c r="AW129" s="50">
        <f>AW65*AW107+AW115</f>
        <v/>
      </c>
      <c r="AX129" s="50">
        <f>AX65*AX107+AX115</f>
        <v/>
      </c>
      <c r="AY129" s="50">
        <f>AY65*AY107+AY115</f>
        <v/>
      </c>
      <c r="AZ129" s="50">
        <f>AZ65*AZ107+AZ115</f>
        <v/>
      </c>
      <c r="BA129" s="50">
        <f>BA65*BA107+BA115</f>
        <v/>
      </c>
      <c r="BB129" s="50">
        <f>BB65*BB107+BB115</f>
        <v/>
      </c>
      <c r="BC129" s="50">
        <f>BC65*BC107+BC115</f>
        <v/>
      </c>
      <c r="BD129" s="50">
        <f>BD65*BD107+BD115</f>
        <v/>
      </c>
      <c r="BE129" s="50">
        <f>BE65*BE107+BE115</f>
        <v/>
      </c>
    </row>
    <row r="130">
      <c r="B130" s="7" t="inlineStr">
        <is>
          <t>LTV ÷ channel acquisition cost</t>
        </is>
      </c>
      <c r="C130" s="5" t="inlineStr">
        <is>
          <t>x</t>
        </is>
      </c>
      <c r="D130" s="55">
        <f>IF(D129&gt;0,D123/D129,0)</f>
        <v/>
      </c>
      <c r="E130" s="55">
        <f>IF(E129&gt;0,E123/E129,0)</f>
        <v/>
      </c>
      <c r="F130" s="55">
        <f>IF(F129&gt;0,F123/F129,0)</f>
        <v/>
      </c>
      <c r="G130" s="55">
        <f>IF(G129&gt;0,G123/G129,0)</f>
        <v/>
      </c>
      <c r="H130" s="55">
        <f>IF(H129&gt;0,H123/H129,0)</f>
        <v/>
      </c>
      <c r="I130" s="55">
        <f>IF(I129&gt;0,I123/I129,0)</f>
        <v/>
      </c>
      <c r="J130" s="55">
        <f>IF(J129&gt;0,J123/J129,0)</f>
        <v/>
      </c>
      <c r="K130" s="55">
        <f>IF(K129&gt;0,K123/K129,0)</f>
        <v/>
      </c>
      <c r="L130" s="55">
        <f>IF(L129&gt;0,L123/L129,0)</f>
        <v/>
      </c>
      <c r="M130" s="55">
        <f>IF(M129&gt;0,M123/M129,0)</f>
        <v/>
      </c>
      <c r="N130" s="55">
        <f>IF(N129&gt;0,N123/N129,0)</f>
        <v/>
      </c>
      <c r="O130" s="55">
        <f>IF(O129&gt;0,O123/O129,0)</f>
        <v/>
      </c>
      <c r="P130" s="55">
        <f>IF(P129&gt;0,P123/P129,0)</f>
        <v/>
      </c>
      <c r="Q130" s="55">
        <f>IF(Q129&gt;0,Q123/Q129,0)</f>
        <v/>
      </c>
      <c r="R130" s="55">
        <f>IF(R129&gt;0,R123/R129,0)</f>
        <v/>
      </c>
      <c r="S130" s="55">
        <f>IF(S129&gt;0,S123/S129,0)</f>
        <v/>
      </c>
      <c r="T130" s="55">
        <f>IF(T129&gt;0,T123/T129,0)</f>
        <v/>
      </c>
      <c r="U130" s="55">
        <f>IF(U129&gt;0,U123/U129,0)</f>
        <v/>
      </c>
      <c r="V130" s="55">
        <f>IF(V129&gt;0,V123/V129,0)</f>
        <v/>
      </c>
      <c r="W130" s="55">
        <f>IF(W129&gt;0,W123/W129,0)</f>
        <v/>
      </c>
      <c r="X130" s="55">
        <f>IF(X129&gt;0,X123/X129,0)</f>
        <v/>
      </c>
      <c r="Y130" s="55">
        <f>IF(Y129&gt;0,Y123/Y129,0)</f>
        <v/>
      </c>
      <c r="Z130" s="55">
        <f>IF(Z129&gt;0,Z123/Z129,0)</f>
        <v/>
      </c>
      <c r="AA130" s="55">
        <f>IF(AA129&gt;0,AA123/AA129,0)</f>
        <v/>
      </c>
      <c r="AB130" s="55">
        <f>IF(AB129&gt;0,AB123/AB129,0)</f>
        <v/>
      </c>
      <c r="AC130" s="55">
        <f>IF(AC129&gt;0,AC123/AC129,0)</f>
        <v/>
      </c>
      <c r="AD130" s="55">
        <f>IF(AD129&gt;0,AD123/AD129,0)</f>
        <v/>
      </c>
      <c r="AE130" s="55">
        <f>IF(AE129&gt;0,AE123/AE129,0)</f>
        <v/>
      </c>
      <c r="AF130" s="55">
        <f>IF(AF129&gt;0,AF123/AF129,0)</f>
        <v/>
      </c>
      <c r="AG130" s="55">
        <f>IF(AG129&gt;0,AG123/AG129,0)</f>
        <v/>
      </c>
      <c r="AH130" s="55">
        <f>IF(AH129&gt;0,AH123/AH129,0)</f>
        <v/>
      </c>
      <c r="AI130" s="55">
        <f>IF(AI129&gt;0,AI123/AI129,0)</f>
        <v/>
      </c>
      <c r="AJ130" s="55">
        <f>IF(AJ129&gt;0,AJ123/AJ129,0)</f>
        <v/>
      </c>
      <c r="AK130" s="55">
        <f>IF(AK129&gt;0,AK123/AK129,0)</f>
        <v/>
      </c>
      <c r="AL130" s="55">
        <f>IF(AL129&gt;0,AL123/AL129,0)</f>
        <v/>
      </c>
      <c r="AM130" s="55">
        <f>IF(AM129&gt;0,AM123/AM129,0)</f>
        <v/>
      </c>
      <c r="AN130" s="55">
        <f>IF(AN129&gt;0,AN123/AN129,0)</f>
        <v/>
      </c>
      <c r="AO130" s="55">
        <f>IF(AO129&gt;0,AO123/AO129,0)</f>
        <v/>
      </c>
      <c r="AP130" s="55">
        <f>IF(AP129&gt;0,AP123/AP129,0)</f>
        <v/>
      </c>
      <c r="AQ130" s="55">
        <f>IF(AQ129&gt;0,AQ123/AQ129,0)</f>
        <v/>
      </c>
      <c r="AR130" s="55">
        <f>IF(AR129&gt;0,AR123/AR129,0)</f>
        <v/>
      </c>
      <c r="AS130" s="55">
        <f>IF(AS129&gt;0,AS123/AS129,0)</f>
        <v/>
      </c>
      <c r="AT130" s="55">
        <f>IF(AT129&gt;0,AT123/AT129,0)</f>
        <v/>
      </c>
      <c r="AU130" s="55">
        <f>IF(AU129&gt;0,AU123/AU129,0)</f>
        <v/>
      </c>
      <c r="AV130" s="55">
        <f>IF(AV129&gt;0,AV123/AV129,0)</f>
        <v/>
      </c>
      <c r="AW130" s="55">
        <f>IF(AW129&gt;0,AW123/AW129,0)</f>
        <v/>
      </c>
      <c r="AX130" s="55">
        <f>IF(AX129&gt;0,AX123/AX129,0)</f>
        <v/>
      </c>
      <c r="AY130" s="55">
        <f>IF(AY129&gt;0,AY123/AY129,0)</f>
        <v/>
      </c>
      <c r="AZ130" s="55">
        <f>IF(AZ129&gt;0,AZ123/AZ129,0)</f>
        <v/>
      </c>
      <c r="BA130" s="55">
        <f>IF(BA129&gt;0,BA123/BA129,0)</f>
        <v/>
      </c>
      <c r="BB130" s="55">
        <f>IF(BB129&gt;0,BB123/BB129,0)</f>
        <v/>
      </c>
      <c r="BC130" s="55">
        <f>IF(BC129&gt;0,BC123/BC129,0)</f>
        <v/>
      </c>
      <c r="BD130" s="55">
        <f>IF(BD129&gt;0,BD123/BD129,0)</f>
        <v/>
      </c>
      <c r="BE130" s="55">
        <f>IF(BE129&gt;0,BE123/BE129,0)</f>
        <v/>
      </c>
    </row>
    <row r="131">
      <c r="B131" s="7" t="inlineStr">
        <is>
          <t>Revenue collected · month 1</t>
        </is>
      </c>
      <c r="C131" s="5" t="inlineStr">
        <is>
          <t>₹</t>
        </is>
      </c>
      <c r="D131" s="50">
        <f>MAX(D23,D21*Seasonality!$C$37*D22)*(1-D75)*(1-D48)</f>
        <v/>
      </c>
      <c r="E131" s="50">
        <f>MAX(E23,E21*Seasonality!$C$37*E22)*(1-E75)*(1-E48)</f>
        <v/>
      </c>
      <c r="F131" s="50">
        <f>MAX(F23,F21*Seasonality!$C$37*F22)*(1-F75)*(1-F48)</f>
        <v/>
      </c>
      <c r="G131" s="50">
        <f>MAX(G23,G21*Seasonality!$C$37*G22)*(1-G75)*(1-G48)</f>
        <v/>
      </c>
      <c r="H131" s="50">
        <f>MAX(H23,H21*Seasonality!$C$37*H22)*(1-H75)*(1-H48)</f>
        <v/>
      </c>
      <c r="I131" s="50">
        <f>MAX(I23,I21*Seasonality!$C$37*I22)*(1-I75)*(1-I48)</f>
        <v/>
      </c>
      <c r="J131" s="50">
        <f>MAX(J23,J21*Seasonality!$C$37*J22)*(1-J75)*(1-J48)</f>
        <v/>
      </c>
      <c r="K131" s="50">
        <f>MAX(K23,K21*Seasonality!$C$37*K22)*(1-K75)*(1-K48)</f>
        <v/>
      </c>
      <c r="L131" s="50">
        <f>MAX(L23,L21*Seasonality!$C$37*L22)*(1-L75)*(1-L48)</f>
        <v/>
      </c>
      <c r="M131" s="50">
        <f>MAX(M23,M21*Seasonality!$C$37*M22)*(1-M75)*(1-M48)</f>
        <v/>
      </c>
      <c r="N131" s="50">
        <f>MAX(N23,N21*Seasonality!$C$37*N22)*(1-N75)*(1-N48)</f>
        <v/>
      </c>
      <c r="O131" s="50">
        <f>MAX(O23,O21*Seasonality!$C$37*O22)*(1-O75)*(1-O48)</f>
        <v/>
      </c>
      <c r="P131" s="50">
        <f>MAX(P23,P21*Seasonality!$C$37*P22)*(1-P75)*(1-P48)</f>
        <v/>
      </c>
      <c r="Q131" s="50">
        <f>MAX(Q23,Q21*Seasonality!$C$37*Q22)*(1-Q75)*(1-Q48)</f>
        <v/>
      </c>
      <c r="R131" s="50">
        <f>MAX(R23,R21*Seasonality!$C$37*R22)*(1-R75)*(1-R48)</f>
        <v/>
      </c>
      <c r="S131" s="50">
        <f>MAX(S23,S21*Seasonality!$C$37*S22)*(1-S75)*(1-S48)</f>
        <v/>
      </c>
      <c r="T131" s="50">
        <f>MAX(T23,T21*Seasonality!$C$37*T22)*(1-T75)*(1-T48)</f>
        <v/>
      </c>
      <c r="U131" s="50">
        <f>MAX(U23,U21*Seasonality!$C$37*U22)*(1-U75)*(1-U48)</f>
        <v/>
      </c>
      <c r="V131" s="50">
        <f>MAX(V23,V21*Seasonality!$C$37*V22)*(1-V75)*(1-V48)</f>
        <v/>
      </c>
      <c r="W131" s="50">
        <f>MAX(W23,W21*Seasonality!$C$37*W22)*(1-W75)*(1-W48)</f>
        <v/>
      </c>
      <c r="X131" s="50">
        <f>MAX(X23,X21*Seasonality!$C$37*X22)*(1-X75)*(1-X48)</f>
        <v/>
      </c>
      <c r="Y131" s="50">
        <f>MAX(Y23,Y21*Seasonality!$C$37*Y22)*(1-Y75)*(1-Y48)</f>
        <v/>
      </c>
      <c r="Z131" s="50">
        <f>MAX(Z23,Z21*Seasonality!$C$37*Z22)*(1-Z75)*(1-Z48)</f>
        <v/>
      </c>
      <c r="AA131" s="50">
        <f>MAX(AA23,AA21*Seasonality!$C$37*AA22)*(1-AA75)*(1-AA48)</f>
        <v/>
      </c>
      <c r="AB131" s="50">
        <f>MAX(AB23,AB21*Seasonality!$C$37*AB22)*(1-AB75)*(1-AB48)</f>
        <v/>
      </c>
      <c r="AC131" s="50">
        <f>MAX(AC23,AC21*Seasonality!$C$37*AC22)*(1-AC75)*(1-AC48)</f>
        <v/>
      </c>
      <c r="AD131" s="50">
        <f>MAX(AD23,AD21*Seasonality!$C$37*AD22)*(1-AD75)*(1-AD48)</f>
        <v/>
      </c>
      <c r="AE131" s="50">
        <f>MAX(AE23,AE21*Seasonality!$C$37*AE22)*(1-AE75)*(1-AE48)</f>
        <v/>
      </c>
      <c r="AF131" s="50">
        <f>MAX(AF23,AF21*Seasonality!$C$37*AF22)*(1-AF75)*(1-AF48)</f>
        <v/>
      </c>
      <c r="AG131" s="50">
        <f>MAX(AG23,AG21*Seasonality!$C$37*AG22)*(1-AG75)*(1-AG48)</f>
        <v/>
      </c>
      <c r="AH131" s="50">
        <f>MAX(AH23,AH21*Seasonality!$C$37*AH22)*(1-AH75)*(1-AH48)</f>
        <v/>
      </c>
      <c r="AI131" s="50">
        <f>MAX(AI23,AI21*Seasonality!$C$37*AI22)*(1-AI75)*(1-AI48)</f>
        <v/>
      </c>
      <c r="AJ131" s="50">
        <f>MAX(AJ23,AJ21*Seasonality!$C$37*AJ22)*(1-AJ75)*(1-AJ48)</f>
        <v/>
      </c>
      <c r="AK131" s="50">
        <f>MAX(AK23,AK21*Seasonality!$C$37*AK22)*(1-AK75)*(1-AK48)</f>
        <v/>
      </c>
      <c r="AL131" s="50">
        <f>MAX(AL23,AL21*Seasonality!$C$37*AL22)*(1-AL75)*(1-AL48)</f>
        <v/>
      </c>
      <c r="AM131" s="50">
        <f>MAX(AM23,AM21*Seasonality!$C$37*AM22)*(1-AM75)*(1-AM48)</f>
        <v/>
      </c>
      <c r="AN131" s="50">
        <f>MAX(AN23,AN21*Seasonality!$C$37*AN22)*(1-AN75)*(1-AN48)</f>
        <v/>
      </c>
      <c r="AO131" s="50">
        <f>MAX(AO23,AO21*Seasonality!$C$37*AO22)*(1-AO75)*(1-AO48)</f>
        <v/>
      </c>
      <c r="AP131" s="50">
        <f>MAX(AP23,AP21*Seasonality!$C$37*AP22)*(1-AP75)*(1-AP48)</f>
        <v/>
      </c>
      <c r="AQ131" s="50">
        <f>MAX(AQ23,AQ21*Seasonality!$C$37*AQ22)*(1-AQ75)*(1-AQ48)</f>
        <v/>
      </c>
      <c r="AR131" s="50">
        <f>MAX(AR23,AR21*Seasonality!$C$37*AR22)*(1-AR75)*(1-AR48)</f>
        <v/>
      </c>
      <c r="AS131" s="50">
        <f>MAX(AS23,AS21*Seasonality!$C$37*AS22)*(1-AS75)*(1-AS48)</f>
        <v/>
      </c>
      <c r="AT131" s="50">
        <f>MAX(AT23,AT21*Seasonality!$C$37*AT22)*(1-AT75)*(1-AT48)</f>
        <v/>
      </c>
      <c r="AU131" s="50">
        <f>MAX(AU23,AU21*Seasonality!$C$37*AU22)*(1-AU75)*(1-AU48)</f>
        <v/>
      </c>
      <c r="AV131" s="50">
        <f>MAX(AV23,AV21*Seasonality!$C$37*AV22)*(1-AV75)*(1-AV48)</f>
        <v/>
      </c>
      <c r="AW131" s="50">
        <f>MAX(AW23,AW21*Seasonality!$C$37*AW22)*(1-AW75)*(1-AW48)</f>
        <v/>
      </c>
      <c r="AX131" s="50">
        <f>MAX(AX23,AX21*Seasonality!$C$37*AX22)*(1-AX75)*(1-AX48)</f>
        <v/>
      </c>
      <c r="AY131" s="50">
        <f>MAX(AY23,AY21*Seasonality!$C$37*AY22)*(1-AY75)*(1-AY48)</f>
        <v/>
      </c>
      <c r="AZ131" s="50">
        <f>MAX(AZ23,AZ21*Seasonality!$C$37*AZ22)*(1-AZ75)*(1-AZ48)</f>
        <v/>
      </c>
      <c r="BA131" s="50">
        <f>MAX(BA23,BA21*Seasonality!$C$37*BA22)*(1-BA75)*(1-BA48)</f>
        <v/>
      </c>
      <c r="BB131" s="50">
        <f>MAX(BB23,BB21*Seasonality!$C$37*BB22)*(1-BB75)*(1-BB48)</f>
        <v/>
      </c>
      <c r="BC131" s="50">
        <f>MAX(BC23,BC21*Seasonality!$C$37*BC22)*(1-BC75)*(1-BC48)</f>
        <v/>
      </c>
      <c r="BD131" s="50">
        <f>MAX(BD23,BD21*Seasonality!$C$37*BD22)*(1-BD75)*(1-BD48)</f>
        <v/>
      </c>
      <c r="BE131" s="50">
        <f>MAX(BE23,BE21*Seasonality!$C$37*BE22)*(1-BE75)*(1-BE48)</f>
        <v/>
      </c>
    </row>
    <row r="132">
      <c r="B132" s="7" t="inlineStr">
        <is>
          <t>Revenue collected · month 2</t>
        </is>
      </c>
      <c r="C132" s="5" t="inlineStr">
        <is>
          <t>₹</t>
        </is>
      </c>
      <c r="D132" s="50">
        <f>MAX(D23,D21*Seasonality!$C$38*D22)*(1-D75)*(1-D48)</f>
        <v/>
      </c>
      <c r="E132" s="50">
        <f>MAX(E23,E21*Seasonality!$C$38*E22)*(1-E75)*(1-E48)</f>
        <v/>
      </c>
      <c r="F132" s="50">
        <f>MAX(F23,F21*Seasonality!$C$38*F22)*(1-F75)*(1-F48)</f>
        <v/>
      </c>
      <c r="G132" s="50">
        <f>MAX(G23,G21*Seasonality!$C$38*G22)*(1-G75)*(1-G48)</f>
        <v/>
      </c>
      <c r="H132" s="50">
        <f>MAX(H23,H21*Seasonality!$C$38*H22)*(1-H75)*(1-H48)</f>
        <v/>
      </c>
      <c r="I132" s="50">
        <f>MAX(I23,I21*Seasonality!$C$38*I22)*(1-I75)*(1-I48)</f>
        <v/>
      </c>
      <c r="J132" s="50">
        <f>MAX(J23,J21*Seasonality!$C$38*J22)*(1-J75)*(1-J48)</f>
        <v/>
      </c>
      <c r="K132" s="50">
        <f>MAX(K23,K21*Seasonality!$C$38*K22)*(1-K75)*(1-K48)</f>
        <v/>
      </c>
      <c r="L132" s="50">
        <f>MAX(L23,L21*Seasonality!$C$38*L22)*(1-L75)*(1-L48)</f>
        <v/>
      </c>
      <c r="M132" s="50">
        <f>MAX(M23,M21*Seasonality!$C$38*M22)*(1-M75)*(1-M48)</f>
        <v/>
      </c>
      <c r="N132" s="50">
        <f>MAX(N23,N21*Seasonality!$C$38*N22)*(1-N75)*(1-N48)</f>
        <v/>
      </c>
      <c r="O132" s="50">
        <f>MAX(O23,O21*Seasonality!$C$38*O22)*(1-O75)*(1-O48)</f>
        <v/>
      </c>
      <c r="P132" s="50">
        <f>MAX(P23,P21*Seasonality!$C$38*P22)*(1-P75)*(1-P48)</f>
        <v/>
      </c>
      <c r="Q132" s="50">
        <f>MAX(Q23,Q21*Seasonality!$C$38*Q22)*(1-Q75)*(1-Q48)</f>
        <v/>
      </c>
      <c r="R132" s="50">
        <f>MAX(R23,R21*Seasonality!$C$38*R22)*(1-R75)*(1-R48)</f>
        <v/>
      </c>
      <c r="S132" s="50">
        <f>MAX(S23,S21*Seasonality!$C$38*S22)*(1-S75)*(1-S48)</f>
        <v/>
      </c>
      <c r="T132" s="50">
        <f>MAX(T23,T21*Seasonality!$C$38*T22)*(1-T75)*(1-T48)</f>
        <v/>
      </c>
      <c r="U132" s="50">
        <f>MAX(U23,U21*Seasonality!$C$38*U22)*(1-U75)*(1-U48)</f>
        <v/>
      </c>
      <c r="V132" s="50">
        <f>MAX(V23,V21*Seasonality!$C$38*V22)*(1-V75)*(1-V48)</f>
        <v/>
      </c>
      <c r="W132" s="50">
        <f>MAX(W23,W21*Seasonality!$C$38*W22)*(1-W75)*(1-W48)</f>
        <v/>
      </c>
      <c r="X132" s="50">
        <f>MAX(X23,X21*Seasonality!$C$38*X22)*(1-X75)*(1-X48)</f>
        <v/>
      </c>
      <c r="Y132" s="50">
        <f>MAX(Y23,Y21*Seasonality!$C$38*Y22)*(1-Y75)*(1-Y48)</f>
        <v/>
      </c>
      <c r="Z132" s="50">
        <f>MAX(Z23,Z21*Seasonality!$C$38*Z22)*(1-Z75)*(1-Z48)</f>
        <v/>
      </c>
      <c r="AA132" s="50">
        <f>MAX(AA23,AA21*Seasonality!$C$38*AA22)*(1-AA75)*(1-AA48)</f>
        <v/>
      </c>
      <c r="AB132" s="50">
        <f>MAX(AB23,AB21*Seasonality!$C$38*AB22)*(1-AB75)*(1-AB48)</f>
        <v/>
      </c>
      <c r="AC132" s="50">
        <f>MAX(AC23,AC21*Seasonality!$C$38*AC22)*(1-AC75)*(1-AC48)</f>
        <v/>
      </c>
      <c r="AD132" s="50">
        <f>MAX(AD23,AD21*Seasonality!$C$38*AD22)*(1-AD75)*(1-AD48)</f>
        <v/>
      </c>
      <c r="AE132" s="50">
        <f>MAX(AE23,AE21*Seasonality!$C$38*AE22)*(1-AE75)*(1-AE48)</f>
        <v/>
      </c>
      <c r="AF132" s="50">
        <f>MAX(AF23,AF21*Seasonality!$C$38*AF22)*(1-AF75)*(1-AF48)</f>
        <v/>
      </c>
      <c r="AG132" s="50">
        <f>MAX(AG23,AG21*Seasonality!$C$38*AG22)*(1-AG75)*(1-AG48)</f>
        <v/>
      </c>
      <c r="AH132" s="50">
        <f>MAX(AH23,AH21*Seasonality!$C$38*AH22)*(1-AH75)*(1-AH48)</f>
        <v/>
      </c>
      <c r="AI132" s="50">
        <f>MAX(AI23,AI21*Seasonality!$C$38*AI22)*(1-AI75)*(1-AI48)</f>
        <v/>
      </c>
      <c r="AJ132" s="50">
        <f>MAX(AJ23,AJ21*Seasonality!$C$38*AJ22)*(1-AJ75)*(1-AJ48)</f>
        <v/>
      </c>
      <c r="AK132" s="50">
        <f>MAX(AK23,AK21*Seasonality!$C$38*AK22)*(1-AK75)*(1-AK48)</f>
        <v/>
      </c>
      <c r="AL132" s="50">
        <f>MAX(AL23,AL21*Seasonality!$C$38*AL22)*(1-AL75)*(1-AL48)</f>
        <v/>
      </c>
      <c r="AM132" s="50">
        <f>MAX(AM23,AM21*Seasonality!$C$38*AM22)*(1-AM75)*(1-AM48)</f>
        <v/>
      </c>
      <c r="AN132" s="50">
        <f>MAX(AN23,AN21*Seasonality!$C$38*AN22)*(1-AN75)*(1-AN48)</f>
        <v/>
      </c>
      <c r="AO132" s="50">
        <f>MAX(AO23,AO21*Seasonality!$C$38*AO22)*(1-AO75)*(1-AO48)</f>
        <v/>
      </c>
      <c r="AP132" s="50">
        <f>MAX(AP23,AP21*Seasonality!$C$38*AP22)*(1-AP75)*(1-AP48)</f>
        <v/>
      </c>
      <c r="AQ132" s="50">
        <f>MAX(AQ23,AQ21*Seasonality!$C$38*AQ22)*(1-AQ75)*(1-AQ48)</f>
        <v/>
      </c>
      <c r="AR132" s="50">
        <f>MAX(AR23,AR21*Seasonality!$C$38*AR22)*(1-AR75)*(1-AR48)</f>
        <v/>
      </c>
      <c r="AS132" s="50">
        <f>MAX(AS23,AS21*Seasonality!$C$38*AS22)*(1-AS75)*(1-AS48)</f>
        <v/>
      </c>
      <c r="AT132" s="50">
        <f>MAX(AT23,AT21*Seasonality!$C$38*AT22)*(1-AT75)*(1-AT48)</f>
        <v/>
      </c>
      <c r="AU132" s="50">
        <f>MAX(AU23,AU21*Seasonality!$C$38*AU22)*(1-AU75)*(1-AU48)</f>
        <v/>
      </c>
      <c r="AV132" s="50">
        <f>MAX(AV23,AV21*Seasonality!$C$38*AV22)*(1-AV75)*(1-AV48)</f>
        <v/>
      </c>
      <c r="AW132" s="50">
        <f>MAX(AW23,AW21*Seasonality!$C$38*AW22)*(1-AW75)*(1-AW48)</f>
        <v/>
      </c>
      <c r="AX132" s="50">
        <f>MAX(AX23,AX21*Seasonality!$C$38*AX22)*(1-AX75)*(1-AX48)</f>
        <v/>
      </c>
      <c r="AY132" s="50">
        <f>MAX(AY23,AY21*Seasonality!$C$38*AY22)*(1-AY75)*(1-AY48)</f>
        <v/>
      </c>
      <c r="AZ132" s="50">
        <f>MAX(AZ23,AZ21*Seasonality!$C$38*AZ22)*(1-AZ75)*(1-AZ48)</f>
        <v/>
      </c>
      <c r="BA132" s="50">
        <f>MAX(BA23,BA21*Seasonality!$C$38*BA22)*(1-BA75)*(1-BA48)</f>
        <v/>
      </c>
      <c r="BB132" s="50">
        <f>MAX(BB23,BB21*Seasonality!$C$38*BB22)*(1-BB75)*(1-BB48)</f>
        <v/>
      </c>
      <c r="BC132" s="50">
        <f>MAX(BC23,BC21*Seasonality!$C$38*BC22)*(1-BC75)*(1-BC48)</f>
        <v/>
      </c>
      <c r="BD132" s="50">
        <f>MAX(BD23,BD21*Seasonality!$C$38*BD22)*(1-BD75)*(1-BD48)</f>
        <v/>
      </c>
      <c r="BE132" s="50">
        <f>MAX(BE23,BE21*Seasonality!$C$38*BE22)*(1-BE75)*(1-BE48)</f>
        <v/>
      </c>
    </row>
    <row r="133">
      <c r="B133" s="7" t="inlineStr">
        <is>
          <t>Revenue collected · month 3</t>
        </is>
      </c>
      <c r="C133" s="5" t="inlineStr">
        <is>
          <t>₹</t>
        </is>
      </c>
      <c r="D133" s="50">
        <f>MAX(D23,D21*Seasonality!$C$39*D22)*(1-D75)*(1-D48)</f>
        <v/>
      </c>
      <c r="E133" s="50">
        <f>MAX(E23,E21*Seasonality!$C$39*E22)*(1-E75)*(1-E48)</f>
        <v/>
      </c>
      <c r="F133" s="50">
        <f>MAX(F23,F21*Seasonality!$C$39*F22)*(1-F75)*(1-F48)</f>
        <v/>
      </c>
      <c r="G133" s="50">
        <f>MAX(G23,G21*Seasonality!$C$39*G22)*(1-G75)*(1-G48)</f>
        <v/>
      </c>
      <c r="H133" s="50">
        <f>MAX(H23,H21*Seasonality!$C$39*H22)*(1-H75)*(1-H48)</f>
        <v/>
      </c>
      <c r="I133" s="50">
        <f>MAX(I23,I21*Seasonality!$C$39*I22)*(1-I75)*(1-I48)</f>
        <v/>
      </c>
      <c r="J133" s="50">
        <f>MAX(J23,J21*Seasonality!$C$39*J22)*(1-J75)*(1-J48)</f>
        <v/>
      </c>
      <c r="K133" s="50">
        <f>MAX(K23,K21*Seasonality!$C$39*K22)*(1-K75)*(1-K48)</f>
        <v/>
      </c>
      <c r="L133" s="50">
        <f>MAX(L23,L21*Seasonality!$C$39*L22)*(1-L75)*(1-L48)</f>
        <v/>
      </c>
      <c r="M133" s="50">
        <f>MAX(M23,M21*Seasonality!$C$39*M22)*(1-M75)*(1-M48)</f>
        <v/>
      </c>
      <c r="N133" s="50">
        <f>MAX(N23,N21*Seasonality!$C$39*N22)*(1-N75)*(1-N48)</f>
        <v/>
      </c>
      <c r="O133" s="50">
        <f>MAX(O23,O21*Seasonality!$C$39*O22)*(1-O75)*(1-O48)</f>
        <v/>
      </c>
      <c r="P133" s="50">
        <f>MAX(P23,P21*Seasonality!$C$39*P22)*(1-P75)*(1-P48)</f>
        <v/>
      </c>
      <c r="Q133" s="50">
        <f>MAX(Q23,Q21*Seasonality!$C$39*Q22)*(1-Q75)*(1-Q48)</f>
        <v/>
      </c>
      <c r="R133" s="50">
        <f>MAX(R23,R21*Seasonality!$C$39*R22)*(1-R75)*(1-R48)</f>
        <v/>
      </c>
      <c r="S133" s="50">
        <f>MAX(S23,S21*Seasonality!$C$39*S22)*(1-S75)*(1-S48)</f>
        <v/>
      </c>
      <c r="T133" s="50">
        <f>MAX(T23,T21*Seasonality!$C$39*T22)*(1-T75)*(1-T48)</f>
        <v/>
      </c>
      <c r="U133" s="50">
        <f>MAX(U23,U21*Seasonality!$C$39*U22)*(1-U75)*(1-U48)</f>
        <v/>
      </c>
      <c r="V133" s="50">
        <f>MAX(V23,V21*Seasonality!$C$39*V22)*(1-V75)*(1-V48)</f>
        <v/>
      </c>
      <c r="W133" s="50">
        <f>MAX(W23,W21*Seasonality!$C$39*W22)*(1-W75)*(1-W48)</f>
        <v/>
      </c>
      <c r="X133" s="50">
        <f>MAX(X23,X21*Seasonality!$C$39*X22)*(1-X75)*(1-X48)</f>
        <v/>
      </c>
      <c r="Y133" s="50">
        <f>MAX(Y23,Y21*Seasonality!$C$39*Y22)*(1-Y75)*(1-Y48)</f>
        <v/>
      </c>
      <c r="Z133" s="50">
        <f>MAX(Z23,Z21*Seasonality!$C$39*Z22)*(1-Z75)*(1-Z48)</f>
        <v/>
      </c>
      <c r="AA133" s="50">
        <f>MAX(AA23,AA21*Seasonality!$C$39*AA22)*(1-AA75)*(1-AA48)</f>
        <v/>
      </c>
      <c r="AB133" s="50">
        <f>MAX(AB23,AB21*Seasonality!$C$39*AB22)*(1-AB75)*(1-AB48)</f>
        <v/>
      </c>
      <c r="AC133" s="50">
        <f>MAX(AC23,AC21*Seasonality!$C$39*AC22)*(1-AC75)*(1-AC48)</f>
        <v/>
      </c>
      <c r="AD133" s="50">
        <f>MAX(AD23,AD21*Seasonality!$C$39*AD22)*(1-AD75)*(1-AD48)</f>
        <v/>
      </c>
      <c r="AE133" s="50">
        <f>MAX(AE23,AE21*Seasonality!$C$39*AE22)*(1-AE75)*(1-AE48)</f>
        <v/>
      </c>
      <c r="AF133" s="50">
        <f>MAX(AF23,AF21*Seasonality!$C$39*AF22)*(1-AF75)*(1-AF48)</f>
        <v/>
      </c>
      <c r="AG133" s="50">
        <f>MAX(AG23,AG21*Seasonality!$C$39*AG22)*(1-AG75)*(1-AG48)</f>
        <v/>
      </c>
      <c r="AH133" s="50">
        <f>MAX(AH23,AH21*Seasonality!$C$39*AH22)*(1-AH75)*(1-AH48)</f>
        <v/>
      </c>
      <c r="AI133" s="50">
        <f>MAX(AI23,AI21*Seasonality!$C$39*AI22)*(1-AI75)*(1-AI48)</f>
        <v/>
      </c>
      <c r="AJ133" s="50">
        <f>MAX(AJ23,AJ21*Seasonality!$C$39*AJ22)*(1-AJ75)*(1-AJ48)</f>
        <v/>
      </c>
      <c r="AK133" s="50">
        <f>MAX(AK23,AK21*Seasonality!$C$39*AK22)*(1-AK75)*(1-AK48)</f>
        <v/>
      </c>
      <c r="AL133" s="50">
        <f>MAX(AL23,AL21*Seasonality!$C$39*AL22)*(1-AL75)*(1-AL48)</f>
        <v/>
      </c>
      <c r="AM133" s="50">
        <f>MAX(AM23,AM21*Seasonality!$C$39*AM22)*(1-AM75)*(1-AM48)</f>
        <v/>
      </c>
      <c r="AN133" s="50">
        <f>MAX(AN23,AN21*Seasonality!$C$39*AN22)*(1-AN75)*(1-AN48)</f>
        <v/>
      </c>
      <c r="AO133" s="50">
        <f>MAX(AO23,AO21*Seasonality!$C$39*AO22)*(1-AO75)*(1-AO48)</f>
        <v/>
      </c>
      <c r="AP133" s="50">
        <f>MAX(AP23,AP21*Seasonality!$C$39*AP22)*(1-AP75)*(1-AP48)</f>
        <v/>
      </c>
      <c r="AQ133" s="50">
        <f>MAX(AQ23,AQ21*Seasonality!$C$39*AQ22)*(1-AQ75)*(1-AQ48)</f>
        <v/>
      </c>
      <c r="AR133" s="50">
        <f>MAX(AR23,AR21*Seasonality!$C$39*AR22)*(1-AR75)*(1-AR48)</f>
        <v/>
      </c>
      <c r="AS133" s="50">
        <f>MAX(AS23,AS21*Seasonality!$C$39*AS22)*(1-AS75)*(1-AS48)</f>
        <v/>
      </c>
      <c r="AT133" s="50">
        <f>MAX(AT23,AT21*Seasonality!$C$39*AT22)*(1-AT75)*(1-AT48)</f>
        <v/>
      </c>
      <c r="AU133" s="50">
        <f>MAX(AU23,AU21*Seasonality!$C$39*AU22)*(1-AU75)*(1-AU48)</f>
        <v/>
      </c>
      <c r="AV133" s="50">
        <f>MAX(AV23,AV21*Seasonality!$C$39*AV22)*(1-AV75)*(1-AV48)</f>
        <v/>
      </c>
      <c r="AW133" s="50">
        <f>MAX(AW23,AW21*Seasonality!$C$39*AW22)*(1-AW75)*(1-AW48)</f>
        <v/>
      </c>
      <c r="AX133" s="50">
        <f>MAX(AX23,AX21*Seasonality!$C$39*AX22)*(1-AX75)*(1-AX48)</f>
        <v/>
      </c>
      <c r="AY133" s="50">
        <f>MAX(AY23,AY21*Seasonality!$C$39*AY22)*(1-AY75)*(1-AY48)</f>
        <v/>
      </c>
      <c r="AZ133" s="50">
        <f>MAX(AZ23,AZ21*Seasonality!$C$39*AZ22)*(1-AZ75)*(1-AZ48)</f>
        <v/>
      </c>
      <c r="BA133" s="50">
        <f>MAX(BA23,BA21*Seasonality!$C$39*BA22)*(1-BA75)*(1-BA48)</f>
        <v/>
      </c>
      <c r="BB133" s="50">
        <f>MAX(BB23,BB21*Seasonality!$C$39*BB22)*(1-BB75)*(1-BB48)</f>
        <v/>
      </c>
      <c r="BC133" s="50">
        <f>MAX(BC23,BC21*Seasonality!$C$39*BC22)*(1-BC75)*(1-BC48)</f>
        <v/>
      </c>
      <c r="BD133" s="50">
        <f>MAX(BD23,BD21*Seasonality!$C$39*BD22)*(1-BD75)*(1-BD48)</f>
        <v/>
      </c>
      <c r="BE133" s="50">
        <f>MAX(BE23,BE21*Seasonality!$C$39*BE22)*(1-BE75)*(1-BE48)</f>
        <v/>
      </c>
    </row>
    <row r="134">
      <c r="B134" s="7" t="inlineStr">
        <is>
          <t>Revenue collected · month 4</t>
        </is>
      </c>
      <c r="C134" s="5" t="inlineStr">
        <is>
          <t>₹</t>
        </is>
      </c>
      <c r="D134" s="50">
        <f>MAX(D23,D21*Seasonality!$C$40*D22)*(1-D75)*(1-D48)</f>
        <v/>
      </c>
      <c r="E134" s="50">
        <f>MAX(E23,E21*Seasonality!$C$40*E22)*(1-E75)*(1-E48)</f>
        <v/>
      </c>
      <c r="F134" s="50">
        <f>MAX(F23,F21*Seasonality!$C$40*F22)*(1-F75)*(1-F48)</f>
        <v/>
      </c>
      <c r="G134" s="50">
        <f>MAX(G23,G21*Seasonality!$C$40*G22)*(1-G75)*(1-G48)</f>
        <v/>
      </c>
      <c r="H134" s="50">
        <f>MAX(H23,H21*Seasonality!$C$40*H22)*(1-H75)*(1-H48)</f>
        <v/>
      </c>
      <c r="I134" s="50">
        <f>MAX(I23,I21*Seasonality!$C$40*I22)*(1-I75)*(1-I48)</f>
        <v/>
      </c>
      <c r="J134" s="50">
        <f>MAX(J23,J21*Seasonality!$C$40*J22)*(1-J75)*(1-J48)</f>
        <v/>
      </c>
      <c r="K134" s="50">
        <f>MAX(K23,K21*Seasonality!$C$40*K22)*(1-K75)*(1-K48)</f>
        <v/>
      </c>
      <c r="L134" s="50">
        <f>MAX(L23,L21*Seasonality!$C$40*L22)*(1-L75)*(1-L48)</f>
        <v/>
      </c>
      <c r="M134" s="50">
        <f>MAX(M23,M21*Seasonality!$C$40*M22)*(1-M75)*(1-M48)</f>
        <v/>
      </c>
      <c r="N134" s="50">
        <f>MAX(N23,N21*Seasonality!$C$40*N22)*(1-N75)*(1-N48)</f>
        <v/>
      </c>
      <c r="O134" s="50">
        <f>MAX(O23,O21*Seasonality!$C$40*O22)*(1-O75)*(1-O48)</f>
        <v/>
      </c>
      <c r="P134" s="50">
        <f>MAX(P23,P21*Seasonality!$C$40*P22)*(1-P75)*(1-P48)</f>
        <v/>
      </c>
      <c r="Q134" s="50">
        <f>MAX(Q23,Q21*Seasonality!$C$40*Q22)*(1-Q75)*(1-Q48)</f>
        <v/>
      </c>
      <c r="R134" s="50">
        <f>MAX(R23,R21*Seasonality!$C$40*R22)*(1-R75)*(1-R48)</f>
        <v/>
      </c>
      <c r="S134" s="50">
        <f>MAX(S23,S21*Seasonality!$C$40*S22)*(1-S75)*(1-S48)</f>
        <v/>
      </c>
      <c r="T134" s="50">
        <f>MAX(T23,T21*Seasonality!$C$40*T22)*(1-T75)*(1-T48)</f>
        <v/>
      </c>
      <c r="U134" s="50">
        <f>MAX(U23,U21*Seasonality!$C$40*U22)*(1-U75)*(1-U48)</f>
        <v/>
      </c>
      <c r="V134" s="50">
        <f>MAX(V23,V21*Seasonality!$C$40*V22)*(1-V75)*(1-V48)</f>
        <v/>
      </c>
      <c r="W134" s="50">
        <f>MAX(W23,W21*Seasonality!$C$40*W22)*(1-W75)*(1-W48)</f>
        <v/>
      </c>
      <c r="X134" s="50">
        <f>MAX(X23,X21*Seasonality!$C$40*X22)*(1-X75)*(1-X48)</f>
        <v/>
      </c>
      <c r="Y134" s="50">
        <f>MAX(Y23,Y21*Seasonality!$C$40*Y22)*(1-Y75)*(1-Y48)</f>
        <v/>
      </c>
      <c r="Z134" s="50">
        <f>MAX(Z23,Z21*Seasonality!$C$40*Z22)*(1-Z75)*(1-Z48)</f>
        <v/>
      </c>
      <c r="AA134" s="50">
        <f>MAX(AA23,AA21*Seasonality!$C$40*AA22)*(1-AA75)*(1-AA48)</f>
        <v/>
      </c>
      <c r="AB134" s="50">
        <f>MAX(AB23,AB21*Seasonality!$C$40*AB22)*(1-AB75)*(1-AB48)</f>
        <v/>
      </c>
      <c r="AC134" s="50">
        <f>MAX(AC23,AC21*Seasonality!$C$40*AC22)*(1-AC75)*(1-AC48)</f>
        <v/>
      </c>
      <c r="AD134" s="50">
        <f>MAX(AD23,AD21*Seasonality!$C$40*AD22)*(1-AD75)*(1-AD48)</f>
        <v/>
      </c>
      <c r="AE134" s="50">
        <f>MAX(AE23,AE21*Seasonality!$C$40*AE22)*(1-AE75)*(1-AE48)</f>
        <v/>
      </c>
      <c r="AF134" s="50">
        <f>MAX(AF23,AF21*Seasonality!$C$40*AF22)*(1-AF75)*(1-AF48)</f>
        <v/>
      </c>
      <c r="AG134" s="50">
        <f>MAX(AG23,AG21*Seasonality!$C$40*AG22)*(1-AG75)*(1-AG48)</f>
        <v/>
      </c>
      <c r="AH134" s="50">
        <f>MAX(AH23,AH21*Seasonality!$C$40*AH22)*(1-AH75)*(1-AH48)</f>
        <v/>
      </c>
      <c r="AI134" s="50">
        <f>MAX(AI23,AI21*Seasonality!$C$40*AI22)*(1-AI75)*(1-AI48)</f>
        <v/>
      </c>
      <c r="AJ134" s="50">
        <f>MAX(AJ23,AJ21*Seasonality!$C$40*AJ22)*(1-AJ75)*(1-AJ48)</f>
        <v/>
      </c>
      <c r="AK134" s="50">
        <f>MAX(AK23,AK21*Seasonality!$C$40*AK22)*(1-AK75)*(1-AK48)</f>
        <v/>
      </c>
      <c r="AL134" s="50">
        <f>MAX(AL23,AL21*Seasonality!$C$40*AL22)*(1-AL75)*(1-AL48)</f>
        <v/>
      </c>
      <c r="AM134" s="50">
        <f>MAX(AM23,AM21*Seasonality!$C$40*AM22)*(1-AM75)*(1-AM48)</f>
        <v/>
      </c>
      <c r="AN134" s="50">
        <f>MAX(AN23,AN21*Seasonality!$C$40*AN22)*(1-AN75)*(1-AN48)</f>
        <v/>
      </c>
      <c r="AO134" s="50">
        <f>MAX(AO23,AO21*Seasonality!$C$40*AO22)*(1-AO75)*(1-AO48)</f>
        <v/>
      </c>
      <c r="AP134" s="50">
        <f>MAX(AP23,AP21*Seasonality!$C$40*AP22)*(1-AP75)*(1-AP48)</f>
        <v/>
      </c>
      <c r="AQ134" s="50">
        <f>MAX(AQ23,AQ21*Seasonality!$C$40*AQ22)*(1-AQ75)*(1-AQ48)</f>
        <v/>
      </c>
      <c r="AR134" s="50">
        <f>MAX(AR23,AR21*Seasonality!$C$40*AR22)*(1-AR75)*(1-AR48)</f>
        <v/>
      </c>
      <c r="AS134" s="50">
        <f>MAX(AS23,AS21*Seasonality!$C$40*AS22)*(1-AS75)*(1-AS48)</f>
        <v/>
      </c>
      <c r="AT134" s="50">
        <f>MAX(AT23,AT21*Seasonality!$C$40*AT22)*(1-AT75)*(1-AT48)</f>
        <v/>
      </c>
      <c r="AU134" s="50">
        <f>MAX(AU23,AU21*Seasonality!$C$40*AU22)*(1-AU75)*(1-AU48)</f>
        <v/>
      </c>
      <c r="AV134" s="50">
        <f>MAX(AV23,AV21*Seasonality!$C$40*AV22)*(1-AV75)*(1-AV48)</f>
        <v/>
      </c>
      <c r="AW134" s="50">
        <f>MAX(AW23,AW21*Seasonality!$C$40*AW22)*(1-AW75)*(1-AW48)</f>
        <v/>
      </c>
      <c r="AX134" s="50">
        <f>MAX(AX23,AX21*Seasonality!$C$40*AX22)*(1-AX75)*(1-AX48)</f>
        <v/>
      </c>
      <c r="AY134" s="50">
        <f>MAX(AY23,AY21*Seasonality!$C$40*AY22)*(1-AY75)*(1-AY48)</f>
        <v/>
      </c>
      <c r="AZ134" s="50">
        <f>MAX(AZ23,AZ21*Seasonality!$C$40*AZ22)*(1-AZ75)*(1-AZ48)</f>
        <v/>
      </c>
      <c r="BA134" s="50">
        <f>MAX(BA23,BA21*Seasonality!$C$40*BA22)*(1-BA75)*(1-BA48)</f>
        <v/>
      </c>
      <c r="BB134" s="50">
        <f>MAX(BB23,BB21*Seasonality!$C$40*BB22)*(1-BB75)*(1-BB48)</f>
        <v/>
      </c>
      <c r="BC134" s="50">
        <f>MAX(BC23,BC21*Seasonality!$C$40*BC22)*(1-BC75)*(1-BC48)</f>
        <v/>
      </c>
      <c r="BD134" s="50">
        <f>MAX(BD23,BD21*Seasonality!$C$40*BD22)*(1-BD75)*(1-BD48)</f>
        <v/>
      </c>
      <c r="BE134" s="50">
        <f>MAX(BE23,BE21*Seasonality!$C$40*BE22)*(1-BE75)*(1-BE48)</f>
        <v/>
      </c>
    </row>
    <row r="135">
      <c r="B135" s="7" t="inlineStr">
        <is>
          <t>Revenue collected · month 5</t>
        </is>
      </c>
      <c r="C135" s="5" t="inlineStr">
        <is>
          <t>₹</t>
        </is>
      </c>
      <c r="D135" s="50">
        <f>MAX(D23,D21*Seasonality!$C$41*D22)*(1-D75)*(1-D48)</f>
        <v/>
      </c>
      <c r="E135" s="50">
        <f>MAX(E23,E21*Seasonality!$C$41*E22)*(1-E75)*(1-E48)</f>
        <v/>
      </c>
      <c r="F135" s="50">
        <f>MAX(F23,F21*Seasonality!$C$41*F22)*(1-F75)*(1-F48)</f>
        <v/>
      </c>
      <c r="G135" s="50">
        <f>MAX(G23,G21*Seasonality!$C$41*G22)*(1-G75)*(1-G48)</f>
        <v/>
      </c>
      <c r="H135" s="50">
        <f>MAX(H23,H21*Seasonality!$C$41*H22)*(1-H75)*(1-H48)</f>
        <v/>
      </c>
      <c r="I135" s="50">
        <f>MAX(I23,I21*Seasonality!$C$41*I22)*(1-I75)*(1-I48)</f>
        <v/>
      </c>
      <c r="J135" s="50">
        <f>MAX(J23,J21*Seasonality!$C$41*J22)*(1-J75)*(1-J48)</f>
        <v/>
      </c>
      <c r="K135" s="50">
        <f>MAX(K23,K21*Seasonality!$C$41*K22)*(1-K75)*(1-K48)</f>
        <v/>
      </c>
      <c r="L135" s="50">
        <f>MAX(L23,L21*Seasonality!$C$41*L22)*(1-L75)*(1-L48)</f>
        <v/>
      </c>
      <c r="M135" s="50">
        <f>MAX(M23,M21*Seasonality!$C$41*M22)*(1-M75)*(1-M48)</f>
        <v/>
      </c>
      <c r="N135" s="50">
        <f>MAX(N23,N21*Seasonality!$C$41*N22)*(1-N75)*(1-N48)</f>
        <v/>
      </c>
      <c r="O135" s="50">
        <f>MAX(O23,O21*Seasonality!$C$41*O22)*(1-O75)*(1-O48)</f>
        <v/>
      </c>
      <c r="P135" s="50">
        <f>MAX(P23,P21*Seasonality!$C$41*P22)*(1-P75)*(1-P48)</f>
        <v/>
      </c>
      <c r="Q135" s="50">
        <f>MAX(Q23,Q21*Seasonality!$C$41*Q22)*(1-Q75)*(1-Q48)</f>
        <v/>
      </c>
      <c r="R135" s="50">
        <f>MAX(R23,R21*Seasonality!$C$41*R22)*(1-R75)*(1-R48)</f>
        <v/>
      </c>
      <c r="S135" s="50">
        <f>MAX(S23,S21*Seasonality!$C$41*S22)*(1-S75)*(1-S48)</f>
        <v/>
      </c>
      <c r="T135" s="50">
        <f>MAX(T23,T21*Seasonality!$C$41*T22)*(1-T75)*(1-T48)</f>
        <v/>
      </c>
      <c r="U135" s="50">
        <f>MAX(U23,U21*Seasonality!$C$41*U22)*(1-U75)*(1-U48)</f>
        <v/>
      </c>
      <c r="V135" s="50">
        <f>MAX(V23,V21*Seasonality!$C$41*V22)*(1-V75)*(1-V48)</f>
        <v/>
      </c>
      <c r="W135" s="50">
        <f>MAX(W23,W21*Seasonality!$C$41*W22)*(1-W75)*(1-W48)</f>
        <v/>
      </c>
      <c r="X135" s="50">
        <f>MAX(X23,X21*Seasonality!$C$41*X22)*(1-X75)*(1-X48)</f>
        <v/>
      </c>
      <c r="Y135" s="50">
        <f>MAX(Y23,Y21*Seasonality!$C$41*Y22)*(1-Y75)*(1-Y48)</f>
        <v/>
      </c>
      <c r="Z135" s="50">
        <f>MAX(Z23,Z21*Seasonality!$C$41*Z22)*(1-Z75)*(1-Z48)</f>
        <v/>
      </c>
      <c r="AA135" s="50">
        <f>MAX(AA23,AA21*Seasonality!$C$41*AA22)*(1-AA75)*(1-AA48)</f>
        <v/>
      </c>
      <c r="AB135" s="50">
        <f>MAX(AB23,AB21*Seasonality!$C$41*AB22)*(1-AB75)*(1-AB48)</f>
        <v/>
      </c>
      <c r="AC135" s="50">
        <f>MAX(AC23,AC21*Seasonality!$C$41*AC22)*(1-AC75)*(1-AC48)</f>
        <v/>
      </c>
      <c r="AD135" s="50">
        <f>MAX(AD23,AD21*Seasonality!$C$41*AD22)*(1-AD75)*(1-AD48)</f>
        <v/>
      </c>
      <c r="AE135" s="50">
        <f>MAX(AE23,AE21*Seasonality!$C$41*AE22)*(1-AE75)*(1-AE48)</f>
        <v/>
      </c>
      <c r="AF135" s="50">
        <f>MAX(AF23,AF21*Seasonality!$C$41*AF22)*(1-AF75)*(1-AF48)</f>
        <v/>
      </c>
      <c r="AG135" s="50">
        <f>MAX(AG23,AG21*Seasonality!$C$41*AG22)*(1-AG75)*(1-AG48)</f>
        <v/>
      </c>
      <c r="AH135" s="50">
        <f>MAX(AH23,AH21*Seasonality!$C$41*AH22)*(1-AH75)*(1-AH48)</f>
        <v/>
      </c>
      <c r="AI135" s="50">
        <f>MAX(AI23,AI21*Seasonality!$C$41*AI22)*(1-AI75)*(1-AI48)</f>
        <v/>
      </c>
      <c r="AJ135" s="50">
        <f>MAX(AJ23,AJ21*Seasonality!$C$41*AJ22)*(1-AJ75)*(1-AJ48)</f>
        <v/>
      </c>
      <c r="AK135" s="50">
        <f>MAX(AK23,AK21*Seasonality!$C$41*AK22)*(1-AK75)*(1-AK48)</f>
        <v/>
      </c>
      <c r="AL135" s="50">
        <f>MAX(AL23,AL21*Seasonality!$C$41*AL22)*(1-AL75)*(1-AL48)</f>
        <v/>
      </c>
      <c r="AM135" s="50">
        <f>MAX(AM23,AM21*Seasonality!$C$41*AM22)*(1-AM75)*(1-AM48)</f>
        <v/>
      </c>
      <c r="AN135" s="50">
        <f>MAX(AN23,AN21*Seasonality!$C$41*AN22)*(1-AN75)*(1-AN48)</f>
        <v/>
      </c>
      <c r="AO135" s="50">
        <f>MAX(AO23,AO21*Seasonality!$C$41*AO22)*(1-AO75)*(1-AO48)</f>
        <v/>
      </c>
      <c r="AP135" s="50">
        <f>MAX(AP23,AP21*Seasonality!$C$41*AP22)*(1-AP75)*(1-AP48)</f>
        <v/>
      </c>
      <c r="AQ135" s="50">
        <f>MAX(AQ23,AQ21*Seasonality!$C$41*AQ22)*(1-AQ75)*(1-AQ48)</f>
        <v/>
      </c>
      <c r="AR135" s="50">
        <f>MAX(AR23,AR21*Seasonality!$C$41*AR22)*(1-AR75)*(1-AR48)</f>
        <v/>
      </c>
      <c r="AS135" s="50">
        <f>MAX(AS23,AS21*Seasonality!$C$41*AS22)*(1-AS75)*(1-AS48)</f>
        <v/>
      </c>
      <c r="AT135" s="50">
        <f>MAX(AT23,AT21*Seasonality!$C$41*AT22)*(1-AT75)*(1-AT48)</f>
        <v/>
      </c>
      <c r="AU135" s="50">
        <f>MAX(AU23,AU21*Seasonality!$C$41*AU22)*(1-AU75)*(1-AU48)</f>
        <v/>
      </c>
      <c r="AV135" s="50">
        <f>MAX(AV23,AV21*Seasonality!$C$41*AV22)*(1-AV75)*(1-AV48)</f>
        <v/>
      </c>
      <c r="AW135" s="50">
        <f>MAX(AW23,AW21*Seasonality!$C$41*AW22)*(1-AW75)*(1-AW48)</f>
        <v/>
      </c>
      <c r="AX135" s="50">
        <f>MAX(AX23,AX21*Seasonality!$C$41*AX22)*(1-AX75)*(1-AX48)</f>
        <v/>
      </c>
      <c r="AY135" s="50">
        <f>MAX(AY23,AY21*Seasonality!$C$41*AY22)*(1-AY75)*(1-AY48)</f>
        <v/>
      </c>
      <c r="AZ135" s="50">
        <f>MAX(AZ23,AZ21*Seasonality!$C$41*AZ22)*(1-AZ75)*(1-AZ48)</f>
        <v/>
      </c>
      <c r="BA135" s="50">
        <f>MAX(BA23,BA21*Seasonality!$C$41*BA22)*(1-BA75)*(1-BA48)</f>
        <v/>
      </c>
      <c r="BB135" s="50">
        <f>MAX(BB23,BB21*Seasonality!$C$41*BB22)*(1-BB75)*(1-BB48)</f>
        <v/>
      </c>
      <c r="BC135" s="50">
        <f>MAX(BC23,BC21*Seasonality!$C$41*BC22)*(1-BC75)*(1-BC48)</f>
        <v/>
      </c>
      <c r="BD135" s="50">
        <f>MAX(BD23,BD21*Seasonality!$C$41*BD22)*(1-BD75)*(1-BD48)</f>
        <v/>
      </c>
      <c r="BE135" s="50">
        <f>MAX(BE23,BE21*Seasonality!$C$41*BE22)*(1-BE75)*(1-BE48)</f>
        <v/>
      </c>
    </row>
    <row r="136">
      <c r="B136" s="7" t="inlineStr">
        <is>
          <t>Revenue collected · month 6</t>
        </is>
      </c>
      <c r="C136" s="5" t="inlineStr">
        <is>
          <t>₹</t>
        </is>
      </c>
      <c r="D136" s="50">
        <f>MAX(D23,D21*Seasonality!$C$42*D22)*(1-D75)*(1-D48)</f>
        <v/>
      </c>
      <c r="E136" s="50">
        <f>MAX(E23,E21*Seasonality!$C$42*E22)*(1-E75)*(1-E48)</f>
        <v/>
      </c>
      <c r="F136" s="50">
        <f>MAX(F23,F21*Seasonality!$C$42*F22)*(1-F75)*(1-F48)</f>
        <v/>
      </c>
      <c r="G136" s="50">
        <f>MAX(G23,G21*Seasonality!$C$42*G22)*(1-G75)*(1-G48)</f>
        <v/>
      </c>
      <c r="H136" s="50">
        <f>MAX(H23,H21*Seasonality!$C$42*H22)*(1-H75)*(1-H48)</f>
        <v/>
      </c>
      <c r="I136" s="50">
        <f>MAX(I23,I21*Seasonality!$C$42*I22)*(1-I75)*(1-I48)</f>
        <v/>
      </c>
      <c r="J136" s="50">
        <f>MAX(J23,J21*Seasonality!$C$42*J22)*(1-J75)*(1-J48)</f>
        <v/>
      </c>
      <c r="K136" s="50">
        <f>MAX(K23,K21*Seasonality!$C$42*K22)*(1-K75)*(1-K48)</f>
        <v/>
      </c>
      <c r="L136" s="50">
        <f>MAX(L23,L21*Seasonality!$C$42*L22)*(1-L75)*(1-L48)</f>
        <v/>
      </c>
      <c r="M136" s="50">
        <f>MAX(M23,M21*Seasonality!$C$42*M22)*(1-M75)*(1-M48)</f>
        <v/>
      </c>
      <c r="N136" s="50">
        <f>MAX(N23,N21*Seasonality!$C$42*N22)*(1-N75)*(1-N48)</f>
        <v/>
      </c>
      <c r="O136" s="50">
        <f>MAX(O23,O21*Seasonality!$C$42*O22)*(1-O75)*(1-O48)</f>
        <v/>
      </c>
      <c r="P136" s="50">
        <f>MAX(P23,P21*Seasonality!$C$42*P22)*(1-P75)*(1-P48)</f>
        <v/>
      </c>
      <c r="Q136" s="50">
        <f>MAX(Q23,Q21*Seasonality!$C$42*Q22)*(1-Q75)*(1-Q48)</f>
        <v/>
      </c>
      <c r="R136" s="50">
        <f>MAX(R23,R21*Seasonality!$C$42*R22)*(1-R75)*(1-R48)</f>
        <v/>
      </c>
      <c r="S136" s="50">
        <f>MAX(S23,S21*Seasonality!$C$42*S22)*(1-S75)*(1-S48)</f>
        <v/>
      </c>
      <c r="T136" s="50">
        <f>MAX(T23,T21*Seasonality!$C$42*T22)*(1-T75)*(1-T48)</f>
        <v/>
      </c>
      <c r="U136" s="50">
        <f>MAX(U23,U21*Seasonality!$C$42*U22)*(1-U75)*(1-U48)</f>
        <v/>
      </c>
      <c r="V136" s="50">
        <f>MAX(V23,V21*Seasonality!$C$42*V22)*(1-V75)*(1-V48)</f>
        <v/>
      </c>
      <c r="W136" s="50">
        <f>MAX(W23,W21*Seasonality!$C$42*W22)*(1-W75)*(1-W48)</f>
        <v/>
      </c>
      <c r="X136" s="50">
        <f>MAX(X23,X21*Seasonality!$C$42*X22)*(1-X75)*(1-X48)</f>
        <v/>
      </c>
      <c r="Y136" s="50">
        <f>MAX(Y23,Y21*Seasonality!$C$42*Y22)*(1-Y75)*(1-Y48)</f>
        <v/>
      </c>
      <c r="Z136" s="50">
        <f>MAX(Z23,Z21*Seasonality!$C$42*Z22)*(1-Z75)*(1-Z48)</f>
        <v/>
      </c>
      <c r="AA136" s="50">
        <f>MAX(AA23,AA21*Seasonality!$C$42*AA22)*(1-AA75)*(1-AA48)</f>
        <v/>
      </c>
      <c r="AB136" s="50">
        <f>MAX(AB23,AB21*Seasonality!$C$42*AB22)*(1-AB75)*(1-AB48)</f>
        <v/>
      </c>
      <c r="AC136" s="50">
        <f>MAX(AC23,AC21*Seasonality!$C$42*AC22)*(1-AC75)*(1-AC48)</f>
        <v/>
      </c>
      <c r="AD136" s="50">
        <f>MAX(AD23,AD21*Seasonality!$C$42*AD22)*(1-AD75)*(1-AD48)</f>
        <v/>
      </c>
      <c r="AE136" s="50">
        <f>MAX(AE23,AE21*Seasonality!$C$42*AE22)*(1-AE75)*(1-AE48)</f>
        <v/>
      </c>
      <c r="AF136" s="50">
        <f>MAX(AF23,AF21*Seasonality!$C$42*AF22)*(1-AF75)*(1-AF48)</f>
        <v/>
      </c>
      <c r="AG136" s="50">
        <f>MAX(AG23,AG21*Seasonality!$C$42*AG22)*(1-AG75)*(1-AG48)</f>
        <v/>
      </c>
      <c r="AH136" s="50">
        <f>MAX(AH23,AH21*Seasonality!$C$42*AH22)*(1-AH75)*(1-AH48)</f>
        <v/>
      </c>
      <c r="AI136" s="50">
        <f>MAX(AI23,AI21*Seasonality!$C$42*AI22)*(1-AI75)*(1-AI48)</f>
        <v/>
      </c>
      <c r="AJ136" s="50">
        <f>MAX(AJ23,AJ21*Seasonality!$C$42*AJ22)*(1-AJ75)*(1-AJ48)</f>
        <v/>
      </c>
      <c r="AK136" s="50">
        <f>MAX(AK23,AK21*Seasonality!$C$42*AK22)*(1-AK75)*(1-AK48)</f>
        <v/>
      </c>
      <c r="AL136" s="50">
        <f>MAX(AL23,AL21*Seasonality!$C$42*AL22)*(1-AL75)*(1-AL48)</f>
        <v/>
      </c>
      <c r="AM136" s="50">
        <f>MAX(AM23,AM21*Seasonality!$C$42*AM22)*(1-AM75)*(1-AM48)</f>
        <v/>
      </c>
      <c r="AN136" s="50">
        <f>MAX(AN23,AN21*Seasonality!$C$42*AN22)*(1-AN75)*(1-AN48)</f>
        <v/>
      </c>
      <c r="AO136" s="50">
        <f>MAX(AO23,AO21*Seasonality!$C$42*AO22)*(1-AO75)*(1-AO48)</f>
        <v/>
      </c>
      <c r="AP136" s="50">
        <f>MAX(AP23,AP21*Seasonality!$C$42*AP22)*(1-AP75)*(1-AP48)</f>
        <v/>
      </c>
      <c r="AQ136" s="50">
        <f>MAX(AQ23,AQ21*Seasonality!$C$42*AQ22)*(1-AQ75)*(1-AQ48)</f>
        <v/>
      </c>
      <c r="AR136" s="50">
        <f>MAX(AR23,AR21*Seasonality!$C$42*AR22)*(1-AR75)*(1-AR48)</f>
        <v/>
      </c>
      <c r="AS136" s="50">
        <f>MAX(AS23,AS21*Seasonality!$C$42*AS22)*(1-AS75)*(1-AS48)</f>
        <v/>
      </c>
      <c r="AT136" s="50">
        <f>MAX(AT23,AT21*Seasonality!$C$42*AT22)*(1-AT75)*(1-AT48)</f>
        <v/>
      </c>
      <c r="AU136" s="50">
        <f>MAX(AU23,AU21*Seasonality!$C$42*AU22)*(1-AU75)*(1-AU48)</f>
        <v/>
      </c>
      <c r="AV136" s="50">
        <f>MAX(AV23,AV21*Seasonality!$C$42*AV22)*(1-AV75)*(1-AV48)</f>
        <v/>
      </c>
      <c r="AW136" s="50">
        <f>MAX(AW23,AW21*Seasonality!$C$42*AW22)*(1-AW75)*(1-AW48)</f>
        <v/>
      </c>
      <c r="AX136" s="50">
        <f>MAX(AX23,AX21*Seasonality!$C$42*AX22)*(1-AX75)*(1-AX48)</f>
        <v/>
      </c>
      <c r="AY136" s="50">
        <f>MAX(AY23,AY21*Seasonality!$C$42*AY22)*(1-AY75)*(1-AY48)</f>
        <v/>
      </c>
      <c r="AZ136" s="50">
        <f>MAX(AZ23,AZ21*Seasonality!$C$42*AZ22)*(1-AZ75)*(1-AZ48)</f>
        <v/>
      </c>
      <c r="BA136" s="50">
        <f>MAX(BA23,BA21*Seasonality!$C$42*BA22)*(1-BA75)*(1-BA48)</f>
        <v/>
      </c>
      <c r="BB136" s="50">
        <f>MAX(BB23,BB21*Seasonality!$C$42*BB22)*(1-BB75)*(1-BB48)</f>
        <v/>
      </c>
      <c r="BC136" s="50">
        <f>MAX(BC23,BC21*Seasonality!$C$42*BC22)*(1-BC75)*(1-BC48)</f>
        <v/>
      </c>
      <c r="BD136" s="50">
        <f>MAX(BD23,BD21*Seasonality!$C$42*BD22)*(1-BD75)*(1-BD48)</f>
        <v/>
      </c>
      <c r="BE136" s="50">
        <f>MAX(BE23,BE21*Seasonality!$C$42*BE22)*(1-BE75)*(1-BE48)</f>
        <v/>
      </c>
    </row>
    <row r="137">
      <c r="B137" s="7" t="inlineStr">
        <is>
          <t>Revenue collected · month 7</t>
        </is>
      </c>
      <c r="C137" s="5" t="inlineStr">
        <is>
          <t>₹</t>
        </is>
      </c>
      <c r="D137" s="50">
        <f>MAX(D23,D21*Seasonality!$C$43*D22)*(1-D75)*(1-D48)</f>
        <v/>
      </c>
      <c r="E137" s="50">
        <f>MAX(E23,E21*Seasonality!$C$43*E22)*(1-E75)*(1-E48)</f>
        <v/>
      </c>
      <c r="F137" s="50">
        <f>MAX(F23,F21*Seasonality!$C$43*F22)*(1-F75)*(1-F48)</f>
        <v/>
      </c>
      <c r="G137" s="50">
        <f>MAX(G23,G21*Seasonality!$C$43*G22)*(1-G75)*(1-G48)</f>
        <v/>
      </c>
      <c r="H137" s="50">
        <f>MAX(H23,H21*Seasonality!$C$43*H22)*(1-H75)*(1-H48)</f>
        <v/>
      </c>
      <c r="I137" s="50">
        <f>MAX(I23,I21*Seasonality!$C$43*I22)*(1-I75)*(1-I48)</f>
        <v/>
      </c>
      <c r="J137" s="50">
        <f>MAX(J23,J21*Seasonality!$C$43*J22)*(1-J75)*(1-J48)</f>
        <v/>
      </c>
      <c r="K137" s="50">
        <f>MAX(K23,K21*Seasonality!$C$43*K22)*(1-K75)*(1-K48)</f>
        <v/>
      </c>
      <c r="L137" s="50">
        <f>MAX(L23,L21*Seasonality!$C$43*L22)*(1-L75)*(1-L48)</f>
        <v/>
      </c>
      <c r="M137" s="50">
        <f>MAX(M23,M21*Seasonality!$C$43*M22)*(1-M75)*(1-M48)</f>
        <v/>
      </c>
      <c r="N137" s="50">
        <f>MAX(N23,N21*Seasonality!$C$43*N22)*(1-N75)*(1-N48)</f>
        <v/>
      </c>
      <c r="O137" s="50">
        <f>MAX(O23,O21*Seasonality!$C$43*O22)*(1-O75)*(1-O48)</f>
        <v/>
      </c>
      <c r="P137" s="50">
        <f>MAX(P23,P21*Seasonality!$C$43*P22)*(1-P75)*(1-P48)</f>
        <v/>
      </c>
      <c r="Q137" s="50">
        <f>MAX(Q23,Q21*Seasonality!$C$43*Q22)*(1-Q75)*(1-Q48)</f>
        <v/>
      </c>
      <c r="R137" s="50">
        <f>MAX(R23,R21*Seasonality!$C$43*R22)*(1-R75)*(1-R48)</f>
        <v/>
      </c>
      <c r="S137" s="50">
        <f>MAX(S23,S21*Seasonality!$C$43*S22)*(1-S75)*(1-S48)</f>
        <v/>
      </c>
      <c r="T137" s="50">
        <f>MAX(T23,T21*Seasonality!$C$43*T22)*(1-T75)*(1-T48)</f>
        <v/>
      </c>
      <c r="U137" s="50">
        <f>MAX(U23,U21*Seasonality!$C$43*U22)*(1-U75)*(1-U48)</f>
        <v/>
      </c>
      <c r="V137" s="50">
        <f>MAX(V23,V21*Seasonality!$C$43*V22)*(1-V75)*(1-V48)</f>
        <v/>
      </c>
      <c r="W137" s="50">
        <f>MAX(W23,W21*Seasonality!$C$43*W22)*(1-W75)*(1-W48)</f>
        <v/>
      </c>
      <c r="X137" s="50">
        <f>MAX(X23,X21*Seasonality!$C$43*X22)*(1-X75)*(1-X48)</f>
        <v/>
      </c>
      <c r="Y137" s="50">
        <f>MAX(Y23,Y21*Seasonality!$C$43*Y22)*(1-Y75)*(1-Y48)</f>
        <v/>
      </c>
      <c r="Z137" s="50">
        <f>MAX(Z23,Z21*Seasonality!$C$43*Z22)*(1-Z75)*(1-Z48)</f>
        <v/>
      </c>
      <c r="AA137" s="50">
        <f>MAX(AA23,AA21*Seasonality!$C$43*AA22)*(1-AA75)*(1-AA48)</f>
        <v/>
      </c>
      <c r="AB137" s="50">
        <f>MAX(AB23,AB21*Seasonality!$C$43*AB22)*(1-AB75)*(1-AB48)</f>
        <v/>
      </c>
      <c r="AC137" s="50">
        <f>MAX(AC23,AC21*Seasonality!$C$43*AC22)*(1-AC75)*(1-AC48)</f>
        <v/>
      </c>
      <c r="AD137" s="50">
        <f>MAX(AD23,AD21*Seasonality!$C$43*AD22)*(1-AD75)*(1-AD48)</f>
        <v/>
      </c>
      <c r="AE137" s="50">
        <f>MAX(AE23,AE21*Seasonality!$C$43*AE22)*(1-AE75)*(1-AE48)</f>
        <v/>
      </c>
      <c r="AF137" s="50">
        <f>MAX(AF23,AF21*Seasonality!$C$43*AF22)*(1-AF75)*(1-AF48)</f>
        <v/>
      </c>
      <c r="AG137" s="50">
        <f>MAX(AG23,AG21*Seasonality!$C$43*AG22)*(1-AG75)*(1-AG48)</f>
        <v/>
      </c>
      <c r="AH137" s="50">
        <f>MAX(AH23,AH21*Seasonality!$C$43*AH22)*(1-AH75)*(1-AH48)</f>
        <v/>
      </c>
      <c r="AI137" s="50">
        <f>MAX(AI23,AI21*Seasonality!$C$43*AI22)*(1-AI75)*(1-AI48)</f>
        <v/>
      </c>
      <c r="AJ137" s="50">
        <f>MAX(AJ23,AJ21*Seasonality!$C$43*AJ22)*(1-AJ75)*(1-AJ48)</f>
        <v/>
      </c>
      <c r="AK137" s="50">
        <f>MAX(AK23,AK21*Seasonality!$C$43*AK22)*(1-AK75)*(1-AK48)</f>
        <v/>
      </c>
      <c r="AL137" s="50">
        <f>MAX(AL23,AL21*Seasonality!$C$43*AL22)*(1-AL75)*(1-AL48)</f>
        <v/>
      </c>
      <c r="AM137" s="50">
        <f>MAX(AM23,AM21*Seasonality!$C$43*AM22)*(1-AM75)*(1-AM48)</f>
        <v/>
      </c>
      <c r="AN137" s="50">
        <f>MAX(AN23,AN21*Seasonality!$C$43*AN22)*(1-AN75)*(1-AN48)</f>
        <v/>
      </c>
      <c r="AO137" s="50">
        <f>MAX(AO23,AO21*Seasonality!$C$43*AO22)*(1-AO75)*(1-AO48)</f>
        <v/>
      </c>
      <c r="AP137" s="50">
        <f>MAX(AP23,AP21*Seasonality!$C$43*AP22)*(1-AP75)*(1-AP48)</f>
        <v/>
      </c>
      <c r="AQ137" s="50">
        <f>MAX(AQ23,AQ21*Seasonality!$C$43*AQ22)*(1-AQ75)*(1-AQ48)</f>
        <v/>
      </c>
      <c r="AR137" s="50">
        <f>MAX(AR23,AR21*Seasonality!$C$43*AR22)*(1-AR75)*(1-AR48)</f>
        <v/>
      </c>
      <c r="AS137" s="50">
        <f>MAX(AS23,AS21*Seasonality!$C$43*AS22)*(1-AS75)*(1-AS48)</f>
        <v/>
      </c>
      <c r="AT137" s="50">
        <f>MAX(AT23,AT21*Seasonality!$C$43*AT22)*(1-AT75)*(1-AT48)</f>
        <v/>
      </c>
      <c r="AU137" s="50">
        <f>MAX(AU23,AU21*Seasonality!$C$43*AU22)*(1-AU75)*(1-AU48)</f>
        <v/>
      </c>
      <c r="AV137" s="50">
        <f>MAX(AV23,AV21*Seasonality!$C$43*AV22)*(1-AV75)*(1-AV48)</f>
        <v/>
      </c>
      <c r="AW137" s="50">
        <f>MAX(AW23,AW21*Seasonality!$C$43*AW22)*(1-AW75)*(1-AW48)</f>
        <v/>
      </c>
      <c r="AX137" s="50">
        <f>MAX(AX23,AX21*Seasonality!$C$43*AX22)*(1-AX75)*(1-AX48)</f>
        <v/>
      </c>
      <c r="AY137" s="50">
        <f>MAX(AY23,AY21*Seasonality!$C$43*AY22)*(1-AY75)*(1-AY48)</f>
        <v/>
      </c>
      <c r="AZ137" s="50">
        <f>MAX(AZ23,AZ21*Seasonality!$C$43*AZ22)*(1-AZ75)*(1-AZ48)</f>
        <v/>
      </c>
      <c r="BA137" s="50">
        <f>MAX(BA23,BA21*Seasonality!$C$43*BA22)*(1-BA75)*(1-BA48)</f>
        <v/>
      </c>
      <c r="BB137" s="50">
        <f>MAX(BB23,BB21*Seasonality!$C$43*BB22)*(1-BB75)*(1-BB48)</f>
        <v/>
      </c>
      <c r="BC137" s="50">
        <f>MAX(BC23,BC21*Seasonality!$C$43*BC22)*(1-BC75)*(1-BC48)</f>
        <v/>
      </c>
      <c r="BD137" s="50">
        <f>MAX(BD23,BD21*Seasonality!$C$43*BD22)*(1-BD75)*(1-BD48)</f>
        <v/>
      </c>
      <c r="BE137" s="50">
        <f>MAX(BE23,BE21*Seasonality!$C$43*BE22)*(1-BE75)*(1-BE48)</f>
        <v/>
      </c>
    </row>
    <row r="138">
      <c r="B138" s="7" t="inlineStr">
        <is>
          <t>Revenue collected · month 8</t>
        </is>
      </c>
      <c r="C138" s="5" t="inlineStr">
        <is>
          <t>₹</t>
        </is>
      </c>
      <c r="D138" s="50">
        <f>MAX(D23,D21*Seasonality!$C$44*D22)*(1-D75)*(1-D48)</f>
        <v/>
      </c>
      <c r="E138" s="50">
        <f>MAX(E23,E21*Seasonality!$C$44*E22)*(1-E75)*(1-E48)</f>
        <v/>
      </c>
      <c r="F138" s="50">
        <f>MAX(F23,F21*Seasonality!$C$44*F22)*(1-F75)*(1-F48)</f>
        <v/>
      </c>
      <c r="G138" s="50">
        <f>MAX(G23,G21*Seasonality!$C$44*G22)*(1-G75)*(1-G48)</f>
        <v/>
      </c>
      <c r="H138" s="50">
        <f>MAX(H23,H21*Seasonality!$C$44*H22)*(1-H75)*(1-H48)</f>
        <v/>
      </c>
      <c r="I138" s="50">
        <f>MAX(I23,I21*Seasonality!$C$44*I22)*(1-I75)*(1-I48)</f>
        <v/>
      </c>
      <c r="J138" s="50">
        <f>MAX(J23,J21*Seasonality!$C$44*J22)*(1-J75)*(1-J48)</f>
        <v/>
      </c>
      <c r="K138" s="50">
        <f>MAX(K23,K21*Seasonality!$C$44*K22)*(1-K75)*(1-K48)</f>
        <v/>
      </c>
      <c r="L138" s="50">
        <f>MAX(L23,L21*Seasonality!$C$44*L22)*(1-L75)*(1-L48)</f>
        <v/>
      </c>
      <c r="M138" s="50">
        <f>MAX(M23,M21*Seasonality!$C$44*M22)*(1-M75)*(1-M48)</f>
        <v/>
      </c>
      <c r="N138" s="50">
        <f>MAX(N23,N21*Seasonality!$C$44*N22)*(1-N75)*(1-N48)</f>
        <v/>
      </c>
      <c r="O138" s="50">
        <f>MAX(O23,O21*Seasonality!$C$44*O22)*(1-O75)*(1-O48)</f>
        <v/>
      </c>
      <c r="P138" s="50">
        <f>MAX(P23,P21*Seasonality!$C$44*P22)*(1-P75)*(1-P48)</f>
        <v/>
      </c>
      <c r="Q138" s="50">
        <f>MAX(Q23,Q21*Seasonality!$C$44*Q22)*(1-Q75)*(1-Q48)</f>
        <v/>
      </c>
      <c r="R138" s="50">
        <f>MAX(R23,R21*Seasonality!$C$44*R22)*(1-R75)*(1-R48)</f>
        <v/>
      </c>
      <c r="S138" s="50">
        <f>MAX(S23,S21*Seasonality!$C$44*S22)*(1-S75)*(1-S48)</f>
        <v/>
      </c>
      <c r="T138" s="50">
        <f>MAX(T23,T21*Seasonality!$C$44*T22)*(1-T75)*(1-T48)</f>
        <v/>
      </c>
      <c r="U138" s="50">
        <f>MAX(U23,U21*Seasonality!$C$44*U22)*(1-U75)*(1-U48)</f>
        <v/>
      </c>
      <c r="V138" s="50">
        <f>MAX(V23,V21*Seasonality!$C$44*V22)*(1-V75)*(1-V48)</f>
        <v/>
      </c>
      <c r="W138" s="50">
        <f>MAX(W23,W21*Seasonality!$C$44*W22)*(1-W75)*(1-W48)</f>
        <v/>
      </c>
      <c r="X138" s="50">
        <f>MAX(X23,X21*Seasonality!$C$44*X22)*(1-X75)*(1-X48)</f>
        <v/>
      </c>
      <c r="Y138" s="50">
        <f>MAX(Y23,Y21*Seasonality!$C$44*Y22)*(1-Y75)*(1-Y48)</f>
        <v/>
      </c>
      <c r="Z138" s="50">
        <f>MAX(Z23,Z21*Seasonality!$C$44*Z22)*(1-Z75)*(1-Z48)</f>
        <v/>
      </c>
      <c r="AA138" s="50">
        <f>MAX(AA23,AA21*Seasonality!$C$44*AA22)*(1-AA75)*(1-AA48)</f>
        <v/>
      </c>
      <c r="AB138" s="50">
        <f>MAX(AB23,AB21*Seasonality!$C$44*AB22)*(1-AB75)*(1-AB48)</f>
        <v/>
      </c>
      <c r="AC138" s="50">
        <f>MAX(AC23,AC21*Seasonality!$C$44*AC22)*(1-AC75)*(1-AC48)</f>
        <v/>
      </c>
      <c r="AD138" s="50">
        <f>MAX(AD23,AD21*Seasonality!$C$44*AD22)*(1-AD75)*(1-AD48)</f>
        <v/>
      </c>
      <c r="AE138" s="50">
        <f>MAX(AE23,AE21*Seasonality!$C$44*AE22)*(1-AE75)*(1-AE48)</f>
        <v/>
      </c>
      <c r="AF138" s="50">
        <f>MAX(AF23,AF21*Seasonality!$C$44*AF22)*(1-AF75)*(1-AF48)</f>
        <v/>
      </c>
      <c r="AG138" s="50">
        <f>MAX(AG23,AG21*Seasonality!$C$44*AG22)*(1-AG75)*(1-AG48)</f>
        <v/>
      </c>
      <c r="AH138" s="50">
        <f>MAX(AH23,AH21*Seasonality!$C$44*AH22)*(1-AH75)*(1-AH48)</f>
        <v/>
      </c>
      <c r="AI138" s="50">
        <f>MAX(AI23,AI21*Seasonality!$C$44*AI22)*(1-AI75)*(1-AI48)</f>
        <v/>
      </c>
      <c r="AJ138" s="50">
        <f>MAX(AJ23,AJ21*Seasonality!$C$44*AJ22)*(1-AJ75)*(1-AJ48)</f>
        <v/>
      </c>
      <c r="AK138" s="50">
        <f>MAX(AK23,AK21*Seasonality!$C$44*AK22)*(1-AK75)*(1-AK48)</f>
        <v/>
      </c>
      <c r="AL138" s="50">
        <f>MAX(AL23,AL21*Seasonality!$C$44*AL22)*(1-AL75)*(1-AL48)</f>
        <v/>
      </c>
      <c r="AM138" s="50">
        <f>MAX(AM23,AM21*Seasonality!$C$44*AM22)*(1-AM75)*(1-AM48)</f>
        <v/>
      </c>
      <c r="AN138" s="50">
        <f>MAX(AN23,AN21*Seasonality!$C$44*AN22)*(1-AN75)*(1-AN48)</f>
        <v/>
      </c>
      <c r="AO138" s="50">
        <f>MAX(AO23,AO21*Seasonality!$C$44*AO22)*(1-AO75)*(1-AO48)</f>
        <v/>
      </c>
      <c r="AP138" s="50">
        <f>MAX(AP23,AP21*Seasonality!$C$44*AP22)*(1-AP75)*(1-AP48)</f>
        <v/>
      </c>
      <c r="AQ138" s="50">
        <f>MAX(AQ23,AQ21*Seasonality!$C$44*AQ22)*(1-AQ75)*(1-AQ48)</f>
        <v/>
      </c>
      <c r="AR138" s="50">
        <f>MAX(AR23,AR21*Seasonality!$C$44*AR22)*(1-AR75)*(1-AR48)</f>
        <v/>
      </c>
      <c r="AS138" s="50">
        <f>MAX(AS23,AS21*Seasonality!$C$44*AS22)*(1-AS75)*(1-AS48)</f>
        <v/>
      </c>
      <c r="AT138" s="50">
        <f>MAX(AT23,AT21*Seasonality!$C$44*AT22)*(1-AT75)*(1-AT48)</f>
        <v/>
      </c>
      <c r="AU138" s="50">
        <f>MAX(AU23,AU21*Seasonality!$C$44*AU22)*(1-AU75)*(1-AU48)</f>
        <v/>
      </c>
      <c r="AV138" s="50">
        <f>MAX(AV23,AV21*Seasonality!$C$44*AV22)*(1-AV75)*(1-AV48)</f>
        <v/>
      </c>
      <c r="AW138" s="50">
        <f>MAX(AW23,AW21*Seasonality!$C$44*AW22)*(1-AW75)*(1-AW48)</f>
        <v/>
      </c>
      <c r="AX138" s="50">
        <f>MAX(AX23,AX21*Seasonality!$C$44*AX22)*(1-AX75)*(1-AX48)</f>
        <v/>
      </c>
      <c r="AY138" s="50">
        <f>MAX(AY23,AY21*Seasonality!$C$44*AY22)*(1-AY75)*(1-AY48)</f>
        <v/>
      </c>
      <c r="AZ138" s="50">
        <f>MAX(AZ23,AZ21*Seasonality!$C$44*AZ22)*(1-AZ75)*(1-AZ48)</f>
        <v/>
      </c>
      <c r="BA138" s="50">
        <f>MAX(BA23,BA21*Seasonality!$C$44*BA22)*(1-BA75)*(1-BA48)</f>
        <v/>
      </c>
      <c r="BB138" s="50">
        <f>MAX(BB23,BB21*Seasonality!$C$44*BB22)*(1-BB75)*(1-BB48)</f>
        <v/>
      </c>
      <c r="BC138" s="50">
        <f>MAX(BC23,BC21*Seasonality!$C$44*BC22)*(1-BC75)*(1-BC48)</f>
        <v/>
      </c>
      <c r="BD138" s="50">
        <f>MAX(BD23,BD21*Seasonality!$C$44*BD22)*(1-BD75)*(1-BD48)</f>
        <v/>
      </c>
      <c r="BE138" s="50">
        <f>MAX(BE23,BE21*Seasonality!$C$44*BE22)*(1-BE75)*(1-BE48)</f>
        <v/>
      </c>
    </row>
    <row r="139">
      <c r="B139" s="7" t="inlineStr">
        <is>
          <t>Revenue collected · month 9</t>
        </is>
      </c>
      <c r="C139" s="5" t="inlineStr">
        <is>
          <t>₹</t>
        </is>
      </c>
      <c r="D139" s="50">
        <f>MAX(D23,D21*Seasonality!$C$45*D22)*(1-D75)*(1-D48)</f>
        <v/>
      </c>
      <c r="E139" s="50">
        <f>MAX(E23,E21*Seasonality!$C$45*E22)*(1-E75)*(1-E48)</f>
        <v/>
      </c>
      <c r="F139" s="50">
        <f>MAX(F23,F21*Seasonality!$C$45*F22)*(1-F75)*(1-F48)</f>
        <v/>
      </c>
      <c r="G139" s="50">
        <f>MAX(G23,G21*Seasonality!$C$45*G22)*(1-G75)*(1-G48)</f>
        <v/>
      </c>
      <c r="H139" s="50">
        <f>MAX(H23,H21*Seasonality!$C$45*H22)*(1-H75)*(1-H48)</f>
        <v/>
      </c>
      <c r="I139" s="50">
        <f>MAX(I23,I21*Seasonality!$C$45*I22)*(1-I75)*(1-I48)</f>
        <v/>
      </c>
      <c r="J139" s="50">
        <f>MAX(J23,J21*Seasonality!$C$45*J22)*(1-J75)*(1-J48)</f>
        <v/>
      </c>
      <c r="K139" s="50">
        <f>MAX(K23,K21*Seasonality!$C$45*K22)*(1-K75)*(1-K48)</f>
        <v/>
      </c>
      <c r="L139" s="50">
        <f>MAX(L23,L21*Seasonality!$C$45*L22)*(1-L75)*(1-L48)</f>
        <v/>
      </c>
      <c r="M139" s="50">
        <f>MAX(M23,M21*Seasonality!$C$45*M22)*(1-M75)*(1-M48)</f>
        <v/>
      </c>
      <c r="N139" s="50">
        <f>MAX(N23,N21*Seasonality!$C$45*N22)*(1-N75)*(1-N48)</f>
        <v/>
      </c>
      <c r="O139" s="50">
        <f>MAX(O23,O21*Seasonality!$C$45*O22)*(1-O75)*(1-O48)</f>
        <v/>
      </c>
      <c r="P139" s="50">
        <f>MAX(P23,P21*Seasonality!$C$45*P22)*(1-P75)*(1-P48)</f>
        <v/>
      </c>
      <c r="Q139" s="50">
        <f>MAX(Q23,Q21*Seasonality!$C$45*Q22)*(1-Q75)*(1-Q48)</f>
        <v/>
      </c>
      <c r="R139" s="50">
        <f>MAX(R23,R21*Seasonality!$C$45*R22)*(1-R75)*(1-R48)</f>
        <v/>
      </c>
      <c r="S139" s="50">
        <f>MAX(S23,S21*Seasonality!$C$45*S22)*(1-S75)*(1-S48)</f>
        <v/>
      </c>
      <c r="T139" s="50">
        <f>MAX(T23,T21*Seasonality!$C$45*T22)*(1-T75)*(1-T48)</f>
        <v/>
      </c>
      <c r="U139" s="50">
        <f>MAX(U23,U21*Seasonality!$C$45*U22)*(1-U75)*(1-U48)</f>
        <v/>
      </c>
      <c r="V139" s="50">
        <f>MAX(V23,V21*Seasonality!$C$45*V22)*(1-V75)*(1-V48)</f>
        <v/>
      </c>
      <c r="W139" s="50">
        <f>MAX(W23,W21*Seasonality!$C$45*W22)*(1-W75)*(1-W48)</f>
        <v/>
      </c>
      <c r="X139" s="50">
        <f>MAX(X23,X21*Seasonality!$C$45*X22)*(1-X75)*(1-X48)</f>
        <v/>
      </c>
      <c r="Y139" s="50">
        <f>MAX(Y23,Y21*Seasonality!$C$45*Y22)*(1-Y75)*(1-Y48)</f>
        <v/>
      </c>
      <c r="Z139" s="50">
        <f>MAX(Z23,Z21*Seasonality!$C$45*Z22)*(1-Z75)*(1-Z48)</f>
        <v/>
      </c>
      <c r="AA139" s="50">
        <f>MAX(AA23,AA21*Seasonality!$C$45*AA22)*(1-AA75)*(1-AA48)</f>
        <v/>
      </c>
      <c r="AB139" s="50">
        <f>MAX(AB23,AB21*Seasonality!$C$45*AB22)*(1-AB75)*(1-AB48)</f>
        <v/>
      </c>
      <c r="AC139" s="50">
        <f>MAX(AC23,AC21*Seasonality!$C$45*AC22)*(1-AC75)*(1-AC48)</f>
        <v/>
      </c>
      <c r="AD139" s="50">
        <f>MAX(AD23,AD21*Seasonality!$C$45*AD22)*(1-AD75)*(1-AD48)</f>
        <v/>
      </c>
      <c r="AE139" s="50">
        <f>MAX(AE23,AE21*Seasonality!$C$45*AE22)*(1-AE75)*(1-AE48)</f>
        <v/>
      </c>
      <c r="AF139" s="50">
        <f>MAX(AF23,AF21*Seasonality!$C$45*AF22)*(1-AF75)*(1-AF48)</f>
        <v/>
      </c>
      <c r="AG139" s="50">
        <f>MAX(AG23,AG21*Seasonality!$C$45*AG22)*(1-AG75)*(1-AG48)</f>
        <v/>
      </c>
      <c r="AH139" s="50">
        <f>MAX(AH23,AH21*Seasonality!$C$45*AH22)*(1-AH75)*(1-AH48)</f>
        <v/>
      </c>
      <c r="AI139" s="50">
        <f>MAX(AI23,AI21*Seasonality!$C$45*AI22)*(1-AI75)*(1-AI48)</f>
        <v/>
      </c>
      <c r="AJ139" s="50">
        <f>MAX(AJ23,AJ21*Seasonality!$C$45*AJ22)*(1-AJ75)*(1-AJ48)</f>
        <v/>
      </c>
      <c r="AK139" s="50">
        <f>MAX(AK23,AK21*Seasonality!$C$45*AK22)*(1-AK75)*(1-AK48)</f>
        <v/>
      </c>
      <c r="AL139" s="50">
        <f>MAX(AL23,AL21*Seasonality!$C$45*AL22)*(1-AL75)*(1-AL48)</f>
        <v/>
      </c>
      <c r="AM139" s="50">
        <f>MAX(AM23,AM21*Seasonality!$C$45*AM22)*(1-AM75)*(1-AM48)</f>
        <v/>
      </c>
      <c r="AN139" s="50">
        <f>MAX(AN23,AN21*Seasonality!$C$45*AN22)*(1-AN75)*(1-AN48)</f>
        <v/>
      </c>
      <c r="AO139" s="50">
        <f>MAX(AO23,AO21*Seasonality!$C$45*AO22)*(1-AO75)*(1-AO48)</f>
        <v/>
      </c>
      <c r="AP139" s="50">
        <f>MAX(AP23,AP21*Seasonality!$C$45*AP22)*(1-AP75)*(1-AP48)</f>
        <v/>
      </c>
      <c r="AQ139" s="50">
        <f>MAX(AQ23,AQ21*Seasonality!$C$45*AQ22)*(1-AQ75)*(1-AQ48)</f>
        <v/>
      </c>
      <c r="AR139" s="50">
        <f>MAX(AR23,AR21*Seasonality!$C$45*AR22)*(1-AR75)*(1-AR48)</f>
        <v/>
      </c>
      <c r="AS139" s="50">
        <f>MAX(AS23,AS21*Seasonality!$C$45*AS22)*(1-AS75)*(1-AS48)</f>
        <v/>
      </c>
      <c r="AT139" s="50">
        <f>MAX(AT23,AT21*Seasonality!$C$45*AT22)*(1-AT75)*(1-AT48)</f>
        <v/>
      </c>
      <c r="AU139" s="50">
        <f>MAX(AU23,AU21*Seasonality!$C$45*AU22)*(1-AU75)*(1-AU48)</f>
        <v/>
      </c>
      <c r="AV139" s="50">
        <f>MAX(AV23,AV21*Seasonality!$C$45*AV22)*(1-AV75)*(1-AV48)</f>
        <v/>
      </c>
      <c r="AW139" s="50">
        <f>MAX(AW23,AW21*Seasonality!$C$45*AW22)*(1-AW75)*(1-AW48)</f>
        <v/>
      </c>
      <c r="AX139" s="50">
        <f>MAX(AX23,AX21*Seasonality!$C$45*AX22)*(1-AX75)*(1-AX48)</f>
        <v/>
      </c>
      <c r="AY139" s="50">
        <f>MAX(AY23,AY21*Seasonality!$C$45*AY22)*(1-AY75)*(1-AY48)</f>
        <v/>
      </c>
      <c r="AZ139" s="50">
        <f>MAX(AZ23,AZ21*Seasonality!$C$45*AZ22)*(1-AZ75)*(1-AZ48)</f>
        <v/>
      </c>
      <c r="BA139" s="50">
        <f>MAX(BA23,BA21*Seasonality!$C$45*BA22)*(1-BA75)*(1-BA48)</f>
        <v/>
      </c>
      <c r="BB139" s="50">
        <f>MAX(BB23,BB21*Seasonality!$C$45*BB22)*(1-BB75)*(1-BB48)</f>
        <v/>
      </c>
      <c r="BC139" s="50">
        <f>MAX(BC23,BC21*Seasonality!$C$45*BC22)*(1-BC75)*(1-BC48)</f>
        <v/>
      </c>
      <c r="BD139" s="50">
        <f>MAX(BD23,BD21*Seasonality!$C$45*BD22)*(1-BD75)*(1-BD48)</f>
        <v/>
      </c>
      <c r="BE139" s="50">
        <f>MAX(BE23,BE21*Seasonality!$C$45*BE22)*(1-BE75)*(1-BE48)</f>
        <v/>
      </c>
    </row>
    <row r="140">
      <c r="B140" s="7" t="inlineStr">
        <is>
          <t>Revenue collected · month 10</t>
        </is>
      </c>
      <c r="C140" s="5" t="inlineStr">
        <is>
          <t>₹</t>
        </is>
      </c>
      <c r="D140" s="50">
        <f>MAX(D23,D21*Seasonality!$C$46*D22)*(1-D75)*(1-D48)</f>
        <v/>
      </c>
      <c r="E140" s="50">
        <f>MAX(E23,E21*Seasonality!$C$46*E22)*(1-E75)*(1-E48)</f>
        <v/>
      </c>
      <c r="F140" s="50">
        <f>MAX(F23,F21*Seasonality!$C$46*F22)*(1-F75)*(1-F48)</f>
        <v/>
      </c>
      <c r="G140" s="50">
        <f>MAX(G23,G21*Seasonality!$C$46*G22)*(1-G75)*(1-G48)</f>
        <v/>
      </c>
      <c r="H140" s="50">
        <f>MAX(H23,H21*Seasonality!$C$46*H22)*(1-H75)*(1-H48)</f>
        <v/>
      </c>
      <c r="I140" s="50">
        <f>MAX(I23,I21*Seasonality!$C$46*I22)*(1-I75)*(1-I48)</f>
        <v/>
      </c>
      <c r="J140" s="50">
        <f>MAX(J23,J21*Seasonality!$C$46*J22)*(1-J75)*(1-J48)</f>
        <v/>
      </c>
      <c r="K140" s="50">
        <f>MAX(K23,K21*Seasonality!$C$46*K22)*(1-K75)*(1-K48)</f>
        <v/>
      </c>
      <c r="L140" s="50">
        <f>MAX(L23,L21*Seasonality!$C$46*L22)*(1-L75)*(1-L48)</f>
        <v/>
      </c>
      <c r="M140" s="50">
        <f>MAX(M23,M21*Seasonality!$C$46*M22)*(1-M75)*(1-M48)</f>
        <v/>
      </c>
      <c r="N140" s="50">
        <f>MAX(N23,N21*Seasonality!$C$46*N22)*(1-N75)*(1-N48)</f>
        <v/>
      </c>
      <c r="O140" s="50">
        <f>MAX(O23,O21*Seasonality!$C$46*O22)*(1-O75)*(1-O48)</f>
        <v/>
      </c>
      <c r="P140" s="50">
        <f>MAX(P23,P21*Seasonality!$C$46*P22)*(1-P75)*(1-P48)</f>
        <v/>
      </c>
      <c r="Q140" s="50">
        <f>MAX(Q23,Q21*Seasonality!$C$46*Q22)*(1-Q75)*(1-Q48)</f>
        <v/>
      </c>
      <c r="R140" s="50">
        <f>MAX(R23,R21*Seasonality!$C$46*R22)*(1-R75)*(1-R48)</f>
        <v/>
      </c>
      <c r="S140" s="50">
        <f>MAX(S23,S21*Seasonality!$C$46*S22)*(1-S75)*(1-S48)</f>
        <v/>
      </c>
      <c r="T140" s="50">
        <f>MAX(T23,T21*Seasonality!$C$46*T22)*(1-T75)*(1-T48)</f>
        <v/>
      </c>
      <c r="U140" s="50">
        <f>MAX(U23,U21*Seasonality!$C$46*U22)*(1-U75)*(1-U48)</f>
        <v/>
      </c>
      <c r="V140" s="50">
        <f>MAX(V23,V21*Seasonality!$C$46*V22)*(1-V75)*(1-V48)</f>
        <v/>
      </c>
      <c r="W140" s="50">
        <f>MAX(W23,W21*Seasonality!$C$46*W22)*(1-W75)*(1-W48)</f>
        <v/>
      </c>
      <c r="X140" s="50">
        <f>MAX(X23,X21*Seasonality!$C$46*X22)*(1-X75)*(1-X48)</f>
        <v/>
      </c>
      <c r="Y140" s="50">
        <f>MAX(Y23,Y21*Seasonality!$C$46*Y22)*(1-Y75)*(1-Y48)</f>
        <v/>
      </c>
      <c r="Z140" s="50">
        <f>MAX(Z23,Z21*Seasonality!$C$46*Z22)*(1-Z75)*(1-Z48)</f>
        <v/>
      </c>
      <c r="AA140" s="50">
        <f>MAX(AA23,AA21*Seasonality!$C$46*AA22)*(1-AA75)*(1-AA48)</f>
        <v/>
      </c>
      <c r="AB140" s="50">
        <f>MAX(AB23,AB21*Seasonality!$C$46*AB22)*(1-AB75)*(1-AB48)</f>
        <v/>
      </c>
      <c r="AC140" s="50">
        <f>MAX(AC23,AC21*Seasonality!$C$46*AC22)*(1-AC75)*(1-AC48)</f>
        <v/>
      </c>
      <c r="AD140" s="50">
        <f>MAX(AD23,AD21*Seasonality!$C$46*AD22)*(1-AD75)*(1-AD48)</f>
        <v/>
      </c>
      <c r="AE140" s="50">
        <f>MAX(AE23,AE21*Seasonality!$C$46*AE22)*(1-AE75)*(1-AE48)</f>
        <v/>
      </c>
      <c r="AF140" s="50">
        <f>MAX(AF23,AF21*Seasonality!$C$46*AF22)*(1-AF75)*(1-AF48)</f>
        <v/>
      </c>
      <c r="AG140" s="50">
        <f>MAX(AG23,AG21*Seasonality!$C$46*AG22)*(1-AG75)*(1-AG48)</f>
        <v/>
      </c>
      <c r="AH140" s="50">
        <f>MAX(AH23,AH21*Seasonality!$C$46*AH22)*(1-AH75)*(1-AH48)</f>
        <v/>
      </c>
      <c r="AI140" s="50">
        <f>MAX(AI23,AI21*Seasonality!$C$46*AI22)*(1-AI75)*(1-AI48)</f>
        <v/>
      </c>
      <c r="AJ140" s="50">
        <f>MAX(AJ23,AJ21*Seasonality!$C$46*AJ22)*(1-AJ75)*(1-AJ48)</f>
        <v/>
      </c>
      <c r="AK140" s="50">
        <f>MAX(AK23,AK21*Seasonality!$C$46*AK22)*(1-AK75)*(1-AK48)</f>
        <v/>
      </c>
      <c r="AL140" s="50">
        <f>MAX(AL23,AL21*Seasonality!$C$46*AL22)*(1-AL75)*(1-AL48)</f>
        <v/>
      </c>
      <c r="AM140" s="50">
        <f>MAX(AM23,AM21*Seasonality!$C$46*AM22)*(1-AM75)*(1-AM48)</f>
        <v/>
      </c>
      <c r="AN140" s="50">
        <f>MAX(AN23,AN21*Seasonality!$C$46*AN22)*(1-AN75)*(1-AN48)</f>
        <v/>
      </c>
      <c r="AO140" s="50">
        <f>MAX(AO23,AO21*Seasonality!$C$46*AO22)*(1-AO75)*(1-AO48)</f>
        <v/>
      </c>
      <c r="AP140" s="50">
        <f>MAX(AP23,AP21*Seasonality!$C$46*AP22)*(1-AP75)*(1-AP48)</f>
        <v/>
      </c>
      <c r="AQ140" s="50">
        <f>MAX(AQ23,AQ21*Seasonality!$C$46*AQ22)*(1-AQ75)*(1-AQ48)</f>
        <v/>
      </c>
      <c r="AR140" s="50">
        <f>MAX(AR23,AR21*Seasonality!$C$46*AR22)*(1-AR75)*(1-AR48)</f>
        <v/>
      </c>
      <c r="AS140" s="50">
        <f>MAX(AS23,AS21*Seasonality!$C$46*AS22)*(1-AS75)*(1-AS48)</f>
        <v/>
      </c>
      <c r="AT140" s="50">
        <f>MAX(AT23,AT21*Seasonality!$C$46*AT22)*(1-AT75)*(1-AT48)</f>
        <v/>
      </c>
      <c r="AU140" s="50">
        <f>MAX(AU23,AU21*Seasonality!$C$46*AU22)*(1-AU75)*(1-AU48)</f>
        <v/>
      </c>
      <c r="AV140" s="50">
        <f>MAX(AV23,AV21*Seasonality!$C$46*AV22)*(1-AV75)*(1-AV48)</f>
        <v/>
      </c>
      <c r="AW140" s="50">
        <f>MAX(AW23,AW21*Seasonality!$C$46*AW22)*(1-AW75)*(1-AW48)</f>
        <v/>
      </c>
      <c r="AX140" s="50">
        <f>MAX(AX23,AX21*Seasonality!$C$46*AX22)*(1-AX75)*(1-AX48)</f>
        <v/>
      </c>
      <c r="AY140" s="50">
        <f>MAX(AY23,AY21*Seasonality!$C$46*AY22)*(1-AY75)*(1-AY48)</f>
        <v/>
      </c>
      <c r="AZ140" s="50">
        <f>MAX(AZ23,AZ21*Seasonality!$C$46*AZ22)*(1-AZ75)*(1-AZ48)</f>
        <v/>
      </c>
      <c r="BA140" s="50">
        <f>MAX(BA23,BA21*Seasonality!$C$46*BA22)*(1-BA75)*(1-BA48)</f>
        <v/>
      </c>
      <c r="BB140" s="50">
        <f>MAX(BB23,BB21*Seasonality!$C$46*BB22)*(1-BB75)*(1-BB48)</f>
        <v/>
      </c>
      <c r="BC140" s="50">
        <f>MAX(BC23,BC21*Seasonality!$C$46*BC22)*(1-BC75)*(1-BC48)</f>
        <v/>
      </c>
      <c r="BD140" s="50">
        <f>MAX(BD23,BD21*Seasonality!$C$46*BD22)*(1-BD75)*(1-BD48)</f>
        <v/>
      </c>
      <c r="BE140" s="50">
        <f>MAX(BE23,BE21*Seasonality!$C$46*BE22)*(1-BE75)*(1-BE48)</f>
        <v/>
      </c>
    </row>
    <row r="141">
      <c r="B141" s="7" t="inlineStr">
        <is>
          <t>Revenue collected · month 11</t>
        </is>
      </c>
      <c r="C141" s="5" t="inlineStr">
        <is>
          <t>₹</t>
        </is>
      </c>
      <c r="D141" s="50">
        <f>MAX(D23,D21*Seasonality!$C$47*D22)*(1-D75)*(1-D48)</f>
        <v/>
      </c>
      <c r="E141" s="50">
        <f>MAX(E23,E21*Seasonality!$C$47*E22)*(1-E75)*(1-E48)</f>
        <v/>
      </c>
      <c r="F141" s="50">
        <f>MAX(F23,F21*Seasonality!$C$47*F22)*(1-F75)*(1-F48)</f>
        <v/>
      </c>
      <c r="G141" s="50">
        <f>MAX(G23,G21*Seasonality!$C$47*G22)*(1-G75)*(1-G48)</f>
        <v/>
      </c>
      <c r="H141" s="50">
        <f>MAX(H23,H21*Seasonality!$C$47*H22)*(1-H75)*(1-H48)</f>
        <v/>
      </c>
      <c r="I141" s="50">
        <f>MAX(I23,I21*Seasonality!$C$47*I22)*(1-I75)*(1-I48)</f>
        <v/>
      </c>
      <c r="J141" s="50">
        <f>MAX(J23,J21*Seasonality!$C$47*J22)*(1-J75)*(1-J48)</f>
        <v/>
      </c>
      <c r="K141" s="50">
        <f>MAX(K23,K21*Seasonality!$C$47*K22)*(1-K75)*(1-K48)</f>
        <v/>
      </c>
      <c r="L141" s="50">
        <f>MAX(L23,L21*Seasonality!$C$47*L22)*(1-L75)*(1-L48)</f>
        <v/>
      </c>
      <c r="M141" s="50">
        <f>MAX(M23,M21*Seasonality!$C$47*M22)*(1-M75)*(1-M48)</f>
        <v/>
      </c>
      <c r="N141" s="50">
        <f>MAX(N23,N21*Seasonality!$C$47*N22)*(1-N75)*(1-N48)</f>
        <v/>
      </c>
      <c r="O141" s="50">
        <f>MAX(O23,O21*Seasonality!$C$47*O22)*(1-O75)*(1-O48)</f>
        <v/>
      </c>
      <c r="P141" s="50">
        <f>MAX(P23,P21*Seasonality!$C$47*P22)*(1-P75)*(1-P48)</f>
        <v/>
      </c>
      <c r="Q141" s="50">
        <f>MAX(Q23,Q21*Seasonality!$C$47*Q22)*(1-Q75)*(1-Q48)</f>
        <v/>
      </c>
      <c r="R141" s="50">
        <f>MAX(R23,R21*Seasonality!$C$47*R22)*(1-R75)*(1-R48)</f>
        <v/>
      </c>
      <c r="S141" s="50">
        <f>MAX(S23,S21*Seasonality!$C$47*S22)*(1-S75)*(1-S48)</f>
        <v/>
      </c>
      <c r="T141" s="50">
        <f>MAX(T23,T21*Seasonality!$C$47*T22)*(1-T75)*(1-T48)</f>
        <v/>
      </c>
      <c r="U141" s="50">
        <f>MAX(U23,U21*Seasonality!$C$47*U22)*(1-U75)*(1-U48)</f>
        <v/>
      </c>
      <c r="V141" s="50">
        <f>MAX(V23,V21*Seasonality!$C$47*V22)*(1-V75)*(1-V48)</f>
        <v/>
      </c>
      <c r="W141" s="50">
        <f>MAX(W23,W21*Seasonality!$C$47*W22)*(1-W75)*(1-W48)</f>
        <v/>
      </c>
      <c r="X141" s="50">
        <f>MAX(X23,X21*Seasonality!$C$47*X22)*(1-X75)*(1-X48)</f>
        <v/>
      </c>
      <c r="Y141" s="50">
        <f>MAX(Y23,Y21*Seasonality!$C$47*Y22)*(1-Y75)*(1-Y48)</f>
        <v/>
      </c>
      <c r="Z141" s="50">
        <f>MAX(Z23,Z21*Seasonality!$C$47*Z22)*(1-Z75)*(1-Z48)</f>
        <v/>
      </c>
      <c r="AA141" s="50">
        <f>MAX(AA23,AA21*Seasonality!$C$47*AA22)*(1-AA75)*(1-AA48)</f>
        <v/>
      </c>
      <c r="AB141" s="50">
        <f>MAX(AB23,AB21*Seasonality!$C$47*AB22)*(1-AB75)*(1-AB48)</f>
        <v/>
      </c>
      <c r="AC141" s="50">
        <f>MAX(AC23,AC21*Seasonality!$C$47*AC22)*(1-AC75)*(1-AC48)</f>
        <v/>
      </c>
      <c r="AD141" s="50">
        <f>MAX(AD23,AD21*Seasonality!$C$47*AD22)*(1-AD75)*(1-AD48)</f>
        <v/>
      </c>
      <c r="AE141" s="50">
        <f>MAX(AE23,AE21*Seasonality!$C$47*AE22)*(1-AE75)*(1-AE48)</f>
        <v/>
      </c>
      <c r="AF141" s="50">
        <f>MAX(AF23,AF21*Seasonality!$C$47*AF22)*(1-AF75)*(1-AF48)</f>
        <v/>
      </c>
      <c r="AG141" s="50">
        <f>MAX(AG23,AG21*Seasonality!$C$47*AG22)*(1-AG75)*(1-AG48)</f>
        <v/>
      </c>
      <c r="AH141" s="50">
        <f>MAX(AH23,AH21*Seasonality!$C$47*AH22)*(1-AH75)*(1-AH48)</f>
        <v/>
      </c>
      <c r="AI141" s="50">
        <f>MAX(AI23,AI21*Seasonality!$C$47*AI22)*(1-AI75)*(1-AI48)</f>
        <v/>
      </c>
      <c r="AJ141" s="50">
        <f>MAX(AJ23,AJ21*Seasonality!$C$47*AJ22)*(1-AJ75)*(1-AJ48)</f>
        <v/>
      </c>
      <c r="AK141" s="50">
        <f>MAX(AK23,AK21*Seasonality!$C$47*AK22)*(1-AK75)*(1-AK48)</f>
        <v/>
      </c>
      <c r="AL141" s="50">
        <f>MAX(AL23,AL21*Seasonality!$C$47*AL22)*(1-AL75)*(1-AL48)</f>
        <v/>
      </c>
      <c r="AM141" s="50">
        <f>MAX(AM23,AM21*Seasonality!$C$47*AM22)*(1-AM75)*(1-AM48)</f>
        <v/>
      </c>
      <c r="AN141" s="50">
        <f>MAX(AN23,AN21*Seasonality!$C$47*AN22)*(1-AN75)*(1-AN48)</f>
        <v/>
      </c>
      <c r="AO141" s="50">
        <f>MAX(AO23,AO21*Seasonality!$C$47*AO22)*(1-AO75)*(1-AO48)</f>
        <v/>
      </c>
      <c r="AP141" s="50">
        <f>MAX(AP23,AP21*Seasonality!$C$47*AP22)*(1-AP75)*(1-AP48)</f>
        <v/>
      </c>
      <c r="AQ141" s="50">
        <f>MAX(AQ23,AQ21*Seasonality!$C$47*AQ22)*(1-AQ75)*(1-AQ48)</f>
        <v/>
      </c>
      <c r="AR141" s="50">
        <f>MAX(AR23,AR21*Seasonality!$C$47*AR22)*(1-AR75)*(1-AR48)</f>
        <v/>
      </c>
      <c r="AS141" s="50">
        <f>MAX(AS23,AS21*Seasonality!$C$47*AS22)*(1-AS75)*(1-AS48)</f>
        <v/>
      </c>
      <c r="AT141" s="50">
        <f>MAX(AT23,AT21*Seasonality!$C$47*AT22)*(1-AT75)*(1-AT48)</f>
        <v/>
      </c>
      <c r="AU141" s="50">
        <f>MAX(AU23,AU21*Seasonality!$C$47*AU22)*(1-AU75)*(1-AU48)</f>
        <v/>
      </c>
      <c r="AV141" s="50">
        <f>MAX(AV23,AV21*Seasonality!$C$47*AV22)*(1-AV75)*(1-AV48)</f>
        <v/>
      </c>
      <c r="AW141" s="50">
        <f>MAX(AW23,AW21*Seasonality!$C$47*AW22)*(1-AW75)*(1-AW48)</f>
        <v/>
      </c>
      <c r="AX141" s="50">
        <f>MAX(AX23,AX21*Seasonality!$C$47*AX22)*(1-AX75)*(1-AX48)</f>
        <v/>
      </c>
      <c r="AY141" s="50">
        <f>MAX(AY23,AY21*Seasonality!$C$47*AY22)*(1-AY75)*(1-AY48)</f>
        <v/>
      </c>
      <c r="AZ141" s="50">
        <f>MAX(AZ23,AZ21*Seasonality!$C$47*AZ22)*(1-AZ75)*(1-AZ48)</f>
        <v/>
      </c>
      <c r="BA141" s="50">
        <f>MAX(BA23,BA21*Seasonality!$C$47*BA22)*(1-BA75)*(1-BA48)</f>
        <v/>
      </c>
      <c r="BB141" s="50">
        <f>MAX(BB23,BB21*Seasonality!$C$47*BB22)*(1-BB75)*(1-BB48)</f>
        <v/>
      </c>
      <c r="BC141" s="50">
        <f>MAX(BC23,BC21*Seasonality!$C$47*BC22)*(1-BC75)*(1-BC48)</f>
        <v/>
      </c>
      <c r="BD141" s="50">
        <f>MAX(BD23,BD21*Seasonality!$C$47*BD22)*(1-BD75)*(1-BD48)</f>
        <v/>
      </c>
      <c r="BE141" s="50">
        <f>MAX(BE23,BE21*Seasonality!$C$47*BE22)*(1-BE75)*(1-BE48)</f>
        <v/>
      </c>
    </row>
    <row r="142">
      <c r="B142" s="7" t="inlineStr">
        <is>
          <t>Revenue collected · month 12</t>
        </is>
      </c>
      <c r="C142" s="5" t="inlineStr">
        <is>
          <t>₹</t>
        </is>
      </c>
      <c r="D142" s="50">
        <f>MAX(D23,D21*Seasonality!$C$48*D22)*(1-D75)*(1-D48)</f>
        <v/>
      </c>
      <c r="E142" s="50">
        <f>MAX(E23,E21*Seasonality!$C$48*E22)*(1-E75)*(1-E48)</f>
        <v/>
      </c>
      <c r="F142" s="50">
        <f>MAX(F23,F21*Seasonality!$C$48*F22)*(1-F75)*(1-F48)</f>
        <v/>
      </c>
      <c r="G142" s="50">
        <f>MAX(G23,G21*Seasonality!$C$48*G22)*(1-G75)*(1-G48)</f>
        <v/>
      </c>
      <c r="H142" s="50">
        <f>MAX(H23,H21*Seasonality!$C$48*H22)*(1-H75)*(1-H48)</f>
        <v/>
      </c>
      <c r="I142" s="50">
        <f>MAX(I23,I21*Seasonality!$C$48*I22)*(1-I75)*(1-I48)</f>
        <v/>
      </c>
      <c r="J142" s="50">
        <f>MAX(J23,J21*Seasonality!$C$48*J22)*(1-J75)*(1-J48)</f>
        <v/>
      </c>
      <c r="K142" s="50">
        <f>MAX(K23,K21*Seasonality!$C$48*K22)*(1-K75)*(1-K48)</f>
        <v/>
      </c>
      <c r="L142" s="50">
        <f>MAX(L23,L21*Seasonality!$C$48*L22)*(1-L75)*(1-L48)</f>
        <v/>
      </c>
      <c r="M142" s="50">
        <f>MAX(M23,M21*Seasonality!$C$48*M22)*(1-M75)*(1-M48)</f>
        <v/>
      </c>
      <c r="N142" s="50">
        <f>MAX(N23,N21*Seasonality!$C$48*N22)*(1-N75)*(1-N48)</f>
        <v/>
      </c>
      <c r="O142" s="50">
        <f>MAX(O23,O21*Seasonality!$C$48*O22)*(1-O75)*(1-O48)</f>
        <v/>
      </c>
      <c r="P142" s="50">
        <f>MAX(P23,P21*Seasonality!$C$48*P22)*(1-P75)*(1-P48)</f>
        <v/>
      </c>
      <c r="Q142" s="50">
        <f>MAX(Q23,Q21*Seasonality!$C$48*Q22)*(1-Q75)*(1-Q48)</f>
        <v/>
      </c>
      <c r="R142" s="50">
        <f>MAX(R23,R21*Seasonality!$C$48*R22)*(1-R75)*(1-R48)</f>
        <v/>
      </c>
      <c r="S142" s="50">
        <f>MAX(S23,S21*Seasonality!$C$48*S22)*(1-S75)*(1-S48)</f>
        <v/>
      </c>
      <c r="T142" s="50">
        <f>MAX(T23,T21*Seasonality!$C$48*T22)*(1-T75)*(1-T48)</f>
        <v/>
      </c>
      <c r="U142" s="50">
        <f>MAX(U23,U21*Seasonality!$C$48*U22)*(1-U75)*(1-U48)</f>
        <v/>
      </c>
      <c r="V142" s="50">
        <f>MAX(V23,V21*Seasonality!$C$48*V22)*(1-V75)*(1-V48)</f>
        <v/>
      </c>
      <c r="W142" s="50">
        <f>MAX(W23,W21*Seasonality!$C$48*W22)*(1-W75)*(1-W48)</f>
        <v/>
      </c>
      <c r="X142" s="50">
        <f>MAX(X23,X21*Seasonality!$C$48*X22)*(1-X75)*(1-X48)</f>
        <v/>
      </c>
      <c r="Y142" s="50">
        <f>MAX(Y23,Y21*Seasonality!$C$48*Y22)*(1-Y75)*(1-Y48)</f>
        <v/>
      </c>
      <c r="Z142" s="50">
        <f>MAX(Z23,Z21*Seasonality!$C$48*Z22)*(1-Z75)*(1-Z48)</f>
        <v/>
      </c>
      <c r="AA142" s="50">
        <f>MAX(AA23,AA21*Seasonality!$C$48*AA22)*(1-AA75)*(1-AA48)</f>
        <v/>
      </c>
      <c r="AB142" s="50">
        <f>MAX(AB23,AB21*Seasonality!$C$48*AB22)*(1-AB75)*(1-AB48)</f>
        <v/>
      </c>
      <c r="AC142" s="50">
        <f>MAX(AC23,AC21*Seasonality!$C$48*AC22)*(1-AC75)*(1-AC48)</f>
        <v/>
      </c>
      <c r="AD142" s="50">
        <f>MAX(AD23,AD21*Seasonality!$C$48*AD22)*(1-AD75)*(1-AD48)</f>
        <v/>
      </c>
      <c r="AE142" s="50">
        <f>MAX(AE23,AE21*Seasonality!$C$48*AE22)*(1-AE75)*(1-AE48)</f>
        <v/>
      </c>
      <c r="AF142" s="50">
        <f>MAX(AF23,AF21*Seasonality!$C$48*AF22)*(1-AF75)*(1-AF48)</f>
        <v/>
      </c>
      <c r="AG142" s="50">
        <f>MAX(AG23,AG21*Seasonality!$C$48*AG22)*(1-AG75)*(1-AG48)</f>
        <v/>
      </c>
      <c r="AH142" s="50">
        <f>MAX(AH23,AH21*Seasonality!$C$48*AH22)*(1-AH75)*(1-AH48)</f>
        <v/>
      </c>
      <c r="AI142" s="50">
        <f>MAX(AI23,AI21*Seasonality!$C$48*AI22)*(1-AI75)*(1-AI48)</f>
        <v/>
      </c>
      <c r="AJ142" s="50">
        <f>MAX(AJ23,AJ21*Seasonality!$C$48*AJ22)*(1-AJ75)*(1-AJ48)</f>
        <v/>
      </c>
      <c r="AK142" s="50">
        <f>MAX(AK23,AK21*Seasonality!$C$48*AK22)*(1-AK75)*(1-AK48)</f>
        <v/>
      </c>
      <c r="AL142" s="50">
        <f>MAX(AL23,AL21*Seasonality!$C$48*AL22)*(1-AL75)*(1-AL48)</f>
        <v/>
      </c>
      <c r="AM142" s="50">
        <f>MAX(AM23,AM21*Seasonality!$C$48*AM22)*(1-AM75)*(1-AM48)</f>
        <v/>
      </c>
      <c r="AN142" s="50">
        <f>MAX(AN23,AN21*Seasonality!$C$48*AN22)*(1-AN75)*(1-AN48)</f>
        <v/>
      </c>
      <c r="AO142" s="50">
        <f>MAX(AO23,AO21*Seasonality!$C$48*AO22)*(1-AO75)*(1-AO48)</f>
        <v/>
      </c>
      <c r="AP142" s="50">
        <f>MAX(AP23,AP21*Seasonality!$C$48*AP22)*(1-AP75)*(1-AP48)</f>
        <v/>
      </c>
      <c r="AQ142" s="50">
        <f>MAX(AQ23,AQ21*Seasonality!$C$48*AQ22)*(1-AQ75)*(1-AQ48)</f>
        <v/>
      </c>
      <c r="AR142" s="50">
        <f>MAX(AR23,AR21*Seasonality!$C$48*AR22)*(1-AR75)*(1-AR48)</f>
        <v/>
      </c>
      <c r="AS142" s="50">
        <f>MAX(AS23,AS21*Seasonality!$C$48*AS22)*(1-AS75)*(1-AS48)</f>
        <v/>
      </c>
      <c r="AT142" s="50">
        <f>MAX(AT23,AT21*Seasonality!$C$48*AT22)*(1-AT75)*(1-AT48)</f>
        <v/>
      </c>
      <c r="AU142" s="50">
        <f>MAX(AU23,AU21*Seasonality!$C$48*AU22)*(1-AU75)*(1-AU48)</f>
        <v/>
      </c>
      <c r="AV142" s="50">
        <f>MAX(AV23,AV21*Seasonality!$C$48*AV22)*(1-AV75)*(1-AV48)</f>
        <v/>
      </c>
      <c r="AW142" s="50">
        <f>MAX(AW23,AW21*Seasonality!$C$48*AW22)*(1-AW75)*(1-AW48)</f>
        <v/>
      </c>
      <c r="AX142" s="50">
        <f>MAX(AX23,AX21*Seasonality!$C$48*AX22)*(1-AX75)*(1-AX48)</f>
        <v/>
      </c>
      <c r="AY142" s="50">
        <f>MAX(AY23,AY21*Seasonality!$C$48*AY22)*(1-AY75)*(1-AY48)</f>
        <v/>
      </c>
      <c r="AZ142" s="50">
        <f>MAX(AZ23,AZ21*Seasonality!$C$48*AZ22)*(1-AZ75)*(1-AZ48)</f>
        <v/>
      </c>
      <c r="BA142" s="50">
        <f>MAX(BA23,BA21*Seasonality!$C$48*BA22)*(1-BA75)*(1-BA48)</f>
        <v/>
      </c>
      <c r="BB142" s="50">
        <f>MAX(BB23,BB21*Seasonality!$C$48*BB22)*(1-BB75)*(1-BB48)</f>
        <v/>
      </c>
      <c r="BC142" s="50">
        <f>MAX(BC23,BC21*Seasonality!$C$48*BC22)*(1-BC75)*(1-BC48)</f>
        <v/>
      </c>
      <c r="BD142" s="50">
        <f>MAX(BD23,BD21*Seasonality!$C$48*BD22)*(1-BD75)*(1-BD48)</f>
        <v/>
      </c>
      <c r="BE142" s="50">
        <f>MAX(BE23,BE21*Seasonality!$C$48*BE22)*(1-BE75)*(1-BE48)</f>
        <v/>
      </c>
    </row>
    <row r="143">
      <c r="B143" s="7" t="inlineStr">
        <is>
          <t>Revenue collected · month 13</t>
        </is>
      </c>
      <c r="C143" s="5" t="inlineStr">
        <is>
          <t>₹</t>
        </is>
      </c>
      <c r="D143" s="50">
        <f>MAX(D23,D21*Seasonality!$C$49*D22)*(1-D75)*(1-D48)</f>
        <v/>
      </c>
      <c r="E143" s="50">
        <f>MAX(E23,E21*Seasonality!$C$49*E22)*(1-E75)*(1-E48)</f>
        <v/>
      </c>
      <c r="F143" s="50">
        <f>MAX(F23,F21*Seasonality!$C$49*F22)*(1-F75)*(1-F48)</f>
        <v/>
      </c>
      <c r="G143" s="50">
        <f>MAX(G23,G21*Seasonality!$C$49*G22)*(1-G75)*(1-G48)</f>
        <v/>
      </c>
      <c r="H143" s="50">
        <f>MAX(H23,H21*Seasonality!$C$49*H22)*(1-H75)*(1-H48)</f>
        <v/>
      </c>
      <c r="I143" s="50">
        <f>MAX(I23,I21*Seasonality!$C$49*I22)*(1-I75)*(1-I48)</f>
        <v/>
      </c>
      <c r="J143" s="50">
        <f>MAX(J23,J21*Seasonality!$C$49*J22)*(1-J75)*(1-J48)</f>
        <v/>
      </c>
      <c r="K143" s="50">
        <f>MAX(K23,K21*Seasonality!$C$49*K22)*(1-K75)*(1-K48)</f>
        <v/>
      </c>
      <c r="L143" s="50">
        <f>MAX(L23,L21*Seasonality!$C$49*L22)*(1-L75)*(1-L48)</f>
        <v/>
      </c>
      <c r="M143" s="50">
        <f>MAX(M23,M21*Seasonality!$C$49*M22)*(1-M75)*(1-M48)</f>
        <v/>
      </c>
      <c r="N143" s="50">
        <f>MAX(N23,N21*Seasonality!$C$49*N22)*(1-N75)*(1-N48)</f>
        <v/>
      </c>
      <c r="O143" s="50">
        <f>MAX(O23,O21*Seasonality!$C$49*O22)*(1-O75)*(1-O48)</f>
        <v/>
      </c>
      <c r="P143" s="50">
        <f>MAX(P23,P21*Seasonality!$C$49*P22)*(1-P75)*(1-P48)</f>
        <v/>
      </c>
      <c r="Q143" s="50">
        <f>MAX(Q23,Q21*Seasonality!$C$49*Q22)*(1-Q75)*(1-Q48)</f>
        <v/>
      </c>
      <c r="R143" s="50">
        <f>MAX(R23,R21*Seasonality!$C$49*R22)*(1-R75)*(1-R48)</f>
        <v/>
      </c>
      <c r="S143" s="50">
        <f>MAX(S23,S21*Seasonality!$C$49*S22)*(1-S75)*(1-S48)</f>
        <v/>
      </c>
      <c r="T143" s="50">
        <f>MAX(T23,T21*Seasonality!$C$49*T22)*(1-T75)*(1-T48)</f>
        <v/>
      </c>
      <c r="U143" s="50">
        <f>MAX(U23,U21*Seasonality!$C$49*U22)*(1-U75)*(1-U48)</f>
        <v/>
      </c>
      <c r="V143" s="50">
        <f>MAX(V23,V21*Seasonality!$C$49*V22)*(1-V75)*(1-V48)</f>
        <v/>
      </c>
      <c r="W143" s="50">
        <f>MAX(W23,W21*Seasonality!$C$49*W22)*(1-W75)*(1-W48)</f>
        <v/>
      </c>
      <c r="X143" s="50">
        <f>MAX(X23,X21*Seasonality!$C$49*X22)*(1-X75)*(1-X48)</f>
        <v/>
      </c>
      <c r="Y143" s="50">
        <f>MAX(Y23,Y21*Seasonality!$C$49*Y22)*(1-Y75)*(1-Y48)</f>
        <v/>
      </c>
      <c r="Z143" s="50">
        <f>MAX(Z23,Z21*Seasonality!$C$49*Z22)*(1-Z75)*(1-Z48)</f>
        <v/>
      </c>
      <c r="AA143" s="50">
        <f>MAX(AA23,AA21*Seasonality!$C$49*AA22)*(1-AA75)*(1-AA48)</f>
        <v/>
      </c>
      <c r="AB143" s="50">
        <f>MAX(AB23,AB21*Seasonality!$C$49*AB22)*(1-AB75)*(1-AB48)</f>
        <v/>
      </c>
      <c r="AC143" s="50">
        <f>MAX(AC23,AC21*Seasonality!$C$49*AC22)*(1-AC75)*(1-AC48)</f>
        <v/>
      </c>
      <c r="AD143" s="50">
        <f>MAX(AD23,AD21*Seasonality!$C$49*AD22)*(1-AD75)*(1-AD48)</f>
        <v/>
      </c>
      <c r="AE143" s="50">
        <f>MAX(AE23,AE21*Seasonality!$C$49*AE22)*(1-AE75)*(1-AE48)</f>
        <v/>
      </c>
      <c r="AF143" s="50">
        <f>MAX(AF23,AF21*Seasonality!$C$49*AF22)*(1-AF75)*(1-AF48)</f>
        <v/>
      </c>
      <c r="AG143" s="50">
        <f>MAX(AG23,AG21*Seasonality!$C$49*AG22)*(1-AG75)*(1-AG48)</f>
        <v/>
      </c>
      <c r="AH143" s="50">
        <f>MAX(AH23,AH21*Seasonality!$C$49*AH22)*(1-AH75)*(1-AH48)</f>
        <v/>
      </c>
      <c r="AI143" s="50">
        <f>MAX(AI23,AI21*Seasonality!$C$49*AI22)*(1-AI75)*(1-AI48)</f>
        <v/>
      </c>
      <c r="AJ143" s="50">
        <f>MAX(AJ23,AJ21*Seasonality!$C$49*AJ22)*(1-AJ75)*(1-AJ48)</f>
        <v/>
      </c>
      <c r="AK143" s="50">
        <f>MAX(AK23,AK21*Seasonality!$C$49*AK22)*(1-AK75)*(1-AK48)</f>
        <v/>
      </c>
      <c r="AL143" s="50">
        <f>MAX(AL23,AL21*Seasonality!$C$49*AL22)*(1-AL75)*(1-AL48)</f>
        <v/>
      </c>
      <c r="AM143" s="50">
        <f>MAX(AM23,AM21*Seasonality!$C$49*AM22)*(1-AM75)*(1-AM48)</f>
        <v/>
      </c>
      <c r="AN143" s="50">
        <f>MAX(AN23,AN21*Seasonality!$C$49*AN22)*(1-AN75)*(1-AN48)</f>
        <v/>
      </c>
      <c r="AO143" s="50">
        <f>MAX(AO23,AO21*Seasonality!$C$49*AO22)*(1-AO75)*(1-AO48)</f>
        <v/>
      </c>
      <c r="AP143" s="50">
        <f>MAX(AP23,AP21*Seasonality!$C$49*AP22)*(1-AP75)*(1-AP48)</f>
        <v/>
      </c>
      <c r="AQ143" s="50">
        <f>MAX(AQ23,AQ21*Seasonality!$C$49*AQ22)*(1-AQ75)*(1-AQ48)</f>
        <v/>
      </c>
      <c r="AR143" s="50">
        <f>MAX(AR23,AR21*Seasonality!$C$49*AR22)*(1-AR75)*(1-AR48)</f>
        <v/>
      </c>
      <c r="AS143" s="50">
        <f>MAX(AS23,AS21*Seasonality!$C$49*AS22)*(1-AS75)*(1-AS48)</f>
        <v/>
      </c>
      <c r="AT143" s="50">
        <f>MAX(AT23,AT21*Seasonality!$C$49*AT22)*(1-AT75)*(1-AT48)</f>
        <v/>
      </c>
      <c r="AU143" s="50">
        <f>MAX(AU23,AU21*Seasonality!$C$49*AU22)*(1-AU75)*(1-AU48)</f>
        <v/>
      </c>
      <c r="AV143" s="50">
        <f>MAX(AV23,AV21*Seasonality!$C$49*AV22)*(1-AV75)*(1-AV48)</f>
        <v/>
      </c>
      <c r="AW143" s="50">
        <f>MAX(AW23,AW21*Seasonality!$C$49*AW22)*(1-AW75)*(1-AW48)</f>
        <v/>
      </c>
      <c r="AX143" s="50">
        <f>MAX(AX23,AX21*Seasonality!$C$49*AX22)*(1-AX75)*(1-AX48)</f>
        <v/>
      </c>
      <c r="AY143" s="50">
        <f>MAX(AY23,AY21*Seasonality!$C$49*AY22)*(1-AY75)*(1-AY48)</f>
        <v/>
      </c>
      <c r="AZ143" s="50">
        <f>MAX(AZ23,AZ21*Seasonality!$C$49*AZ22)*(1-AZ75)*(1-AZ48)</f>
        <v/>
      </c>
      <c r="BA143" s="50">
        <f>MAX(BA23,BA21*Seasonality!$C$49*BA22)*(1-BA75)*(1-BA48)</f>
        <v/>
      </c>
      <c r="BB143" s="50">
        <f>MAX(BB23,BB21*Seasonality!$C$49*BB22)*(1-BB75)*(1-BB48)</f>
        <v/>
      </c>
      <c r="BC143" s="50">
        <f>MAX(BC23,BC21*Seasonality!$C$49*BC22)*(1-BC75)*(1-BC48)</f>
        <v/>
      </c>
      <c r="BD143" s="50">
        <f>MAX(BD23,BD21*Seasonality!$C$49*BD22)*(1-BD75)*(1-BD48)</f>
        <v/>
      </c>
      <c r="BE143" s="50">
        <f>MAX(BE23,BE21*Seasonality!$C$49*BE22)*(1-BE75)*(1-BE48)</f>
        <v/>
      </c>
    </row>
    <row r="144">
      <c r="B144" s="7" t="inlineStr">
        <is>
          <t>Revenue collected · month 14</t>
        </is>
      </c>
      <c r="C144" s="5" t="inlineStr">
        <is>
          <t>₹</t>
        </is>
      </c>
      <c r="D144" s="50">
        <f>MAX(D23,D21*Seasonality!$C$50*D22)*(1-D75)*(1-D48)</f>
        <v/>
      </c>
      <c r="E144" s="50">
        <f>MAX(E23,E21*Seasonality!$C$50*E22)*(1-E75)*(1-E48)</f>
        <v/>
      </c>
      <c r="F144" s="50">
        <f>MAX(F23,F21*Seasonality!$C$50*F22)*(1-F75)*(1-F48)</f>
        <v/>
      </c>
      <c r="G144" s="50">
        <f>MAX(G23,G21*Seasonality!$C$50*G22)*(1-G75)*(1-G48)</f>
        <v/>
      </c>
      <c r="H144" s="50">
        <f>MAX(H23,H21*Seasonality!$C$50*H22)*(1-H75)*(1-H48)</f>
        <v/>
      </c>
      <c r="I144" s="50">
        <f>MAX(I23,I21*Seasonality!$C$50*I22)*(1-I75)*(1-I48)</f>
        <v/>
      </c>
      <c r="J144" s="50">
        <f>MAX(J23,J21*Seasonality!$C$50*J22)*(1-J75)*(1-J48)</f>
        <v/>
      </c>
      <c r="K144" s="50">
        <f>MAX(K23,K21*Seasonality!$C$50*K22)*(1-K75)*(1-K48)</f>
        <v/>
      </c>
      <c r="L144" s="50">
        <f>MAX(L23,L21*Seasonality!$C$50*L22)*(1-L75)*(1-L48)</f>
        <v/>
      </c>
      <c r="M144" s="50">
        <f>MAX(M23,M21*Seasonality!$C$50*M22)*(1-M75)*(1-M48)</f>
        <v/>
      </c>
      <c r="N144" s="50">
        <f>MAX(N23,N21*Seasonality!$C$50*N22)*(1-N75)*(1-N48)</f>
        <v/>
      </c>
      <c r="O144" s="50">
        <f>MAX(O23,O21*Seasonality!$C$50*O22)*(1-O75)*(1-O48)</f>
        <v/>
      </c>
      <c r="P144" s="50">
        <f>MAX(P23,P21*Seasonality!$C$50*P22)*(1-P75)*(1-P48)</f>
        <v/>
      </c>
      <c r="Q144" s="50">
        <f>MAX(Q23,Q21*Seasonality!$C$50*Q22)*(1-Q75)*(1-Q48)</f>
        <v/>
      </c>
      <c r="R144" s="50">
        <f>MAX(R23,R21*Seasonality!$C$50*R22)*(1-R75)*(1-R48)</f>
        <v/>
      </c>
      <c r="S144" s="50">
        <f>MAX(S23,S21*Seasonality!$C$50*S22)*(1-S75)*(1-S48)</f>
        <v/>
      </c>
      <c r="T144" s="50">
        <f>MAX(T23,T21*Seasonality!$C$50*T22)*(1-T75)*(1-T48)</f>
        <v/>
      </c>
      <c r="U144" s="50">
        <f>MAX(U23,U21*Seasonality!$C$50*U22)*(1-U75)*(1-U48)</f>
        <v/>
      </c>
      <c r="V144" s="50">
        <f>MAX(V23,V21*Seasonality!$C$50*V22)*(1-V75)*(1-V48)</f>
        <v/>
      </c>
      <c r="W144" s="50">
        <f>MAX(W23,W21*Seasonality!$C$50*W22)*(1-W75)*(1-W48)</f>
        <v/>
      </c>
      <c r="X144" s="50">
        <f>MAX(X23,X21*Seasonality!$C$50*X22)*(1-X75)*(1-X48)</f>
        <v/>
      </c>
      <c r="Y144" s="50">
        <f>MAX(Y23,Y21*Seasonality!$C$50*Y22)*(1-Y75)*(1-Y48)</f>
        <v/>
      </c>
      <c r="Z144" s="50">
        <f>MAX(Z23,Z21*Seasonality!$C$50*Z22)*(1-Z75)*(1-Z48)</f>
        <v/>
      </c>
      <c r="AA144" s="50">
        <f>MAX(AA23,AA21*Seasonality!$C$50*AA22)*(1-AA75)*(1-AA48)</f>
        <v/>
      </c>
      <c r="AB144" s="50">
        <f>MAX(AB23,AB21*Seasonality!$C$50*AB22)*(1-AB75)*(1-AB48)</f>
        <v/>
      </c>
      <c r="AC144" s="50">
        <f>MAX(AC23,AC21*Seasonality!$C$50*AC22)*(1-AC75)*(1-AC48)</f>
        <v/>
      </c>
      <c r="AD144" s="50">
        <f>MAX(AD23,AD21*Seasonality!$C$50*AD22)*(1-AD75)*(1-AD48)</f>
        <v/>
      </c>
      <c r="AE144" s="50">
        <f>MAX(AE23,AE21*Seasonality!$C$50*AE22)*(1-AE75)*(1-AE48)</f>
        <v/>
      </c>
      <c r="AF144" s="50">
        <f>MAX(AF23,AF21*Seasonality!$C$50*AF22)*(1-AF75)*(1-AF48)</f>
        <v/>
      </c>
      <c r="AG144" s="50">
        <f>MAX(AG23,AG21*Seasonality!$C$50*AG22)*(1-AG75)*(1-AG48)</f>
        <v/>
      </c>
      <c r="AH144" s="50">
        <f>MAX(AH23,AH21*Seasonality!$C$50*AH22)*(1-AH75)*(1-AH48)</f>
        <v/>
      </c>
      <c r="AI144" s="50">
        <f>MAX(AI23,AI21*Seasonality!$C$50*AI22)*(1-AI75)*(1-AI48)</f>
        <v/>
      </c>
      <c r="AJ144" s="50">
        <f>MAX(AJ23,AJ21*Seasonality!$C$50*AJ22)*(1-AJ75)*(1-AJ48)</f>
        <v/>
      </c>
      <c r="AK144" s="50">
        <f>MAX(AK23,AK21*Seasonality!$C$50*AK22)*(1-AK75)*(1-AK48)</f>
        <v/>
      </c>
      <c r="AL144" s="50">
        <f>MAX(AL23,AL21*Seasonality!$C$50*AL22)*(1-AL75)*(1-AL48)</f>
        <v/>
      </c>
      <c r="AM144" s="50">
        <f>MAX(AM23,AM21*Seasonality!$C$50*AM22)*(1-AM75)*(1-AM48)</f>
        <v/>
      </c>
      <c r="AN144" s="50">
        <f>MAX(AN23,AN21*Seasonality!$C$50*AN22)*(1-AN75)*(1-AN48)</f>
        <v/>
      </c>
      <c r="AO144" s="50">
        <f>MAX(AO23,AO21*Seasonality!$C$50*AO22)*(1-AO75)*(1-AO48)</f>
        <v/>
      </c>
      <c r="AP144" s="50">
        <f>MAX(AP23,AP21*Seasonality!$C$50*AP22)*(1-AP75)*(1-AP48)</f>
        <v/>
      </c>
      <c r="AQ144" s="50">
        <f>MAX(AQ23,AQ21*Seasonality!$C$50*AQ22)*(1-AQ75)*(1-AQ48)</f>
        <v/>
      </c>
      <c r="AR144" s="50">
        <f>MAX(AR23,AR21*Seasonality!$C$50*AR22)*(1-AR75)*(1-AR48)</f>
        <v/>
      </c>
      <c r="AS144" s="50">
        <f>MAX(AS23,AS21*Seasonality!$C$50*AS22)*(1-AS75)*(1-AS48)</f>
        <v/>
      </c>
      <c r="AT144" s="50">
        <f>MAX(AT23,AT21*Seasonality!$C$50*AT22)*(1-AT75)*(1-AT48)</f>
        <v/>
      </c>
      <c r="AU144" s="50">
        <f>MAX(AU23,AU21*Seasonality!$C$50*AU22)*(1-AU75)*(1-AU48)</f>
        <v/>
      </c>
      <c r="AV144" s="50">
        <f>MAX(AV23,AV21*Seasonality!$C$50*AV22)*(1-AV75)*(1-AV48)</f>
        <v/>
      </c>
      <c r="AW144" s="50">
        <f>MAX(AW23,AW21*Seasonality!$C$50*AW22)*(1-AW75)*(1-AW48)</f>
        <v/>
      </c>
      <c r="AX144" s="50">
        <f>MAX(AX23,AX21*Seasonality!$C$50*AX22)*(1-AX75)*(1-AX48)</f>
        <v/>
      </c>
      <c r="AY144" s="50">
        <f>MAX(AY23,AY21*Seasonality!$C$50*AY22)*(1-AY75)*(1-AY48)</f>
        <v/>
      </c>
      <c r="AZ144" s="50">
        <f>MAX(AZ23,AZ21*Seasonality!$C$50*AZ22)*(1-AZ75)*(1-AZ48)</f>
        <v/>
      </c>
      <c r="BA144" s="50">
        <f>MAX(BA23,BA21*Seasonality!$C$50*BA22)*(1-BA75)*(1-BA48)</f>
        <v/>
      </c>
      <c r="BB144" s="50">
        <f>MAX(BB23,BB21*Seasonality!$C$50*BB22)*(1-BB75)*(1-BB48)</f>
        <v/>
      </c>
      <c r="BC144" s="50">
        <f>MAX(BC23,BC21*Seasonality!$C$50*BC22)*(1-BC75)*(1-BC48)</f>
        <v/>
      </c>
      <c r="BD144" s="50">
        <f>MAX(BD23,BD21*Seasonality!$C$50*BD22)*(1-BD75)*(1-BD48)</f>
        <v/>
      </c>
      <c r="BE144" s="50">
        <f>MAX(BE23,BE21*Seasonality!$C$50*BE22)*(1-BE75)*(1-BE48)</f>
        <v/>
      </c>
    </row>
    <row r="145">
      <c r="B145" s="7" t="inlineStr">
        <is>
          <t>Revenue collected · month 15</t>
        </is>
      </c>
      <c r="C145" s="5" t="inlineStr">
        <is>
          <t>₹</t>
        </is>
      </c>
      <c r="D145" s="50">
        <f>MAX(D23,D21*Seasonality!$C$51*D22)*(1-D75)*(1-D48)</f>
        <v/>
      </c>
      <c r="E145" s="50">
        <f>MAX(E23,E21*Seasonality!$C$51*E22)*(1-E75)*(1-E48)</f>
        <v/>
      </c>
      <c r="F145" s="50">
        <f>MAX(F23,F21*Seasonality!$C$51*F22)*(1-F75)*(1-F48)</f>
        <v/>
      </c>
      <c r="G145" s="50">
        <f>MAX(G23,G21*Seasonality!$C$51*G22)*(1-G75)*(1-G48)</f>
        <v/>
      </c>
      <c r="H145" s="50">
        <f>MAX(H23,H21*Seasonality!$C$51*H22)*(1-H75)*(1-H48)</f>
        <v/>
      </c>
      <c r="I145" s="50">
        <f>MAX(I23,I21*Seasonality!$C$51*I22)*(1-I75)*(1-I48)</f>
        <v/>
      </c>
      <c r="J145" s="50">
        <f>MAX(J23,J21*Seasonality!$C$51*J22)*(1-J75)*(1-J48)</f>
        <v/>
      </c>
      <c r="K145" s="50">
        <f>MAX(K23,K21*Seasonality!$C$51*K22)*(1-K75)*(1-K48)</f>
        <v/>
      </c>
      <c r="L145" s="50">
        <f>MAX(L23,L21*Seasonality!$C$51*L22)*(1-L75)*(1-L48)</f>
        <v/>
      </c>
      <c r="M145" s="50">
        <f>MAX(M23,M21*Seasonality!$C$51*M22)*(1-M75)*(1-M48)</f>
        <v/>
      </c>
      <c r="N145" s="50">
        <f>MAX(N23,N21*Seasonality!$C$51*N22)*(1-N75)*(1-N48)</f>
        <v/>
      </c>
      <c r="O145" s="50">
        <f>MAX(O23,O21*Seasonality!$C$51*O22)*(1-O75)*(1-O48)</f>
        <v/>
      </c>
      <c r="P145" s="50">
        <f>MAX(P23,P21*Seasonality!$C$51*P22)*(1-P75)*(1-P48)</f>
        <v/>
      </c>
      <c r="Q145" s="50">
        <f>MAX(Q23,Q21*Seasonality!$C$51*Q22)*(1-Q75)*(1-Q48)</f>
        <v/>
      </c>
      <c r="R145" s="50">
        <f>MAX(R23,R21*Seasonality!$C$51*R22)*(1-R75)*(1-R48)</f>
        <v/>
      </c>
      <c r="S145" s="50">
        <f>MAX(S23,S21*Seasonality!$C$51*S22)*(1-S75)*(1-S48)</f>
        <v/>
      </c>
      <c r="T145" s="50">
        <f>MAX(T23,T21*Seasonality!$C$51*T22)*(1-T75)*(1-T48)</f>
        <v/>
      </c>
      <c r="U145" s="50">
        <f>MAX(U23,U21*Seasonality!$C$51*U22)*(1-U75)*(1-U48)</f>
        <v/>
      </c>
      <c r="V145" s="50">
        <f>MAX(V23,V21*Seasonality!$C$51*V22)*(1-V75)*(1-V48)</f>
        <v/>
      </c>
      <c r="W145" s="50">
        <f>MAX(W23,W21*Seasonality!$C$51*W22)*(1-W75)*(1-W48)</f>
        <v/>
      </c>
      <c r="X145" s="50">
        <f>MAX(X23,X21*Seasonality!$C$51*X22)*(1-X75)*(1-X48)</f>
        <v/>
      </c>
      <c r="Y145" s="50">
        <f>MAX(Y23,Y21*Seasonality!$C$51*Y22)*(1-Y75)*(1-Y48)</f>
        <v/>
      </c>
      <c r="Z145" s="50">
        <f>MAX(Z23,Z21*Seasonality!$C$51*Z22)*(1-Z75)*(1-Z48)</f>
        <v/>
      </c>
      <c r="AA145" s="50">
        <f>MAX(AA23,AA21*Seasonality!$C$51*AA22)*(1-AA75)*(1-AA48)</f>
        <v/>
      </c>
      <c r="AB145" s="50">
        <f>MAX(AB23,AB21*Seasonality!$C$51*AB22)*(1-AB75)*(1-AB48)</f>
        <v/>
      </c>
      <c r="AC145" s="50">
        <f>MAX(AC23,AC21*Seasonality!$C$51*AC22)*(1-AC75)*(1-AC48)</f>
        <v/>
      </c>
      <c r="AD145" s="50">
        <f>MAX(AD23,AD21*Seasonality!$C$51*AD22)*(1-AD75)*(1-AD48)</f>
        <v/>
      </c>
      <c r="AE145" s="50">
        <f>MAX(AE23,AE21*Seasonality!$C$51*AE22)*(1-AE75)*(1-AE48)</f>
        <v/>
      </c>
      <c r="AF145" s="50">
        <f>MAX(AF23,AF21*Seasonality!$C$51*AF22)*(1-AF75)*(1-AF48)</f>
        <v/>
      </c>
      <c r="AG145" s="50">
        <f>MAX(AG23,AG21*Seasonality!$C$51*AG22)*(1-AG75)*(1-AG48)</f>
        <v/>
      </c>
      <c r="AH145" s="50">
        <f>MAX(AH23,AH21*Seasonality!$C$51*AH22)*(1-AH75)*(1-AH48)</f>
        <v/>
      </c>
      <c r="AI145" s="50">
        <f>MAX(AI23,AI21*Seasonality!$C$51*AI22)*(1-AI75)*(1-AI48)</f>
        <v/>
      </c>
      <c r="AJ145" s="50">
        <f>MAX(AJ23,AJ21*Seasonality!$C$51*AJ22)*(1-AJ75)*(1-AJ48)</f>
        <v/>
      </c>
      <c r="AK145" s="50">
        <f>MAX(AK23,AK21*Seasonality!$C$51*AK22)*(1-AK75)*(1-AK48)</f>
        <v/>
      </c>
      <c r="AL145" s="50">
        <f>MAX(AL23,AL21*Seasonality!$C$51*AL22)*(1-AL75)*(1-AL48)</f>
        <v/>
      </c>
      <c r="AM145" s="50">
        <f>MAX(AM23,AM21*Seasonality!$C$51*AM22)*(1-AM75)*(1-AM48)</f>
        <v/>
      </c>
      <c r="AN145" s="50">
        <f>MAX(AN23,AN21*Seasonality!$C$51*AN22)*(1-AN75)*(1-AN48)</f>
        <v/>
      </c>
      <c r="AO145" s="50">
        <f>MAX(AO23,AO21*Seasonality!$C$51*AO22)*(1-AO75)*(1-AO48)</f>
        <v/>
      </c>
      <c r="AP145" s="50">
        <f>MAX(AP23,AP21*Seasonality!$C$51*AP22)*(1-AP75)*(1-AP48)</f>
        <v/>
      </c>
      <c r="AQ145" s="50">
        <f>MAX(AQ23,AQ21*Seasonality!$C$51*AQ22)*(1-AQ75)*(1-AQ48)</f>
        <v/>
      </c>
      <c r="AR145" s="50">
        <f>MAX(AR23,AR21*Seasonality!$C$51*AR22)*(1-AR75)*(1-AR48)</f>
        <v/>
      </c>
      <c r="AS145" s="50">
        <f>MAX(AS23,AS21*Seasonality!$C$51*AS22)*(1-AS75)*(1-AS48)</f>
        <v/>
      </c>
      <c r="AT145" s="50">
        <f>MAX(AT23,AT21*Seasonality!$C$51*AT22)*(1-AT75)*(1-AT48)</f>
        <v/>
      </c>
      <c r="AU145" s="50">
        <f>MAX(AU23,AU21*Seasonality!$C$51*AU22)*(1-AU75)*(1-AU48)</f>
        <v/>
      </c>
      <c r="AV145" s="50">
        <f>MAX(AV23,AV21*Seasonality!$C$51*AV22)*(1-AV75)*(1-AV48)</f>
        <v/>
      </c>
      <c r="AW145" s="50">
        <f>MAX(AW23,AW21*Seasonality!$C$51*AW22)*(1-AW75)*(1-AW48)</f>
        <v/>
      </c>
      <c r="AX145" s="50">
        <f>MAX(AX23,AX21*Seasonality!$C$51*AX22)*(1-AX75)*(1-AX48)</f>
        <v/>
      </c>
      <c r="AY145" s="50">
        <f>MAX(AY23,AY21*Seasonality!$C$51*AY22)*(1-AY75)*(1-AY48)</f>
        <v/>
      </c>
      <c r="AZ145" s="50">
        <f>MAX(AZ23,AZ21*Seasonality!$C$51*AZ22)*(1-AZ75)*(1-AZ48)</f>
        <v/>
      </c>
      <c r="BA145" s="50">
        <f>MAX(BA23,BA21*Seasonality!$C$51*BA22)*(1-BA75)*(1-BA48)</f>
        <v/>
      </c>
      <c r="BB145" s="50">
        <f>MAX(BB23,BB21*Seasonality!$C$51*BB22)*(1-BB75)*(1-BB48)</f>
        <v/>
      </c>
      <c r="BC145" s="50">
        <f>MAX(BC23,BC21*Seasonality!$C$51*BC22)*(1-BC75)*(1-BC48)</f>
        <v/>
      </c>
      <c r="BD145" s="50">
        <f>MAX(BD23,BD21*Seasonality!$C$51*BD22)*(1-BD75)*(1-BD48)</f>
        <v/>
      </c>
      <c r="BE145" s="50">
        <f>MAX(BE23,BE21*Seasonality!$C$51*BE22)*(1-BE75)*(1-BE48)</f>
        <v/>
      </c>
    </row>
    <row r="146">
      <c r="B146" s="7" t="inlineStr">
        <is>
          <t>Revenue collected · month 16</t>
        </is>
      </c>
      <c r="C146" s="5" t="inlineStr">
        <is>
          <t>₹</t>
        </is>
      </c>
      <c r="D146" s="50">
        <f>MAX(D23,D21*Seasonality!$C$52*D22)*(1-D75)*(1-D48)</f>
        <v/>
      </c>
      <c r="E146" s="50">
        <f>MAX(E23,E21*Seasonality!$C$52*E22)*(1-E75)*(1-E48)</f>
        <v/>
      </c>
      <c r="F146" s="50">
        <f>MAX(F23,F21*Seasonality!$C$52*F22)*(1-F75)*(1-F48)</f>
        <v/>
      </c>
      <c r="G146" s="50">
        <f>MAX(G23,G21*Seasonality!$C$52*G22)*(1-G75)*(1-G48)</f>
        <v/>
      </c>
      <c r="H146" s="50">
        <f>MAX(H23,H21*Seasonality!$C$52*H22)*(1-H75)*(1-H48)</f>
        <v/>
      </c>
      <c r="I146" s="50">
        <f>MAX(I23,I21*Seasonality!$C$52*I22)*(1-I75)*(1-I48)</f>
        <v/>
      </c>
      <c r="J146" s="50">
        <f>MAX(J23,J21*Seasonality!$C$52*J22)*(1-J75)*(1-J48)</f>
        <v/>
      </c>
      <c r="K146" s="50">
        <f>MAX(K23,K21*Seasonality!$C$52*K22)*(1-K75)*(1-K48)</f>
        <v/>
      </c>
      <c r="L146" s="50">
        <f>MAX(L23,L21*Seasonality!$C$52*L22)*(1-L75)*(1-L48)</f>
        <v/>
      </c>
      <c r="M146" s="50">
        <f>MAX(M23,M21*Seasonality!$C$52*M22)*(1-M75)*(1-M48)</f>
        <v/>
      </c>
      <c r="N146" s="50">
        <f>MAX(N23,N21*Seasonality!$C$52*N22)*(1-N75)*(1-N48)</f>
        <v/>
      </c>
      <c r="O146" s="50">
        <f>MAX(O23,O21*Seasonality!$C$52*O22)*(1-O75)*(1-O48)</f>
        <v/>
      </c>
      <c r="P146" s="50">
        <f>MAX(P23,P21*Seasonality!$C$52*P22)*(1-P75)*(1-P48)</f>
        <v/>
      </c>
      <c r="Q146" s="50">
        <f>MAX(Q23,Q21*Seasonality!$C$52*Q22)*(1-Q75)*(1-Q48)</f>
        <v/>
      </c>
      <c r="R146" s="50">
        <f>MAX(R23,R21*Seasonality!$C$52*R22)*(1-R75)*(1-R48)</f>
        <v/>
      </c>
      <c r="S146" s="50">
        <f>MAX(S23,S21*Seasonality!$C$52*S22)*(1-S75)*(1-S48)</f>
        <v/>
      </c>
      <c r="T146" s="50">
        <f>MAX(T23,T21*Seasonality!$C$52*T22)*(1-T75)*(1-T48)</f>
        <v/>
      </c>
      <c r="U146" s="50">
        <f>MAX(U23,U21*Seasonality!$C$52*U22)*(1-U75)*(1-U48)</f>
        <v/>
      </c>
      <c r="V146" s="50">
        <f>MAX(V23,V21*Seasonality!$C$52*V22)*(1-V75)*(1-V48)</f>
        <v/>
      </c>
      <c r="W146" s="50">
        <f>MAX(W23,W21*Seasonality!$C$52*W22)*(1-W75)*(1-W48)</f>
        <v/>
      </c>
      <c r="X146" s="50">
        <f>MAX(X23,X21*Seasonality!$C$52*X22)*(1-X75)*(1-X48)</f>
        <v/>
      </c>
      <c r="Y146" s="50">
        <f>MAX(Y23,Y21*Seasonality!$C$52*Y22)*(1-Y75)*(1-Y48)</f>
        <v/>
      </c>
      <c r="Z146" s="50">
        <f>MAX(Z23,Z21*Seasonality!$C$52*Z22)*(1-Z75)*(1-Z48)</f>
        <v/>
      </c>
      <c r="AA146" s="50">
        <f>MAX(AA23,AA21*Seasonality!$C$52*AA22)*(1-AA75)*(1-AA48)</f>
        <v/>
      </c>
      <c r="AB146" s="50">
        <f>MAX(AB23,AB21*Seasonality!$C$52*AB22)*(1-AB75)*(1-AB48)</f>
        <v/>
      </c>
      <c r="AC146" s="50">
        <f>MAX(AC23,AC21*Seasonality!$C$52*AC22)*(1-AC75)*(1-AC48)</f>
        <v/>
      </c>
      <c r="AD146" s="50">
        <f>MAX(AD23,AD21*Seasonality!$C$52*AD22)*(1-AD75)*(1-AD48)</f>
        <v/>
      </c>
      <c r="AE146" s="50">
        <f>MAX(AE23,AE21*Seasonality!$C$52*AE22)*(1-AE75)*(1-AE48)</f>
        <v/>
      </c>
      <c r="AF146" s="50">
        <f>MAX(AF23,AF21*Seasonality!$C$52*AF22)*(1-AF75)*(1-AF48)</f>
        <v/>
      </c>
      <c r="AG146" s="50">
        <f>MAX(AG23,AG21*Seasonality!$C$52*AG22)*(1-AG75)*(1-AG48)</f>
        <v/>
      </c>
      <c r="AH146" s="50">
        <f>MAX(AH23,AH21*Seasonality!$C$52*AH22)*(1-AH75)*(1-AH48)</f>
        <v/>
      </c>
      <c r="AI146" s="50">
        <f>MAX(AI23,AI21*Seasonality!$C$52*AI22)*(1-AI75)*(1-AI48)</f>
        <v/>
      </c>
      <c r="AJ146" s="50">
        <f>MAX(AJ23,AJ21*Seasonality!$C$52*AJ22)*(1-AJ75)*(1-AJ48)</f>
        <v/>
      </c>
      <c r="AK146" s="50">
        <f>MAX(AK23,AK21*Seasonality!$C$52*AK22)*(1-AK75)*(1-AK48)</f>
        <v/>
      </c>
      <c r="AL146" s="50">
        <f>MAX(AL23,AL21*Seasonality!$C$52*AL22)*(1-AL75)*(1-AL48)</f>
        <v/>
      </c>
      <c r="AM146" s="50">
        <f>MAX(AM23,AM21*Seasonality!$C$52*AM22)*(1-AM75)*(1-AM48)</f>
        <v/>
      </c>
      <c r="AN146" s="50">
        <f>MAX(AN23,AN21*Seasonality!$C$52*AN22)*(1-AN75)*(1-AN48)</f>
        <v/>
      </c>
      <c r="AO146" s="50">
        <f>MAX(AO23,AO21*Seasonality!$C$52*AO22)*(1-AO75)*(1-AO48)</f>
        <v/>
      </c>
      <c r="AP146" s="50">
        <f>MAX(AP23,AP21*Seasonality!$C$52*AP22)*(1-AP75)*(1-AP48)</f>
        <v/>
      </c>
      <c r="AQ146" s="50">
        <f>MAX(AQ23,AQ21*Seasonality!$C$52*AQ22)*(1-AQ75)*(1-AQ48)</f>
        <v/>
      </c>
      <c r="AR146" s="50">
        <f>MAX(AR23,AR21*Seasonality!$C$52*AR22)*(1-AR75)*(1-AR48)</f>
        <v/>
      </c>
      <c r="AS146" s="50">
        <f>MAX(AS23,AS21*Seasonality!$C$52*AS22)*(1-AS75)*(1-AS48)</f>
        <v/>
      </c>
      <c r="AT146" s="50">
        <f>MAX(AT23,AT21*Seasonality!$C$52*AT22)*(1-AT75)*(1-AT48)</f>
        <v/>
      </c>
      <c r="AU146" s="50">
        <f>MAX(AU23,AU21*Seasonality!$C$52*AU22)*(1-AU75)*(1-AU48)</f>
        <v/>
      </c>
      <c r="AV146" s="50">
        <f>MAX(AV23,AV21*Seasonality!$C$52*AV22)*(1-AV75)*(1-AV48)</f>
        <v/>
      </c>
      <c r="AW146" s="50">
        <f>MAX(AW23,AW21*Seasonality!$C$52*AW22)*(1-AW75)*(1-AW48)</f>
        <v/>
      </c>
      <c r="AX146" s="50">
        <f>MAX(AX23,AX21*Seasonality!$C$52*AX22)*(1-AX75)*(1-AX48)</f>
        <v/>
      </c>
      <c r="AY146" s="50">
        <f>MAX(AY23,AY21*Seasonality!$C$52*AY22)*(1-AY75)*(1-AY48)</f>
        <v/>
      </c>
      <c r="AZ146" s="50">
        <f>MAX(AZ23,AZ21*Seasonality!$C$52*AZ22)*(1-AZ75)*(1-AZ48)</f>
        <v/>
      </c>
      <c r="BA146" s="50">
        <f>MAX(BA23,BA21*Seasonality!$C$52*BA22)*(1-BA75)*(1-BA48)</f>
        <v/>
      </c>
      <c r="BB146" s="50">
        <f>MAX(BB23,BB21*Seasonality!$C$52*BB22)*(1-BB75)*(1-BB48)</f>
        <v/>
      </c>
      <c r="BC146" s="50">
        <f>MAX(BC23,BC21*Seasonality!$C$52*BC22)*(1-BC75)*(1-BC48)</f>
        <v/>
      </c>
      <c r="BD146" s="50">
        <f>MAX(BD23,BD21*Seasonality!$C$52*BD22)*(1-BD75)*(1-BD48)</f>
        <v/>
      </c>
      <c r="BE146" s="50">
        <f>MAX(BE23,BE21*Seasonality!$C$52*BE22)*(1-BE75)*(1-BE48)</f>
        <v/>
      </c>
    </row>
    <row r="147">
      <c r="B147" s="7" t="inlineStr">
        <is>
          <t>Revenue collected · month 17</t>
        </is>
      </c>
      <c r="C147" s="5" t="inlineStr">
        <is>
          <t>₹</t>
        </is>
      </c>
      <c r="D147" s="50">
        <f>MAX(D23,D21*Seasonality!$C$53*D22)*(1-D75)*(1-D48)</f>
        <v/>
      </c>
      <c r="E147" s="50">
        <f>MAX(E23,E21*Seasonality!$C$53*E22)*(1-E75)*(1-E48)</f>
        <v/>
      </c>
      <c r="F147" s="50">
        <f>MAX(F23,F21*Seasonality!$C$53*F22)*(1-F75)*(1-F48)</f>
        <v/>
      </c>
      <c r="G147" s="50">
        <f>MAX(G23,G21*Seasonality!$C$53*G22)*(1-G75)*(1-G48)</f>
        <v/>
      </c>
      <c r="H147" s="50">
        <f>MAX(H23,H21*Seasonality!$C$53*H22)*(1-H75)*(1-H48)</f>
        <v/>
      </c>
      <c r="I147" s="50">
        <f>MAX(I23,I21*Seasonality!$C$53*I22)*(1-I75)*(1-I48)</f>
        <v/>
      </c>
      <c r="J147" s="50">
        <f>MAX(J23,J21*Seasonality!$C$53*J22)*(1-J75)*(1-J48)</f>
        <v/>
      </c>
      <c r="K147" s="50">
        <f>MAX(K23,K21*Seasonality!$C$53*K22)*(1-K75)*(1-K48)</f>
        <v/>
      </c>
      <c r="L147" s="50">
        <f>MAX(L23,L21*Seasonality!$C$53*L22)*(1-L75)*(1-L48)</f>
        <v/>
      </c>
      <c r="M147" s="50">
        <f>MAX(M23,M21*Seasonality!$C$53*M22)*(1-M75)*(1-M48)</f>
        <v/>
      </c>
      <c r="N147" s="50">
        <f>MAX(N23,N21*Seasonality!$C$53*N22)*(1-N75)*(1-N48)</f>
        <v/>
      </c>
      <c r="O147" s="50">
        <f>MAX(O23,O21*Seasonality!$C$53*O22)*(1-O75)*(1-O48)</f>
        <v/>
      </c>
      <c r="P147" s="50">
        <f>MAX(P23,P21*Seasonality!$C$53*P22)*(1-P75)*(1-P48)</f>
        <v/>
      </c>
      <c r="Q147" s="50">
        <f>MAX(Q23,Q21*Seasonality!$C$53*Q22)*(1-Q75)*(1-Q48)</f>
        <v/>
      </c>
      <c r="R147" s="50">
        <f>MAX(R23,R21*Seasonality!$C$53*R22)*(1-R75)*(1-R48)</f>
        <v/>
      </c>
      <c r="S147" s="50">
        <f>MAX(S23,S21*Seasonality!$C$53*S22)*(1-S75)*(1-S48)</f>
        <v/>
      </c>
      <c r="T147" s="50">
        <f>MAX(T23,T21*Seasonality!$C$53*T22)*(1-T75)*(1-T48)</f>
        <v/>
      </c>
      <c r="U147" s="50">
        <f>MAX(U23,U21*Seasonality!$C$53*U22)*(1-U75)*(1-U48)</f>
        <v/>
      </c>
      <c r="V147" s="50">
        <f>MAX(V23,V21*Seasonality!$C$53*V22)*(1-V75)*(1-V48)</f>
        <v/>
      </c>
      <c r="W147" s="50">
        <f>MAX(W23,W21*Seasonality!$C$53*W22)*(1-W75)*(1-W48)</f>
        <v/>
      </c>
      <c r="X147" s="50">
        <f>MAX(X23,X21*Seasonality!$C$53*X22)*(1-X75)*(1-X48)</f>
        <v/>
      </c>
      <c r="Y147" s="50">
        <f>MAX(Y23,Y21*Seasonality!$C$53*Y22)*(1-Y75)*(1-Y48)</f>
        <v/>
      </c>
      <c r="Z147" s="50">
        <f>MAX(Z23,Z21*Seasonality!$C$53*Z22)*(1-Z75)*(1-Z48)</f>
        <v/>
      </c>
      <c r="AA147" s="50">
        <f>MAX(AA23,AA21*Seasonality!$C$53*AA22)*(1-AA75)*(1-AA48)</f>
        <v/>
      </c>
      <c r="AB147" s="50">
        <f>MAX(AB23,AB21*Seasonality!$C$53*AB22)*(1-AB75)*(1-AB48)</f>
        <v/>
      </c>
      <c r="AC147" s="50">
        <f>MAX(AC23,AC21*Seasonality!$C$53*AC22)*(1-AC75)*(1-AC48)</f>
        <v/>
      </c>
      <c r="AD147" s="50">
        <f>MAX(AD23,AD21*Seasonality!$C$53*AD22)*(1-AD75)*(1-AD48)</f>
        <v/>
      </c>
      <c r="AE147" s="50">
        <f>MAX(AE23,AE21*Seasonality!$C$53*AE22)*(1-AE75)*(1-AE48)</f>
        <v/>
      </c>
      <c r="AF147" s="50">
        <f>MAX(AF23,AF21*Seasonality!$C$53*AF22)*(1-AF75)*(1-AF48)</f>
        <v/>
      </c>
      <c r="AG147" s="50">
        <f>MAX(AG23,AG21*Seasonality!$C$53*AG22)*(1-AG75)*(1-AG48)</f>
        <v/>
      </c>
      <c r="AH147" s="50">
        <f>MAX(AH23,AH21*Seasonality!$C$53*AH22)*(1-AH75)*(1-AH48)</f>
        <v/>
      </c>
      <c r="AI147" s="50">
        <f>MAX(AI23,AI21*Seasonality!$C$53*AI22)*(1-AI75)*(1-AI48)</f>
        <v/>
      </c>
      <c r="AJ147" s="50">
        <f>MAX(AJ23,AJ21*Seasonality!$C$53*AJ22)*(1-AJ75)*(1-AJ48)</f>
        <v/>
      </c>
      <c r="AK147" s="50">
        <f>MAX(AK23,AK21*Seasonality!$C$53*AK22)*(1-AK75)*(1-AK48)</f>
        <v/>
      </c>
      <c r="AL147" s="50">
        <f>MAX(AL23,AL21*Seasonality!$C$53*AL22)*(1-AL75)*(1-AL48)</f>
        <v/>
      </c>
      <c r="AM147" s="50">
        <f>MAX(AM23,AM21*Seasonality!$C$53*AM22)*(1-AM75)*(1-AM48)</f>
        <v/>
      </c>
      <c r="AN147" s="50">
        <f>MAX(AN23,AN21*Seasonality!$C$53*AN22)*(1-AN75)*(1-AN48)</f>
        <v/>
      </c>
      <c r="AO147" s="50">
        <f>MAX(AO23,AO21*Seasonality!$C$53*AO22)*(1-AO75)*(1-AO48)</f>
        <v/>
      </c>
      <c r="AP147" s="50">
        <f>MAX(AP23,AP21*Seasonality!$C$53*AP22)*(1-AP75)*(1-AP48)</f>
        <v/>
      </c>
      <c r="AQ147" s="50">
        <f>MAX(AQ23,AQ21*Seasonality!$C$53*AQ22)*(1-AQ75)*(1-AQ48)</f>
        <v/>
      </c>
      <c r="AR147" s="50">
        <f>MAX(AR23,AR21*Seasonality!$C$53*AR22)*(1-AR75)*(1-AR48)</f>
        <v/>
      </c>
      <c r="AS147" s="50">
        <f>MAX(AS23,AS21*Seasonality!$C$53*AS22)*(1-AS75)*(1-AS48)</f>
        <v/>
      </c>
      <c r="AT147" s="50">
        <f>MAX(AT23,AT21*Seasonality!$C$53*AT22)*(1-AT75)*(1-AT48)</f>
        <v/>
      </c>
      <c r="AU147" s="50">
        <f>MAX(AU23,AU21*Seasonality!$C$53*AU22)*(1-AU75)*(1-AU48)</f>
        <v/>
      </c>
      <c r="AV147" s="50">
        <f>MAX(AV23,AV21*Seasonality!$C$53*AV22)*(1-AV75)*(1-AV48)</f>
        <v/>
      </c>
      <c r="AW147" s="50">
        <f>MAX(AW23,AW21*Seasonality!$C$53*AW22)*(1-AW75)*(1-AW48)</f>
        <v/>
      </c>
      <c r="AX147" s="50">
        <f>MAX(AX23,AX21*Seasonality!$C$53*AX22)*(1-AX75)*(1-AX48)</f>
        <v/>
      </c>
      <c r="AY147" s="50">
        <f>MAX(AY23,AY21*Seasonality!$C$53*AY22)*(1-AY75)*(1-AY48)</f>
        <v/>
      </c>
      <c r="AZ147" s="50">
        <f>MAX(AZ23,AZ21*Seasonality!$C$53*AZ22)*(1-AZ75)*(1-AZ48)</f>
        <v/>
      </c>
      <c r="BA147" s="50">
        <f>MAX(BA23,BA21*Seasonality!$C$53*BA22)*(1-BA75)*(1-BA48)</f>
        <v/>
      </c>
      <c r="BB147" s="50">
        <f>MAX(BB23,BB21*Seasonality!$C$53*BB22)*(1-BB75)*(1-BB48)</f>
        <v/>
      </c>
      <c r="BC147" s="50">
        <f>MAX(BC23,BC21*Seasonality!$C$53*BC22)*(1-BC75)*(1-BC48)</f>
        <v/>
      </c>
      <c r="BD147" s="50">
        <f>MAX(BD23,BD21*Seasonality!$C$53*BD22)*(1-BD75)*(1-BD48)</f>
        <v/>
      </c>
      <c r="BE147" s="50">
        <f>MAX(BE23,BE21*Seasonality!$C$53*BE22)*(1-BE75)*(1-BE48)</f>
        <v/>
      </c>
    </row>
    <row r="148">
      <c r="B148" s="7" t="inlineStr">
        <is>
          <t>Revenue collected · month 18</t>
        </is>
      </c>
      <c r="C148" s="5" t="inlineStr">
        <is>
          <t>₹</t>
        </is>
      </c>
      <c r="D148" s="50">
        <f>MAX(D23,D21*Seasonality!$C$54*D22)*(1-D75)*(1-D48)</f>
        <v/>
      </c>
      <c r="E148" s="50">
        <f>MAX(E23,E21*Seasonality!$C$54*E22)*(1-E75)*(1-E48)</f>
        <v/>
      </c>
      <c r="F148" s="50">
        <f>MAX(F23,F21*Seasonality!$C$54*F22)*(1-F75)*(1-F48)</f>
        <v/>
      </c>
      <c r="G148" s="50">
        <f>MAX(G23,G21*Seasonality!$C$54*G22)*(1-G75)*(1-G48)</f>
        <v/>
      </c>
      <c r="H148" s="50">
        <f>MAX(H23,H21*Seasonality!$C$54*H22)*(1-H75)*(1-H48)</f>
        <v/>
      </c>
      <c r="I148" s="50">
        <f>MAX(I23,I21*Seasonality!$C$54*I22)*(1-I75)*(1-I48)</f>
        <v/>
      </c>
      <c r="J148" s="50">
        <f>MAX(J23,J21*Seasonality!$C$54*J22)*(1-J75)*(1-J48)</f>
        <v/>
      </c>
      <c r="K148" s="50">
        <f>MAX(K23,K21*Seasonality!$C$54*K22)*(1-K75)*(1-K48)</f>
        <v/>
      </c>
      <c r="L148" s="50">
        <f>MAX(L23,L21*Seasonality!$C$54*L22)*(1-L75)*(1-L48)</f>
        <v/>
      </c>
      <c r="M148" s="50">
        <f>MAX(M23,M21*Seasonality!$C$54*M22)*(1-M75)*(1-M48)</f>
        <v/>
      </c>
      <c r="N148" s="50">
        <f>MAX(N23,N21*Seasonality!$C$54*N22)*(1-N75)*(1-N48)</f>
        <v/>
      </c>
      <c r="O148" s="50">
        <f>MAX(O23,O21*Seasonality!$C$54*O22)*(1-O75)*(1-O48)</f>
        <v/>
      </c>
      <c r="P148" s="50">
        <f>MAX(P23,P21*Seasonality!$C$54*P22)*(1-P75)*(1-P48)</f>
        <v/>
      </c>
      <c r="Q148" s="50">
        <f>MAX(Q23,Q21*Seasonality!$C$54*Q22)*(1-Q75)*(1-Q48)</f>
        <v/>
      </c>
      <c r="R148" s="50">
        <f>MAX(R23,R21*Seasonality!$C$54*R22)*(1-R75)*(1-R48)</f>
        <v/>
      </c>
      <c r="S148" s="50">
        <f>MAX(S23,S21*Seasonality!$C$54*S22)*(1-S75)*(1-S48)</f>
        <v/>
      </c>
      <c r="T148" s="50">
        <f>MAX(T23,T21*Seasonality!$C$54*T22)*(1-T75)*(1-T48)</f>
        <v/>
      </c>
      <c r="U148" s="50">
        <f>MAX(U23,U21*Seasonality!$C$54*U22)*(1-U75)*(1-U48)</f>
        <v/>
      </c>
      <c r="V148" s="50">
        <f>MAX(V23,V21*Seasonality!$C$54*V22)*(1-V75)*(1-V48)</f>
        <v/>
      </c>
      <c r="W148" s="50">
        <f>MAX(W23,W21*Seasonality!$C$54*W22)*(1-W75)*(1-W48)</f>
        <v/>
      </c>
      <c r="X148" s="50">
        <f>MAX(X23,X21*Seasonality!$C$54*X22)*(1-X75)*(1-X48)</f>
        <v/>
      </c>
      <c r="Y148" s="50">
        <f>MAX(Y23,Y21*Seasonality!$C$54*Y22)*(1-Y75)*(1-Y48)</f>
        <v/>
      </c>
      <c r="Z148" s="50">
        <f>MAX(Z23,Z21*Seasonality!$C$54*Z22)*(1-Z75)*(1-Z48)</f>
        <v/>
      </c>
      <c r="AA148" s="50">
        <f>MAX(AA23,AA21*Seasonality!$C$54*AA22)*(1-AA75)*(1-AA48)</f>
        <v/>
      </c>
      <c r="AB148" s="50">
        <f>MAX(AB23,AB21*Seasonality!$C$54*AB22)*(1-AB75)*(1-AB48)</f>
        <v/>
      </c>
      <c r="AC148" s="50">
        <f>MAX(AC23,AC21*Seasonality!$C$54*AC22)*(1-AC75)*(1-AC48)</f>
        <v/>
      </c>
      <c r="AD148" s="50">
        <f>MAX(AD23,AD21*Seasonality!$C$54*AD22)*(1-AD75)*(1-AD48)</f>
        <v/>
      </c>
      <c r="AE148" s="50">
        <f>MAX(AE23,AE21*Seasonality!$C$54*AE22)*(1-AE75)*(1-AE48)</f>
        <v/>
      </c>
      <c r="AF148" s="50">
        <f>MAX(AF23,AF21*Seasonality!$C$54*AF22)*(1-AF75)*(1-AF48)</f>
        <v/>
      </c>
      <c r="AG148" s="50">
        <f>MAX(AG23,AG21*Seasonality!$C$54*AG22)*(1-AG75)*(1-AG48)</f>
        <v/>
      </c>
      <c r="AH148" s="50">
        <f>MAX(AH23,AH21*Seasonality!$C$54*AH22)*(1-AH75)*(1-AH48)</f>
        <v/>
      </c>
      <c r="AI148" s="50">
        <f>MAX(AI23,AI21*Seasonality!$C$54*AI22)*(1-AI75)*(1-AI48)</f>
        <v/>
      </c>
      <c r="AJ148" s="50">
        <f>MAX(AJ23,AJ21*Seasonality!$C$54*AJ22)*(1-AJ75)*(1-AJ48)</f>
        <v/>
      </c>
      <c r="AK148" s="50">
        <f>MAX(AK23,AK21*Seasonality!$C$54*AK22)*(1-AK75)*(1-AK48)</f>
        <v/>
      </c>
      <c r="AL148" s="50">
        <f>MAX(AL23,AL21*Seasonality!$C$54*AL22)*(1-AL75)*(1-AL48)</f>
        <v/>
      </c>
      <c r="AM148" s="50">
        <f>MAX(AM23,AM21*Seasonality!$C$54*AM22)*(1-AM75)*(1-AM48)</f>
        <v/>
      </c>
      <c r="AN148" s="50">
        <f>MAX(AN23,AN21*Seasonality!$C$54*AN22)*(1-AN75)*(1-AN48)</f>
        <v/>
      </c>
      <c r="AO148" s="50">
        <f>MAX(AO23,AO21*Seasonality!$C$54*AO22)*(1-AO75)*(1-AO48)</f>
        <v/>
      </c>
      <c r="AP148" s="50">
        <f>MAX(AP23,AP21*Seasonality!$C$54*AP22)*(1-AP75)*(1-AP48)</f>
        <v/>
      </c>
      <c r="AQ148" s="50">
        <f>MAX(AQ23,AQ21*Seasonality!$C$54*AQ22)*(1-AQ75)*(1-AQ48)</f>
        <v/>
      </c>
      <c r="AR148" s="50">
        <f>MAX(AR23,AR21*Seasonality!$C$54*AR22)*(1-AR75)*(1-AR48)</f>
        <v/>
      </c>
      <c r="AS148" s="50">
        <f>MAX(AS23,AS21*Seasonality!$C$54*AS22)*(1-AS75)*(1-AS48)</f>
        <v/>
      </c>
      <c r="AT148" s="50">
        <f>MAX(AT23,AT21*Seasonality!$C$54*AT22)*(1-AT75)*(1-AT48)</f>
        <v/>
      </c>
      <c r="AU148" s="50">
        <f>MAX(AU23,AU21*Seasonality!$C$54*AU22)*(1-AU75)*(1-AU48)</f>
        <v/>
      </c>
      <c r="AV148" s="50">
        <f>MAX(AV23,AV21*Seasonality!$C$54*AV22)*(1-AV75)*(1-AV48)</f>
        <v/>
      </c>
      <c r="AW148" s="50">
        <f>MAX(AW23,AW21*Seasonality!$C$54*AW22)*(1-AW75)*(1-AW48)</f>
        <v/>
      </c>
      <c r="AX148" s="50">
        <f>MAX(AX23,AX21*Seasonality!$C$54*AX22)*(1-AX75)*(1-AX48)</f>
        <v/>
      </c>
      <c r="AY148" s="50">
        <f>MAX(AY23,AY21*Seasonality!$C$54*AY22)*(1-AY75)*(1-AY48)</f>
        <v/>
      </c>
      <c r="AZ148" s="50">
        <f>MAX(AZ23,AZ21*Seasonality!$C$54*AZ22)*(1-AZ75)*(1-AZ48)</f>
        <v/>
      </c>
      <c r="BA148" s="50">
        <f>MAX(BA23,BA21*Seasonality!$C$54*BA22)*(1-BA75)*(1-BA48)</f>
        <v/>
      </c>
      <c r="BB148" s="50">
        <f>MAX(BB23,BB21*Seasonality!$C$54*BB22)*(1-BB75)*(1-BB48)</f>
        <v/>
      </c>
      <c r="BC148" s="50">
        <f>MAX(BC23,BC21*Seasonality!$C$54*BC22)*(1-BC75)*(1-BC48)</f>
        <v/>
      </c>
      <c r="BD148" s="50">
        <f>MAX(BD23,BD21*Seasonality!$C$54*BD22)*(1-BD75)*(1-BD48)</f>
        <v/>
      </c>
      <c r="BE148" s="50">
        <f>MAX(BE23,BE21*Seasonality!$C$54*BE22)*(1-BE75)*(1-BE48)</f>
        <v/>
      </c>
    </row>
    <row r="149">
      <c r="B149" s="7" t="inlineStr">
        <is>
          <t>Revenue collected · month 19</t>
        </is>
      </c>
      <c r="C149" s="5" t="inlineStr">
        <is>
          <t>₹</t>
        </is>
      </c>
      <c r="D149" s="50">
        <f>MAX(D23,D21*Seasonality!$C$55*D22)*(1-D75)*(1-D48)</f>
        <v/>
      </c>
      <c r="E149" s="50">
        <f>MAX(E23,E21*Seasonality!$C$55*E22)*(1-E75)*(1-E48)</f>
        <v/>
      </c>
      <c r="F149" s="50">
        <f>MAX(F23,F21*Seasonality!$C$55*F22)*(1-F75)*(1-F48)</f>
        <v/>
      </c>
      <c r="G149" s="50">
        <f>MAX(G23,G21*Seasonality!$C$55*G22)*(1-G75)*(1-G48)</f>
        <v/>
      </c>
      <c r="H149" s="50">
        <f>MAX(H23,H21*Seasonality!$C$55*H22)*(1-H75)*(1-H48)</f>
        <v/>
      </c>
      <c r="I149" s="50">
        <f>MAX(I23,I21*Seasonality!$C$55*I22)*(1-I75)*(1-I48)</f>
        <v/>
      </c>
      <c r="J149" s="50">
        <f>MAX(J23,J21*Seasonality!$C$55*J22)*(1-J75)*(1-J48)</f>
        <v/>
      </c>
      <c r="K149" s="50">
        <f>MAX(K23,K21*Seasonality!$C$55*K22)*(1-K75)*(1-K48)</f>
        <v/>
      </c>
      <c r="L149" s="50">
        <f>MAX(L23,L21*Seasonality!$C$55*L22)*(1-L75)*(1-L48)</f>
        <v/>
      </c>
      <c r="M149" s="50">
        <f>MAX(M23,M21*Seasonality!$C$55*M22)*(1-M75)*(1-M48)</f>
        <v/>
      </c>
      <c r="N149" s="50">
        <f>MAX(N23,N21*Seasonality!$C$55*N22)*(1-N75)*(1-N48)</f>
        <v/>
      </c>
      <c r="O149" s="50">
        <f>MAX(O23,O21*Seasonality!$C$55*O22)*(1-O75)*(1-O48)</f>
        <v/>
      </c>
      <c r="P149" s="50">
        <f>MAX(P23,P21*Seasonality!$C$55*P22)*(1-P75)*(1-P48)</f>
        <v/>
      </c>
      <c r="Q149" s="50">
        <f>MAX(Q23,Q21*Seasonality!$C$55*Q22)*(1-Q75)*(1-Q48)</f>
        <v/>
      </c>
      <c r="R149" s="50">
        <f>MAX(R23,R21*Seasonality!$C$55*R22)*(1-R75)*(1-R48)</f>
        <v/>
      </c>
      <c r="S149" s="50">
        <f>MAX(S23,S21*Seasonality!$C$55*S22)*(1-S75)*(1-S48)</f>
        <v/>
      </c>
      <c r="T149" s="50">
        <f>MAX(T23,T21*Seasonality!$C$55*T22)*(1-T75)*(1-T48)</f>
        <v/>
      </c>
      <c r="U149" s="50">
        <f>MAX(U23,U21*Seasonality!$C$55*U22)*(1-U75)*(1-U48)</f>
        <v/>
      </c>
      <c r="V149" s="50">
        <f>MAX(V23,V21*Seasonality!$C$55*V22)*(1-V75)*(1-V48)</f>
        <v/>
      </c>
      <c r="W149" s="50">
        <f>MAX(W23,W21*Seasonality!$C$55*W22)*(1-W75)*(1-W48)</f>
        <v/>
      </c>
      <c r="X149" s="50">
        <f>MAX(X23,X21*Seasonality!$C$55*X22)*(1-X75)*(1-X48)</f>
        <v/>
      </c>
      <c r="Y149" s="50">
        <f>MAX(Y23,Y21*Seasonality!$C$55*Y22)*(1-Y75)*(1-Y48)</f>
        <v/>
      </c>
      <c r="Z149" s="50">
        <f>MAX(Z23,Z21*Seasonality!$C$55*Z22)*(1-Z75)*(1-Z48)</f>
        <v/>
      </c>
      <c r="AA149" s="50">
        <f>MAX(AA23,AA21*Seasonality!$C$55*AA22)*(1-AA75)*(1-AA48)</f>
        <v/>
      </c>
      <c r="AB149" s="50">
        <f>MAX(AB23,AB21*Seasonality!$C$55*AB22)*(1-AB75)*(1-AB48)</f>
        <v/>
      </c>
      <c r="AC149" s="50">
        <f>MAX(AC23,AC21*Seasonality!$C$55*AC22)*(1-AC75)*(1-AC48)</f>
        <v/>
      </c>
      <c r="AD149" s="50">
        <f>MAX(AD23,AD21*Seasonality!$C$55*AD22)*(1-AD75)*(1-AD48)</f>
        <v/>
      </c>
      <c r="AE149" s="50">
        <f>MAX(AE23,AE21*Seasonality!$C$55*AE22)*(1-AE75)*(1-AE48)</f>
        <v/>
      </c>
      <c r="AF149" s="50">
        <f>MAX(AF23,AF21*Seasonality!$C$55*AF22)*(1-AF75)*(1-AF48)</f>
        <v/>
      </c>
      <c r="AG149" s="50">
        <f>MAX(AG23,AG21*Seasonality!$C$55*AG22)*(1-AG75)*(1-AG48)</f>
        <v/>
      </c>
      <c r="AH149" s="50">
        <f>MAX(AH23,AH21*Seasonality!$C$55*AH22)*(1-AH75)*(1-AH48)</f>
        <v/>
      </c>
      <c r="AI149" s="50">
        <f>MAX(AI23,AI21*Seasonality!$C$55*AI22)*(1-AI75)*(1-AI48)</f>
        <v/>
      </c>
      <c r="AJ149" s="50">
        <f>MAX(AJ23,AJ21*Seasonality!$C$55*AJ22)*(1-AJ75)*(1-AJ48)</f>
        <v/>
      </c>
      <c r="AK149" s="50">
        <f>MAX(AK23,AK21*Seasonality!$C$55*AK22)*(1-AK75)*(1-AK48)</f>
        <v/>
      </c>
      <c r="AL149" s="50">
        <f>MAX(AL23,AL21*Seasonality!$C$55*AL22)*(1-AL75)*(1-AL48)</f>
        <v/>
      </c>
      <c r="AM149" s="50">
        <f>MAX(AM23,AM21*Seasonality!$C$55*AM22)*(1-AM75)*(1-AM48)</f>
        <v/>
      </c>
      <c r="AN149" s="50">
        <f>MAX(AN23,AN21*Seasonality!$C$55*AN22)*(1-AN75)*(1-AN48)</f>
        <v/>
      </c>
      <c r="AO149" s="50">
        <f>MAX(AO23,AO21*Seasonality!$C$55*AO22)*(1-AO75)*(1-AO48)</f>
        <v/>
      </c>
      <c r="AP149" s="50">
        <f>MAX(AP23,AP21*Seasonality!$C$55*AP22)*(1-AP75)*(1-AP48)</f>
        <v/>
      </c>
      <c r="AQ149" s="50">
        <f>MAX(AQ23,AQ21*Seasonality!$C$55*AQ22)*(1-AQ75)*(1-AQ48)</f>
        <v/>
      </c>
      <c r="AR149" s="50">
        <f>MAX(AR23,AR21*Seasonality!$C$55*AR22)*(1-AR75)*(1-AR48)</f>
        <v/>
      </c>
      <c r="AS149" s="50">
        <f>MAX(AS23,AS21*Seasonality!$C$55*AS22)*(1-AS75)*(1-AS48)</f>
        <v/>
      </c>
      <c r="AT149" s="50">
        <f>MAX(AT23,AT21*Seasonality!$C$55*AT22)*(1-AT75)*(1-AT48)</f>
        <v/>
      </c>
      <c r="AU149" s="50">
        <f>MAX(AU23,AU21*Seasonality!$C$55*AU22)*(1-AU75)*(1-AU48)</f>
        <v/>
      </c>
      <c r="AV149" s="50">
        <f>MAX(AV23,AV21*Seasonality!$C$55*AV22)*(1-AV75)*(1-AV48)</f>
        <v/>
      </c>
      <c r="AW149" s="50">
        <f>MAX(AW23,AW21*Seasonality!$C$55*AW22)*(1-AW75)*(1-AW48)</f>
        <v/>
      </c>
      <c r="AX149" s="50">
        <f>MAX(AX23,AX21*Seasonality!$C$55*AX22)*(1-AX75)*(1-AX48)</f>
        <v/>
      </c>
      <c r="AY149" s="50">
        <f>MAX(AY23,AY21*Seasonality!$C$55*AY22)*(1-AY75)*(1-AY48)</f>
        <v/>
      </c>
      <c r="AZ149" s="50">
        <f>MAX(AZ23,AZ21*Seasonality!$C$55*AZ22)*(1-AZ75)*(1-AZ48)</f>
        <v/>
      </c>
      <c r="BA149" s="50">
        <f>MAX(BA23,BA21*Seasonality!$C$55*BA22)*(1-BA75)*(1-BA48)</f>
        <v/>
      </c>
      <c r="BB149" s="50">
        <f>MAX(BB23,BB21*Seasonality!$C$55*BB22)*(1-BB75)*(1-BB48)</f>
        <v/>
      </c>
      <c r="BC149" s="50">
        <f>MAX(BC23,BC21*Seasonality!$C$55*BC22)*(1-BC75)*(1-BC48)</f>
        <v/>
      </c>
      <c r="BD149" s="50">
        <f>MAX(BD23,BD21*Seasonality!$C$55*BD22)*(1-BD75)*(1-BD48)</f>
        <v/>
      </c>
      <c r="BE149" s="50">
        <f>MAX(BE23,BE21*Seasonality!$C$55*BE22)*(1-BE75)*(1-BE48)</f>
        <v/>
      </c>
    </row>
    <row r="150">
      <c r="B150" s="7" t="inlineStr">
        <is>
          <t>Revenue collected · month 20</t>
        </is>
      </c>
      <c r="C150" s="5" t="inlineStr">
        <is>
          <t>₹</t>
        </is>
      </c>
      <c r="D150" s="50">
        <f>MAX(D23,D21*Seasonality!$C$56*D22)*(1-D75)*(1-D48)</f>
        <v/>
      </c>
      <c r="E150" s="50">
        <f>MAX(E23,E21*Seasonality!$C$56*E22)*(1-E75)*(1-E48)</f>
        <v/>
      </c>
      <c r="F150" s="50">
        <f>MAX(F23,F21*Seasonality!$C$56*F22)*(1-F75)*(1-F48)</f>
        <v/>
      </c>
      <c r="G150" s="50">
        <f>MAX(G23,G21*Seasonality!$C$56*G22)*(1-G75)*(1-G48)</f>
        <v/>
      </c>
      <c r="H150" s="50">
        <f>MAX(H23,H21*Seasonality!$C$56*H22)*(1-H75)*(1-H48)</f>
        <v/>
      </c>
      <c r="I150" s="50">
        <f>MAX(I23,I21*Seasonality!$C$56*I22)*(1-I75)*(1-I48)</f>
        <v/>
      </c>
      <c r="J150" s="50">
        <f>MAX(J23,J21*Seasonality!$C$56*J22)*(1-J75)*(1-J48)</f>
        <v/>
      </c>
      <c r="K150" s="50">
        <f>MAX(K23,K21*Seasonality!$C$56*K22)*(1-K75)*(1-K48)</f>
        <v/>
      </c>
      <c r="L150" s="50">
        <f>MAX(L23,L21*Seasonality!$C$56*L22)*(1-L75)*(1-L48)</f>
        <v/>
      </c>
      <c r="M150" s="50">
        <f>MAX(M23,M21*Seasonality!$C$56*M22)*(1-M75)*(1-M48)</f>
        <v/>
      </c>
      <c r="N150" s="50">
        <f>MAX(N23,N21*Seasonality!$C$56*N22)*(1-N75)*(1-N48)</f>
        <v/>
      </c>
      <c r="O150" s="50">
        <f>MAX(O23,O21*Seasonality!$C$56*O22)*(1-O75)*(1-O48)</f>
        <v/>
      </c>
      <c r="P150" s="50">
        <f>MAX(P23,P21*Seasonality!$C$56*P22)*(1-P75)*(1-P48)</f>
        <v/>
      </c>
      <c r="Q150" s="50">
        <f>MAX(Q23,Q21*Seasonality!$C$56*Q22)*(1-Q75)*(1-Q48)</f>
        <v/>
      </c>
      <c r="R150" s="50">
        <f>MAX(R23,R21*Seasonality!$C$56*R22)*(1-R75)*(1-R48)</f>
        <v/>
      </c>
      <c r="S150" s="50">
        <f>MAX(S23,S21*Seasonality!$C$56*S22)*(1-S75)*(1-S48)</f>
        <v/>
      </c>
      <c r="T150" s="50">
        <f>MAX(T23,T21*Seasonality!$C$56*T22)*(1-T75)*(1-T48)</f>
        <v/>
      </c>
      <c r="U150" s="50">
        <f>MAX(U23,U21*Seasonality!$C$56*U22)*(1-U75)*(1-U48)</f>
        <v/>
      </c>
      <c r="V150" s="50">
        <f>MAX(V23,V21*Seasonality!$C$56*V22)*(1-V75)*(1-V48)</f>
        <v/>
      </c>
      <c r="W150" s="50">
        <f>MAX(W23,W21*Seasonality!$C$56*W22)*(1-W75)*(1-W48)</f>
        <v/>
      </c>
      <c r="X150" s="50">
        <f>MAX(X23,X21*Seasonality!$C$56*X22)*(1-X75)*(1-X48)</f>
        <v/>
      </c>
      <c r="Y150" s="50">
        <f>MAX(Y23,Y21*Seasonality!$C$56*Y22)*(1-Y75)*(1-Y48)</f>
        <v/>
      </c>
      <c r="Z150" s="50">
        <f>MAX(Z23,Z21*Seasonality!$C$56*Z22)*(1-Z75)*(1-Z48)</f>
        <v/>
      </c>
      <c r="AA150" s="50">
        <f>MAX(AA23,AA21*Seasonality!$C$56*AA22)*(1-AA75)*(1-AA48)</f>
        <v/>
      </c>
      <c r="AB150" s="50">
        <f>MAX(AB23,AB21*Seasonality!$C$56*AB22)*(1-AB75)*(1-AB48)</f>
        <v/>
      </c>
      <c r="AC150" s="50">
        <f>MAX(AC23,AC21*Seasonality!$C$56*AC22)*(1-AC75)*(1-AC48)</f>
        <v/>
      </c>
      <c r="AD150" s="50">
        <f>MAX(AD23,AD21*Seasonality!$C$56*AD22)*(1-AD75)*(1-AD48)</f>
        <v/>
      </c>
      <c r="AE150" s="50">
        <f>MAX(AE23,AE21*Seasonality!$C$56*AE22)*(1-AE75)*(1-AE48)</f>
        <v/>
      </c>
      <c r="AF150" s="50">
        <f>MAX(AF23,AF21*Seasonality!$C$56*AF22)*(1-AF75)*(1-AF48)</f>
        <v/>
      </c>
      <c r="AG150" s="50">
        <f>MAX(AG23,AG21*Seasonality!$C$56*AG22)*(1-AG75)*(1-AG48)</f>
        <v/>
      </c>
      <c r="AH150" s="50">
        <f>MAX(AH23,AH21*Seasonality!$C$56*AH22)*(1-AH75)*(1-AH48)</f>
        <v/>
      </c>
      <c r="AI150" s="50">
        <f>MAX(AI23,AI21*Seasonality!$C$56*AI22)*(1-AI75)*(1-AI48)</f>
        <v/>
      </c>
      <c r="AJ150" s="50">
        <f>MAX(AJ23,AJ21*Seasonality!$C$56*AJ22)*(1-AJ75)*(1-AJ48)</f>
        <v/>
      </c>
      <c r="AK150" s="50">
        <f>MAX(AK23,AK21*Seasonality!$C$56*AK22)*(1-AK75)*(1-AK48)</f>
        <v/>
      </c>
      <c r="AL150" s="50">
        <f>MAX(AL23,AL21*Seasonality!$C$56*AL22)*(1-AL75)*(1-AL48)</f>
        <v/>
      </c>
      <c r="AM150" s="50">
        <f>MAX(AM23,AM21*Seasonality!$C$56*AM22)*(1-AM75)*(1-AM48)</f>
        <v/>
      </c>
      <c r="AN150" s="50">
        <f>MAX(AN23,AN21*Seasonality!$C$56*AN22)*(1-AN75)*(1-AN48)</f>
        <v/>
      </c>
      <c r="AO150" s="50">
        <f>MAX(AO23,AO21*Seasonality!$C$56*AO22)*(1-AO75)*(1-AO48)</f>
        <v/>
      </c>
      <c r="AP150" s="50">
        <f>MAX(AP23,AP21*Seasonality!$C$56*AP22)*(1-AP75)*(1-AP48)</f>
        <v/>
      </c>
      <c r="AQ150" s="50">
        <f>MAX(AQ23,AQ21*Seasonality!$C$56*AQ22)*(1-AQ75)*(1-AQ48)</f>
        <v/>
      </c>
      <c r="AR150" s="50">
        <f>MAX(AR23,AR21*Seasonality!$C$56*AR22)*(1-AR75)*(1-AR48)</f>
        <v/>
      </c>
      <c r="AS150" s="50">
        <f>MAX(AS23,AS21*Seasonality!$C$56*AS22)*(1-AS75)*(1-AS48)</f>
        <v/>
      </c>
      <c r="AT150" s="50">
        <f>MAX(AT23,AT21*Seasonality!$C$56*AT22)*(1-AT75)*(1-AT48)</f>
        <v/>
      </c>
      <c r="AU150" s="50">
        <f>MAX(AU23,AU21*Seasonality!$C$56*AU22)*(1-AU75)*(1-AU48)</f>
        <v/>
      </c>
      <c r="AV150" s="50">
        <f>MAX(AV23,AV21*Seasonality!$C$56*AV22)*(1-AV75)*(1-AV48)</f>
        <v/>
      </c>
      <c r="AW150" s="50">
        <f>MAX(AW23,AW21*Seasonality!$C$56*AW22)*(1-AW75)*(1-AW48)</f>
        <v/>
      </c>
      <c r="AX150" s="50">
        <f>MAX(AX23,AX21*Seasonality!$C$56*AX22)*(1-AX75)*(1-AX48)</f>
        <v/>
      </c>
      <c r="AY150" s="50">
        <f>MAX(AY23,AY21*Seasonality!$C$56*AY22)*(1-AY75)*(1-AY48)</f>
        <v/>
      </c>
      <c r="AZ150" s="50">
        <f>MAX(AZ23,AZ21*Seasonality!$C$56*AZ22)*(1-AZ75)*(1-AZ48)</f>
        <v/>
      </c>
      <c r="BA150" s="50">
        <f>MAX(BA23,BA21*Seasonality!$C$56*BA22)*(1-BA75)*(1-BA48)</f>
        <v/>
      </c>
      <c r="BB150" s="50">
        <f>MAX(BB23,BB21*Seasonality!$C$56*BB22)*(1-BB75)*(1-BB48)</f>
        <v/>
      </c>
      <c r="BC150" s="50">
        <f>MAX(BC23,BC21*Seasonality!$C$56*BC22)*(1-BC75)*(1-BC48)</f>
        <v/>
      </c>
      <c r="BD150" s="50">
        <f>MAX(BD23,BD21*Seasonality!$C$56*BD22)*(1-BD75)*(1-BD48)</f>
        <v/>
      </c>
      <c r="BE150" s="50">
        <f>MAX(BE23,BE21*Seasonality!$C$56*BE22)*(1-BE75)*(1-BE48)</f>
        <v/>
      </c>
    </row>
    <row r="151">
      <c r="B151" s="7" t="inlineStr">
        <is>
          <t>Revenue collected · month 21</t>
        </is>
      </c>
      <c r="C151" s="5" t="inlineStr">
        <is>
          <t>₹</t>
        </is>
      </c>
      <c r="D151" s="50">
        <f>MAX(D23,D21*Seasonality!$C$57*D22)*(1-D75)*(1-D48)</f>
        <v/>
      </c>
      <c r="E151" s="50">
        <f>MAX(E23,E21*Seasonality!$C$57*E22)*(1-E75)*(1-E48)</f>
        <v/>
      </c>
      <c r="F151" s="50">
        <f>MAX(F23,F21*Seasonality!$C$57*F22)*(1-F75)*(1-F48)</f>
        <v/>
      </c>
      <c r="G151" s="50">
        <f>MAX(G23,G21*Seasonality!$C$57*G22)*(1-G75)*(1-G48)</f>
        <v/>
      </c>
      <c r="H151" s="50">
        <f>MAX(H23,H21*Seasonality!$C$57*H22)*(1-H75)*(1-H48)</f>
        <v/>
      </c>
      <c r="I151" s="50">
        <f>MAX(I23,I21*Seasonality!$C$57*I22)*(1-I75)*(1-I48)</f>
        <v/>
      </c>
      <c r="J151" s="50">
        <f>MAX(J23,J21*Seasonality!$C$57*J22)*(1-J75)*(1-J48)</f>
        <v/>
      </c>
      <c r="K151" s="50">
        <f>MAX(K23,K21*Seasonality!$C$57*K22)*(1-K75)*(1-K48)</f>
        <v/>
      </c>
      <c r="L151" s="50">
        <f>MAX(L23,L21*Seasonality!$C$57*L22)*(1-L75)*(1-L48)</f>
        <v/>
      </c>
      <c r="M151" s="50">
        <f>MAX(M23,M21*Seasonality!$C$57*M22)*(1-M75)*(1-M48)</f>
        <v/>
      </c>
      <c r="N151" s="50">
        <f>MAX(N23,N21*Seasonality!$C$57*N22)*(1-N75)*(1-N48)</f>
        <v/>
      </c>
      <c r="O151" s="50">
        <f>MAX(O23,O21*Seasonality!$C$57*O22)*(1-O75)*(1-O48)</f>
        <v/>
      </c>
      <c r="P151" s="50">
        <f>MAX(P23,P21*Seasonality!$C$57*P22)*(1-P75)*(1-P48)</f>
        <v/>
      </c>
      <c r="Q151" s="50">
        <f>MAX(Q23,Q21*Seasonality!$C$57*Q22)*(1-Q75)*(1-Q48)</f>
        <v/>
      </c>
      <c r="R151" s="50">
        <f>MAX(R23,R21*Seasonality!$C$57*R22)*(1-R75)*(1-R48)</f>
        <v/>
      </c>
      <c r="S151" s="50">
        <f>MAX(S23,S21*Seasonality!$C$57*S22)*(1-S75)*(1-S48)</f>
        <v/>
      </c>
      <c r="T151" s="50">
        <f>MAX(T23,T21*Seasonality!$C$57*T22)*(1-T75)*(1-T48)</f>
        <v/>
      </c>
      <c r="U151" s="50">
        <f>MAX(U23,U21*Seasonality!$C$57*U22)*(1-U75)*(1-U48)</f>
        <v/>
      </c>
      <c r="V151" s="50">
        <f>MAX(V23,V21*Seasonality!$C$57*V22)*(1-V75)*(1-V48)</f>
        <v/>
      </c>
      <c r="W151" s="50">
        <f>MAX(W23,W21*Seasonality!$C$57*W22)*(1-W75)*(1-W48)</f>
        <v/>
      </c>
      <c r="X151" s="50">
        <f>MAX(X23,X21*Seasonality!$C$57*X22)*(1-X75)*(1-X48)</f>
        <v/>
      </c>
      <c r="Y151" s="50">
        <f>MAX(Y23,Y21*Seasonality!$C$57*Y22)*(1-Y75)*(1-Y48)</f>
        <v/>
      </c>
      <c r="Z151" s="50">
        <f>MAX(Z23,Z21*Seasonality!$C$57*Z22)*(1-Z75)*(1-Z48)</f>
        <v/>
      </c>
      <c r="AA151" s="50">
        <f>MAX(AA23,AA21*Seasonality!$C$57*AA22)*(1-AA75)*(1-AA48)</f>
        <v/>
      </c>
      <c r="AB151" s="50">
        <f>MAX(AB23,AB21*Seasonality!$C$57*AB22)*(1-AB75)*(1-AB48)</f>
        <v/>
      </c>
      <c r="AC151" s="50">
        <f>MAX(AC23,AC21*Seasonality!$C$57*AC22)*(1-AC75)*(1-AC48)</f>
        <v/>
      </c>
      <c r="AD151" s="50">
        <f>MAX(AD23,AD21*Seasonality!$C$57*AD22)*(1-AD75)*(1-AD48)</f>
        <v/>
      </c>
      <c r="AE151" s="50">
        <f>MAX(AE23,AE21*Seasonality!$C$57*AE22)*(1-AE75)*(1-AE48)</f>
        <v/>
      </c>
      <c r="AF151" s="50">
        <f>MAX(AF23,AF21*Seasonality!$C$57*AF22)*(1-AF75)*(1-AF48)</f>
        <v/>
      </c>
      <c r="AG151" s="50">
        <f>MAX(AG23,AG21*Seasonality!$C$57*AG22)*(1-AG75)*(1-AG48)</f>
        <v/>
      </c>
      <c r="AH151" s="50">
        <f>MAX(AH23,AH21*Seasonality!$C$57*AH22)*(1-AH75)*(1-AH48)</f>
        <v/>
      </c>
      <c r="AI151" s="50">
        <f>MAX(AI23,AI21*Seasonality!$C$57*AI22)*(1-AI75)*(1-AI48)</f>
        <v/>
      </c>
      <c r="AJ151" s="50">
        <f>MAX(AJ23,AJ21*Seasonality!$C$57*AJ22)*(1-AJ75)*(1-AJ48)</f>
        <v/>
      </c>
      <c r="AK151" s="50">
        <f>MAX(AK23,AK21*Seasonality!$C$57*AK22)*(1-AK75)*(1-AK48)</f>
        <v/>
      </c>
      <c r="AL151" s="50">
        <f>MAX(AL23,AL21*Seasonality!$C$57*AL22)*(1-AL75)*(1-AL48)</f>
        <v/>
      </c>
      <c r="AM151" s="50">
        <f>MAX(AM23,AM21*Seasonality!$C$57*AM22)*(1-AM75)*(1-AM48)</f>
        <v/>
      </c>
      <c r="AN151" s="50">
        <f>MAX(AN23,AN21*Seasonality!$C$57*AN22)*(1-AN75)*(1-AN48)</f>
        <v/>
      </c>
      <c r="AO151" s="50">
        <f>MAX(AO23,AO21*Seasonality!$C$57*AO22)*(1-AO75)*(1-AO48)</f>
        <v/>
      </c>
      <c r="AP151" s="50">
        <f>MAX(AP23,AP21*Seasonality!$C$57*AP22)*(1-AP75)*(1-AP48)</f>
        <v/>
      </c>
      <c r="AQ151" s="50">
        <f>MAX(AQ23,AQ21*Seasonality!$C$57*AQ22)*(1-AQ75)*(1-AQ48)</f>
        <v/>
      </c>
      <c r="AR151" s="50">
        <f>MAX(AR23,AR21*Seasonality!$C$57*AR22)*(1-AR75)*(1-AR48)</f>
        <v/>
      </c>
      <c r="AS151" s="50">
        <f>MAX(AS23,AS21*Seasonality!$C$57*AS22)*(1-AS75)*(1-AS48)</f>
        <v/>
      </c>
      <c r="AT151" s="50">
        <f>MAX(AT23,AT21*Seasonality!$C$57*AT22)*(1-AT75)*(1-AT48)</f>
        <v/>
      </c>
      <c r="AU151" s="50">
        <f>MAX(AU23,AU21*Seasonality!$C$57*AU22)*(1-AU75)*(1-AU48)</f>
        <v/>
      </c>
      <c r="AV151" s="50">
        <f>MAX(AV23,AV21*Seasonality!$C$57*AV22)*(1-AV75)*(1-AV48)</f>
        <v/>
      </c>
      <c r="AW151" s="50">
        <f>MAX(AW23,AW21*Seasonality!$C$57*AW22)*(1-AW75)*(1-AW48)</f>
        <v/>
      </c>
      <c r="AX151" s="50">
        <f>MAX(AX23,AX21*Seasonality!$C$57*AX22)*(1-AX75)*(1-AX48)</f>
        <v/>
      </c>
      <c r="AY151" s="50">
        <f>MAX(AY23,AY21*Seasonality!$C$57*AY22)*(1-AY75)*(1-AY48)</f>
        <v/>
      </c>
      <c r="AZ151" s="50">
        <f>MAX(AZ23,AZ21*Seasonality!$C$57*AZ22)*(1-AZ75)*(1-AZ48)</f>
        <v/>
      </c>
      <c r="BA151" s="50">
        <f>MAX(BA23,BA21*Seasonality!$C$57*BA22)*(1-BA75)*(1-BA48)</f>
        <v/>
      </c>
      <c r="BB151" s="50">
        <f>MAX(BB23,BB21*Seasonality!$C$57*BB22)*(1-BB75)*(1-BB48)</f>
        <v/>
      </c>
      <c r="BC151" s="50">
        <f>MAX(BC23,BC21*Seasonality!$C$57*BC22)*(1-BC75)*(1-BC48)</f>
        <v/>
      </c>
      <c r="BD151" s="50">
        <f>MAX(BD23,BD21*Seasonality!$C$57*BD22)*(1-BD75)*(1-BD48)</f>
        <v/>
      </c>
      <c r="BE151" s="50">
        <f>MAX(BE23,BE21*Seasonality!$C$57*BE22)*(1-BE75)*(1-BE48)</f>
        <v/>
      </c>
    </row>
    <row r="152">
      <c r="B152" s="7" t="inlineStr">
        <is>
          <t>Revenue collected · month 22</t>
        </is>
      </c>
      <c r="C152" s="5" t="inlineStr">
        <is>
          <t>₹</t>
        </is>
      </c>
      <c r="D152" s="50">
        <f>MAX(D23,D21*Seasonality!$C$58*D22)*(1-D75)*(1-D48)</f>
        <v/>
      </c>
      <c r="E152" s="50">
        <f>MAX(E23,E21*Seasonality!$C$58*E22)*(1-E75)*(1-E48)</f>
        <v/>
      </c>
      <c r="F152" s="50">
        <f>MAX(F23,F21*Seasonality!$C$58*F22)*(1-F75)*(1-F48)</f>
        <v/>
      </c>
      <c r="G152" s="50">
        <f>MAX(G23,G21*Seasonality!$C$58*G22)*(1-G75)*(1-G48)</f>
        <v/>
      </c>
      <c r="H152" s="50">
        <f>MAX(H23,H21*Seasonality!$C$58*H22)*(1-H75)*(1-H48)</f>
        <v/>
      </c>
      <c r="I152" s="50">
        <f>MAX(I23,I21*Seasonality!$C$58*I22)*(1-I75)*(1-I48)</f>
        <v/>
      </c>
      <c r="J152" s="50">
        <f>MAX(J23,J21*Seasonality!$C$58*J22)*(1-J75)*(1-J48)</f>
        <v/>
      </c>
      <c r="K152" s="50">
        <f>MAX(K23,K21*Seasonality!$C$58*K22)*(1-K75)*(1-K48)</f>
        <v/>
      </c>
      <c r="L152" s="50">
        <f>MAX(L23,L21*Seasonality!$C$58*L22)*(1-L75)*(1-L48)</f>
        <v/>
      </c>
      <c r="M152" s="50">
        <f>MAX(M23,M21*Seasonality!$C$58*M22)*(1-M75)*(1-M48)</f>
        <v/>
      </c>
      <c r="N152" s="50">
        <f>MAX(N23,N21*Seasonality!$C$58*N22)*(1-N75)*(1-N48)</f>
        <v/>
      </c>
      <c r="O152" s="50">
        <f>MAX(O23,O21*Seasonality!$C$58*O22)*(1-O75)*(1-O48)</f>
        <v/>
      </c>
      <c r="P152" s="50">
        <f>MAX(P23,P21*Seasonality!$C$58*P22)*(1-P75)*(1-P48)</f>
        <v/>
      </c>
      <c r="Q152" s="50">
        <f>MAX(Q23,Q21*Seasonality!$C$58*Q22)*(1-Q75)*(1-Q48)</f>
        <v/>
      </c>
      <c r="R152" s="50">
        <f>MAX(R23,R21*Seasonality!$C$58*R22)*(1-R75)*(1-R48)</f>
        <v/>
      </c>
      <c r="S152" s="50">
        <f>MAX(S23,S21*Seasonality!$C$58*S22)*(1-S75)*(1-S48)</f>
        <v/>
      </c>
      <c r="T152" s="50">
        <f>MAX(T23,T21*Seasonality!$C$58*T22)*(1-T75)*(1-T48)</f>
        <v/>
      </c>
      <c r="U152" s="50">
        <f>MAX(U23,U21*Seasonality!$C$58*U22)*(1-U75)*(1-U48)</f>
        <v/>
      </c>
      <c r="V152" s="50">
        <f>MAX(V23,V21*Seasonality!$C$58*V22)*(1-V75)*(1-V48)</f>
        <v/>
      </c>
      <c r="W152" s="50">
        <f>MAX(W23,W21*Seasonality!$C$58*W22)*(1-W75)*(1-W48)</f>
        <v/>
      </c>
      <c r="X152" s="50">
        <f>MAX(X23,X21*Seasonality!$C$58*X22)*(1-X75)*(1-X48)</f>
        <v/>
      </c>
      <c r="Y152" s="50">
        <f>MAX(Y23,Y21*Seasonality!$C$58*Y22)*(1-Y75)*(1-Y48)</f>
        <v/>
      </c>
      <c r="Z152" s="50">
        <f>MAX(Z23,Z21*Seasonality!$C$58*Z22)*(1-Z75)*(1-Z48)</f>
        <v/>
      </c>
      <c r="AA152" s="50">
        <f>MAX(AA23,AA21*Seasonality!$C$58*AA22)*(1-AA75)*(1-AA48)</f>
        <v/>
      </c>
      <c r="AB152" s="50">
        <f>MAX(AB23,AB21*Seasonality!$C$58*AB22)*(1-AB75)*(1-AB48)</f>
        <v/>
      </c>
      <c r="AC152" s="50">
        <f>MAX(AC23,AC21*Seasonality!$C$58*AC22)*(1-AC75)*(1-AC48)</f>
        <v/>
      </c>
      <c r="AD152" s="50">
        <f>MAX(AD23,AD21*Seasonality!$C$58*AD22)*(1-AD75)*(1-AD48)</f>
        <v/>
      </c>
      <c r="AE152" s="50">
        <f>MAX(AE23,AE21*Seasonality!$C$58*AE22)*(1-AE75)*(1-AE48)</f>
        <v/>
      </c>
      <c r="AF152" s="50">
        <f>MAX(AF23,AF21*Seasonality!$C$58*AF22)*(1-AF75)*(1-AF48)</f>
        <v/>
      </c>
      <c r="AG152" s="50">
        <f>MAX(AG23,AG21*Seasonality!$C$58*AG22)*(1-AG75)*(1-AG48)</f>
        <v/>
      </c>
      <c r="AH152" s="50">
        <f>MAX(AH23,AH21*Seasonality!$C$58*AH22)*(1-AH75)*(1-AH48)</f>
        <v/>
      </c>
      <c r="AI152" s="50">
        <f>MAX(AI23,AI21*Seasonality!$C$58*AI22)*(1-AI75)*(1-AI48)</f>
        <v/>
      </c>
      <c r="AJ152" s="50">
        <f>MAX(AJ23,AJ21*Seasonality!$C$58*AJ22)*(1-AJ75)*(1-AJ48)</f>
        <v/>
      </c>
      <c r="AK152" s="50">
        <f>MAX(AK23,AK21*Seasonality!$C$58*AK22)*(1-AK75)*(1-AK48)</f>
        <v/>
      </c>
      <c r="AL152" s="50">
        <f>MAX(AL23,AL21*Seasonality!$C$58*AL22)*(1-AL75)*(1-AL48)</f>
        <v/>
      </c>
      <c r="AM152" s="50">
        <f>MAX(AM23,AM21*Seasonality!$C$58*AM22)*(1-AM75)*(1-AM48)</f>
        <v/>
      </c>
      <c r="AN152" s="50">
        <f>MAX(AN23,AN21*Seasonality!$C$58*AN22)*(1-AN75)*(1-AN48)</f>
        <v/>
      </c>
      <c r="AO152" s="50">
        <f>MAX(AO23,AO21*Seasonality!$C$58*AO22)*(1-AO75)*(1-AO48)</f>
        <v/>
      </c>
      <c r="AP152" s="50">
        <f>MAX(AP23,AP21*Seasonality!$C$58*AP22)*(1-AP75)*(1-AP48)</f>
        <v/>
      </c>
      <c r="AQ152" s="50">
        <f>MAX(AQ23,AQ21*Seasonality!$C$58*AQ22)*(1-AQ75)*(1-AQ48)</f>
        <v/>
      </c>
      <c r="AR152" s="50">
        <f>MAX(AR23,AR21*Seasonality!$C$58*AR22)*(1-AR75)*(1-AR48)</f>
        <v/>
      </c>
      <c r="AS152" s="50">
        <f>MAX(AS23,AS21*Seasonality!$C$58*AS22)*(1-AS75)*(1-AS48)</f>
        <v/>
      </c>
      <c r="AT152" s="50">
        <f>MAX(AT23,AT21*Seasonality!$C$58*AT22)*(1-AT75)*(1-AT48)</f>
        <v/>
      </c>
      <c r="AU152" s="50">
        <f>MAX(AU23,AU21*Seasonality!$C$58*AU22)*(1-AU75)*(1-AU48)</f>
        <v/>
      </c>
      <c r="AV152" s="50">
        <f>MAX(AV23,AV21*Seasonality!$C$58*AV22)*(1-AV75)*(1-AV48)</f>
        <v/>
      </c>
      <c r="AW152" s="50">
        <f>MAX(AW23,AW21*Seasonality!$C$58*AW22)*(1-AW75)*(1-AW48)</f>
        <v/>
      </c>
      <c r="AX152" s="50">
        <f>MAX(AX23,AX21*Seasonality!$C$58*AX22)*(1-AX75)*(1-AX48)</f>
        <v/>
      </c>
      <c r="AY152" s="50">
        <f>MAX(AY23,AY21*Seasonality!$C$58*AY22)*(1-AY75)*(1-AY48)</f>
        <v/>
      </c>
      <c r="AZ152" s="50">
        <f>MAX(AZ23,AZ21*Seasonality!$C$58*AZ22)*(1-AZ75)*(1-AZ48)</f>
        <v/>
      </c>
      <c r="BA152" s="50">
        <f>MAX(BA23,BA21*Seasonality!$C$58*BA22)*(1-BA75)*(1-BA48)</f>
        <v/>
      </c>
      <c r="BB152" s="50">
        <f>MAX(BB23,BB21*Seasonality!$C$58*BB22)*(1-BB75)*(1-BB48)</f>
        <v/>
      </c>
      <c r="BC152" s="50">
        <f>MAX(BC23,BC21*Seasonality!$C$58*BC22)*(1-BC75)*(1-BC48)</f>
        <v/>
      </c>
      <c r="BD152" s="50">
        <f>MAX(BD23,BD21*Seasonality!$C$58*BD22)*(1-BD75)*(1-BD48)</f>
        <v/>
      </c>
      <c r="BE152" s="50">
        <f>MAX(BE23,BE21*Seasonality!$C$58*BE22)*(1-BE75)*(1-BE48)</f>
        <v/>
      </c>
    </row>
    <row r="153">
      <c r="B153" s="7" t="inlineStr">
        <is>
          <t>Revenue collected · month 23</t>
        </is>
      </c>
      <c r="C153" s="5" t="inlineStr">
        <is>
          <t>₹</t>
        </is>
      </c>
      <c r="D153" s="50">
        <f>MAX(D23,D21*Seasonality!$C$59*D22)*(1-D75)*(1-D48)</f>
        <v/>
      </c>
      <c r="E153" s="50">
        <f>MAX(E23,E21*Seasonality!$C$59*E22)*(1-E75)*(1-E48)</f>
        <v/>
      </c>
      <c r="F153" s="50">
        <f>MAX(F23,F21*Seasonality!$C$59*F22)*(1-F75)*(1-F48)</f>
        <v/>
      </c>
      <c r="G153" s="50">
        <f>MAX(G23,G21*Seasonality!$C$59*G22)*(1-G75)*(1-G48)</f>
        <v/>
      </c>
      <c r="H153" s="50">
        <f>MAX(H23,H21*Seasonality!$C$59*H22)*(1-H75)*(1-H48)</f>
        <v/>
      </c>
      <c r="I153" s="50">
        <f>MAX(I23,I21*Seasonality!$C$59*I22)*(1-I75)*(1-I48)</f>
        <v/>
      </c>
      <c r="J153" s="50">
        <f>MAX(J23,J21*Seasonality!$C$59*J22)*(1-J75)*(1-J48)</f>
        <v/>
      </c>
      <c r="K153" s="50">
        <f>MAX(K23,K21*Seasonality!$C$59*K22)*(1-K75)*(1-K48)</f>
        <v/>
      </c>
      <c r="L153" s="50">
        <f>MAX(L23,L21*Seasonality!$C$59*L22)*(1-L75)*(1-L48)</f>
        <v/>
      </c>
      <c r="M153" s="50">
        <f>MAX(M23,M21*Seasonality!$C$59*M22)*(1-M75)*(1-M48)</f>
        <v/>
      </c>
      <c r="N153" s="50">
        <f>MAX(N23,N21*Seasonality!$C$59*N22)*(1-N75)*(1-N48)</f>
        <v/>
      </c>
      <c r="O153" s="50">
        <f>MAX(O23,O21*Seasonality!$C$59*O22)*(1-O75)*(1-O48)</f>
        <v/>
      </c>
      <c r="P153" s="50">
        <f>MAX(P23,P21*Seasonality!$C$59*P22)*(1-P75)*(1-P48)</f>
        <v/>
      </c>
      <c r="Q153" s="50">
        <f>MAX(Q23,Q21*Seasonality!$C$59*Q22)*(1-Q75)*(1-Q48)</f>
        <v/>
      </c>
      <c r="R153" s="50">
        <f>MAX(R23,R21*Seasonality!$C$59*R22)*(1-R75)*(1-R48)</f>
        <v/>
      </c>
      <c r="S153" s="50">
        <f>MAX(S23,S21*Seasonality!$C$59*S22)*(1-S75)*(1-S48)</f>
        <v/>
      </c>
      <c r="T153" s="50">
        <f>MAX(T23,T21*Seasonality!$C$59*T22)*(1-T75)*(1-T48)</f>
        <v/>
      </c>
      <c r="U153" s="50">
        <f>MAX(U23,U21*Seasonality!$C$59*U22)*(1-U75)*(1-U48)</f>
        <v/>
      </c>
      <c r="V153" s="50">
        <f>MAX(V23,V21*Seasonality!$C$59*V22)*(1-V75)*(1-V48)</f>
        <v/>
      </c>
      <c r="W153" s="50">
        <f>MAX(W23,W21*Seasonality!$C$59*W22)*(1-W75)*(1-W48)</f>
        <v/>
      </c>
      <c r="X153" s="50">
        <f>MAX(X23,X21*Seasonality!$C$59*X22)*(1-X75)*(1-X48)</f>
        <v/>
      </c>
      <c r="Y153" s="50">
        <f>MAX(Y23,Y21*Seasonality!$C$59*Y22)*(1-Y75)*(1-Y48)</f>
        <v/>
      </c>
      <c r="Z153" s="50">
        <f>MAX(Z23,Z21*Seasonality!$C$59*Z22)*(1-Z75)*(1-Z48)</f>
        <v/>
      </c>
      <c r="AA153" s="50">
        <f>MAX(AA23,AA21*Seasonality!$C$59*AA22)*(1-AA75)*(1-AA48)</f>
        <v/>
      </c>
      <c r="AB153" s="50">
        <f>MAX(AB23,AB21*Seasonality!$C$59*AB22)*(1-AB75)*(1-AB48)</f>
        <v/>
      </c>
      <c r="AC153" s="50">
        <f>MAX(AC23,AC21*Seasonality!$C$59*AC22)*(1-AC75)*(1-AC48)</f>
        <v/>
      </c>
      <c r="AD153" s="50">
        <f>MAX(AD23,AD21*Seasonality!$C$59*AD22)*(1-AD75)*(1-AD48)</f>
        <v/>
      </c>
      <c r="AE153" s="50">
        <f>MAX(AE23,AE21*Seasonality!$C$59*AE22)*(1-AE75)*(1-AE48)</f>
        <v/>
      </c>
      <c r="AF153" s="50">
        <f>MAX(AF23,AF21*Seasonality!$C$59*AF22)*(1-AF75)*(1-AF48)</f>
        <v/>
      </c>
      <c r="AG153" s="50">
        <f>MAX(AG23,AG21*Seasonality!$C$59*AG22)*(1-AG75)*(1-AG48)</f>
        <v/>
      </c>
      <c r="AH153" s="50">
        <f>MAX(AH23,AH21*Seasonality!$C$59*AH22)*(1-AH75)*(1-AH48)</f>
        <v/>
      </c>
      <c r="AI153" s="50">
        <f>MAX(AI23,AI21*Seasonality!$C$59*AI22)*(1-AI75)*(1-AI48)</f>
        <v/>
      </c>
      <c r="AJ153" s="50">
        <f>MAX(AJ23,AJ21*Seasonality!$C$59*AJ22)*(1-AJ75)*(1-AJ48)</f>
        <v/>
      </c>
      <c r="AK153" s="50">
        <f>MAX(AK23,AK21*Seasonality!$C$59*AK22)*(1-AK75)*(1-AK48)</f>
        <v/>
      </c>
      <c r="AL153" s="50">
        <f>MAX(AL23,AL21*Seasonality!$C$59*AL22)*(1-AL75)*(1-AL48)</f>
        <v/>
      </c>
      <c r="AM153" s="50">
        <f>MAX(AM23,AM21*Seasonality!$C$59*AM22)*(1-AM75)*(1-AM48)</f>
        <v/>
      </c>
      <c r="AN153" s="50">
        <f>MAX(AN23,AN21*Seasonality!$C$59*AN22)*(1-AN75)*(1-AN48)</f>
        <v/>
      </c>
      <c r="AO153" s="50">
        <f>MAX(AO23,AO21*Seasonality!$C$59*AO22)*(1-AO75)*(1-AO48)</f>
        <v/>
      </c>
      <c r="AP153" s="50">
        <f>MAX(AP23,AP21*Seasonality!$C$59*AP22)*(1-AP75)*(1-AP48)</f>
        <v/>
      </c>
      <c r="AQ153" s="50">
        <f>MAX(AQ23,AQ21*Seasonality!$C$59*AQ22)*(1-AQ75)*(1-AQ48)</f>
        <v/>
      </c>
      <c r="AR153" s="50">
        <f>MAX(AR23,AR21*Seasonality!$C$59*AR22)*(1-AR75)*(1-AR48)</f>
        <v/>
      </c>
      <c r="AS153" s="50">
        <f>MAX(AS23,AS21*Seasonality!$C$59*AS22)*(1-AS75)*(1-AS48)</f>
        <v/>
      </c>
      <c r="AT153" s="50">
        <f>MAX(AT23,AT21*Seasonality!$C$59*AT22)*(1-AT75)*(1-AT48)</f>
        <v/>
      </c>
      <c r="AU153" s="50">
        <f>MAX(AU23,AU21*Seasonality!$C$59*AU22)*(1-AU75)*(1-AU48)</f>
        <v/>
      </c>
      <c r="AV153" s="50">
        <f>MAX(AV23,AV21*Seasonality!$C$59*AV22)*(1-AV75)*(1-AV48)</f>
        <v/>
      </c>
      <c r="AW153" s="50">
        <f>MAX(AW23,AW21*Seasonality!$C$59*AW22)*(1-AW75)*(1-AW48)</f>
        <v/>
      </c>
      <c r="AX153" s="50">
        <f>MAX(AX23,AX21*Seasonality!$C$59*AX22)*(1-AX75)*(1-AX48)</f>
        <v/>
      </c>
      <c r="AY153" s="50">
        <f>MAX(AY23,AY21*Seasonality!$C$59*AY22)*(1-AY75)*(1-AY48)</f>
        <v/>
      </c>
      <c r="AZ153" s="50">
        <f>MAX(AZ23,AZ21*Seasonality!$C$59*AZ22)*(1-AZ75)*(1-AZ48)</f>
        <v/>
      </c>
      <c r="BA153" s="50">
        <f>MAX(BA23,BA21*Seasonality!$C$59*BA22)*(1-BA75)*(1-BA48)</f>
        <v/>
      </c>
      <c r="BB153" s="50">
        <f>MAX(BB23,BB21*Seasonality!$C$59*BB22)*(1-BB75)*(1-BB48)</f>
        <v/>
      </c>
      <c r="BC153" s="50">
        <f>MAX(BC23,BC21*Seasonality!$C$59*BC22)*(1-BC75)*(1-BC48)</f>
        <v/>
      </c>
      <c r="BD153" s="50">
        <f>MAX(BD23,BD21*Seasonality!$C$59*BD22)*(1-BD75)*(1-BD48)</f>
        <v/>
      </c>
      <c r="BE153" s="50">
        <f>MAX(BE23,BE21*Seasonality!$C$59*BE22)*(1-BE75)*(1-BE48)</f>
        <v/>
      </c>
    </row>
    <row r="154">
      <c r="B154" s="7" t="inlineStr">
        <is>
          <t>Revenue collected · month 24</t>
        </is>
      </c>
      <c r="C154" s="5" t="inlineStr">
        <is>
          <t>₹</t>
        </is>
      </c>
      <c r="D154" s="50">
        <f>MAX(D23,D21*Seasonality!$C$60*D22)*(1-D75)*(1-D48)</f>
        <v/>
      </c>
      <c r="E154" s="50">
        <f>MAX(E23,E21*Seasonality!$C$60*E22)*(1-E75)*(1-E48)</f>
        <v/>
      </c>
      <c r="F154" s="50">
        <f>MAX(F23,F21*Seasonality!$C$60*F22)*(1-F75)*(1-F48)</f>
        <v/>
      </c>
      <c r="G154" s="50">
        <f>MAX(G23,G21*Seasonality!$C$60*G22)*(1-G75)*(1-G48)</f>
        <v/>
      </c>
      <c r="H154" s="50">
        <f>MAX(H23,H21*Seasonality!$C$60*H22)*(1-H75)*(1-H48)</f>
        <v/>
      </c>
      <c r="I154" s="50">
        <f>MAX(I23,I21*Seasonality!$C$60*I22)*(1-I75)*(1-I48)</f>
        <v/>
      </c>
      <c r="J154" s="50">
        <f>MAX(J23,J21*Seasonality!$C$60*J22)*(1-J75)*(1-J48)</f>
        <v/>
      </c>
      <c r="K154" s="50">
        <f>MAX(K23,K21*Seasonality!$C$60*K22)*(1-K75)*(1-K48)</f>
        <v/>
      </c>
      <c r="L154" s="50">
        <f>MAX(L23,L21*Seasonality!$C$60*L22)*(1-L75)*(1-L48)</f>
        <v/>
      </c>
      <c r="M154" s="50">
        <f>MAX(M23,M21*Seasonality!$C$60*M22)*(1-M75)*(1-M48)</f>
        <v/>
      </c>
      <c r="N154" s="50">
        <f>MAX(N23,N21*Seasonality!$C$60*N22)*(1-N75)*(1-N48)</f>
        <v/>
      </c>
      <c r="O154" s="50">
        <f>MAX(O23,O21*Seasonality!$C$60*O22)*(1-O75)*(1-O48)</f>
        <v/>
      </c>
      <c r="P154" s="50">
        <f>MAX(P23,P21*Seasonality!$C$60*P22)*(1-P75)*(1-P48)</f>
        <v/>
      </c>
      <c r="Q154" s="50">
        <f>MAX(Q23,Q21*Seasonality!$C$60*Q22)*(1-Q75)*(1-Q48)</f>
        <v/>
      </c>
      <c r="R154" s="50">
        <f>MAX(R23,R21*Seasonality!$C$60*R22)*(1-R75)*(1-R48)</f>
        <v/>
      </c>
      <c r="S154" s="50">
        <f>MAX(S23,S21*Seasonality!$C$60*S22)*(1-S75)*(1-S48)</f>
        <v/>
      </c>
      <c r="T154" s="50">
        <f>MAX(T23,T21*Seasonality!$C$60*T22)*(1-T75)*(1-T48)</f>
        <v/>
      </c>
      <c r="U154" s="50">
        <f>MAX(U23,U21*Seasonality!$C$60*U22)*(1-U75)*(1-U48)</f>
        <v/>
      </c>
      <c r="V154" s="50">
        <f>MAX(V23,V21*Seasonality!$C$60*V22)*(1-V75)*(1-V48)</f>
        <v/>
      </c>
      <c r="W154" s="50">
        <f>MAX(W23,W21*Seasonality!$C$60*W22)*(1-W75)*(1-W48)</f>
        <v/>
      </c>
      <c r="X154" s="50">
        <f>MAX(X23,X21*Seasonality!$C$60*X22)*(1-X75)*(1-X48)</f>
        <v/>
      </c>
      <c r="Y154" s="50">
        <f>MAX(Y23,Y21*Seasonality!$C$60*Y22)*(1-Y75)*(1-Y48)</f>
        <v/>
      </c>
      <c r="Z154" s="50">
        <f>MAX(Z23,Z21*Seasonality!$C$60*Z22)*(1-Z75)*(1-Z48)</f>
        <v/>
      </c>
      <c r="AA154" s="50">
        <f>MAX(AA23,AA21*Seasonality!$C$60*AA22)*(1-AA75)*(1-AA48)</f>
        <v/>
      </c>
      <c r="AB154" s="50">
        <f>MAX(AB23,AB21*Seasonality!$C$60*AB22)*(1-AB75)*(1-AB48)</f>
        <v/>
      </c>
      <c r="AC154" s="50">
        <f>MAX(AC23,AC21*Seasonality!$C$60*AC22)*(1-AC75)*(1-AC48)</f>
        <v/>
      </c>
      <c r="AD154" s="50">
        <f>MAX(AD23,AD21*Seasonality!$C$60*AD22)*(1-AD75)*(1-AD48)</f>
        <v/>
      </c>
      <c r="AE154" s="50">
        <f>MAX(AE23,AE21*Seasonality!$C$60*AE22)*(1-AE75)*(1-AE48)</f>
        <v/>
      </c>
      <c r="AF154" s="50">
        <f>MAX(AF23,AF21*Seasonality!$C$60*AF22)*(1-AF75)*(1-AF48)</f>
        <v/>
      </c>
      <c r="AG154" s="50">
        <f>MAX(AG23,AG21*Seasonality!$C$60*AG22)*(1-AG75)*(1-AG48)</f>
        <v/>
      </c>
      <c r="AH154" s="50">
        <f>MAX(AH23,AH21*Seasonality!$C$60*AH22)*(1-AH75)*(1-AH48)</f>
        <v/>
      </c>
      <c r="AI154" s="50">
        <f>MAX(AI23,AI21*Seasonality!$C$60*AI22)*(1-AI75)*(1-AI48)</f>
        <v/>
      </c>
      <c r="AJ154" s="50">
        <f>MAX(AJ23,AJ21*Seasonality!$C$60*AJ22)*(1-AJ75)*(1-AJ48)</f>
        <v/>
      </c>
      <c r="AK154" s="50">
        <f>MAX(AK23,AK21*Seasonality!$C$60*AK22)*(1-AK75)*(1-AK48)</f>
        <v/>
      </c>
      <c r="AL154" s="50">
        <f>MAX(AL23,AL21*Seasonality!$C$60*AL22)*(1-AL75)*(1-AL48)</f>
        <v/>
      </c>
      <c r="AM154" s="50">
        <f>MAX(AM23,AM21*Seasonality!$C$60*AM22)*(1-AM75)*(1-AM48)</f>
        <v/>
      </c>
      <c r="AN154" s="50">
        <f>MAX(AN23,AN21*Seasonality!$C$60*AN22)*(1-AN75)*(1-AN48)</f>
        <v/>
      </c>
      <c r="AO154" s="50">
        <f>MAX(AO23,AO21*Seasonality!$C$60*AO22)*(1-AO75)*(1-AO48)</f>
        <v/>
      </c>
      <c r="AP154" s="50">
        <f>MAX(AP23,AP21*Seasonality!$C$60*AP22)*(1-AP75)*(1-AP48)</f>
        <v/>
      </c>
      <c r="AQ154" s="50">
        <f>MAX(AQ23,AQ21*Seasonality!$C$60*AQ22)*(1-AQ75)*(1-AQ48)</f>
        <v/>
      </c>
      <c r="AR154" s="50">
        <f>MAX(AR23,AR21*Seasonality!$C$60*AR22)*(1-AR75)*(1-AR48)</f>
        <v/>
      </c>
      <c r="AS154" s="50">
        <f>MAX(AS23,AS21*Seasonality!$C$60*AS22)*(1-AS75)*(1-AS48)</f>
        <v/>
      </c>
      <c r="AT154" s="50">
        <f>MAX(AT23,AT21*Seasonality!$C$60*AT22)*(1-AT75)*(1-AT48)</f>
        <v/>
      </c>
      <c r="AU154" s="50">
        <f>MAX(AU23,AU21*Seasonality!$C$60*AU22)*(1-AU75)*(1-AU48)</f>
        <v/>
      </c>
      <c r="AV154" s="50">
        <f>MAX(AV23,AV21*Seasonality!$C$60*AV22)*(1-AV75)*(1-AV48)</f>
        <v/>
      </c>
      <c r="AW154" s="50">
        <f>MAX(AW23,AW21*Seasonality!$C$60*AW22)*(1-AW75)*(1-AW48)</f>
        <v/>
      </c>
      <c r="AX154" s="50">
        <f>MAX(AX23,AX21*Seasonality!$C$60*AX22)*(1-AX75)*(1-AX48)</f>
        <v/>
      </c>
      <c r="AY154" s="50">
        <f>MAX(AY23,AY21*Seasonality!$C$60*AY22)*(1-AY75)*(1-AY48)</f>
        <v/>
      </c>
      <c r="AZ154" s="50">
        <f>MAX(AZ23,AZ21*Seasonality!$C$60*AZ22)*(1-AZ75)*(1-AZ48)</f>
        <v/>
      </c>
      <c r="BA154" s="50">
        <f>MAX(BA23,BA21*Seasonality!$C$60*BA22)*(1-BA75)*(1-BA48)</f>
        <v/>
      </c>
      <c r="BB154" s="50">
        <f>MAX(BB23,BB21*Seasonality!$C$60*BB22)*(1-BB75)*(1-BB48)</f>
        <v/>
      </c>
      <c r="BC154" s="50">
        <f>MAX(BC23,BC21*Seasonality!$C$60*BC22)*(1-BC75)*(1-BC48)</f>
        <v/>
      </c>
      <c r="BD154" s="50">
        <f>MAX(BD23,BD21*Seasonality!$C$60*BD22)*(1-BD75)*(1-BD48)</f>
        <v/>
      </c>
      <c r="BE154" s="50">
        <f>MAX(BE23,BE21*Seasonality!$C$60*BE22)*(1-BE75)*(1-BE48)</f>
        <v/>
      </c>
    </row>
    <row r="155">
      <c r="B155" s="7" t="inlineStr">
        <is>
          <t>Revenue collected · month 25</t>
        </is>
      </c>
      <c r="C155" s="5" t="inlineStr">
        <is>
          <t>₹</t>
        </is>
      </c>
      <c r="D155" s="50">
        <f>MAX(D23,D21*Seasonality!$C$61*D22)*(1-D75)*(1-D48)</f>
        <v/>
      </c>
      <c r="E155" s="50">
        <f>MAX(E23,E21*Seasonality!$C$61*E22)*(1-E75)*(1-E48)</f>
        <v/>
      </c>
      <c r="F155" s="50">
        <f>MAX(F23,F21*Seasonality!$C$61*F22)*(1-F75)*(1-F48)</f>
        <v/>
      </c>
      <c r="G155" s="50">
        <f>MAX(G23,G21*Seasonality!$C$61*G22)*(1-G75)*(1-G48)</f>
        <v/>
      </c>
      <c r="H155" s="50">
        <f>MAX(H23,H21*Seasonality!$C$61*H22)*(1-H75)*(1-H48)</f>
        <v/>
      </c>
      <c r="I155" s="50">
        <f>MAX(I23,I21*Seasonality!$C$61*I22)*(1-I75)*(1-I48)</f>
        <v/>
      </c>
      <c r="J155" s="50">
        <f>MAX(J23,J21*Seasonality!$C$61*J22)*(1-J75)*(1-J48)</f>
        <v/>
      </c>
      <c r="K155" s="50">
        <f>MAX(K23,K21*Seasonality!$C$61*K22)*(1-K75)*(1-K48)</f>
        <v/>
      </c>
      <c r="L155" s="50">
        <f>MAX(L23,L21*Seasonality!$C$61*L22)*(1-L75)*(1-L48)</f>
        <v/>
      </c>
      <c r="M155" s="50">
        <f>MAX(M23,M21*Seasonality!$C$61*M22)*(1-M75)*(1-M48)</f>
        <v/>
      </c>
      <c r="N155" s="50">
        <f>MAX(N23,N21*Seasonality!$C$61*N22)*(1-N75)*(1-N48)</f>
        <v/>
      </c>
      <c r="O155" s="50">
        <f>MAX(O23,O21*Seasonality!$C$61*O22)*(1-O75)*(1-O48)</f>
        <v/>
      </c>
      <c r="P155" s="50">
        <f>MAX(P23,P21*Seasonality!$C$61*P22)*(1-P75)*(1-P48)</f>
        <v/>
      </c>
      <c r="Q155" s="50">
        <f>MAX(Q23,Q21*Seasonality!$C$61*Q22)*(1-Q75)*(1-Q48)</f>
        <v/>
      </c>
      <c r="R155" s="50">
        <f>MAX(R23,R21*Seasonality!$C$61*R22)*(1-R75)*(1-R48)</f>
        <v/>
      </c>
      <c r="S155" s="50">
        <f>MAX(S23,S21*Seasonality!$C$61*S22)*(1-S75)*(1-S48)</f>
        <v/>
      </c>
      <c r="T155" s="50">
        <f>MAX(T23,T21*Seasonality!$C$61*T22)*(1-T75)*(1-T48)</f>
        <v/>
      </c>
      <c r="U155" s="50">
        <f>MAX(U23,U21*Seasonality!$C$61*U22)*(1-U75)*(1-U48)</f>
        <v/>
      </c>
      <c r="V155" s="50">
        <f>MAX(V23,V21*Seasonality!$C$61*V22)*(1-V75)*(1-V48)</f>
        <v/>
      </c>
      <c r="W155" s="50">
        <f>MAX(W23,W21*Seasonality!$C$61*W22)*(1-W75)*(1-W48)</f>
        <v/>
      </c>
      <c r="X155" s="50">
        <f>MAX(X23,X21*Seasonality!$C$61*X22)*(1-X75)*(1-X48)</f>
        <v/>
      </c>
      <c r="Y155" s="50">
        <f>MAX(Y23,Y21*Seasonality!$C$61*Y22)*(1-Y75)*(1-Y48)</f>
        <v/>
      </c>
      <c r="Z155" s="50">
        <f>MAX(Z23,Z21*Seasonality!$C$61*Z22)*(1-Z75)*(1-Z48)</f>
        <v/>
      </c>
      <c r="AA155" s="50">
        <f>MAX(AA23,AA21*Seasonality!$C$61*AA22)*(1-AA75)*(1-AA48)</f>
        <v/>
      </c>
      <c r="AB155" s="50">
        <f>MAX(AB23,AB21*Seasonality!$C$61*AB22)*(1-AB75)*(1-AB48)</f>
        <v/>
      </c>
      <c r="AC155" s="50">
        <f>MAX(AC23,AC21*Seasonality!$C$61*AC22)*(1-AC75)*(1-AC48)</f>
        <v/>
      </c>
      <c r="AD155" s="50">
        <f>MAX(AD23,AD21*Seasonality!$C$61*AD22)*(1-AD75)*(1-AD48)</f>
        <v/>
      </c>
      <c r="AE155" s="50">
        <f>MAX(AE23,AE21*Seasonality!$C$61*AE22)*(1-AE75)*(1-AE48)</f>
        <v/>
      </c>
      <c r="AF155" s="50">
        <f>MAX(AF23,AF21*Seasonality!$C$61*AF22)*(1-AF75)*(1-AF48)</f>
        <v/>
      </c>
      <c r="AG155" s="50">
        <f>MAX(AG23,AG21*Seasonality!$C$61*AG22)*(1-AG75)*(1-AG48)</f>
        <v/>
      </c>
      <c r="AH155" s="50">
        <f>MAX(AH23,AH21*Seasonality!$C$61*AH22)*(1-AH75)*(1-AH48)</f>
        <v/>
      </c>
      <c r="AI155" s="50">
        <f>MAX(AI23,AI21*Seasonality!$C$61*AI22)*(1-AI75)*(1-AI48)</f>
        <v/>
      </c>
      <c r="AJ155" s="50">
        <f>MAX(AJ23,AJ21*Seasonality!$C$61*AJ22)*(1-AJ75)*(1-AJ48)</f>
        <v/>
      </c>
      <c r="AK155" s="50">
        <f>MAX(AK23,AK21*Seasonality!$C$61*AK22)*(1-AK75)*(1-AK48)</f>
        <v/>
      </c>
      <c r="AL155" s="50">
        <f>MAX(AL23,AL21*Seasonality!$C$61*AL22)*(1-AL75)*(1-AL48)</f>
        <v/>
      </c>
      <c r="AM155" s="50">
        <f>MAX(AM23,AM21*Seasonality!$C$61*AM22)*(1-AM75)*(1-AM48)</f>
        <v/>
      </c>
      <c r="AN155" s="50">
        <f>MAX(AN23,AN21*Seasonality!$C$61*AN22)*(1-AN75)*(1-AN48)</f>
        <v/>
      </c>
      <c r="AO155" s="50">
        <f>MAX(AO23,AO21*Seasonality!$C$61*AO22)*(1-AO75)*(1-AO48)</f>
        <v/>
      </c>
      <c r="AP155" s="50">
        <f>MAX(AP23,AP21*Seasonality!$C$61*AP22)*(1-AP75)*(1-AP48)</f>
        <v/>
      </c>
      <c r="AQ155" s="50">
        <f>MAX(AQ23,AQ21*Seasonality!$C$61*AQ22)*(1-AQ75)*(1-AQ48)</f>
        <v/>
      </c>
      <c r="AR155" s="50">
        <f>MAX(AR23,AR21*Seasonality!$C$61*AR22)*(1-AR75)*(1-AR48)</f>
        <v/>
      </c>
      <c r="AS155" s="50">
        <f>MAX(AS23,AS21*Seasonality!$C$61*AS22)*(1-AS75)*(1-AS48)</f>
        <v/>
      </c>
      <c r="AT155" s="50">
        <f>MAX(AT23,AT21*Seasonality!$C$61*AT22)*(1-AT75)*(1-AT48)</f>
        <v/>
      </c>
      <c r="AU155" s="50">
        <f>MAX(AU23,AU21*Seasonality!$C$61*AU22)*(1-AU75)*(1-AU48)</f>
        <v/>
      </c>
      <c r="AV155" s="50">
        <f>MAX(AV23,AV21*Seasonality!$C$61*AV22)*(1-AV75)*(1-AV48)</f>
        <v/>
      </c>
      <c r="AW155" s="50">
        <f>MAX(AW23,AW21*Seasonality!$C$61*AW22)*(1-AW75)*(1-AW48)</f>
        <v/>
      </c>
      <c r="AX155" s="50">
        <f>MAX(AX23,AX21*Seasonality!$C$61*AX22)*(1-AX75)*(1-AX48)</f>
        <v/>
      </c>
      <c r="AY155" s="50">
        <f>MAX(AY23,AY21*Seasonality!$C$61*AY22)*(1-AY75)*(1-AY48)</f>
        <v/>
      </c>
      <c r="AZ155" s="50">
        <f>MAX(AZ23,AZ21*Seasonality!$C$61*AZ22)*(1-AZ75)*(1-AZ48)</f>
        <v/>
      </c>
      <c r="BA155" s="50">
        <f>MAX(BA23,BA21*Seasonality!$C$61*BA22)*(1-BA75)*(1-BA48)</f>
        <v/>
      </c>
      <c r="BB155" s="50">
        <f>MAX(BB23,BB21*Seasonality!$C$61*BB22)*(1-BB75)*(1-BB48)</f>
        <v/>
      </c>
      <c r="BC155" s="50">
        <f>MAX(BC23,BC21*Seasonality!$C$61*BC22)*(1-BC75)*(1-BC48)</f>
        <v/>
      </c>
      <c r="BD155" s="50">
        <f>MAX(BD23,BD21*Seasonality!$C$61*BD22)*(1-BD75)*(1-BD48)</f>
        <v/>
      </c>
      <c r="BE155" s="50">
        <f>MAX(BE23,BE21*Seasonality!$C$61*BE22)*(1-BE75)*(1-BE48)</f>
        <v/>
      </c>
    </row>
    <row r="156">
      <c r="B156" s="7" t="inlineStr">
        <is>
          <t>Revenue collected · month 26</t>
        </is>
      </c>
      <c r="C156" s="5" t="inlineStr">
        <is>
          <t>₹</t>
        </is>
      </c>
      <c r="D156" s="50">
        <f>MAX(D23,D21*Seasonality!$C$62*D22)*(1-D75)*(1-D48)</f>
        <v/>
      </c>
      <c r="E156" s="50">
        <f>MAX(E23,E21*Seasonality!$C$62*E22)*(1-E75)*(1-E48)</f>
        <v/>
      </c>
      <c r="F156" s="50">
        <f>MAX(F23,F21*Seasonality!$C$62*F22)*(1-F75)*(1-F48)</f>
        <v/>
      </c>
      <c r="G156" s="50">
        <f>MAX(G23,G21*Seasonality!$C$62*G22)*(1-G75)*(1-G48)</f>
        <v/>
      </c>
      <c r="H156" s="50">
        <f>MAX(H23,H21*Seasonality!$C$62*H22)*(1-H75)*(1-H48)</f>
        <v/>
      </c>
      <c r="I156" s="50">
        <f>MAX(I23,I21*Seasonality!$C$62*I22)*(1-I75)*(1-I48)</f>
        <v/>
      </c>
      <c r="J156" s="50">
        <f>MAX(J23,J21*Seasonality!$C$62*J22)*(1-J75)*(1-J48)</f>
        <v/>
      </c>
      <c r="K156" s="50">
        <f>MAX(K23,K21*Seasonality!$C$62*K22)*(1-K75)*(1-K48)</f>
        <v/>
      </c>
      <c r="L156" s="50">
        <f>MAX(L23,L21*Seasonality!$C$62*L22)*(1-L75)*(1-L48)</f>
        <v/>
      </c>
      <c r="M156" s="50">
        <f>MAX(M23,M21*Seasonality!$C$62*M22)*(1-M75)*(1-M48)</f>
        <v/>
      </c>
      <c r="N156" s="50">
        <f>MAX(N23,N21*Seasonality!$C$62*N22)*(1-N75)*(1-N48)</f>
        <v/>
      </c>
      <c r="O156" s="50">
        <f>MAX(O23,O21*Seasonality!$C$62*O22)*(1-O75)*(1-O48)</f>
        <v/>
      </c>
      <c r="P156" s="50">
        <f>MAX(P23,P21*Seasonality!$C$62*P22)*(1-P75)*(1-P48)</f>
        <v/>
      </c>
      <c r="Q156" s="50">
        <f>MAX(Q23,Q21*Seasonality!$C$62*Q22)*(1-Q75)*(1-Q48)</f>
        <v/>
      </c>
      <c r="R156" s="50">
        <f>MAX(R23,R21*Seasonality!$C$62*R22)*(1-R75)*(1-R48)</f>
        <v/>
      </c>
      <c r="S156" s="50">
        <f>MAX(S23,S21*Seasonality!$C$62*S22)*(1-S75)*(1-S48)</f>
        <v/>
      </c>
      <c r="T156" s="50">
        <f>MAX(T23,T21*Seasonality!$C$62*T22)*(1-T75)*(1-T48)</f>
        <v/>
      </c>
      <c r="U156" s="50">
        <f>MAX(U23,U21*Seasonality!$C$62*U22)*(1-U75)*(1-U48)</f>
        <v/>
      </c>
      <c r="V156" s="50">
        <f>MAX(V23,V21*Seasonality!$C$62*V22)*(1-V75)*(1-V48)</f>
        <v/>
      </c>
      <c r="W156" s="50">
        <f>MAX(W23,W21*Seasonality!$C$62*W22)*(1-W75)*(1-W48)</f>
        <v/>
      </c>
      <c r="X156" s="50">
        <f>MAX(X23,X21*Seasonality!$C$62*X22)*(1-X75)*(1-X48)</f>
        <v/>
      </c>
      <c r="Y156" s="50">
        <f>MAX(Y23,Y21*Seasonality!$C$62*Y22)*(1-Y75)*(1-Y48)</f>
        <v/>
      </c>
      <c r="Z156" s="50">
        <f>MAX(Z23,Z21*Seasonality!$C$62*Z22)*(1-Z75)*(1-Z48)</f>
        <v/>
      </c>
      <c r="AA156" s="50">
        <f>MAX(AA23,AA21*Seasonality!$C$62*AA22)*(1-AA75)*(1-AA48)</f>
        <v/>
      </c>
      <c r="AB156" s="50">
        <f>MAX(AB23,AB21*Seasonality!$C$62*AB22)*(1-AB75)*(1-AB48)</f>
        <v/>
      </c>
      <c r="AC156" s="50">
        <f>MAX(AC23,AC21*Seasonality!$C$62*AC22)*(1-AC75)*(1-AC48)</f>
        <v/>
      </c>
      <c r="AD156" s="50">
        <f>MAX(AD23,AD21*Seasonality!$C$62*AD22)*(1-AD75)*(1-AD48)</f>
        <v/>
      </c>
      <c r="AE156" s="50">
        <f>MAX(AE23,AE21*Seasonality!$C$62*AE22)*(1-AE75)*(1-AE48)</f>
        <v/>
      </c>
      <c r="AF156" s="50">
        <f>MAX(AF23,AF21*Seasonality!$C$62*AF22)*(1-AF75)*(1-AF48)</f>
        <v/>
      </c>
      <c r="AG156" s="50">
        <f>MAX(AG23,AG21*Seasonality!$C$62*AG22)*(1-AG75)*(1-AG48)</f>
        <v/>
      </c>
      <c r="AH156" s="50">
        <f>MAX(AH23,AH21*Seasonality!$C$62*AH22)*(1-AH75)*(1-AH48)</f>
        <v/>
      </c>
      <c r="AI156" s="50">
        <f>MAX(AI23,AI21*Seasonality!$C$62*AI22)*(1-AI75)*(1-AI48)</f>
        <v/>
      </c>
      <c r="AJ156" s="50">
        <f>MAX(AJ23,AJ21*Seasonality!$C$62*AJ22)*(1-AJ75)*(1-AJ48)</f>
        <v/>
      </c>
      <c r="AK156" s="50">
        <f>MAX(AK23,AK21*Seasonality!$C$62*AK22)*(1-AK75)*(1-AK48)</f>
        <v/>
      </c>
      <c r="AL156" s="50">
        <f>MAX(AL23,AL21*Seasonality!$C$62*AL22)*(1-AL75)*(1-AL48)</f>
        <v/>
      </c>
      <c r="AM156" s="50">
        <f>MAX(AM23,AM21*Seasonality!$C$62*AM22)*(1-AM75)*(1-AM48)</f>
        <v/>
      </c>
      <c r="AN156" s="50">
        <f>MAX(AN23,AN21*Seasonality!$C$62*AN22)*(1-AN75)*(1-AN48)</f>
        <v/>
      </c>
      <c r="AO156" s="50">
        <f>MAX(AO23,AO21*Seasonality!$C$62*AO22)*(1-AO75)*(1-AO48)</f>
        <v/>
      </c>
      <c r="AP156" s="50">
        <f>MAX(AP23,AP21*Seasonality!$C$62*AP22)*(1-AP75)*(1-AP48)</f>
        <v/>
      </c>
      <c r="AQ156" s="50">
        <f>MAX(AQ23,AQ21*Seasonality!$C$62*AQ22)*(1-AQ75)*(1-AQ48)</f>
        <v/>
      </c>
      <c r="AR156" s="50">
        <f>MAX(AR23,AR21*Seasonality!$C$62*AR22)*(1-AR75)*(1-AR48)</f>
        <v/>
      </c>
      <c r="AS156" s="50">
        <f>MAX(AS23,AS21*Seasonality!$C$62*AS22)*(1-AS75)*(1-AS48)</f>
        <v/>
      </c>
      <c r="AT156" s="50">
        <f>MAX(AT23,AT21*Seasonality!$C$62*AT22)*(1-AT75)*(1-AT48)</f>
        <v/>
      </c>
      <c r="AU156" s="50">
        <f>MAX(AU23,AU21*Seasonality!$C$62*AU22)*(1-AU75)*(1-AU48)</f>
        <v/>
      </c>
      <c r="AV156" s="50">
        <f>MAX(AV23,AV21*Seasonality!$C$62*AV22)*(1-AV75)*(1-AV48)</f>
        <v/>
      </c>
      <c r="AW156" s="50">
        <f>MAX(AW23,AW21*Seasonality!$C$62*AW22)*(1-AW75)*(1-AW48)</f>
        <v/>
      </c>
      <c r="AX156" s="50">
        <f>MAX(AX23,AX21*Seasonality!$C$62*AX22)*(1-AX75)*(1-AX48)</f>
        <v/>
      </c>
      <c r="AY156" s="50">
        <f>MAX(AY23,AY21*Seasonality!$C$62*AY22)*(1-AY75)*(1-AY48)</f>
        <v/>
      </c>
      <c r="AZ156" s="50">
        <f>MAX(AZ23,AZ21*Seasonality!$C$62*AZ22)*(1-AZ75)*(1-AZ48)</f>
        <v/>
      </c>
      <c r="BA156" s="50">
        <f>MAX(BA23,BA21*Seasonality!$C$62*BA22)*(1-BA75)*(1-BA48)</f>
        <v/>
      </c>
      <c r="BB156" s="50">
        <f>MAX(BB23,BB21*Seasonality!$C$62*BB22)*(1-BB75)*(1-BB48)</f>
        <v/>
      </c>
      <c r="BC156" s="50">
        <f>MAX(BC23,BC21*Seasonality!$C$62*BC22)*(1-BC75)*(1-BC48)</f>
        <v/>
      </c>
      <c r="BD156" s="50">
        <f>MAX(BD23,BD21*Seasonality!$C$62*BD22)*(1-BD75)*(1-BD48)</f>
        <v/>
      </c>
      <c r="BE156" s="50">
        <f>MAX(BE23,BE21*Seasonality!$C$62*BE22)*(1-BE75)*(1-BE48)</f>
        <v/>
      </c>
    </row>
    <row r="157">
      <c r="B157" s="7" t="inlineStr">
        <is>
          <t>Revenue collected · month 27</t>
        </is>
      </c>
      <c r="C157" s="5" t="inlineStr">
        <is>
          <t>₹</t>
        </is>
      </c>
      <c r="D157" s="50">
        <f>MAX(D23,D21*Seasonality!$C$63*D22)*(1-D75)*(1-D48)</f>
        <v/>
      </c>
      <c r="E157" s="50">
        <f>MAX(E23,E21*Seasonality!$C$63*E22)*(1-E75)*(1-E48)</f>
        <v/>
      </c>
      <c r="F157" s="50">
        <f>MAX(F23,F21*Seasonality!$C$63*F22)*(1-F75)*(1-F48)</f>
        <v/>
      </c>
      <c r="G157" s="50">
        <f>MAX(G23,G21*Seasonality!$C$63*G22)*(1-G75)*(1-G48)</f>
        <v/>
      </c>
      <c r="H157" s="50">
        <f>MAX(H23,H21*Seasonality!$C$63*H22)*(1-H75)*(1-H48)</f>
        <v/>
      </c>
      <c r="I157" s="50">
        <f>MAX(I23,I21*Seasonality!$C$63*I22)*(1-I75)*(1-I48)</f>
        <v/>
      </c>
      <c r="J157" s="50">
        <f>MAX(J23,J21*Seasonality!$C$63*J22)*(1-J75)*(1-J48)</f>
        <v/>
      </c>
      <c r="K157" s="50">
        <f>MAX(K23,K21*Seasonality!$C$63*K22)*(1-K75)*(1-K48)</f>
        <v/>
      </c>
      <c r="L157" s="50">
        <f>MAX(L23,L21*Seasonality!$C$63*L22)*(1-L75)*(1-L48)</f>
        <v/>
      </c>
      <c r="M157" s="50">
        <f>MAX(M23,M21*Seasonality!$C$63*M22)*(1-M75)*(1-M48)</f>
        <v/>
      </c>
      <c r="N157" s="50">
        <f>MAX(N23,N21*Seasonality!$C$63*N22)*(1-N75)*(1-N48)</f>
        <v/>
      </c>
      <c r="O157" s="50">
        <f>MAX(O23,O21*Seasonality!$C$63*O22)*(1-O75)*(1-O48)</f>
        <v/>
      </c>
      <c r="P157" s="50">
        <f>MAX(P23,P21*Seasonality!$C$63*P22)*(1-P75)*(1-P48)</f>
        <v/>
      </c>
      <c r="Q157" s="50">
        <f>MAX(Q23,Q21*Seasonality!$C$63*Q22)*(1-Q75)*(1-Q48)</f>
        <v/>
      </c>
      <c r="R157" s="50">
        <f>MAX(R23,R21*Seasonality!$C$63*R22)*(1-R75)*(1-R48)</f>
        <v/>
      </c>
      <c r="S157" s="50">
        <f>MAX(S23,S21*Seasonality!$C$63*S22)*(1-S75)*(1-S48)</f>
        <v/>
      </c>
      <c r="T157" s="50">
        <f>MAX(T23,T21*Seasonality!$C$63*T22)*(1-T75)*(1-T48)</f>
        <v/>
      </c>
      <c r="U157" s="50">
        <f>MAX(U23,U21*Seasonality!$C$63*U22)*(1-U75)*(1-U48)</f>
        <v/>
      </c>
      <c r="V157" s="50">
        <f>MAX(V23,V21*Seasonality!$C$63*V22)*(1-V75)*(1-V48)</f>
        <v/>
      </c>
      <c r="W157" s="50">
        <f>MAX(W23,W21*Seasonality!$C$63*W22)*(1-W75)*(1-W48)</f>
        <v/>
      </c>
      <c r="X157" s="50">
        <f>MAX(X23,X21*Seasonality!$C$63*X22)*(1-X75)*(1-X48)</f>
        <v/>
      </c>
      <c r="Y157" s="50">
        <f>MAX(Y23,Y21*Seasonality!$C$63*Y22)*(1-Y75)*(1-Y48)</f>
        <v/>
      </c>
      <c r="Z157" s="50">
        <f>MAX(Z23,Z21*Seasonality!$C$63*Z22)*(1-Z75)*(1-Z48)</f>
        <v/>
      </c>
      <c r="AA157" s="50">
        <f>MAX(AA23,AA21*Seasonality!$C$63*AA22)*(1-AA75)*(1-AA48)</f>
        <v/>
      </c>
      <c r="AB157" s="50">
        <f>MAX(AB23,AB21*Seasonality!$C$63*AB22)*(1-AB75)*(1-AB48)</f>
        <v/>
      </c>
      <c r="AC157" s="50">
        <f>MAX(AC23,AC21*Seasonality!$C$63*AC22)*(1-AC75)*(1-AC48)</f>
        <v/>
      </c>
      <c r="AD157" s="50">
        <f>MAX(AD23,AD21*Seasonality!$C$63*AD22)*(1-AD75)*(1-AD48)</f>
        <v/>
      </c>
      <c r="AE157" s="50">
        <f>MAX(AE23,AE21*Seasonality!$C$63*AE22)*(1-AE75)*(1-AE48)</f>
        <v/>
      </c>
      <c r="AF157" s="50">
        <f>MAX(AF23,AF21*Seasonality!$C$63*AF22)*(1-AF75)*(1-AF48)</f>
        <v/>
      </c>
      <c r="AG157" s="50">
        <f>MAX(AG23,AG21*Seasonality!$C$63*AG22)*(1-AG75)*(1-AG48)</f>
        <v/>
      </c>
      <c r="AH157" s="50">
        <f>MAX(AH23,AH21*Seasonality!$C$63*AH22)*(1-AH75)*(1-AH48)</f>
        <v/>
      </c>
      <c r="AI157" s="50">
        <f>MAX(AI23,AI21*Seasonality!$C$63*AI22)*(1-AI75)*(1-AI48)</f>
        <v/>
      </c>
      <c r="AJ157" s="50">
        <f>MAX(AJ23,AJ21*Seasonality!$C$63*AJ22)*(1-AJ75)*(1-AJ48)</f>
        <v/>
      </c>
      <c r="AK157" s="50">
        <f>MAX(AK23,AK21*Seasonality!$C$63*AK22)*(1-AK75)*(1-AK48)</f>
        <v/>
      </c>
      <c r="AL157" s="50">
        <f>MAX(AL23,AL21*Seasonality!$C$63*AL22)*(1-AL75)*(1-AL48)</f>
        <v/>
      </c>
      <c r="AM157" s="50">
        <f>MAX(AM23,AM21*Seasonality!$C$63*AM22)*(1-AM75)*(1-AM48)</f>
        <v/>
      </c>
      <c r="AN157" s="50">
        <f>MAX(AN23,AN21*Seasonality!$C$63*AN22)*(1-AN75)*(1-AN48)</f>
        <v/>
      </c>
      <c r="AO157" s="50">
        <f>MAX(AO23,AO21*Seasonality!$C$63*AO22)*(1-AO75)*(1-AO48)</f>
        <v/>
      </c>
      <c r="AP157" s="50">
        <f>MAX(AP23,AP21*Seasonality!$C$63*AP22)*(1-AP75)*(1-AP48)</f>
        <v/>
      </c>
      <c r="AQ157" s="50">
        <f>MAX(AQ23,AQ21*Seasonality!$C$63*AQ22)*(1-AQ75)*(1-AQ48)</f>
        <v/>
      </c>
      <c r="AR157" s="50">
        <f>MAX(AR23,AR21*Seasonality!$C$63*AR22)*(1-AR75)*(1-AR48)</f>
        <v/>
      </c>
      <c r="AS157" s="50">
        <f>MAX(AS23,AS21*Seasonality!$C$63*AS22)*(1-AS75)*(1-AS48)</f>
        <v/>
      </c>
      <c r="AT157" s="50">
        <f>MAX(AT23,AT21*Seasonality!$C$63*AT22)*(1-AT75)*(1-AT48)</f>
        <v/>
      </c>
      <c r="AU157" s="50">
        <f>MAX(AU23,AU21*Seasonality!$C$63*AU22)*(1-AU75)*(1-AU48)</f>
        <v/>
      </c>
      <c r="AV157" s="50">
        <f>MAX(AV23,AV21*Seasonality!$C$63*AV22)*(1-AV75)*(1-AV48)</f>
        <v/>
      </c>
      <c r="AW157" s="50">
        <f>MAX(AW23,AW21*Seasonality!$C$63*AW22)*(1-AW75)*(1-AW48)</f>
        <v/>
      </c>
      <c r="AX157" s="50">
        <f>MAX(AX23,AX21*Seasonality!$C$63*AX22)*(1-AX75)*(1-AX48)</f>
        <v/>
      </c>
      <c r="AY157" s="50">
        <f>MAX(AY23,AY21*Seasonality!$C$63*AY22)*(1-AY75)*(1-AY48)</f>
        <v/>
      </c>
      <c r="AZ157" s="50">
        <f>MAX(AZ23,AZ21*Seasonality!$C$63*AZ22)*(1-AZ75)*(1-AZ48)</f>
        <v/>
      </c>
      <c r="BA157" s="50">
        <f>MAX(BA23,BA21*Seasonality!$C$63*BA22)*(1-BA75)*(1-BA48)</f>
        <v/>
      </c>
      <c r="BB157" s="50">
        <f>MAX(BB23,BB21*Seasonality!$C$63*BB22)*(1-BB75)*(1-BB48)</f>
        <v/>
      </c>
      <c r="BC157" s="50">
        <f>MAX(BC23,BC21*Seasonality!$C$63*BC22)*(1-BC75)*(1-BC48)</f>
        <v/>
      </c>
      <c r="BD157" s="50">
        <f>MAX(BD23,BD21*Seasonality!$C$63*BD22)*(1-BD75)*(1-BD48)</f>
        <v/>
      </c>
      <c r="BE157" s="50">
        <f>MAX(BE23,BE21*Seasonality!$C$63*BE22)*(1-BE75)*(1-BE48)</f>
        <v/>
      </c>
    </row>
    <row r="158">
      <c r="B158" s="7" t="inlineStr">
        <is>
          <t>Revenue collected · month 28</t>
        </is>
      </c>
      <c r="C158" s="5" t="inlineStr">
        <is>
          <t>₹</t>
        </is>
      </c>
      <c r="D158" s="50">
        <f>MAX(D23,D21*Seasonality!$C$64*D22)*(1-D75)*(1-D48)</f>
        <v/>
      </c>
      <c r="E158" s="50">
        <f>MAX(E23,E21*Seasonality!$C$64*E22)*(1-E75)*(1-E48)</f>
        <v/>
      </c>
      <c r="F158" s="50">
        <f>MAX(F23,F21*Seasonality!$C$64*F22)*(1-F75)*(1-F48)</f>
        <v/>
      </c>
      <c r="G158" s="50">
        <f>MAX(G23,G21*Seasonality!$C$64*G22)*(1-G75)*(1-G48)</f>
        <v/>
      </c>
      <c r="H158" s="50">
        <f>MAX(H23,H21*Seasonality!$C$64*H22)*(1-H75)*(1-H48)</f>
        <v/>
      </c>
      <c r="I158" s="50">
        <f>MAX(I23,I21*Seasonality!$C$64*I22)*(1-I75)*(1-I48)</f>
        <v/>
      </c>
      <c r="J158" s="50">
        <f>MAX(J23,J21*Seasonality!$C$64*J22)*(1-J75)*(1-J48)</f>
        <v/>
      </c>
      <c r="K158" s="50">
        <f>MAX(K23,K21*Seasonality!$C$64*K22)*(1-K75)*(1-K48)</f>
        <v/>
      </c>
      <c r="L158" s="50">
        <f>MAX(L23,L21*Seasonality!$C$64*L22)*(1-L75)*(1-L48)</f>
        <v/>
      </c>
      <c r="M158" s="50">
        <f>MAX(M23,M21*Seasonality!$C$64*M22)*(1-M75)*(1-M48)</f>
        <v/>
      </c>
      <c r="N158" s="50">
        <f>MAX(N23,N21*Seasonality!$C$64*N22)*(1-N75)*(1-N48)</f>
        <v/>
      </c>
      <c r="O158" s="50">
        <f>MAX(O23,O21*Seasonality!$C$64*O22)*(1-O75)*(1-O48)</f>
        <v/>
      </c>
      <c r="P158" s="50">
        <f>MAX(P23,P21*Seasonality!$C$64*P22)*(1-P75)*(1-P48)</f>
        <v/>
      </c>
      <c r="Q158" s="50">
        <f>MAX(Q23,Q21*Seasonality!$C$64*Q22)*(1-Q75)*(1-Q48)</f>
        <v/>
      </c>
      <c r="R158" s="50">
        <f>MAX(R23,R21*Seasonality!$C$64*R22)*(1-R75)*(1-R48)</f>
        <v/>
      </c>
      <c r="S158" s="50">
        <f>MAX(S23,S21*Seasonality!$C$64*S22)*(1-S75)*(1-S48)</f>
        <v/>
      </c>
      <c r="T158" s="50">
        <f>MAX(T23,T21*Seasonality!$C$64*T22)*(1-T75)*(1-T48)</f>
        <v/>
      </c>
      <c r="U158" s="50">
        <f>MAX(U23,U21*Seasonality!$C$64*U22)*(1-U75)*(1-U48)</f>
        <v/>
      </c>
      <c r="V158" s="50">
        <f>MAX(V23,V21*Seasonality!$C$64*V22)*(1-V75)*(1-V48)</f>
        <v/>
      </c>
      <c r="W158" s="50">
        <f>MAX(W23,W21*Seasonality!$C$64*W22)*(1-W75)*(1-W48)</f>
        <v/>
      </c>
      <c r="X158" s="50">
        <f>MAX(X23,X21*Seasonality!$C$64*X22)*(1-X75)*(1-X48)</f>
        <v/>
      </c>
      <c r="Y158" s="50">
        <f>MAX(Y23,Y21*Seasonality!$C$64*Y22)*(1-Y75)*(1-Y48)</f>
        <v/>
      </c>
      <c r="Z158" s="50">
        <f>MAX(Z23,Z21*Seasonality!$C$64*Z22)*(1-Z75)*(1-Z48)</f>
        <v/>
      </c>
      <c r="AA158" s="50">
        <f>MAX(AA23,AA21*Seasonality!$C$64*AA22)*(1-AA75)*(1-AA48)</f>
        <v/>
      </c>
      <c r="AB158" s="50">
        <f>MAX(AB23,AB21*Seasonality!$C$64*AB22)*(1-AB75)*(1-AB48)</f>
        <v/>
      </c>
      <c r="AC158" s="50">
        <f>MAX(AC23,AC21*Seasonality!$C$64*AC22)*(1-AC75)*(1-AC48)</f>
        <v/>
      </c>
      <c r="AD158" s="50">
        <f>MAX(AD23,AD21*Seasonality!$C$64*AD22)*(1-AD75)*(1-AD48)</f>
        <v/>
      </c>
      <c r="AE158" s="50">
        <f>MAX(AE23,AE21*Seasonality!$C$64*AE22)*(1-AE75)*(1-AE48)</f>
        <v/>
      </c>
      <c r="AF158" s="50">
        <f>MAX(AF23,AF21*Seasonality!$C$64*AF22)*(1-AF75)*(1-AF48)</f>
        <v/>
      </c>
      <c r="AG158" s="50">
        <f>MAX(AG23,AG21*Seasonality!$C$64*AG22)*(1-AG75)*(1-AG48)</f>
        <v/>
      </c>
      <c r="AH158" s="50">
        <f>MAX(AH23,AH21*Seasonality!$C$64*AH22)*(1-AH75)*(1-AH48)</f>
        <v/>
      </c>
      <c r="AI158" s="50">
        <f>MAX(AI23,AI21*Seasonality!$C$64*AI22)*(1-AI75)*(1-AI48)</f>
        <v/>
      </c>
      <c r="AJ158" s="50">
        <f>MAX(AJ23,AJ21*Seasonality!$C$64*AJ22)*(1-AJ75)*(1-AJ48)</f>
        <v/>
      </c>
      <c r="AK158" s="50">
        <f>MAX(AK23,AK21*Seasonality!$C$64*AK22)*(1-AK75)*(1-AK48)</f>
        <v/>
      </c>
      <c r="AL158" s="50">
        <f>MAX(AL23,AL21*Seasonality!$C$64*AL22)*(1-AL75)*(1-AL48)</f>
        <v/>
      </c>
      <c r="AM158" s="50">
        <f>MAX(AM23,AM21*Seasonality!$C$64*AM22)*(1-AM75)*(1-AM48)</f>
        <v/>
      </c>
      <c r="AN158" s="50">
        <f>MAX(AN23,AN21*Seasonality!$C$64*AN22)*(1-AN75)*(1-AN48)</f>
        <v/>
      </c>
      <c r="AO158" s="50">
        <f>MAX(AO23,AO21*Seasonality!$C$64*AO22)*(1-AO75)*(1-AO48)</f>
        <v/>
      </c>
      <c r="AP158" s="50">
        <f>MAX(AP23,AP21*Seasonality!$C$64*AP22)*(1-AP75)*(1-AP48)</f>
        <v/>
      </c>
      <c r="AQ158" s="50">
        <f>MAX(AQ23,AQ21*Seasonality!$C$64*AQ22)*(1-AQ75)*(1-AQ48)</f>
        <v/>
      </c>
      <c r="AR158" s="50">
        <f>MAX(AR23,AR21*Seasonality!$C$64*AR22)*(1-AR75)*(1-AR48)</f>
        <v/>
      </c>
      <c r="AS158" s="50">
        <f>MAX(AS23,AS21*Seasonality!$C$64*AS22)*(1-AS75)*(1-AS48)</f>
        <v/>
      </c>
      <c r="AT158" s="50">
        <f>MAX(AT23,AT21*Seasonality!$C$64*AT22)*(1-AT75)*(1-AT48)</f>
        <v/>
      </c>
      <c r="AU158" s="50">
        <f>MAX(AU23,AU21*Seasonality!$C$64*AU22)*(1-AU75)*(1-AU48)</f>
        <v/>
      </c>
      <c r="AV158" s="50">
        <f>MAX(AV23,AV21*Seasonality!$C$64*AV22)*(1-AV75)*(1-AV48)</f>
        <v/>
      </c>
      <c r="AW158" s="50">
        <f>MAX(AW23,AW21*Seasonality!$C$64*AW22)*(1-AW75)*(1-AW48)</f>
        <v/>
      </c>
      <c r="AX158" s="50">
        <f>MAX(AX23,AX21*Seasonality!$C$64*AX22)*(1-AX75)*(1-AX48)</f>
        <v/>
      </c>
      <c r="AY158" s="50">
        <f>MAX(AY23,AY21*Seasonality!$C$64*AY22)*(1-AY75)*(1-AY48)</f>
        <v/>
      </c>
      <c r="AZ158" s="50">
        <f>MAX(AZ23,AZ21*Seasonality!$C$64*AZ22)*(1-AZ75)*(1-AZ48)</f>
        <v/>
      </c>
      <c r="BA158" s="50">
        <f>MAX(BA23,BA21*Seasonality!$C$64*BA22)*(1-BA75)*(1-BA48)</f>
        <v/>
      </c>
      <c r="BB158" s="50">
        <f>MAX(BB23,BB21*Seasonality!$C$64*BB22)*(1-BB75)*(1-BB48)</f>
        <v/>
      </c>
      <c r="BC158" s="50">
        <f>MAX(BC23,BC21*Seasonality!$C$64*BC22)*(1-BC75)*(1-BC48)</f>
        <v/>
      </c>
      <c r="BD158" s="50">
        <f>MAX(BD23,BD21*Seasonality!$C$64*BD22)*(1-BD75)*(1-BD48)</f>
        <v/>
      </c>
      <c r="BE158" s="50">
        <f>MAX(BE23,BE21*Seasonality!$C$64*BE22)*(1-BE75)*(1-BE48)</f>
        <v/>
      </c>
    </row>
    <row r="159">
      <c r="B159" s="7" t="inlineStr">
        <is>
          <t>Revenue collected · month 29</t>
        </is>
      </c>
      <c r="C159" s="5" t="inlineStr">
        <is>
          <t>₹</t>
        </is>
      </c>
      <c r="D159" s="50">
        <f>MAX(D23,D21*Seasonality!$C$65*D22)*(1-D75)*(1-D48)</f>
        <v/>
      </c>
      <c r="E159" s="50">
        <f>MAX(E23,E21*Seasonality!$C$65*E22)*(1-E75)*(1-E48)</f>
        <v/>
      </c>
      <c r="F159" s="50">
        <f>MAX(F23,F21*Seasonality!$C$65*F22)*(1-F75)*(1-F48)</f>
        <v/>
      </c>
      <c r="G159" s="50">
        <f>MAX(G23,G21*Seasonality!$C$65*G22)*(1-G75)*(1-G48)</f>
        <v/>
      </c>
      <c r="H159" s="50">
        <f>MAX(H23,H21*Seasonality!$C$65*H22)*(1-H75)*(1-H48)</f>
        <v/>
      </c>
      <c r="I159" s="50">
        <f>MAX(I23,I21*Seasonality!$C$65*I22)*(1-I75)*(1-I48)</f>
        <v/>
      </c>
      <c r="J159" s="50">
        <f>MAX(J23,J21*Seasonality!$C$65*J22)*(1-J75)*(1-J48)</f>
        <v/>
      </c>
      <c r="K159" s="50">
        <f>MAX(K23,K21*Seasonality!$C$65*K22)*(1-K75)*(1-K48)</f>
        <v/>
      </c>
      <c r="L159" s="50">
        <f>MAX(L23,L21*Seasonality!$C$65*L22)*(1-L75)*(1-L48)</f>
        <v/>
      </c>
      <c r="M159" s="50">
        <f>MAX(M23,M21*Seasonality!$C$65*M22)*(1-M75)*(1-M48)</f>
        <v/>
      </c>
      <c r="N159" s="50">
        <f>MAX(N23,N21*Seasonality!$C$65*N22)*(1-N75)*(1-N48)</f>
        <v/>
      </c>
      <c r="O159" s="50">
        <f>MAX(O23,O21*Seasonality!$C$65*O22)*(1-O75)*(1-O48)</f>
        <v/>
      </c>
      <c r="P159" s="50">
        <f>MAX(P23,P21*Seasonality!$C$65*P22)*(1-P75)*(1-P48)</f>
        <v/>
      </c>
      <c r="Q159" s="50">
        <f>MAX(Q23,Q21*Seasonality!$C$65*Q22)*(1-Q75)*(1-Q48)</f>
        <v/>
      </c>
      <c r="R159" s="50">
        <f>MAX(R23,R21*Seasonality!$C$65*R22)*(1-R75)*(1-R48)</f>
        <v/>
      </c>
      <c r="S159" s="50">
        <f>MAX(S23,S21*Seasonality!$C$65*S22)*(1-S75)*(1-S48)</f>
        <v/>
      </c>
      <c r="T159" s="50">
        <f>MAX(T23,T21*Seasonality!$C$65*T22)*(1-T75)*(1-T48)</f>
        <v/>
      </c>
      <c r="U159" s="50">
        <f>MAX(U23,U21*Seasonality!$C$65*U22)*(1-U75)*(1-U48)</f>
        <v/>
      </c>
      <c r="V159" s="50">
        <f>MAX(V23,V21*Seasonality!$C$65*V22)*(1-V75)*(1-V48)</f>
        <v/>
      </c>
      <c r="W159" s="50">
        <f>MAX(W23,W21*Seasonality!$C$65*W22)*(1-W75)*(1-W48)</f>
        <v/>
      </c>
      <c r="X159" s="50">
        <f>MAX(X23,X21*Seasonality!$C$65*X22)*(1-X75)*(1-X48)</f>
        <v/>
      </c>
      <c r="Y159" s="50">
        <f>MAX(Y23,Y21*Seasonality!$C$65*Y22)*(1-Y75)*(1-Y48)</f>
        <v/>
      </c>
      <c r="Z159" s="50">
        <f>MAX(Z23,Z21*Seasonality!$C$65*Z22)*(1-Z75)*(1-Z48)</f>
        <v/>
      </c>
      <c r="AA159" s="50">
        <f>MAX(AA23,AA21*Seasonality!$C$65*AA22)*(1-AA75)*(1-AA48)</f>
        <v/>
      </c>
      <c r="AB159" s="50">
        <f>MAX(AB23,AB21*Seasonality!$C$65*AB22)*(1-AB75)*(1-AB48)</f>
        <v/>
      </c>
      <c r="AC159" s="50">
        <f>MAX(AC23,AC21*Seasonality!$C$65*AC22)*(1-AC75)*(1-AC48)</f>
        <v/>
      </c>
      <c r="AD159" s="50">
        <f>MAX(AD23,AD21*Seasonality!$C$65*AD22)*(1-AD75)*(1-AD48)</f>
        <v/>
      </c>
      <c r="AE159" s="50">
        <f>MAX(AE23,AE21*Seasonality!$C$65*AE22)*(1-AE75)*(1-AE48)</f>
        <v/>
      </c>
      <c r="AF159" s="50">
        <f>MAX(AF23,AF21*Seasonality!$C$65*AF22)*(1-AF75)*(1-AF48)</f>
        <v/>
      </c>
      <c r="AG159" s="50">
        <f>MAX(AG23,AG21*Seasonality!$C$65*AG22)*(1-AG75)*(1-AG48)</f>
        <v/>
      </c>
      <c r="AH159" s="50">
        <f>MAX(AH23,AH21*Seasonality!$C$65*AH22)*(1-AH75)*(1-AH48)</f>
        <v/>
      </c>
      <c r="AI159" s="50">
        <f>MAX(AI23,AI21*Seasonality!$C$65*AI22)*(1-AI75)*(1-AI48)</f>
        <v/>
      </c>
      <c r="AJ159" s="50">
        <f>MAX(AJ23,AJ21*Seasonality!$C$65*AJ22)*(1-AJ75)*(1-AJ48)</f>
        <v/>
      </c>
      <c r="AK159" s="50">
        <f>MAX(AK23,AK21*Seasonality!$C$65*AK22)*(1-AK75)*(1-AK48)</f>
        <v/>
      </c>
      <c r="AL159" s="50">
        <f>MAX(AL23,AL21*Seasonality!$C$65*AL22)*(1-AL75)*(1-AL48)</f>
        <v/>
      </c>
      <c r="AM159" s="50">
        <f>MAX(AM23,AM21*Seasonality!$C$65*AM22)*(1-AM75)*(1-AM48)</f>
        <v/>
      </c>
      <c r="AN159" s="50">
        <f>MAX(AN23,AN21*Seasonality!$C$65*AN22)*(1-AN75)*(1-AN48)</f>
        <v/>
      </c>
      <c r="AO159" s="50">
        <f>MAX(AO23,AO21*Seasonality!$C$65*AO22)*(1-AO75)*(1-AO48)</f>
        <v/>
      </c>
      <c r="AP159" s="50">
        <f>MAX(AP23,AP21*Seasonality!$C$65*AP22)*(1-AP75)*(1-AP48)</f>
        <v/>
      </c>
      <c r="AQ159" s="50">
        <f>MAX(AQ23,AQ21*Seasonality!$C$65*AQ22)*(1-AQ75)*(1-AQ48)</f>
        <v/>
      </c>
      <c r="AR159" s="50">
        <f>MAX(AR23,AR21*Seasonality!$C$65*AR22)*(1-AR75)*(1-AR48)</f>
        <v/>
      </c>
      <c r="AS159" s="50">
        <f>MAX(AS23,AS21*Seasonality!$C$65*AS22)*(1-AS75)*(1-AS48)</f>
        <v/>
      </c>
      <c r="AT159" s="50">
        <f>MAX(AT23,AT21*Seasonality!$C$65*AT22)*(1-AT75)*(1-AT48)</f>
        <v/>
      </c>
      <c r="AU159" s="50">
        <f>MAX(AU23,AU21*Seasonality!$C$65*AU22)*(1-AU75)*(1-AU48)</f>
        <v/>
      </c>
      <c r="AV159" s="50">
        <f>MAX(AV23,AV21*Seasonality!$C$65*AV22)*(1-AV75)*(1-AV48)</f>
        <v/>
      </c>
      <c r="AW159" s="50">
        <f>MAX(AW23,AW21*Seasonality!$C$65*AW22)*(1-AW75)*(1-AW48)</f>
        <v/>
      </c>
      <c r="AX159" s="50">
        <f>MAX(AX23,AX21*Seasonality!$C$65*AX22)*(1-AX75)*(1-AX48)</f>
        <v/>
      </c>
      <c r="AY159" s="50">
        <f>MAX(AY23,AY21*Seasonality!$C$65*AY22)*(1-AY75)*(1-AY48)</f>
        <v/>
      </c>
      <c r="AZ159" s="50">
        <f>MAX(AZ23,AZ21*Seasonality!$C$65*AZ22)*(1-AZ75)*(1-AZ48)</f>
        <v/>
      </c>
      <c r="BA159" s="50">
        <f>MAX(BA23,BA21*Seasonality!$C$65*BA22)*(1-BA75)*(1-BA48)</f>
        <v/>
      </c>
      <c r="BB159" s="50">
        <f>MAX(BB23,BB21*Seasonality!$C$65*BB22)*(1-BB75)*(1-BB48)</f>
        <v/>
      </c>
      <c r="BC159" s="50">
        <f>MAX(BC23,BC21*Seasonality!$C$65*BC22)*(1-BC75)*(1-BC48)</f>
        <v/>
      </c>
      <c r="BD159" s="50">
        <f>MAX(BD23,BD21*Seasonality!$C$65*BD22)*(1-BD75)*(1-BD48)</f>
        <v/>
      </c>
      <c r="BE159" s="50">
        <f>MAX(BE23,BE21*Seasonality!$C$65*BE22)*(1-BE75)*(1-BE48)</f>
        <v/>
      </c>
    </row>
    <row r="160">
      <c r="B160" s="7" t="inlineStr">
        <is>
          <t>Revenue collected · month 30</t>
        </is>
      </c>
      <c r="C160" s="5" t="inlineStr">
        <is>
          <t>₹</t>
        </is>
      </c>
      <c r="D160" s="50">
        <f>MAX(D23,D21*Seasonality!$C$66*D22)*(1-D75)*(1-D48)</f>
        <v/>
      </c>
      <c r="E160" s="50">
        <f>MAX(E23,E21*Seasonality!$C$66*E22)*(1-E75)*(1-E48)</f>
        <v/>
      </c>
      <c r="F160" s="50">
        <f>MAX(F23,F21*Seasonality!$C$66*F22)*(1-F75)*(1-F48)</f>
        <v/>
      </c>
      <c r="G160" s="50">
        <f>MAX(G23,G21*Seasonality!$C$66*G22)*(1-G75)*(1-G48)</f>
        <v/>
      </c>
      <c r="H160" s="50">
        <f>MAX(H23,H21*Seasonality!$C$66*H22)*(1-H75)*(1-H48)</f>
        <v/>
      </c>
      <c r="I160" s="50">
        <f>MAX(I23,I21*Seasonality!$C$66*I22)*(1-I75)*(1-I48)</f>
        <v/>
      </c>
      <c r="J160" s="50">
        <f>MAX(J23,J21*Seasonality!$C$66*J22)*(1-J75)*(1-J48)</f>
        <v/>
      </c>
      <c r="K160" s="50">
        <f>MAX(K23,K21*Seasonality!$C$66*K22)*(1-K75)*(1-K48)</f>
        <v/>
      </c>
      <c r="L160" s="50">
        <f>MAX(L23,L21*Seasonality!$C$66*L22)*(1-L75)*(1-L48)</f>
        <v/>
      </c>
      <c r="M160" s="50">
        <f>MAX(M23,M21*Seasonality!$C$66*M22)*(1-M75)*(1-M48)</f>
        <v/>
      </c>
      <c r="N160" s="50">
        <f>MAX(N23,N21*Seasonality!$C$66*N22)*(1-N75)*(1-N48)</f>
        <v/>
      </c>
      <c r="O160" s="50">
        <f>MAX(O23,O21*Seasonality!$C$66*O22)*(1-O75)*(1-O48)</f>
        <v/>
      </c>
      <c r="P160" s="50">
        <f>MAX(P23,P21*Seasonality!$C$66*P22)*(1-P75)*(1-P48)</f>
        <v/>
      </c>
      <c r="Q160" s="50">
        <f>MAX(Q23,Q21*Seasonality!$C$66*Q22)*(1-Q75)*(1-Q48)</f>
        <v/>
      </c>
      <c r="R160" s="50">
        <f>MAX(R23,R21*Seasonality!$C$66*R22)*(1-R75)*(1-R48)</f>
        <v/>
      </c>
      <c r="S160" s="50">
        <f>MAX(S23,S21*Seasonality!$C$66*S22)*(1-S75)*(1-S48)</f>
        <v/>
      </c>
      <c r="T160" s="50">
        <f>MAX(T23,T21*Seasonality!$C$66*T22)*(1-T75)*(1-T48)</f>
        <v/>
      </c>
      <c r="U160" s="50">
        <f>MAX(U23,U21*Seasonality!$C$66*U22)*(1-U75)*(1-U48)</f>
        <v/>
      </c>
      <c r="V160" s="50">
        <f>MAX(V23,V21*Seasonality!$C$66*V22)*(1-V75)*(1-V48)</f>
        <v/>
      </c>
      <c r="W160" s="50">
        <f>MAX(W23,W21*Seasonality!$C$66*W22)*(1-W75)*(1-W48)</f>
        <v/>
      </c>
      <c r="X160" s="50">
        <f>MAX(X23,X21*Seasonality!$C$66*X22)*(1-X75)*(1-X48)</f>
        <v/>
      </c>
      <c r="Y160" s="50">
        <f>MAX(Y23,Y21*Seasonality!$C$66*Y22)*(1-Y75)*(1-Y48)</f>
        <v/>
      </c>
      <c r="Z160" s="50">
        <f>MAX(Z23,Z21*Seasonality!$C$66*Z22)*(1-Z75)*(1-Z48)</f>
        <v/>
      </c>
      <c r="AA160" s="50">
        <f>MAX(AA23,AA21*Seasonality!$C$66*AA22)*(1-AA75)*(1-AA48)</f>
        <v/>
      </c>
      <c r="AB160" s="50">
        <f>MAX(AB23,AB21*Seasonality!$C$66*AB22)*(1-AB75)*(1-AB48)</f>
        <v/>
      </c>
      <c r="AC160" s="50">
        <f>MAX(AC23,AC21*Seasonality!$C$66*AC22)*(1-AC75)*(1-AC48)</f>
        <v/>
      </c>
      <c r="AD160" s="50">
        <f>MAX(AD23,AD21*Seasonality!$C$66*AD22)*(1-AD75)*(1-AD48)</f>
        <v/>
      </c>
      <c r="AE160" s="50">
        <f>MAX(AE23,AE21*Seasonality!$C$66*AE22)*(1-AE75)*(1-AE48)</f>
        <v/>
      </c>
      <c r="AF160" s="50">
        <f>MAX(AF23,AF21*Seasonality!$C$66*AF22)*(1-AF75)*(1-AF48)</f>
        <v/>
      </c>
      <c r="AG160" s="50">
        <f>MAX(AG23,AG21*Seasonality!$C$66*AG22)*(1-AG75)*(1-AG48)</f>
        <v/>
      </c>
      <c r="AH160" s="50">
        <f>MAX(AH23,AH21*Seasonality!$C$66*AH22)*(1-AH75)*(1-AH48)</f>
        <v/>
      </c>
      <c r="AI160" s="50">
        <f>MAX(AI23,AI21*Seasonality!$C$66*AI22)*(1-AI75)*(1-AI48)</f>
        <v/>
      </c>
      <c r="AJ160" s="50">
        <f>MAX(AJ23,AJ21*Seasonality!$C$66*AJ22)*(1-AJ75)*(1-AJ48)</f>
        <v/>
      </c>
      <c r="AK160" s="50">
        <f>MAX(AK23,AK21*Seasonality!$C$66*AK22)*(1-AK75)*(1-AK48)</f>
        <v/>
      </c>
      <c r="AL160" s="50">
        <f>MAX(AL23,AL21*Seasonality!$C$66*AL22)*(1-AL75)*(1-AL48)</f>
        <v/>
      </c>
      <c r="AM160" s="50">
        <f>MAX(AM23,AM21*Seasonality!$C$66*AM22)*(1-AM75)*(1-AM48)</f>
        <v/>
      </c>
      <c r="AN160" s="50">
        <f>MAX(AN23,AN21*Seasonality!$C$66*AN22)*(1-AN75)*(1-AN48)</f>
        <v/>
      </c>
      <c r="AO160" s="50">
        <f>MAX(AO23,AO21*Seasonality!$C$66*AO22)*(1-AO75)*(1-AO48)</f>
        <v/>
      </c>
      <c r="AP160" s="50">
        <f>MAX(AP23,AP21*Seasonality!$C$66*AP22)*(1-AP75)*(1-AP48)</f>
        <v/>
      </c>
      <c r="AQ160" s="50">
        <f>MAX(AQ23,AQ21*Seasonality!$C$66*AQ22)*(1-AQ75)*(1-AQ48)</f>
        <v/>
      </c>
      <c r="AR160" s="50">
        <f>MAX(AR23,AR21*Seasonality!$C$66*AR22)*(1-AR75)*(1-AR48)</f>
        <v/>
      </c>
      <c r="AS160" s="50">
        <f>MAX(AS23,AS21*Seasonality!$C$66*AS22)*(1-AS75)*(1-AS48)</f>
        <v/>
      </c>
      <c r="AT160" s="50">
        <f>MAX(AT23,AT21*Seasonality!$C$66*AT22)*(1-AT75)*(1-AT48)</f>
        <v/>
      </c>
      <c r="AU160" s="50">
        <f>MAX(AU23,AU21*Seasonality!$C$66*AU22)*(1-AU75)*(1-AU48)</f>
        <v/>
      </c>
      <c r="AV160" s="50">
        <f>MAX(AV23,AV21*Seasonality!$C$66*AV22)*(1-AV75)*(1-AV48)</f>
        <v/>
      </c>
      <c r="AW160" s="50">
        <f>MAX(AW23,AW21*Seasonality!$C$66*AW22)*(1-AW75)*(1-AW48)</f>
        <v/>
      </c>
      <c r="AX160" s="50">
        <f>MAX(AX23,AX21*Seasonality!$C$66*AX22)*(1-AX75)*(1-AX48)</f>
        <v/>
      </c>
      <c r="AY160" s="50">
        <f>MAX(AY23,AY21*Seasonality!$C$66*AY22)*(1-AY75)*(1-AY48)</f>
        <v/>
      </c>
      <c r="AZ160" s="50">
        <f>MAX(AZ23,AZ21*Seasonality!$C$66*AZ22)*(1-AZ75)*(1-AZ48)</f>
        <v/>
      </c>
      <c r="BA160" s="50">
        <f>MAX(BA23,BA21*Seasonality!$C$66*BA22)*(1-BA75)*(1-BA48)</f>
        <v/>
      </c>
      <c r="BB160" s="50">
        <f>MAX(BB23,BB21*Seasonality!$C$66*BB22)*(1-BB75)*(1-BB48)</f>
        <v/>
      </c>
      <c r="BC160" s="50">
        <f>MAX(BC23,BC21*Seasonality!$C$66*BC22)*(1-BC75)*(1-BC48)</f>
        <v/>
      </c>
      <c r="BD160" s="50">
        <f>MAX(BD23,BD21*Seasonality!$C$66*BD22)*(1-BD75)*(1-BD48)</f>
        <v/>
      </c>
      <c r="BE160" s="50">
        <f>MAX(BE23,BE21*Seasonality!$C$66*BE22)*(1-BE75)*(1-BE48)</f>
        <v/>
      </c>
    </row>
    <row r="161">
      <c r="B161" s="7" t="inlineStr">
        <is>
          <t>Revenue collected · month 31</t>
        </is>
      </c>
      <c r="C161" s="5" t="inlineStr">
        <is>
          <t>₹</t>
        </is>
      </c>
      <c r="D161" s="50">
        <f>MAX(D23,D21*Seasonality!$C$67*D22)*(1-D75)*(1-D48)</f>
        <v/>
      </c>
      <c r="E161" s="50">
        <f>MAX(E23,E21*Seasonality!$C$67*E22)*(1-E75)*(1-E48)</f>
        <v/>
      </c>
      <c r="F161" s="50">
        <f>MAX(F23,F21*Seasonality!$C$67*F22)*(1-F75)*(1-F48)</f>
        <v/>
      </c>
      <c r="G161" s="50">
        <f>MAX(G23,G21*Seasonality!$C$67*G22)*(1-G75)*(1-G48)</f>
        <v/>
      </c>
      <c r="H161" s="50">
        <f>MAX(H23,H21*Seasonality!$C$67*H22)*(1-H75)*(1-H48)</f>
        <v/>
      </c>
      <c r="I161" s="50">
        <f>MAX(I23,I21*Seasonality!$C$67*I22)*(1-I75)*(1-I48)</f>
        <v/>
      </c>
      <c r="J161" s="50">
        <f>MAX(J23,J21*Seasonality!$C$67*J22)*(1-J75)*(1-J48)</f>
        <v/>
      </c>
      <c r="K161" s="50">
        <f>MAX(K23,K21*Seasonality!$C$67*K22)*(1-K75)*(1-K48)</f>
        <v/>
      </c>
      <c r="L161" s="50">
        <f>MAX(L23,L21*Seasonality!$C$67*L22)*(1-L75)*(1-L48)</f>
        <v/>
      </c>
      <c r="M161" s="50">
        <f>MAX(M23,M21*Seasonality!$C$67*M22)*(1-M75)*(1-M48)</f>
        <v/>
      </c>
      <c r="N161" s="50">
        <f>MAX(N23,N21*Seasonality!$C$67*N22)*(1-N75)*(1-N48)</f>
        <v/>
      </c>
      <c r="O161" s="50">
        <f>MAX(O23,O21*Seasonality!$C$67*O22)*(1-O75)*(1-O48)</f>
        <v/>
      </c>
      <c r="P161" s="50">
        <f>MAX(P23,P21*Seasonality!$C$67*P22)*(1-P75)*(1-P48)</f>
        <v/>
      </c>
      <c r="Q161" s="50">
        <f>MAX(Q23,Q21*Seasonality!$C$67*Q22)*(1-Q75)*(1-Q48)</f>
        <v/>
      </c>
      <c r="R161" s="50">
        <f>MAX(R23,R21*Seasonality!$C$67*R22)*(1-R75)*(1-R48)</f>
        <v/>
      </c>
      <c r="S161" s="50">
        <f>MAX(S23,S21*Seasonality!$C$67*S22)*(1-S75)*(1-S48)</f>
        <v/>
      </c>
      <c r="T161" s="50">
        <f>MAX(T23,T21*Seasonality!$C$67*T22)*(1-T75)*(1-T48)</f>
        <v/>
      </c>
      <c r="U161" s="50">
        <f>MAX(U23,U21*Seasonality!$C$67*U22)*(1-U75)*(1-U48)</f>
        <v/>
      </c>
      <c r="V161" s="50">
        <f>MAX(V23,V21*Seasonality!$C$67*V22)*(1-V75)*(1-V48)</f>
        <v/>
      </c>
      <c r="W161" s="50">
        <f>MAX(W23,W21*Seasonality!$C$67*W22)*(1-W75)*(1-W48)</f>
        <v/>
      </c>
      <c r="X161" s="50">
        <f>MAX(X23,X21*Seasonality!$C$67*X22)*(1-X75)*(1-X48)</f>
        <v/>
      </c>
      <c r="Y161" s="50">
        <f>MAX(Y23,Y21*Seasonality!$C$67*Y22)*(1-Y75)*(1-Y48)</f>
        <v/>
      </c>
      <c r="Z161" s="50">
        <f>MAX(Z23,Z21*Seasonality!$C$67*Z22)*(1-Z75)*(1-Z48)</f>
        <v/>
      </c>
      <c r="AA161" s="50">
        <f>MAX(AA23,AA21*Seasonality!$C$67*AA22)*(1-AA75)*(1-AA48)</f>
        <v/>
      </c>
      <c r="AB161" s="50">
        <f>MAX(AB23,AB21*Seasonality!$C$67*AB22)*(1-AB75)*(1-AB48)</f>
        <v/>
      </c>
      <c r="AC161" s="50">
        <f>MAX(AC23,AC21*Seasonality!$C$67*AC22)*(1-AC75)*(1-AC48)</f>
        <v/>
      </c>
      <c r="AD161" s="50">
        <f>MAX(AD23,AD21*Seasonality!$C$67*AD22)*(1-AD75)*(1-AD48)</f>
        <v/>
      </c>
      <c r="AE161" s="50">
        <f>MAX(AE23,AE21*Seasonality!$C$67*AE22)*(1-AE75)*(1-AE48)</f>
        <v/>
      </c>
      <c r="AF161" s="50">
        <f>MAX(AF23,AF21*Seasonality!$C$67*AF22)*(1-AF75)*(1-AF48)</f>
        <v/>
      </c>
      <c r="AG161" s="50">
        <f>MAX(AG23,AG21*Seasonality!$C$67*AG22)*(1-AG75)*(1-AG48)</f>
        <v/>
      </c>
      <c r="AH161" s="50">
        <f>MAX(AH23,AH21*Seasonality!$C$67*AH22)*(1-AH75)*(1-AH48)</f>
        <v/>
      </c>
      <c r="AI161" s="50">
        <f>MAX(AI23,AI21*Seasonality!$C$67*AI22)*(1-AI75)*(1-AI48)</f>
        <v/>
      </c>
      <c r="AJ161" s="50">
        <f>MAX(AJ23,AJ21*Seasonality!$C$67*AJ22)*(1-AJ75)*(1-AJ48)</f>
        <v/>
      </c>
      <c r="AK161" s="50">
        <f>MAX(AK23,AK21*Seasonality!$C$67*AK22)*(1-AK75)*(1-AK48)</f>
        <v/>
      </c>
      <c r="AL161" s="50">
        <f>MAX(AL23,AL21*Seasonality!$C$67*AL22)*(1-AL75)*(1-AL48)</f>
        <v/>
      </c>
      <c r="AM161" s="50">
        <f>MAX(AM23,AM21*Seasonality!$C$67*AM22)*(1-AM75)*(1-AM48)</f>
        <v/>
      </c>
      <c r="AN161" s="50">
        <f>MAX(AN23,AN21*Seasonality!$C$67*AN22)*(1-AN75)*(1-AN48)</f>
        <v/>
      </c>
      <c r="AO161" s="50">
        <f>MAX(AO23,AO21*Seasonality!$C$67*AO22)*(1-AO75)*(1-AO48)</f>
        <v/>
      </c>
      <c r="AP161" s="50">
        <f>MAX(AP23,AP21*Seasonality!$C$67*AP22)*(1-AP75)*(1-AP48)</f>
        <v/>
      </c>
      <c r="AQ161" s="50">
        <f>MAX(AQ23,AQ21*Seasonality!$C$67*AQ22)*(1-AQ75)*(1-AQ48)</f>
        <v/>
      </c>
      <c r="AR161" s="50">
        <f>MAX(AR23,AR21*Seasonality!$C$67*AR22)*(1-AR75)*(1-AR48)</f>
        <v/>
      </c>
      <c r="AS161" s="50">
        <f>MAX(AS23,AS21*Seasonality!$C$67*AS22)*(1-AS75)*(1-AS48)</f>
        <v/>
      </c>
      <c r="AT161" s="50">
        <f>MAX(AT23,AT21*Seasonality!$C$67*AT22)*(1-AT75)*(1-AT48)</f>
        <v/>
      </c>
      <c r="AU161" s="50">
        <f>MAX(AU23,AU21*Seasonality!$C$67*AU22)*(1-AU75)*(1-AU48)</f>
        <v/>
      </c>
      <c r="AV161" s="50">
        <f>MAX(AV23,AV21*Seasonality!$C$67*AV22)*(1-AV75)*(1-AV48)</f>
        <v/>
      </c>
      <c r="AW161" s="50">
        <f>MAX(AW23,AW21*Seasonality!$C$67*AW22)*(1-AW75)*(1-AW48)</f>
        <v/>
      </c>
      <c r="AX161" s="50">
        <f>MAX(AX23,AX21*Seasonality!$C$67*AX22)*(1-AX75)*(1-AX48)</f>
        <v/>
      </c>
      <c r="AY161" s="50">
        <f>MAX(AY23,AY21*Seasonality!$C$67*AY22)*(1-AY75)*(1-AY48)</f>
        <v/>
      </c>
      <c r="AZ161" s="50">
        <f>MAX(AZ23,AZ21*Seasonality!$C$67*AZ22)*(1-AZ75)*(1-AZ48)</f>
        <v/>
      </c>
      <c r="BA161" s="50">
        <f>MAX(BA23,BA21*Seasonality!$C$67*BA22)*(1-BA75)*(1-BA48)</f>
        <v/>
      </c>
      <c r="BB161" s="50">
        <f>MAX(BB23,BB21*Seasonality!$C$67*BB22)*(1-BB75)*(1-BB48)</f>
        <v/>
      </c>
      <c r="BC161" s="50">
        <f>MAX(BC23,BC21*Seasonality!$C$67*BC22)*(1-BC75)*(1-BC48)</f>
        <v/>
      </c>
      <c r="BD161" s="50">
        <f>MAX(BD23,BD21*Seasonality!$C$67*BD22)*(1-BD75)*(1-BD48)</f>
        <v/>
      </c>
      <c r="BE161" s="50">
        <f>MAX(BE23,BE21*Seasonality!$C$67*BE22)*(1-BE75)*(1-BE48)</f>
        <v/>
      </c>
    </row>
    <row r="162">
      <c r="B162" s="7" t="inlineStr">
        <is>
          <t>Revenue collected · month 32</t>
        </is>
      </c>
      <c r="C162" s="5" t="inlineStr">
        <is>
          <t>₹</t>
        </is>
      </c>
      <c r="D162" s="50">
        <f>MAX(D23,D21*Seasonality!$C$68*D22)*(1-D75)*(1-D48)</f>
        <v/>
      </c>
      <c r="E162" s="50">
        <f>MAX(E23,E21*Seasonality!$C$68*E22)*(1-E75)*(1-E48)</f>
        <v/>
      </c>
      <c r="F162" s="50">
        <f>MAX(F23,F21*Seasonality!$C$68*F22)*(1-F75)*(1-F48)</f>
        <v/>
      </c>
      <c r="G162" s="50">
        <f>MAX(G23,G21*Seasonality!$C$68*G22)*(1-G75)*(1-G48)</f>
        <v/>
      </c>
      <c r="H162" s="50">
        <f>MAX(H23,H21*Seasonality!$C$68*H22)*(1-H75)*(1-H48)</f>
        <v/>
      </c>
      <c r="I162" s="50">
        <f>MAX(I23,I21*Seasonality!$C$68*I22)*(1-I75)*(1-I48)</f>
        <v/>
      </c>
      <c r="J162" s="50">
        <f>MAX(J23,J21*Seasonality!$C$68*J22)*(1-J75)*(1-J48)</f>
        <v/>
      </c>
      <c r="K162" s="50">
        <f>MAX(K23,K21*Seasonality!$C$68*K22)*(1-K75)*(1-K48)</f>
        <v/>
      </c>
      <c r="L162" s="50">
        <f>MAX(L23,L21*Seasonality!$C$68*L22)*(1-L75)*(1-L48)</f>
        <v/>
      </c>
      <c r="M162" s="50">
        <f>MAX(M23,M21*Seasonality!$C$68*M22)*(1-M75)*(1-M48)</f>
        <v/>
      </c>
      <c r="N162" s="50">
        <f>MAX(N23,N21*Seasonality!$C$68*N22)*(1-N75)*(1-N48)</f>
        <v/>
      </c>
      <c r="O162" s="50">
        <f>MAX(O23,O21*Seasonality!$C$68*O22)*(1-O75)*(1-O48)</f>
        <v/>
      </c>
      <c r="P162" s="50">
        <f>MAX(P23,P21*Seasonality!$C$68*P22)*(1-P75)*(1-P48)</f>
        <v/>
      </c>
      <c r="Q162" s="50">
        <f>MAX(Q23,Q21*Seasonality!$C$68*Q22)*(1-Q75)*(1-Q48)</f>
        <v/>
      </c>
      <c r="R162" s="50">
        <f>MAX(R23,R21*Seasonality!$C$68*R22)*(1-R75)*(1-R48)</f>
        <v/>
      </c>
      <c r="S162" s="50">
        <f>MAX(S23,S21*Seasonality!$C$68*S22)*(1-S75)*(1-S48)</f>
        <v/>
      </c>
      <c r="T162" s="50">
        <f>MAX(T23,T21*Seasonality!$C$68*T22)*(1-T75)*(1-T48)</f>
        <v/>
      </c>
      <c r="U162" s="50">
        <f>MAX(U23,U21*Seasonality!$C$68*U22)*(1-U75)*(1-U48)</f>
        <v/>
      </c>
      <c r="V162" s="50">
        <f>MAX(V23,V21*Seasonality!$C$68*V22)*(1-V75)*(1-V48)</f>
        <v/>
      </c>
      <c r="W162" s="50">
        <f>MAX(W23,W21*Seasonality!$C$68*W22)*(1-W75)*(1-W48)</f>
        <v/>
      </c>
      <c r="X162" s="50">
        <f>MAX(X23,X21*Seasonality!$C$68*X22)*(1-X75)*(1-X48)</f>
        <v/>
      </c>
      <c r="Y162" s="50">
        <f>MAX(Y23,Y21*Seasonality!$C$68*Y22)*(1-Y75)*(1-Y48)</f>
        <v/>
      </c>
      <c r="Z162" s="50">
        <f>MAX(Z23,Z21*Seasonality!$C$68*Z22)*(1-Z75)*(1-Z48)</f>
        <v/>
      </c>
      <c r="AA162" s="50">
        <f>MAX(AA23,AA21*Seasonality!$C$68*AA22)*(1-AA75)*(1-AA48)</f>
        <v/>
      </c>
      <c r="AB162" s="50">
        <f>MAX(AB23,AB21*Seasonality!$C$68*AB22)*(1-AB75)*(1-AB48)</f>
        <v/>
      </c>
      <c r="AC162" s="50">
        <f>MAX(AC23,AC21*Seasonality!$C$68*AC22)*(1-AC75)*(1-AC48)</f>
        <v/>
      </c>
      <c r="AD162" s="50">
        <f>MAX(AD23,AD21*Seasonality!$C$68*AD22)*(1-AD75)*(1-AD48)</f>
        <v/>
      </c>
      <c r="AE162" s="50">
        <f>MAX(AE23,AE21*Seasonality!$C$68*AE22)*(1-AE75)*(1-AE48)</f>
        <v/>
      </c>
      <c r="AF162" s="50">
        <f>MAX(AF23,AF21*Seasonality!$C$68*AF22)*(1-AF75)*(1-AF48)</f>
        <v/>
      </c>
      <c r="AG162" s="50">
        <f>MAX(AG23,AG21*Seasonality!$C$68*AG22)*(1-AG75)*(1-AG48)</f>
        <v/>
      </c>
      <c r="AH162" s="50">
        <f>MAX(AH23,AH21*Seasonality!$C$68*AH22)*(1-AH75)*(1-AH48)</f>
        <v/>
      </c>
      <c r="AI162" s="50">
        <f>MAX(AI23,AI21*Seasonality!$C$68*AI22)*(1-AI75)*(1-AI48)</f>
        <v/>
      </c>
      <c r="AJ162" s="50">
        <f>MAX(AJ23,AJ21*Seasonality!$C$68*AJ22)*(1-AJ75)*(1-AJ48)</f>
        <v/>
      </c>
      <c r="AK162" s="50">
        <f>MAX(AK23,AK21*Seasonality!$C$68*AK22)*(1-AK75)*(1-AK48)</f>
        <v/>
      </c>
      <c r="AL162" s="50">
        <f>MAX(AL23,AL21*Seasonality!$C$68*AL22)*(1-AL75)*(1-AL48)</f>
        <v/>
      </c>
      <c r="AM162" s="50">
        <f>MAX(AM23,AM21*Seasonality!$C$68*AM22)*(1-AM75)*(1-AM48)</f>
        <v/>
      </c>
      <c r="AN162" s="50">
        <f>MAX(AN23,AN21*Seasonality!$C$68*AN22)*(1-AN75)*(1-AN48)</f>
        <v/>
      </c>
      <c r="AO162" s="50">
        <f>MAX(AO23,AO21*Seasonality!$C$68*AO22)*(1-AO75)*(1-AO48)</f>
        <v/>
      </c>
      <c r="AP162" s="50">
        <f>MAX(AP23,AP21*Seasonality!$C$68*AP22)*(1-AP75)*(1-AP48)</f>
        <v/>
      </c>
      <c r="AQ162" s="50">
        <f>MAX(AQ23,AQ21*Seasonality!$C$68*AQ22)*(1-AQ75)*(1-AQ48)</f>
        <v/>
      </c>
      <c r="AR162" s="50">
        <f>MAX(AR23,AR21*Seasonality!$C$68*AR22)*(1-AR75)*(1-AR48)</f>
        <v/>
      </c>
      <c r="AS162" s="50">
        <f>MAX(AS23,AS21*Seasonality!$C$68*AS22)*(1-AS75)*(1-AS48)</f>
        <v/>
      </c>
      <c r="AT162" s="50">
        <f>MAX(AT23,AT21*Seasonality!$C$68*AT22)*(1-AT75)*(1-AT48)</f>
        <v/>
      </c>
      <c r="AU162" s="50">
        <f>MAX(AU23,AU21*Seasonality!$C$68*AU22)*(1-AU75)*(1-AU48)</f>
        <v/>
      </c>
      <c r="AV162" s="50">
        <f>MAX(AV23,AV21*Seasonality!$C$68*AV22)*(1-AV75)*(1-AV48)</f>
        <v/>
      </c>
      <c r="AW162" s="50">
        <f>MAX(AW23,AW21*Seasonality!$C$68*AW22)*(1-AW75)*(1-AW48)</f>
        <v/>
      </c>
      <c r="AX162" s="50">
        <f>MAX(AX23,AX21*Seasonality!$C$68*AX22)*(1-AX75)*(1-AX48)</f>
        <v/>
      </c>
      <c r="AY162" s="50">
        <f>MAX(AY23,AY21*Seasonality!$C$68*AY22)*(1-AY75)*(1-AY48)</f>
        <v/>
      </c>
      <c r="AZ162" s="50">
        <f>MAX(AZ23,AZ21*Seasonality!$C$68*AZ22)*(1-AZ75)*(1-AZ48)</f>
        <v/>
      </c>
      <c r="BA162" s="50">
        <f>MAX(BA23,BA21*Seasonality!$C$68*BA22)*(1-BA75)*(1-BA48)</f>
        <v/>
      </c>
      <c r="BB162" s="50">
        <f>MAX(BB23,BB21*Seasonality!$C$68*BB22)*(1-BB75)*(1-BB48)</f>
        <v/>
      </c>
      <c r="BC162" s="50">
        <f>MAX(BC23,BC21*Seasonality!$C$68*BC22)*(1-BC75)*(1-BC48)</f>
        <v/>
      </c>
      <c r="BD162" s="50">
        <f>MAX(BD23,BD21*Seasonality!$C$68*BD22)*(1-BD75)*(1-BD48)</f>
        <v/>
      </c>
      <c r="BE162" s="50">
        <f>MAX(BE23,BE21*Seasonality!$C$68*BE22)*(1-BE75)*(1-BE48)</f>
        <v/>
      </c>
    </row>
    <row r="163">
      <c r="B163" s="7" t="inlineStr">
        <is>
          <t>Revenue collected · month 33</t>
        </is>
      </c>
      <c r="C163" s="5" t="inlineStr">
        <is>
          <t>₹</t>
        </is>
      </c>
      <c r="D163" s="50">
        <f>MAX(D23,D21*Seasonality!$C$69*D22)*(1-D75)*(1-D48)</f>
        <v/>
      </c>
      <c r="E163" s="50">
        <f>MAX(E23,E21*Seasonality!$C$69*E22)*(1-E75)*(1-E48)</f>
        <v/>
      </c>
      <c r="F163" s="50">
        <f>MAX(F23,F21*Seasonality!$C$69*F22)*(1-F75)*(1-F48)</f>
        <v/>
      </c>
      <c r="G163" s="50">
        <f>MAX(G23,G21*Seasonality!$C$69*G22)*(1-G75)*(1-G48)</f>
        <v/>
      </c>
      <c r="H163" s="50">
        <f>MAX(H23,H21*Seasonality!$C$69*H22)*(1-H75)*(1-H48)</f>
        <v/>
      </c>
      <c r="I163" s="50">
        <f>MAX(I23,I21*Seasonality!$C$69*I22)*(1-I75)*(1-I48)</f>
        <v/>
      </c>
      <c r="J163" s="50">
        <f>MAX(J23,J21*Seasonality!$C$69*J22)*(1-J75)*(1-J48)</f>
        <v/>
      </c>
      <c r="K163" s="50">
        <f>MAX(K23,K21*Seasonality!$C$69*K22)*(1-K75)*(1-K48)</f>
        <v/>
      </c>
      <c r="L163" s="50">
        <f>MAX(L23,L21*Seasonality!$C$69*L22)*(1-L75)*(1-L48)</f>
        <v/>
      </c>
      <c r="M163" s="50">
        <f>MAX(M23,M21*Seasonality!$C$69*M22)*(1-M75)*(1-M48)</f>
        <v/>
      </c>
      <c r="N163" s="50">
        <f>MAX(N23,N21*Seasonality!$C$69*N22)*(1-N75)*(1-N48)</f>
        <v/>
      </c>
      <c r="O163" s="50">
        <f>MAX(O23,O21*Seasonality!$C$69*O22)*(1-O75)*(1-O48)</f>
        <v/>
      </c>
      <c r="P163" s="50">
        <f>MAX(P23,P21*Seasonality!$C$69*P22)*(1-P75)*(1-P48)</f>
        <v/>
      </c>
      <c r="Q163" s="50">
        <f>MAX(Q23,Q21*Seasonality!$C$69*Q22)*(1-Q75)*(1-Q48)</f>
        <v/>
      </c>
      <c r="R163" s="50">
        <f>MAX(R23,R21*Seasonality!$C$69*R22)*(1-R75)*(1-R48)</f>
        <v/>
      </c>
      <c r="S163" s="50">
        <f>MAX(S23,S21*Seasonality!$C$69*S22)*(1-S75)*(1-S48)</f>
        <v/>
      </c>
      <c r="T163" s="50">
        <f>MAX(T23,T21*Seasonality!$C$69*T22)*(1-T75)*(1-T48)</f>
        <v/>
      </c>
      <c r="U163" s="50">
        <f>MAX(U23,U21*Seasonality!$C$69*U22)*(1-U75)*(1-U48)</f>
        <v/>
      </c>
      <c r="V163" s="50">
        <f>MAX(V23,V21*Seasonality!$C$69*V22)*(1-V75)*(1-V48)</f>
        <v/>
      </c>
      <c r="W163" s="50">
        <f>MAX(W23,W21*Seasonality!$C$69*W22)*(1-W75)*(1-W48)</f>
        <v/>
      </c>
      <c r="X163" s="50">
        <f>MAX(X23,X21*Seasonality!$C$69*X22)*(1-X75)*(1-X48)</f>
        <v/>
      </c>
      <c r="Y163" s="50">
        <f>MAX(Y23,Y21*Seasonality!$C$69*Y22)*(1-Y75)*(1-Y48)</f>
        <v/>
      </c>
      <c r="Z163" s="50">
        <f>MAX(Z23,Z21*Seasonality!$C$69*Z22)*(1-Z75)*(1-Z48)</f>
        <v/>
      </c>
      <c r="AA163" s="50">
        <f>MAX(AA23,AA21*Seasonality!$C$69*AA22)*(1-AA75)*(1-AA48)</f>
        <v/>
      </c>
      <c r="AB163" s="50">
        <f>MAX(AB23,AB21*Seasonality!$C$69*AB22)*(1-AB75)*(1-AB48)</f>
        <v/>
      </c>
      <c r="AC163" s="50">
        <f>MAX(AC23,AC21*Seasonality!$C$69*AC22)*(1-AC75)*(1-AC48)</f>
        <v/>
      </c>
      <c r="AD163" s="50">
        <f>MAX(AD23,AD21*Seasonality!$C$69*AD22)*(1-AD75)*(1-AD48)</f>
        <v/>
      </c>
      <c r="AE163" s="50">
        <f>MAX(AE23,AE21*Seasonality!$C$69*AE22)*(1-AE75)*(1-AE48)</f>
        <v/>
      </c>
      <c r="AF163" s="50">
        <f>MAX(AF23,AF21*Seasonality!$C$69*AF22)*(1-AF75)*(1-AF48)</f>
        <v/>
      </c>
      <c r="AG163" s="50">
        <f>MAX(AG23,AG21*Seasonality!$C$69*AG22)*(1-AG75)*(1-AG48)</f>
        <v/>
      </c>
      <c r="AH163" s="50">
        <f>MAX(AH23,AH21*Seasonality!$C$69*AH22)*(1-AH75)*(1-AH48)</f>
        <v/>
      </c>
      <c r="AI163" s="50">
        <f>MAX(AI23,AI21*Seasonality!$C$69*AI22)*(1-AI75)*(1-AI48)</f>
        <v/>
      </c>
      <c r="AJ163" s="50">
        <f>MAX(AJ23,AJ21*Seasonality!$C$69*AJ22)*(1-AJ75)*(1-AJ48)</f>
        <v/>
      </c>
      <c r="AK163" s="50">
        <f>MAX(AK23,AK21*Seasonality!$C$69*AK22)*(1-AK75)*(1-AK48)</f>
        <v/>
      </c>
      <c r="AL163" s="50">
        <f>MAX(AL23,AL21*Seasonality!$C$69*AL22)*(1-AL75)*(1-AL48)</f>
        <v/>
      </c>
      <c r="AM163" s="50">
        <f>MAX(AM23,AM21*Seasonality!$C$69*AM22)*(1-AM75)*(1-AM48)</f>
        <v/>
      </c>
      <c r="AN163" s="50">
        <f>MAX(AN23,AN21*Seasonality!$C$69*AN22)*(1-AN75)*(1-AN48)</f>
        <v/>
      </c>
      <c r="AO163" s="50">
        <f>MAX(AO23,AO21*Seasonality!$C$69*AO22)*(1-AO75)*(1-AO48)</f>
        <v/>
      </c>
      <c r="AP163" s="50">
        <f>MAX(AP23,AP21*Seasonality!$C$69*AP22)*(1-AP75)*(1-AP48)</f>
        <v/>
      </c>
      <c r="AQ163" s="50">
        <f>MAX(AQ23,AQ21*Seasonality!$C$69*AQ22)*(1-AQ75)*(1-AQ48)</f>
        <v/>
      </c>
      <c r="AR163" s="50">
        <f>MAX(AR23,AR21*Seasonality!$C$69*AR22)*(1-AR75)*(1-AR48)</f>
        <v/>
      </c>
      <c r="AS163" s="50">
        <f>MAX(AS23,AS21*Seasonality!$C$69*AS22)*(1-AS75)*(1-AS48)</f>
        <v/>
      </c>
      <c r="AT163" s="50">
        <f>MAX(AT23,AT21*Seasonality!$C$69*AT22)*(1-AT75)*(1-AT48)</f>
        <v/>
      </c>
      <c r="AU163" s="50">
        <f>MAX(AU23,AU21*Seasonality!$C$69*AU22)*(1-AU75)*(1-AU48)</f>
        <v/>
      </c>
      <c r="AV163" s="50">
        <f>MAX(AV23,AV21*Seasonality!$C$69*AV22)*(1-AV75)*(1-AV48)</f>
        <v/>
      </c>
      <c r="AW163" s="50">
        <f>MAX(AW23,AW21*Seasonality!$C$69*AW22)*(1-AW75)*(1-AW48)</f>
        <v/>
      </c>
      <c r="AX163" s="50">
        <f>MAX(AX23,AX21*Seasonality!$C$69*AX22)*(1-AX75)*(1-AX48)</f>
        <v/>
      </c>
      <c r="AY163" s="50">
        <f>MAX(AY23,AY21*Seasonality!$C$69*AY22)*(1-AY75)*(1-AY48)</f>
        <v/>
      </c>
      <c r="AZ163" s="50">
        <f>MAX(AZ23,AZ21*Seasonality!$C$69*AZ22)*(1-AZ75)*(1-AZ48)</f>
        <v/>
      </c>
      <c r="BA163" s="50">
        <f>MAX(BA23,BA21*Seasonality!$C$69*BA22)*(1-BA75)*(1-BA48)</f>
        <v/>
      </c>
      <c r="BB163" s="50">
        <f>MAX(BB23,BB21*Seasonality!$C$69*BB22)*(1-BB75)*(1-BB48)</f>
        <v/>
      </c>
      <c r="BC163" s="50">
        <f>MAX(BC23,BC21*Seasonality!$C$69*BC22)*(1-BC75)*(1-BC48)</f>
        <v/>
      </c>
      <c r="BD163" s="50">
        <f>MAX(BD23,BD21*Seasonality!$C$69*BD22)*(1-BD75)*(1-BD48)</f>
        <v/>
      </c>
      <c r="BE163" s="50">
        <f>MAX(BE23,BE21*Seasonality!$C$69*BE22)*(1-BE75)*(1-BE48)</f>
        <v/>
      </c>
    </row>
    <row r="164">
      <c r="B164" s="7" t="inlineStr">
        <is>
          <t>Revenue collected · month 34</t>
        </is>
      </c>
      <c r="C164" s="5" t="inlineStr">
        <is>
          <t>₹</t>
        </is>
      </c>
      <c r="D164" s="50">
        <f>MAX(D23,D21*Seasonality!$C$70*D22)*(1-D75)*(1-D48)</f>
        <v/>
      </c>
      <c r="E164" s="50">
        <f>MAX(E23,E21*Seasonality!$C$70*E22)*(1-E75)*(1-E48)</f>
        <v/>
      </c>
      <c r="F164" s="50">
        <f>MAX(F23,F21*Seasonality!$C$70*F22)*(1-F75)*(1-F48)</f>
        <v/>
      </c>
      <c r="G164" s="50">
        <f>MAX(G23,G21*Seasonality!$C$70*G22)*(1-G75)*(1-G48)</f>
        <v/>
      </c>
      <c r="H164" s="50">
        <f>MAX(H23,H21*Seasonality!$C$70*H22)*(1-H75)*(1-H48)</f>
        <v/>
      </c>
      <c r="I164" s="50">
        <f>MAX(I23,I21*Seasonality!$C$70*I22)*(1-I75)*(1-I48)</f>
        <v/>
      </c>
      <c r="J164" s="50">
        <f>MAX(J23,J21*Seasonality!$C$70*J22)*(1-J75)*(1-J48)</f>
        <v/>
      </c>
      <c r="K164" s="50">
        <f>MAX(K23,K21*Seasonality!$C$70*K22)*(1-K75)*(1-K48)</f>
        <v/>
      </c>
      <c r="L164" s="50">
        <f>MAX(L23,L21*Seasonality!$C$70*L22)*(1-L75)*(1-L48)</f>
        <v/>
      </c>
      <c r="M164" s="50">
        <f>MAX(M23,M21*Seasonality!$C$70*M22)*(1-M75)*(1-M48)</f>
        <v/>
      </c>
      <c r="N164" s="50">
        <f>MAX(N23,N21*Seasonality!$C$70*N22)*(1-N75)*(1-N48)</f>
        <v/>
      </c>
      <c r="O164" s="50">
        <f>MAX(O23,O21*Seasonality!$C$70*O22)*(1-O75)*(1-O48)</f>
        <v/>
      </c>
      <c r="P164" s="50">
        <f>MAX(P23,P21*Seasonality!$C$70*P22)*(1-P75)*(1-P48)</f>
        <v/>
      </c>
      <c r="Q164" s="50">
        <f>MAX(Q23,Q21*Seasonality!$C$70*Q22)*(1-Q75)*(1-Q48)</f>
        <v/>
      </c>
      <c r="R164" s="50">
        <f>MAX(R23,R21*Seasonality!$C$70*R22)*(1-R75)*(1-R48)</f>
        <v/>
      </c>
      <c r="S164" s="50">
        <f>MAX(S23,S21*Seasonality!$C$70*S22)*(1-S75)*(1-S48)</f>
        <v/>
      </c>
      <c r="T164" s="50">
        <f>MAX(T23,T21*Seasonality!$C$70*T22)*(1-T75)*(1-T48)</f>
        <v/>
      </c>
      <c r="U164" s="50">
        <f>MAX(U23,U21*Seasonality!$C$70*U22)*(1-U75)*(1-U48)</f>
        <v/>
      </c>
      <c r="V164" s="50">
        <f>MAX(V23,V21*Seasonality!$C$70*V22)*(1-V75)*(1-V48)</f>
        <v/>
      </c>
      <c r="W164" s="50">
        <f>MAX(W23,W21*Seasonality!$C$70*W22)*(1-W75)*(1-W48)</f>
        <v/>
      </c>
      <c r="X164" s="50">
        <f>MAX(X23,X21*Seasonality!$C$70*X22)*(1-X75)*(1-X48)</f>
        <v/>
      </c>
      <c r="Y164" s="50">
        <f>MAX(Y23,Y21*Seasonality!$C$70*Y22)*(1-Y75)*(1-Y48)</f>
        <v/>
      </c>
      <c r="Z164" s="50">
        <f>MAX(Z23,Z21*Seasonality!$C$70*Z22)*(1-Z75)*(1-Z48)</f>
        <v/>
      </c>
      <c r="AA164" s="50">
        <f>MAX(AA23,AA21*Seasonality!$C$70*AA22)*(1-AA75)*(1-AA48)</f>
        <v/>
      </c>
      <c r="AB164" s="50">
        <f>MAX(AB23,AB21*Seasonality!$C$70*AB22)*(1-AB75)*(1-AB48)</f>
        <v/>
      </c>
      <c r="AC164" s="50">
        <f>MAX(AC23,AC21*Seasonality!$C$70*AC22)*(1-AC75)*(1-AC48)</f>
        <v/>
      </c>
      <c r="AD164" s="50">
        <f>MAX(AD23,AD21*Seasonality!$C$70*AD22)*(1-AD75)*(1-AD48)</f>
        <v/>
      </c>
      <c r="AE164" s="50">
        <f>MAX(AE23,AE21*Seasonality!$C$70*AE22)*(1-AE75)*(1-AE48)</f>
        <v/>
      </c>
      <c r="AF164" s="50">
        <f>MAX(AF23,AF21*Seasonality!$C$70*AF22)*(1-AF75)*(1-AF48)</f>
        <v/>
      </c>
      <c r="AG164" s="50">
        <f>MAX(AG23,AG21*Seasonality!$C$70*AG22)*(1-AG75)*(1-AG48)</f>
        <v/>
      </c>
      <c r="AH164" s="50">
        <f>MAX(AH23,AH21*Seasonality!$C$70*AH22)*(1-AH75)*(1-AH48)</f>
        <v/>
      </c>
      <c r="AI164" s="50">
        <f>MAX(AI23,AI21*Seasonality!$C$70*AI22)*(1-AI75)*(1-AI48)</f>
        <v/>
      </c>
      <c r="AJ164" s="50">
        <f>MAX(AJ23,AJ21*Seasonality!$C$70*AJ22)*(1-AJ75)*(1-AJ48)</f>
        <v/>
      </c>
      <c r="AK164" s="50">
        <f>MAX(AK23,AK21*Seasonality!$C$70*AK22)*(1-AK75)*(1-AK48)</f>
        <v/>
      </c>
      <c r="AL164" s="50">
        <f>MAX(AL23,AL21*Seasonality!$C$70*AL22)*(1-AL75)*(1-AL48)</f>
        <v/>
      </c>
      <c r="AM164" s="50">
        <f>MAX(AM23,AM21*Seasonality!$C$70*AM22)*(1-AM75)*(1-AM48)</f>
        <v/>
      </c>
      <c r="AN164" s="50">
        <f>MAX(AN23,AN21*Seasonality!$C$70*AN22)*(1-AN75)*(1-AN48)</f>
        <v/>
      </c>
      <c r="AO164" s="50">
        <f>MAX(AO23,AO21*Seasonality!$C$70*AO22)*(1-AO75)*(1-AO48)</f>
        <v/>
      </c>
      <c r="AP164" s="50">
        <f>MAX(AP23,AP21*Seasonality!$C$70*AP22)*(1-AP75)*(1-AP48)</f>
        <v/>
      </c>
      <c r="AQ164" s="50">
        <f>MAX(AQ23,AQ21*Seasonality!$C$70*AQ22)*(1-AQ75)*(1-AQ48)</f>
        <v/>
      </c>
      <c r="AR164" s="50">
        <f>MAX(AR23,AR21*Seasonality!$C$70*AR22)*(1-AR75)*(1-AR48)</f>
        <v/>
      </c>
      <c r="AS164" s="50">
        <f>MAX(AS23,AS21*Seasonality!$C$70*AS22)*(1-AS75)*(1-AS48)</f>
        <v/>
      </c>
      <c r="AT164" s="50">
        <f>MAX(AT23,AT21*Seasonality!$C$70*AT22)*(1-AT75)*(1-AT48)</f>
        <v/>
      </c>
      <c r="AU164" s="50">
        <f>MAX(AU23,AU21*Seasonality!$C$70*AU22)*(1-AU75)*(1-AU48)</f>
        <v/>
      </c>
      <c r="AV164" s="50">
        <f>MAX(AV23,AV21*Seasonality!$C$70*AV22)*(1-AV75)*(1-AV48)</f>
        <v/>
      </c>
      <c r="AW164" s="50">
        <f>MAX(AW23,AW21*Seasonality!$C$70*AW22)*(1-AW75)*(1-AW48)</f>
        <v/>
      </c>
      <c r="AX164" s="50">
        <f>MAX(AX23,AX21*Seasonality!$C$70*AX22)*(1-AX75)*(1-AX48)</f>
        <v/>
      </c>
      <c r="AY164" s="50">
        <f>MAX(AY23,AY21*Seasonality!$C$70*AY22)*(1-AY75)*(1-AY48)</f>
        <v/>
      </c>
      <c r="AZ164" s="50">
        <f>MAX(AZ23,AZ21*Seasonality!$C$70*AZ22)*(1-AZ75)*(1-AZ48)</f>
        <v/>
      </c>
      <c r="BA164" s="50">
        <f>MAX(BA23,BA21*Seasonality!$C$70*BA22)*(1-BA75)*(1-BA48)</f>
        <v/>
      </c>
      <c r="BB164" s="50">
        <f>MAX(BB23,BB21*Seasonality!$C$70*BB22)*(1-BB75)*(1-BB48)</f>
        <v/>
      </c>
      <c r="BC164" s="50">
        <f>MAX(BC23,BC21*Seasonality!$C$70*BC22)*(1-BC75)*(1-BC48)</f>
        <v/>
      </c>
      <c r="BD164" s="50">
        <f>MAX(BD23,BD21*Seasonality!$C$70*BD22)*(1-BD75)*(1-BD48)</f>
        <v/>
      </c>
      <c r="BE164" s="50">
        <f>MAX(BE23,BE21*Seasonality!$C$70*BE22)*(1-BE75)*(1-BE48)</f>
        <v/>
      </c>
    </row>
    <row r="165">
      <c r="B165" s="7" t="inlineStr">
        <is>
          <t>Revenue collected · month 35</t>
        </is>
      </c>
      <c r="C165" s="5" t="inlineStr">
        <is>
          <t>₹</t>
        </is>
      </c>
      <c r="D165" s="50">
        <f>MAX(D23,D21*Seasonality!$C$71*D22)*(1-D75)*(1-D48)</f>
        <v/>
      </c>
      <c r="E165" s="50">
        <f>MAX(E23,E21*Seasonality!$C$71*E22)*(1-E75)*(1-E48)</f>
        <v/>
      </c>
      <c r="F165" s="50">
        <f>MAX(F23,F21*Seasonality!$C$71*F22)*(1-F75)*(1-F48)</f>
        <v/>
      </c>
      <c r="G165" s="50">
        <f>MAX(G23,G21*Seasonality!$C$71*G22)*(1-G75)*(1-G48)</f>
        <v/>
      </c>
      <c r="H165" s="50">
        <f>MAX(H23,H21*Seasonality!$C$71*H22)*(1-H75)*(1-H48)</f>
        <v/>
      </c>
      <c r="I165" s="50">
        <f>MAX(I23,I21*Seasonality!$C$71*I22)*(1-I75)*(1-I48)</f>
        <v/>
      </c>
      <c r="J165" s="50">
        <f>MAX(J23,J21*Seasonality!$C$71*J22)*(1-J75)*(1-J48)</f>
        <v/>
      </c>
      <c r="K165" s="50">
        <f>MAX(K23,K21*Seasonality!$C$71*K22)*(1-K75)*(1-K48)</f>
        <v/>
      </c>
      <c r="L165" s="50">
        <f>MAX(L23,L21*Seasonality!$C$71*L22)*(1-L75)*(1-L48)</f>
        <v/>
      </c>
      <c r="M165" s="50">
        <f>MAX(M23,M21*Seasonality!$C$71*M22)*(1-M75)*(1-M48)</f>
        <v/>
      </c>
      <c r="N165" s="50">
        <f>MAX(N23,N21*Seasonality!$C$71*N22)*(1-N75)*(1-N48)</f>
        <v/>
      </c>
      <c r="O165" s="50">
        <f>MAX(O23,O21*Seasonality!$C$71*O22)*(1-O75)*(1-O48)</f>
        <v/>
      </c>
      <c r="P165" s="50">
        <f>MAX(P23,P21*Seasonality!$C$71*P22)*(1-P75)*(1-P48)</f>
        <v/>
      </c>
      <c r="Q165" s="50">
        <f>MAX(Q23,Q21*Seasonality!$C$71*Q22)*(1-Q75)*(1-Q48)</f>
        <v/>
      </c>
      <c r="R165" s="50">
        <f>MAX(R23,R21*Seasonality!$C$71*R22)*(1-R75)*(1-R48)</f>
        <v/>
      </c>
      <c r="S165" s="50">
        <f>MAX(S23,S21*Seasonality!$C$71*S22)*(1-S75)*(1-S48)</f>
        <v/>
      </c>
      <c r="T165" s="50">
        <f>MAX(T23,T21*Seasonality!$C$71*T22)*(1-T75)*(1-T48)</f>
        <v/>
      </c>
      <c r="U165" s="50">
        <f>MAX(U23,U21*Seasonality!$C$71*U22)*(1-U75)*(1-U48)</f>
        <v/>
      </c>
      <c r="V165" s="50">
        <f>MAX(V23,V21*Seasonality!$C$71*V22)*(1-V75)*(1-V48)</f>
        <v/>
      </c>
      <c r="W165" s="50">
        <f>MAX(W23,W21*Seasonality!$C$71*W22)*(1-W75)*(1-W48)</f>
        <v/>
      </c>
      <c r="X165" s="50">
        <f>MAX(X23,X21*Seasonality!$C$71*X22)*(1-X75)*(1-X48)</f>
        <v/>
      </c>
      <c r="Y165" s="50">
        <f>MAX(Y23,Y21*Seasonality!$C$71*Y22)*(1-Y75)*(1-Y48)</f>
        <v/>
      </c>
      <c r="Z165" s="50">
        <f>MAX(Z23,Z21*Seasonality!$C$71*Z22)*(1-Z75)*(1-Z48)</f>
        <v/>
      </c>
      <c r="AA165" s="50">
        <f>MAX(AA23,AA21*Seasonality!$C$71*AA22)*(1-AA75)*(1-AA48)</f>
        <v/>
      </c>
      <c r="AB165" s="50">
        <f>MAX(AB23,AB21*Seasonality!$C$71*AB22)*(1-AB75)*(1-AB48)</f>
        <v/>
      </c>
      <c r="AC165" s="50">
        <f>MAX(AC23,AC21*Seasonality!$C$71*AC22)*(1-AC75)*(1-AC48)</f>
        <v/>
      </c>
      <c r="AD165" s="50">
        <f>MAX(AD23,AD21*Seasonality!$C$71*AD22)*(1-AD75)*(1-AD48)</f>
        <v/>
      </c>
      <c r="AE165" s="50">
        <f>MAX(AE23,AE21*Seasonality!$C$71*AE22)*(1-AE75)*(1-AE48)</f>
        <v/>
      </c>
      <c r="AF165" s="50">
        <f>MAX(AF23,AF21*Seasonality!$C$71*AF22)*(1-AF75)*(1-AF48)</f>
        <v/>
      </c>
      <c r="AG165" s="50">
        <f>MAX(AG23,AG21*Seasonality!$C$71*AG22)*(1-AG75)*(1-AG48)</f>
        <v/>
      </c>
      <c r="AH165" s="50">
        <f>MAX(AH23,AH21*Seasonality!$C$71*AH22)*(1-AH75)*(1-AH48)</f>
        <v/>
      </c>
      <c r="AI165" s="50">
        <f>MAX(AI23,AI21*Seasonality!$C$71*AI22)*(1-AI75)*(1-AI48)</f>
        <v/>
      </c>
      <c r="AJ165" s="50">
        <f>MAX(AJ23,AJ21*Seasonality!$C$71*AJ22)*(1-AJ75)*(1-AJ48)</f>
        <v/>
      </c>
      <c r="AK165" s="50">
        <f>MAX(AK23,AK21*Seasonality!$C$71*AK22)*(1-AK75)*(1-AK48)</f>
        <v/>
      </c>
      <c r="AL165" s="50">
        <f>MAX(AL23,AL21*Seasonality!$C$71*AL22)*(1-AL75)*(1-AL48)</f>
        <v/>
      </c>
      <c r="AM165" s="50">
        <f>MAX(AM23,AM21*Seasonality!$C$71*AM22)*(1-AM75)*(1-AM48)</f>
        <v/>
      </c>
      <c r="AN165" s="50">
        <f>MAX(AN23,AN21*Seasonality!$C$71*AN22)*(1-AN75)*(1-AN48)</f>
        <v/>
      </c>
      <c r="AO165" s="50">
        <f>MAX(AO23,AO21*Seasonality!$C$71*AO22)*(1-AO75)*(1-AO48)</f>
        <v/>
      </c>
      <c r="AP165" s="50">
        <f>MAX(AP23,AP21*Seasonality!$C$71*AP22)*(1-AP75)*(1-AP48)</f>
        <v/>
      </c>
      <c r="AQ165" s="50">
        <f>MAX(AQ23,AQ21*Seasonality!$C$71*AQ22)*(1-AQ75)*(1-AQ48)</f>
        <v/>
      </c>
      <c r="AR165" s="50">
        <f>MAX(AR23,AR21*Seasonality!$C$71*AR22)*(1-AR75)*(1-AR48)</f>
        <v/>
      </c>
      <c r="AS165" s="50">
        <f>MAX(AS23,AS21*Seasonality!$C$71*AS22)*(1-AS75)*(1-AS48)</f>
        <v/>
      </c>
      <c r="AT165" s="50">
        <f>MAX(AT23,AT21*Seasonality!$C$71*AT22)*(1-AT75)*(1-AT48)</f>
        <v/>
      </c>
      <c r="AU165" s="50">
        <f>MAX(AU23,AU21*Seasonality!$C$71*AU22)*(1-AU75)*(1-AU48)</f>
        <v/>
      </c>
      <c r="AV165" s="50">
        <f>MAX(AV23,AV21*Seasonality!$C$71*AV22)*(1-AV75)*(1-AV48)</f>
        <v/>
      </c>
      <c r="AW165" s="50">
        <f>MAX(AW23,AW21*Seasonality!$C$71*AW22)*(1-AW75)*(1-AW48)</f>
        <v/>
      </c>
      <c r="AX165" s="50">
        <f>MAX(AX23,AX21*Seasonality!$C$71*AX22)*(1-AX75)*(1-AX48)</f>
        <v/>
      </c>
      <c r="AY165" s="50">
        <f>MAX(AY23,AY21*Seasonality!$C$71*AY22)*(1-AY75)*(1-AY48)</f>
        <v/>
      </c>
      <c r="AZ165" s="50">
        <f>MAX(AZ23,AZ21*Seasonality!$C$71*AZ22)*(1-AZ75)*(1-AZ48)</f>
        <v/>
      </c>
      <c r="BA165" s="50">
        <f>MAX(BA23,BA21*Seasonality!$C$71*BA22)*(1-BA75)*(1-BA48)</f>
        <v/>
      </c>
      <c r="BB165" s="50">
        <f>MAX(BB23,BB21*Seasonality!$C$71*BB22)*(1-BB75)*(1-BB48)</f>
        <v/>
      </c>
      <c r="BC165" s="50">
        <f>MAX(BC23,BC21*Seasonality!$C$71*BC22)*(1-BC75)*(1-BC48)</f>
        <v/>
      </c>
      <c r="BD165" s="50">
        <f>MAX(BD23,BD21*Seasonality!$C$71*BD22)*(1-BD75)*(1-BD48)</f>
        <v/>
      </c>
      <c r="BE165" s="50">
        <f>MAX(BE23,BE21*Seasonality!$C$71*BE22)*(1-BE75)*(1-BE48)</f>
        <v/>
      </c>
    </row>
    <row r="166">
      <c r="B166" s="7" t="inlineStr">
        <is>
          <t>Revenue collected · month 36</t>
        </is>
      </c>
      <c r="C166" s="5" t="inlineStr">
        <is>
          <t>₹</t>
        </is>
      </c>
      <c r="D166" s="50">
        <f>MAX(D23,D21*Seasonality!$C$72*D22)*(1-D75)*(1-D48)</f>
        <v/>
      </c>
      <c r="E166" s="50">
        <f>MAX(E23,E21*Seasonality!$C$72*E22)*(1-E75)*(1-E48)</f>
        <v/>
      </c>
      <c r="F166" s="50">
        <f>MAX(F23,F21*Seasonality!$C$72*F22)*(1-F75)*(1-F48)</f>
        <v/>
      </c>
      <c r="G166" s="50">
        <f>MAX(G23,G21*Seasonality!$C$72*G22)*(1-G75)*(1-G48)</f>
        <v/>
      </c>
      <c r="H166" s="50">
        <f>MAX(H23,H21*Seasonality!$C$72*H22)*(1-H75)*(1-H48)</f>
        <v/>
      </c>
      <c r="I166" s="50">
        <f>MAX(I23,I21*Seasonality!$C$72*I22)*(1-I75)*(1-I48)</f>
        <v/>
      </c>
      <c r="J166" s="50">
        <f>MAX(J23,J21*Seasonality!$C$72*J22)*(1-J75)*(1-J48)</f>
        <v/>
      </c>
      <c r="K166" s="50">
        <f>MAX(K23,K21*Seasonality!$C$72*K22)*(1-K75)*(1-K48)</f>
        <v/>
      </c>
      <c r="L166" s="50">
        <f>MAX(L23,L21*Seasonality!$C$72*L22)*(1-L75)*(1-L48)</f>
        <v/>
      </c>
      <c r="M166" s="50">
        <f>MAX(M23,M21*Seasonality!$C$72*M22)*(1-M75)*(1-M48)</f>
        <v/>
      </c>
      <c r="N166" s="50">
        <f>MAX(N23,N21*Seasonality!$C$72*N22)*(1-N75)*(1-N48)</f>
        <v/>
      </c>
      <c r="O166" s="50">
        <f>MAX(O23,O21*Seasonality!$C$72*O22)*(1-O75)*(1-O48)</f>
        <v/>
      </c>
      <c r="P166" s="50">
        <f>MAX(P23,P21*Seasonality!$C$72*P22)*(1-P75)*(1-P48)</f>
        <v/>
      </c>
      <c r="Q166" s="50">
        <f>MAX(Q23,Q21*Seasonality!$C$72*Q22)*(1-Q75)*(1-Q48)</f>
        <v/>
      </c>
      <c r="R166" s="50">
        <f>MAX(R23,R21*Seasonality!$C$72*R22)*(1-R75)*(1-R48)</f>
        <v/>
      </c>
      <c r="S166" s="50">
        <f>MAX(S23,S21*Seasonality!$C$72*S22)*(1-S75)*(1-S48)</f>
        <v/>
      </c>
      <c r="T166" s="50">
        <f>MAX(T23,T21*Seasonality!$C$72*T22)*(1-T75)*(1-T48)</f>
        <v/>
      </c>
      <c r="U166" s="50">
        <f>MAX(U23,U21*Seasonality!$C$72*U22)*(1-U75)*(1-U48)</f>
        <v/>
      </c>
      <c r="V166" s="50">
        <f>MAX(V23,V21*Seasonality!$C$72*V22)*(1-V75)*(1-V48)</f>
        <v/>
      </c>
      <c r="W166" s="50">
        <f>MAX(W23,W21*Seasonality!$C$72*W22)*(1-W75)*(1-W48)</f>
        <v/>
      </c>
      <c r="X166" s="50">
        <f>MAX(X23,X21*Seasonality!$C$72*X22)*(1-X75)*(1-X48)</f>
        <v/>
      </c>
      <c r="Y166" s="50">
        <f>MAX(Y23,Y21*Seasonality!$C$72*Y22)*(1-Y75)*(1-Y48)</f>
        <v/>
      </c>
      <c r="Z166" s="50">
        <f>MAX(Z23,Z21*Seasonality!$C$72*Z22)*(1-Z75)*(1-Z48)</f>
        <v/>
      </c>
      <c r="AA166" s="50">
        <f>MAX(AA23,AA21*Seasonality!$C$72*AA22)*(1-AA75)*(1-AA48)</f>
        <v/>
      </c>
      <c r="AB166" s="50">
        <f>MAX(AB23,AB21*Seasonality!$C$72*AB22)*(1-AB75)*(1-AB48)</f>
        <v/>
      </c>
      <c r="AC166" s="50">
        <f>MAX(AC23,AC21*Seasonality!$C$72*AC22)*(1-AC75)*(1-AC48)</f>
        <v/>
      </c>
      <c r="AD166" s="50">
        <f>MAX(AD23,AD21*Seasonality!$C$72*AD22)*(1-AD75)*(1-AD48)</f>
        <v/>
      </c>
      <c r="AE166" s="50">
        <f>MAX(AE23,AE21*Seasonality!$C$72*AE22)*(1-AE75)*(1-AE48)</f>
        <v/>
      </c>
      <c r="AF166" s="50">
        <f>MAX(AF23,AF21*Seasonality!$C$72*AF22)*(1-AF75)*(1-AF48)</f>
        <v/>
      </c>
      <c r="AG166" s="50">
        <f>MAX(AG23,AG21*Seasonality!$C$72*AG22)*(1-AG75)*(1-AG48)</f>
        <v/>
      </c>
      <c r="AH166" s="50">
        <f>MAX(AH23,AH21*Seasonality!$C$72*AH22)*(1-AH75)*(1-AH48)</f>
        <v/>
      </c>
      <c r="AI166" s="50">
        <f>MAX(AI23,AI21*Seasonality!$C$72*AI22)*(1-AI75)*(1-AI48)</f>
        <v/>
      </c>
      <c r="AJ166" s="50">
        <f>MAX(AJ23,AJ21*Seasonality!$C$72*AJ22)*(1-AJ75)*(1-AJ48)</f>
        <v/>
      </c>
      <c r="AK166" s="50">
        <f>MAX(AK23,AK21*Seasonality!$C$72*AK22)*(1-AK75)*(1-AK48)</f>
        <v/>
      </c>
      <c r="AL166" s="50">
        <f>MAX(AL23,AL21*Seasonality!$C$72*AL22)*(1-AL75)*(1-AL48)</f>
        <v/>
      </c>
      <c r="AM166" s="50">
        <f>MAX(AM23,AM21*Seasonality!$C$72*AM22)*(1-AM75)*(1-AM48)</f>
        <v/>
      </c>
      <c r="AN166" s="50">
        <f>MAX(AN23,AN21*Seasonality!$C$72*AN22)*(1-AN75)*(1-AN48)</f>
        <v/>
      </c>
      <c r="AO166" s="50">
        <f>MAX(AO23,AO21*Seasonality!$C$72*AO22)*(1-AO75)*(1-AO48)</f>
        <v/>
      </c>
      <c r="AP166" s="50">
        <f>MAX(AP23,AP21*Seasonality!$C$72*AP22)*(1-AP75)*(1-AP48)</f>
        <v/>
      </c>
      <c r="AQ166" s="50">
        <f>MAX(AQ23,AQ21*Seasonality!$C$72*AQ22)*(1-AQ75)*(1-AQ48)</f>
        <v/>
      </c>
      <c r="AR166" s="50">
        <f>MAX(AR23,AR21*Seasonality!$C$72*AR22)*(1-AR75)*(1-AR48)</f>
        <v/>
      </c>
      <c r="AS166" s="50">
        <f>MAX(AS23,AS21*Seasonality!$C$72*AS22)*(1-AS75)*(1-AS48)</f>
        <v/>
      </c>
      <c r="AT166" s="50">
        <f>MAX(AT23,AT21*Seasonality!$C$72*AT22)*(1-AT75)*(1-AT48)</f>
        <v/>
      </c>
      <c r="AU166" s="50">
        <f>MAX(AU23,AU21*Seasonality!$C$72*AU22)*(1-AU75)*(1-AU48)</f>
        <v/>
      </c>
      <c r="AV166" s="50">
        <f>MAX(AV23,AV21*Seasonality!$C$72*AV22)*(1-AV75)*(1-AV48)</f>
        <v/>
      </c>
      <c r="AW166" s="50">
        <f>MAX(AW23,AW21*Seasonality!$C$72*AW22)*(1-AW75)*(1-AW48)</f>
        <v/>
      </c>
      <c r="AX166" s="50">
        <f>MAX(AX23,AX21*Seasonality!$C$72*AX22)*(1-AX75)*(1-AX48)</f>
        <v/>
      </c>
      <c r="AY166" s="50">
        <f>MAX(AY23,AY21*Seasonality!$C$72*AY22)*(1-AY75)*(1-AY48)</f>
        <v/>
      </c>
      <c r="AZ166" s="50">
        <f>MAX(AZ23,AZ21*Seasonality!$C$72*AZ22)*(1-AZ75)*(1-AZ48)</f>
        <v/>
      </c>
      <c r="BA166" s="50">
        <f>MAX(BA23,BA21*Seasonality!$C$72*BA22)*(1-BA75)*(1-BA48)</f>
        <v/>
      </c>
      <c r="BB166" s="50">
        <f>MAX(BB23,BB21*Seasonality!$C$72*BB22)*(1-BB75)*(1-BB48)</f>
        <v/>
      </c>
      <c r="BC166" s="50">
        <f>MAX(BC23,BC21*Seasonality!$C$72*BC22)*(1-BC75)*(1-BC48)</f>
        <v/>
      </c>
      <c r="BD166" s="50">
        <f>MAX(BD23,BD21*Seasonality!$C$72*BD22)*(1-BD75)*(1-BD48)</f>
        <v/>
      </c>
      <c r="BE166" s="50">
        <f>MAX(BE23,BE21*Seasonality!$C$72*BE22)*(1-BE75)*(1-BE48)</f>
        <v/>
      </c>
    </row>
    <row r="167">
      <c r="B167" s="7" t="inlineStr">
        <is>
          <t>Revenue collected · month 37</t>
        </is>
      </c>
      <c r="C167" s="5" t="inlineStr">
        <is>
          <t>₹</t>
        </is>
      </c>
      <c r="D167" s="50">
        <f>MAX(D23,D21*Seasonality!$C$73*D22)*(1-D75)*(1-D48)</f>
        <v/>
      </c>
      <c r="E167" s="50">
        <f>MAX(E23,E21*Seasonality!$C$73*E22)*(1-E75)*(1-E48)</f>
        <v/>
      </c>
      <c r="F167" s="50">
        <f>MAX(F23,F21*Seasonality!$C$73*F22)*(1-F75)*(1-F48)</f>
        <v/>
      </c>
      <c r="G167" s="50">
        <f>MAX(G23,G21*Seasonality!$C$73*G22)*(1-G75)*(1-G48)</f>
        <v/>
      </c>
      <c r="H167" s="50">
        <f>MAX(H23,H21*Seasonality!$C$73*H22)*(1-H75)*(1-H48)</f>
        <v/>
      </c>
      <c r="I167" s="50">
        <f>MAX(I23,I21*Seasonality!$C$73*I22)*(1-I75)*(1-I48)</f>
        <v/>
      </c>
      <c r="J167" s="50">
        <f>MAX(J23,J21*Seasonality!$C$73*J22)*(1-J75)*(1-J48)</f>
        <v/>
      </c>
      <c r="K167" s="50">
        <f>MAX(K23,K21*Seasonality!$C$73*K22)*(1-K75)*(1-K48)</f>
        <v/>
      </c>
      <c r="L167" s="50">
        <f>MAX(L23,L21*Seasonality!$C$73*L22)*(1-L75)*(1-L48)</f>
        <v/>
      </c>
      <c r="M167" s="50">
        <f>MAX(M23,M21*Seasonality!$C$73*M22)*(1-M75)*(1-M48)</f>
        <v/>
      </c>
      <c r="N167" s="50">
        <f>MAX(N23,N21*Seasonality!$C$73*N22)*(1-N75)*(1-N48)</f>
        <v/>
      </c>
      <c r="O167" s="50">
        <f>MAX(O23,O21*Seasonality!$C$73*O22)*(1-O75)*(1-O48)</f>
        <v/>
      </c>
      <c r="P167" s="50">
        <f>MAX(P23,P21*Seasonality!$C$73*P22)*(1-P75)*(1-P48)</f>
        <v/>
      </c>
      <c r="Q167" s="50">
        <f>MAX(Q23,Q21*Seasonality!$C$73*Q22)*(1-Q75)*(1-Q48)</f>
        <v/>
      </c>
      <c r="R167" s="50">
        <f>MAX(R23,R21*Seasonality!$C$73*R22)*(1-R75)*(1-R48)</f>
        <v/>
      </c>
      <c r="S167" s="50">
        <f>MAX(S23,S21*Seasonality!$C$73*S22)*(1-S75)*(1-S48)</f>
        <v/>
      </c>
      <c r="T167" s="50">
        <f>MAX(T23,T21*Seasonality!$C$73*T22)*(1-T75)*(1-T48)</f>
        <v/>
      </c>
      <c r="U167" s="50">
        <f>MAX(U23,U21*Seasonality!$C$73*U22)*(1-U75)*(1-U48)</f>
        <v/>
      </c>
      <c r="V167" s="50">
        <f>MAX(V23,V21*Seasonality!$C$73*V22)*(1-V75)*(1-V48)</f>
        <v/>
      </c>
      <c r="W167" s="50">
        <f>MAX(W23,W21*Seasonality!$C$73*W22)*(1-W75)*(1-W48)</f>
        <v/>
      </c>
      <c r="X167" s="50">
        <f>MAX(X23,X21*Seasonality!$C$73*X22)*(1-X75)*(1-X48)</f>
        <v/>
      </c>
      <c r="Y167" s="50">
        <f>MAX(Y23,Y21*Seasonality!$C$73*Y22)*(1-Y75)*(1-Y48)</f>
        <v/>
      </c>
      <c r="Z167" s="50">
        <f>MAX(Z23,Z21*Seasonality!$C$73*Z22)*(1-Z75)*(1-Z48)</f>
        <v/>
      </c>
      <c r="AA167" s="50">
        <f>MAX(AA23,AA21*Seasonality!$C$73*AA22)*(1-AA75)*(1-AA48)</f>
        <v/>
      </c>
      <c r="AB167" s="50">
        <f>MAX(AB23,AB21*Seasonality!$C$73*AB22)*(1-AB75)*(1-AB48)</f>
        <v/>
      </c>
      <c r="AC167" s="50">
        <f>MAX(AC23,AC21*Seasonality!$C$73*AC22)*(1-AC75)*(1-AC48)</f>
        <v/>
      </c>
      <c r="AD167" s="50">
        <f>MAX(AD23,AD21*Seasonality!$C$73*AD22)*(1-AD75)*(1-AD48)</f>
        <v/>
      </c>
      <c r="AE167" s="50">
        <f>MAX(AE23,AE21*Seasonality!$C$73*AE22)*(1-AE75)*(1-AE48)</f>
        <v/>
      </c>
      <c r="AF167" s="50">
        <f>MAX(AF23,AF21*Seasonality!$C$73*AF22)*(1-AF75)*(1-AF48)</f>
        <v/>
      </c>
      <c r="AG167" s="50">
        <f>MAX(AG23,AG21*Seasonality!$C$73*AG22)*(1-AG75)*(1-AG48)</f>
        <v/>
      </c>
      <c r="AH167" s="50">
        <f>MAX(AH23,AH21*Seasonality!$C$73*AH22)*(1-AH75)*(1-AH48)</f>
        <v/>
      </c>
      <c r="AI167" s="50">
        <f>MAX(AI23,AI21*Seasonality!$C$73*AI22)*(1-AI75)*(1-AI48)</f>
        <v/>
      </c>
      <c r="AJ167" s="50">
        <f>MAX(AJ23,AJ21*Seasonality!$C$73*AJ22)*(1-AJ75)*(1-AJ48)</f>
        <v/>
      </c>
      <c r="AK167" s="50">
        <f>MAX(AK23,AK21*Seasonality!$C$73*AK22)*(1-AK75)*(1-AK48)</f>
        <v/>
      </c>
      <c r="AL167" s="50">
        <f>MAX(AL23,AL21*Seasonality!$C$73*AL22)*(1-AL75)*(1-AL48)</f>
        <v/>
      </c>
      <c r="AM167" s="50">
        <f>MAX(AM23,AM21*Seasonality!$C$73*AM22)*(1-AM75)*(1-AM48)</f>
        <v/>
      </c>
      <c r="AN167" s="50">
        <f>MAX(AN23,AN21*Seasonality!$C$73*AN22)*(1-AN75)*(1-AN48)</f>
        <v/>
      </c>
      <c r="AO167" s="50">
        <f>MAX(AO23,AO21*Seasonality!$C$73*AO22)*(1-AO75)*(1-AO48)</f>
        <v/>
      </c>
      <c r="AP167" s="50">
        <f>MAX(AP23,AP21*Seasonality!$C$73*AP22)*(1-AP75)*(1-AP48)</f>
        <v/>
      </c>
      <c r="AQ167" s="50">
        <f>MAX(AQ23,AQ21*Seasonality!$C$73*AQ22)*(1-AQ75)*(1-AQ48)</f>
        <v/>
      </c>
      <c r="AR167" s="50">
        <f>MAX(AR23,AR21*Seasonality!$C$73*AR22)*(1-AR75)*(1-AR48)</f>
        <v/>
      </c>
      <c r="AS167" s="50">
        <f>MAX(AS23,AS21*Seasonality!$C$73*AS22)*(1-AS75)*(1-AS48)</f>
        <v/>
      </c>
      <c r="AT167" s="50">
        <f>MAX(AT23,AT21*Seasonality!$C$73*AT22)*(1-AT75)*(1-AT48)</f>
        <v/>
      </c>
      <c r="AU167" s="50">
        <f>MAX(AU23,AU21*Seasonality!$C$73*AU22)*(1-AU75)*(1-AU48)</f>
        <v/>
      </c>
      <c r="AV167" s="50">
        <f>MAX(AV23,AV21*Seasonality!$C$73*AV22)*(1-AV75)*(1-AV48)</f>
        <v/>
      </c>
      <c r="AW167" s="50">
        <f>MAX(AW23,AW21*Seasonality!$C$73*AW22)*(1-AW75)*(1-AW48)</f>
        <v/>
      </c>
      <c r="AX167" s="50">
        <f>MAX(AX23,AX21*Seasonality!$C$73*AX22)*(1-AX75)*(1-AX48)</f>
        <v/>
      </c>
      <c r="AY167" s="50">
        <f>MAX(AY23,AY21*Seasonality!$C$73*AY22)*(1-AY75)*(1-AY48)</f>
        <v/>
      </c>
      <c r="AZ167" s="50">
        <f>MAX(AZ23,AZ21*Seasonality!$C$73*AZ22)*(1-AZ75)*(1-AZ48)</f>
        <v/>
      </c>
      <c r="BA167" s="50">
        <f>MAX(BA23,BA21*Seasonality!$C$73*BA22)*(1-BA75)*(1-BA48)</f>
        <v/>
      </c>
      <c r="BB167" s="50">
        <f>MAX(BB23,BB21*Seasonality!$C$73*BB22)*(1-BB75)*(1-BB48)</f>
        <v/>
      </c>
      <c r="BC167" s="50">
        <f>MAX(BC23,BC21*Seasonality!$C$73*BC22)*(1-BC75)*(1-BC48)</f>
        <v/>
      </c>
      <c r="BD167" s="50">
        <f>MAX(BD23,BD21*Seasonality!$C$73*BD22)*(1-BD75)*(1-BD48)</f>
        <v/>
      </c>
      <c r="BE167" s="50">
        <f>MAX(BE23,BE21*Seasonality!$C$73*BE22)*(1-BE75)*(1-BE48)</f>
        <v/>
      </c>
    </row>
    <row r="168">
      <c r="B168" s="7" t="inlineStr">
        <is>
          <t>Revenue collected · month 38</t>
        </is>
      </c>
      <c r="C168" s="5" t="inlineStr">
        <is>
          <t>₹</t>
        </is>
      </c>
      <c r="D168" s="50">
        <f>MAX(D23,D21*Seasonality!$C$74*D22)*(1-D75)*(1-D48)</f>
        <v/>
      </c>
      <c r="E168" s="50">
        <f>MAX(E23,E21*Seasonality!$C$74*E22)*(1-E75)*(1-E48)</f>
        <v/>
      </c>
      <c r="F168" s="50">
        <f>MAX(F23,F21*Seasonality!$C$74*F22)*(1-F75)*(1-F48)</f>
        <v/>
      </c>
      <c r="G168" s="50">
        <f>MAX(G23,G21*Seasonality!$C$74*G22)*(1-G75)*(1-G48)</f>
        <v/>
      </c>
      <c r="H168" s="50">
        <f>MAX(H23,H21*Seasonality!$C$74*H22)*(1-H75)*(1-H48)</f>
        <v/>
      </c>
      <c r="I168" s="50">
        <f>MAX(I23,I21*Seasonality!$C$74*I22)*(1-I75)*(1-I48)</f>
        <v/>
      </c>
      <c r="J168" s="50">
        <f>MAX(J23,J21*Seasonality!$C$74*J22)*(1-J75)*(1-J48)</f>
        <v/>
      </c>
      <c r="K168" s="50">
        <f>MAX(K23,K21*Seasonality!$C$74*K22)*(1-K75)*(1-K48)</f>
        <v/>
      </c>
      <c r="L168" s="50">
        <f>MAX(L23,L21*Seasonality!$C$74*L22)*(1-L75)*(1-L48)</f>
        <v/>
      </c>
      <c r="M168" s="50">
        <f>MAX(M23,M21*Seasonality!$C$74*M22)*(1-M75)*(1-M48)</f>
        <v/>
      </c>
      <c r="N168" s="50">
        <f>MAX(N23,N21*Seasonality!$C$74*N22)*(1-N75)*(1-N48)</f>
        <v/>
      </c>
      <c r="O168" s="50">
        <f>MAX(O23,O21*Seasonality!$C$74*O22)*(1-O75)*(1-O48)</f>
        <v/>
      </c>
      <c r="P168" s="50">
        <f>MAX(P23,P21*Seasonality!$C$74*P22)*(1-P75)*(1-P48)</f>
        <v/>
      </c>
      <c r="Q168" s="50">
        <f>MAX(Q23,Q21*Seasonality!$C$74*Q22)*(1-Q75)*(1-Q48)</f>
        <v/>
      </c>
      <c r="R168" s="50">
        <f>MAX(R23,R21*Seasonality!$C$74*R22)*(1-R75)*(1-R48)</f>
        <v/>
      </c>
      <c r="S168" s="50">
        <f>MAX(S23,S21*Seasonality!$C$74*S22)*(1-S75)*(1-S48)</f>
        <v/>
      </c>
      <c r="T168" s="50">
        <f>MAX(T23,T21*Seasonality!$C$74*T22)*(1-T75)*(1-T48)</f>
        <v/>
      </c>
      <c r="U168" s="50">
        <f>MAX(U23,U21*Seasonality!$C$74*U22)*(1-U75)*(1-U48)</f>
        <v/>
      </c>
      <c r="V168" s="50">
        <f>MAX(V23,V21*Seasonality!$C$74*V22)*(1-V75)*(1-V48)</f>
        <v/>
      </c>
      <c r="W168" s="50">
        <f>MAX(W23,W21*Seasonality!$C$74*W22)*(1-W75)*(1-W48)</f>
        <v/>
      </c>
      <c r="X168" s="50">
        <f>MAX(X23,X21*Seasonality!$C$74*X22)*(1-X75)*(1-X48)</f>
        <v/>
      </c>
      <c r="Y168" s="50">
        <f>MAX(Y23,Y21*Seasonality!$C$74*Y22)*(1-Y75)*(1-Y48)</f>
        <v/>
      </c>
      <c r="Z168" s="50">
        <f>MAX(Z23,Z21*Seasonality!$C$74*Z22)*(1-Z75)*(1-Z48)</f>
        <v/>
      </c>
      <c r="AA168" s="50">
        <f>MAX(AA23,AA21*Seasonality!$C$74*AA22)*(1-AA75)*(1-AA48)</f>
        <v/>
      </c>
      <c r="AB168" s="50">
        <f>MAX(AB23,AB21*Seasonality!$C$74*AB22)*(1-AB75)*(1-AB48)</f>
        <v/>
      </c>
      <c r="AC168" s="50">
        <f>MAX(AC23,AC21*Seasonality!$C$74*AC22)*(1-AC75)*(1-AC48)</f>
        <v/>
      </c>
      <c r="AD168" s="50">
        <f>MAX(AD23,AD21*Seasonality!$C$74*AD22)*(1-AD75)*(1-AD48)</f>
        <v/>
      </c>
      <c r="AE168" s="50">
        <f>MAX(AE23,AE21*Seasonality!$C$74*AE22)*(1-AE75)*(1-AE48)</f>
        <v/>
      </c>
      <c r="AF168" s="50">
        <f>MAX(AF23,AF21*Seasonality!$C$74*AF22)*(1-AF75)*(1-AF48)</f>
        <v/>
      </c>
      <c r="AG168" s="50">
        <f>MAX(AG23,AG21*Seasonality!$C$74*AG22)*(1-AG75)*(1-AG48)</f>
        <v/>
      </c>
      <c r="AH168" s="50">
        <f>MAX(AH23,AH21*Seasonality!$C$74*AH22)*(1-AH75)*(1-AH48)</f>
        <v/>
      </c>
      <c r="AI168" s="50">
        <f>MAX(AI23,AI21*Seasonality!$C$74*AI22)*(1-AI75)*(1-AI48)</f>
        <v/>
      </c>
      <c r="AJ168" s="50">
        <f>MAX(AJ23,AJ21*Seasonality!$C$74*AJ22)*(1-AJ75)*(1-AJ48)</f>
        <v/>
      </c>
      <c r="AK168" s="50">
        <f>MAX(AK23,AK21*Seasonality!$C$74*AK22)*(1-AK75)*(1-AK48)</f>
        <v/>
      </c>
      <c r="AL168" s="50">
        <f>MAX(AL23,AL21*Seasonality!$C$74*AL22)*(1-AL75)*(1-AL48)</f>
        <v/>
      </c>
      <c r="AM168" s="50">
        <f>MAX(AM23,AM21*Seasonality!$C$74*AM22)*(1-AM75)*(1-AM48)</f>
        <v/>
      </c>
      <c r="AN168" s="50">
        <f>MAX(AN23,AN21*Seasonality!$C$74*AN22)*(1-AN75)*(1-AN48)</f>
        <v/>
      </c>
      <c r="AO168" s="50">
        <f>MAX(AO23,AO21*Seasonality!$C$74*AO22)*(1-AO75)*(1-AO48)</f>
        <v/>
      </c>
      <c r="AP168" s="50">
        <f>MAX(AP23,AP21*Seasonality!$C$74*AP22)*(1-AP75)*(1-AP48)</f>
        <v/>
      </c>
      <c r="AQ168" s="50">
        <f>MAX(AQ23,AQ21*Seasonality!$C$74*AQ22)*(1-AQ75)*(1-AQ48)</f>
        <v/>
      </c>
      <c r="AR168" s="50">
        <f>MAX(AR23,AR21*Seasonality!$C$74*AR22)*(1-AR75)*(1-AR48)</f>
        <v/>
      </c>
      <c r="AS168" s="50">
        <f>MAX(AS23,AS21*Seasonality!$C$74*AS22)*(1-AS75)*(1-AS48)</f>
        <v/>
      </c>
      <c r="AT168" s="50">
        <f>MAX(AT23,AT21*Seasonality!$C$74*AT22)*(1-AT75)*(1-AT48)</f>
        <v/>
      </c>
      <c r="AU168" s="50">
        <f>MAX(AU23,AU21*Seasonality!$C$74*AU22)*(1-AU75)*(1-AU48)</f>
        <v/>
      </c>
      <c r="AV168" s="50">
        <f>MAX(AV23,AV21*Seasonality!$C$74*AV22)*(1-AV75)*(1-AV48)</f>
        <v/>
      </c>
      <c r="AW168" s="50">
        <f>MAX(AW23,AW21*Seasonality!$C$74*AW22)*(1-AW75)*(1-AW48)</f>
        <v/>
      </c>
      <c r="AX168" s="50">
        <f>MAX(AX23,AX21*Seasonality!$C$74*AX22)*(1-AX75)*(1-AX48)</f>
        <v/>
      </c>
      <c r="AY168" s="50">
        <f>MAX(AY23,AY21*Seasonality!$C$74*AY22)*(1-AY75)*(1-AY48)</f>
        <v/>
      </c>
      <c r="AZ168" s="50">
        <f>MAX(AZ23,AZ21*Seasonality!$C$74*AZ22)*(1-AZ75)*(1-AZ48)</f>
        <v/>
      </c>
      <c r="BA168" s="50">
        <f>MAX(BA23,BA21*Seasonality!$C$74*BA22)*(1-BA75)*(1-BA48)</f>
        <v/>
      </c>
      <c r="BB168" s="50">
        <f>MAX(BB23,BB21*Seasonality!$C$74*BB22)*(1-BB75)*(1-BB48)</f>
        <v/>
      </c>
      <c r="BC168" s="50">
        <f>MAX(BC23,BC21*Seasonality!$C$74*BC22)*(1-BC75)*(1-BC48)</f>
        <v/>
      </c>
      <c r="BD168" s="50">
        <f>MAX(BD23,BD21*Seasonality!$C$74*BD22)*(1-BD75)*(1-BD48)</f>
        <v/>
      </c>
      <c r="BE168" s="50">
        <f>MAX(BE23,BE21*Seasonality!$C$74*BE22)*(1-BE75)*(1-BE48)</f>
        <v/>
      </c>
    </row>
    <row r="169">
      <c r="B169" s="7" t="inlineStr">
        <is>
          <t>Revenue collected · month 39</t>
        </is>
      </c>
      <c r="C169" s="5" t="inlineStr">
        <is>
          <t>₹</t>
        </is>
      </c>
      <c r="D169" s="50">
        <f>MAX(D23,D21*Seasonality!$C$75*D22)*(1-D75)*(1-D48)</f>
        <v/>
      </c>
      <c r="E169" s="50">
        <f>MAX(E23,E21*Seasonality!$C$75*E22)*(1-E75)*(1-E48)</f>
        <v/>
      </c>
      <c r="F169" s="50">
        <f>MAX(F23,F21*Seasonality!$C$75*F22)*(1-F75)*(1-F48)</f>
        <v/>
      </c>
      <c r="G169" s="50">
        <f>MAX(G23,G21*Seasonality!$C$75*G22)*(1-G75)*(1-G48)</f>
        <v/>
      </c>
      <c r="H169" s="50">
        <f>MAX(H23,H21*Seasonality!$C$75*H22)*(1-H75)*(1-H48)</f>
        <v/>
      </c>
      <c r="I169" s="50">
        <f>MAX(I23,I21*Seasonality!$C$75*I22)*(1-I75)*(1-I48)</f>
        <v/>
      </c>
      <c r="J169" s="50">
        <f>MAX(J23,J21*Seasonality!$C$75*J22)*(1-J75)*(1-J48)</f>
        <v/>
      </c>
      <c r="K169" s="50">
        <f>MAX(K23,K21*Seasonality!$C$75*K22)*(1-K75)*(1-K48)</f>
        <v/>
      </c>
      <c r="L169" s="50">
        <f>MAX(L23,L21*Seasonality!$C$75*L22)*(1-L75)*(1-L48)</f>
        <v/>
      </c>
      <c r="M169" s="50">
        <f>MAX(M23,M21*Seasonality!$C$75*M22)*(1-M75)*(1-M48)</f>
        <v/>
      </c>
      <c r="N169" s="50">
        <f>MAX(N23,N21*Seasonality!$C$75*N22)*(1-N75)*(1-N48)</f>
        <v/>
      </c>
      <c r="O169" s="50">
        <f>MAX(O23,O21*Seasonality!$C$75*O22)*(1-O75)*(1-O48)</f>
        <v/>
      </c>
      <c r="P169" s="50">
        <f>MAX(P23,P21*Seasonality!$C$75*P22)*(1-P75)*(1-P48)</f>
        <v/>
      </c>
      <c r="Q169" s="50">
        <f>MAX(Q23,Q21*Seasonality!$C$75*Q22)*(1-Q75)*(1-Q48)</f>
        <v/>
      </c>
      <c r="R169" s="50">
        <f>MAX(R23,R21*Seasonality!$C$75*R22)*(1-R75)*(1-R48)</f>
        <v/>
      </c>
      <c r="S169" s="50">
        <f>MAX(S23,S21*Seasonality!$C$75*S22)*(1-S75)*(1-S48)</f>
        <v/>
      </c>
      <c r="T169" s="50">
        <f>MAX(T23,T21*Seasonality!$C$75*T22)*(1-T75)*(1-T48)</f>
        <v/>
      </c>
      <c r="U169" s="50">
        <f>MAX(U23,U21*Seasonality!$C$75*U22)*(1-U75)*(1-U48)</f>
        <v/>
      </c>
      <c r="V169" s="50">
        <f>MAX(V23,V21*Seasonality!$C$75*V22)*(1-V75)*(1-V48)</f>
        <v/>
      </c>
      <c r="W169" s="50">
        <f>MAX(W23,W21*Seasonality!$C$75*W22)*(1-W75)*(1-W48)</f>
        <v/>
      </c>
      <c r="X169" s="50">
        <f>MAX(X23,X21*Seasonality!$C$75*X22)*(1-X75)*(1-X48)</f>
        <v/>
      </c>
      <c r="Y169" s="50">
        <f>MAX(Y23,Y21*Seasonality!$C$75*Y22)*(1-Y75)*(1-Y48)</f>
        <v/>
      </c>
      <c r="Z169" s="50">
        <f>MAX(Z23,Z21*Seasonality!$C$75*Z22)*(1-Z75)*(1-Z48)</f>
        <v/>
      </c>
      <c r="AA169" s="50">
        <f>MAX(AA23,AA21*Seasonality!$C$75*AA22)*(1-AA75)*(1-AA48)</f>
        <v/>
      </c>
      <c r="AB169" s="50">
        <f>MAX(AB23,AB21*Seasonality!$C$75*AB22)*(1-AB75)*(1-AB48)</f>
        <v/>
      </c>
      <c r="AC169" s="50">
        <f>MAX(AC23,AC21*Seasonality!$C$75*AC22)*(1-AC75)*(1-AC48)</f>
        <v/>
      </c>
      <c r="AD169" s="50">
        <f>MAX(AD23,AD21*Seasonality!$C$75*AD22)*(1-AD75)*(1-AD48)</f>
        <v/>
      </c>
      <c r="AE169" s="50">
        <f>MAX(AE23,AE21*Seasonality!$C$75*AE22)*(1-AE75)*(1-AE48)</f>
        <v/>
      </c>
      <c r="AF169" s="50">
        <f>MAX(AF23,AF21*Seasonality!$C$75*AF22)*(1-AF75)*(1-AF48)</f>
        <v/>
      </c>
      <c r="AG169" s="50">
        <f>MAX(AG23,AG21*Seasonality!$C$75*AG22)*(1-AG75)*(1-AG48)</f>
        <v/>
      </c>
      <c r="AH169" s="50">
        <f>MAX(AH23,AH21*Seasonality!$C$75*AH22)*(1-AH75)*(1-AH48)</f>
        <v/>
      </c>
      <c r="AI169" s="50">
        <f>MAX(AI23,AI21*Seasonality!$C$75*AI22)*(1-AI75)*(1-AI48)</f>
        <v/>
      </c>
      <c r="AJ169" s="50">
        <f>MAX(AJ23,AJ21*Seasonality!$C$75*AJ22)*(1-AJ75)*(1-AJ48)</f>
        <v/>
      </c>
      <c r="AK169" s="50">
        <f>MAX(AK23,AK21*Seasonality!$C$75*AK22)*(1-AK75)*(1-AK48)</f>
        <v/>
      </c>
      <c r="AL169" s="50">
        <f>MAX(AL23,AL21*Seasonality!$C$75*AL22)*(1-AL75)*(1-AL48)</f>
        <v/>
      </c>
      <c r="AM169" s="50">
        <f>MAX(AM23,AM21*Seasonality!$C$75*AM22)*(1-AM75)*(1-AM48)</f>
        <v/>
      </c>
      <c r="AN169" s="50">
        <f>MAX(AN23,AN21*Seasonality!$C$75*AN22)*(1-AN75)*(1-AN48)</f>
        <v/>
      </c>
      <c r="AO169" s="50">
        <f>MAX(AO23,AO21*Seasonality!$C$75*AO22)*(1-AO75)*(1-AO48)</f>
        <v/>
      </c>
      <c r="AP169" s="50">
        <f>MAX(AP23,AP21*Seasonality!$C$75*AP22)*(1-AP75)*(1-AP48)</f>
        <v/>
      </c>
      <c r="AQ169" s="50">
        <f>MAX(AQ23,AQ21*Seasonality!$C$75*AQ22)*(1-AQ75)*(1-AQ48)</f>
        <v/>
      </c>
      <c r="AR169" s="50">
        <f>MAX(AR23,AR21*Seasonality!$C$75*AR22)*(1-AR75)*(1-AR48)</f>
        <v/>
      </c>
      <c r="AS169" s="50">
        <f>MAX(AS23,AS21*Seasonality!$C$75*AS22)*(1-AS75)*(1-AS48)</f>
        <v/>
      </c>
      <c r="AT169" s="50">
        <f>MAX(AT23,AT21*Seasonality!$C$75*AT22)*(1-AT75)*(1-AT48)</f>
        <v/>
      </c>
      <c r="AU169" s="50">
        <f>MAX(AU23,AU21*Seasonality!$C$75*AU22)*(1-AU75)*(1-AU48)</f>
        <v/>
      </c>
      <c r="AV169" s="50">
        <f>MAX(AV23,AV21*Seasonality!$C$75*AV22)*(1-AV75)*(1-AV48)</f>
        <v/>
      </c>
      <c r="AW169" s="50">
        <f>MAX(AW23,AW21*Seasonality!$C$75*AW22)*(1-AW75)*(1-AW48)</f>
        <v/>
      </c>
      <c r="AX169" s="50">
        <f>MAX(AX23,AX21*Seasonality!$C$75*AX22)*(1-AX75)*(1-AX48)</f>
        <v/>
      </c>
      <c r="AY169" s="50">
        <f>MAX(AY23,AY21*Seasonality!$C$75*AY22)*(1-AY75)*(1-AY48)</f>
        <v/>
      </c>
      <c r="AZ169" s="50">
        <f>MAX(AZ23,AZ21*Seasonality!$C$75*AZ22)*(1-AZ75)*(1-AZ48)</f>
        <v/>
      </c>
      <c r="BA169" s="50">
        <f>MAX(BA23,BA21*Seasonality!$C$75*BA22)*(1-BA75)*(1-BA48)</f>
        <v/>
      </c>
      <c r="BB169" s="50">
        <f>MAX(BB23,BB21*Seasonality!$C$75*BB22)*(1-BB75)*(1-BB48)</f>
        <v/>
      </c>
      <c r="BC169" s="50">
        <f>MAX(BC23,BC21*Seasonality!$C$75*BC22)*(1-BC75)*(1-BC48)</f>
        <v/>
      </c>
      <c r="BD169" s="50">
        <f>MAX(BD23,BD21*Seasonality!$C$75*BD22)*(1-BD75)*(1-BD48)</f>
        <v/>
      </c>
      <c r="BE169" s="50">
        <f>MAX(BE23,BE21*Seasonality!$C$75*BE22)*(1-BE75)*(1-BE48)</f>
        <v/>
      </c>
    </row>
    <row r="170">
      <c r="B170" s="7" t="inlineStr">
        <is>
          <t>Revenue collected · month 40</t>
        </is>
      </c>
      <c r="C170" s="5" t="inlineStr">
        <is>
          <t>₹</t>
        </is>
      </c>
      <c r="D170" s="50">
        <f>MAX(D23,D21*Seasonality!$C$76*D22)*(1-D75)*(1-D48)</f>
        <v/>
      </c>
      <c r="E170" s="50">
        <f>MAX(E23,E21*Seasonality!$C$76*E22)*(1-E75)*(1-E48)</f>
        <v/>
      </c>
      <c r="F170" s="50">
        <f>MAX(F23,F21*Seasonality!$C$76*F22)*(1-F75)*(1-F48)</f>
        <v/>
      </c>
      <c r="G170" s="50">
        <f>MAX(G23,G21*Seasonality!$C$76*G22)*(1-G75)*(1-G48)</f>
        <v/>
      </c>
      <c r="H170" s="50">
        <f>MAX(H23,H21*Seasonality!$C$76*H22)*(1-H75)*(1-H48)</f>
        <v/>
      </c>
      <c r="I170" s="50">
        <f>MAX(I23,I21*Seasonality!$C$76*I22)*(1-I75)*(1-I48)</f>
        <v/>
      </c>
      <c r="J170" s="50">
        <f>MAX(J23,J21*Seasonality!$C$76*J22)*(1-J75)*(1-J48)</f>
        <v/>
      </c>
      <c r="K170" s="50">
        <f>MAX(K23,K21*Seasonality!$C$76*K22)*(1-K75)*(1-K48)</f>
        <v/>
      </c>
      <c r="L170" s="50">
        <f>MAX(L23,L21*Seasonality!$C$76*L22)*(1-L75)*(1-L48)</f>
        <v/>
      </c>
      <c r="M170" s="50">
        <f>MAX(M23,M21*Seasonality!$C$76*M22)*(1-M75)*(1-M48)</f>
        <v/>
      </c>
      <c r="N170" s="50">
        <f>MAX(N23,N21*Seasonality!$C$76*N22)*(1-N75)*(1-N48)</f>
        <v/>
      </c>
      <c r="O170" s="50">
        <f>MAX(O23,O21*Seasonality!$C$76*O22)*(1-O75)*(1-O48)</f>
        <v/>
      </c>
      <c r="P170" s="50">
        <f>MAX(P23,P21*Seasonality!$C$76*P22)*(1-P75)*(1-P48)</f>
        <v/>
      </c>
      <c r="Q170" s="50">
        <f>MAX(Q23,Q21*Seasonality!$C$76*Q22)*(1-Q75)*(1-Q48)</f>
        <v/>
      </c>
      <c r="R170" s="50">
        <f>MAX(R23,R21*Seasonality!$C$76*R22)*(1-R75)*(1-R48)</f>
        <v/>
      </c>
      <c r="S170" s="50">
        <f>MAX(S23,S21*Seasonality!$C$76*S22)*(1-S75)*(1-S48)</f>
        <v/>
      </c>
      <c r="T170" s="50">
        <f>MAX(T23,T21*Seasonality!$C$76*T22)*(1-T75)*(1-T48)</f>
        <v/>
      </c>
      <c r="U170" s="50">
        <f>MAX(U23,U21*Seasonality!$C$76*U22)*(1-U75)*(1-U48)</f>
        <v/>
      </c>
      <c r="V170" s="50">
        <f>MAX(V23,V21*Seasonality!$C$76*V22)*(1-V75)*(1-V48)</f>
        <v/>
      </c>
      <c r="W170" s="50">
        <f>MAX(W23,W21*Seasonality!$C$76*W22)*(1-W75)*(1-W48)</f>
        <v/>
      </c>
      <c r="X170" s="50">
        <f>MAX(X23,X21*Seasonality!$C$76*X22)*(1-X75)*(1-X48)</f>
        <v/>
      </c>
      <c r="Y170" s="50">
        <f>MAX(Y23,Y21*Seasonality!$C$76*Y22)*(1-Y75)*(1-Y48)</f>
        <v/>
      </c>
      <c r="Z170" s="50">
        <f>MAX(Z23,Z21*Seasonality!$C$76*Z22)*(1-Z75)*(1-Z48)</f>
        <v/>
      </c>
      <c r="AA170" s="50">
        <f>MAX(AA23,AA21*Seasonality!$C$76*AA22)*(1-AA75)*(1-AA48)</f>
        <v/>
      </c>
      <c r="AB170" s="50">
        <f>MAX(AB23,AB21*Seasonality!$C$76*AB22)*(1-AB75)*(1-AB48)</f>
        <v/>
      </c>
      <c r="AC170" s="50">
        <f>MAX(AC23,AC21*Seasonality!$C$76*AC22)*(1-AC75)*(1-AC48)</f>
        <v/>
      </c>
      <c r="AD170" s="50">
        <f>MAX(AD23,AD21*Seasonality!$C$76*AD22)*(1-AD75)*(1-AD48)</f>
        <v/>
      </c>
      <c r="AE170" s="50">
        <f>MAX(AE23,AE21*Seasonality!$C$76*AE22)*(1-AE75)*(1-AE48)</f>
        <v/>
      </c>
      <c r="AF170" s="50">
        <f>MAX(AF23,AF21*Seasonality!$C$76*AF22)*(1-AF75)*(1-AF48)</f>
        <v/>
      </c>
      <c r="AG170" s="50">
        <f>MAX(AG23,AG21*Seasonality!$C$76*AG22)*(1-AG75)*(1-AG48)</f>
        <v/>
      </c>
      <c r="AH170" s="50">
        <f>MAX(AH23,AH21*Seasonality!$C$76*AH22)*(1-AH75)*(1-AH48)</f>
        <v/>
      </c>
      <c r="AI170" s="50">
        <f>MAX(AI23,AI21*Seasonality!$C$76*AI22)*(1-AI75)*(1-AI48)</f>
        <v/>
      </c>
      <c r="AJ170" s="50">
        <f>MAX(AJ23,AJ21*Seasonality!$C$76*AJ22)*(1-AJ75)*(1-AJ48)</f>
        <v/>
      </c>
      <c r="AK170" s="50">
        <f>MAX(AK23,AK21*Seasonality!$C$76*AK22)*(1-AK75)*(1-AK48)</f>
        <v/>
      </c>
      <c r="AL170" s="50">
        <f>MAX(AL23,AL21*Seasonality!$C$76*AL22)*(1-AL75)*(1-AL48)</f>
        <v/>
      </c>
      <c r="AM170" s="50">
        <f>MAX(AM23,AM21*Seasonality!$C$76*AM22)*(1-AM75)*(1-AM48)</f>
        <v/>
      </c>
      <c r="AN170" s="50">
        <f>MAX(AN23,AN21*Seasonality!$C$76*AN22)*(1-AN75)*(1-AN48)</f>
        <v/>
      </c>
      <c r="AO170" s="50">
        <f>MAX(AO23,AO21*Seasonality!$C$76*AO22)*(1-AO75)*(1-AO48)</f>
        <v/>
      </c>
      <c r="AP170" s="50">
        <f>MAX(AP23,AP21*Seasonality!$C$76*AP22)*(1-AP75)*(1-AP48)</f>
        <v/>
      </c>
      <c r="AQ170" s="50">
        <f>MAX(AQ23,AQ21*Seasonality!$C$76*AQ22)*(1-AQ75)*(1-AQ48)</f>
        <v/>
      </c>
      <c r="AR170" s="50">
        <f>MAX(AR23,AR21*Seasonality!$C$76*AR22)*(1-AR75)*(1-AR48)</f>
        <v/>
      </c>
      <c r="AS170" s="50">
        <f>MAX(AS23,AS21*Seasonality!$C$76*AS22)*(1-AS75)*(1-AS48)</f>
        <v/>
      </c>
      <c r="AT170" s="50">
        <f>MAX(AT23,AT21*Seasonality!$C$76*AT22)*(1-AT75)*(1-AT48)</f>
        <v/>
      </c>
      <c r="AU170" s="50">
        <f>MAX(AU23,AU21*Seasonality!$C$76*AU22)*(1-AU75)*(1-AU48)</f>
        <v/>
      </c>
      <c r="AV170" s="50">
        <f>MAX(AV23,AV21*Seasonality!$C$76*AV22)*(1-AV75)*(1-AV48)</f>
        <v/>
      </c>
      <c r="AW170" s="50">
        <f>MAX(AW23,AW21*Seasonality!$C$76*AW22)*(1-AW75)*(1-AW48)</f>
        <v/>
      </c>
      <c r="AX170" s="50">
        <f>MAX(AX23,AX21*Seasonality!$C$76*AX22)*(1-AX75)*(1-AX48)</f>
        <v/>
      </c>
      <c r="AY170" s="50">
        <f>MAX(AY23,AY21*Seasonality!$C$76*AY22)*(1-AY75)*(1-AY48)</f>
        <v/>
      </c>
      <c r="AZ170" s="50">
        <f>MAX(AZ23,AZ21*Seasonality!$C$76*AZ22)*(1-AZ75)*(1-AZ48)</f>
        <v/>
      </c>
      <c r="BA170" s="50">
        <f>MAX(BA23,BA21*Seasonality!$C$76*BA22)*(1-BA75)*(1-BA48)</f>
        <v/>
      </c>
      <c r="BB170" s="50">
        <f>MAX(BB23,BB21*Seasonality!$C$76*BB22)*(1-BB75)*(1-BB48)</f>
        <v/>
      </c>
      <c r="BC170" s="50">
        <f>MAX(BC23,BC21*Seasonality!$C$76*BC22)*(1-BC75)*(1-BC48)</f>
        <v/>
      </c>
      <c r="BD170" s="50">
        <f>MAX(BD23,BD21*Seasonality!$C$76*BD22)*(1-BD75)*(1-BD48)</f>
        <v/>
      </c>
      <c r="BE170" s="50">
        <f>MAX(BE23,BE21*Seasonality!$C$76*BE22)*(1-BE75)*(1-BE48)</f>
        <v/>
      </c>
    </row>
    <row r="171">
      <c r="B171" s="7" t="inlineStr">
        <is>
          <t>Revenue collected · month 41</t>
        </is>
      </c>
      <c r="C171" s="5" t="inlineStr">
        <is>
          <t>₹</t>
        </is>
      </c>
      <c r="D171" s="50">
        <f>MAX(D23,D21*Seasonality!$C$77*D22)*(1-D75)*(1-D48)</f>
        <v/>
      </c>
      <c r="E171" s="50">
        <f>MAX(E23,E21*Seasonality!$C$77*E22)*(1-E75)*(1-E48)</f>
        <v/>
      </c>
      <c r="F171" s="50">
        <f>MAX(F23,F21*Seasonality!$C$77*F22)*(1-F75)*(1-F48)</f>
        <v/>
      </c>
      <c r="G171" s="50">
        <f>MAX(G23,G21*Seasonality!$C$77*G22)*(1-G75)*(1-G48)</f>
        <v/>
      </c>
      <c r="H171" s="50">
        <f>MAX(H23,H21*Seasonality!$C$77*H22)*(1-H75)*(1-H48)</f>
        <v/>
      </c>
      <c r="I171" s="50">
        <f>MAX(I23,I21*Seasonality!$C$77*I22)*(1-I75)*(1-I48)</f>
        <v/>
      </c>
      <c r="J171" s="50">
        <f>MAX(J23,J21*Seasonality!$C$77*J22)*(1-J75)*(1-J48)</f>
        <v/>
      </c>
      <c r="K171" s="50">
        <f>MAX(K23,K21*Seasonality!$C$77*K22)*(1-K75)*(1-K48)</f>
        <v/>
      </c>
      <c r="L171" s="50">
        <f>MAX(L23,L21*Seasonality!$C$77*L22)*(1-L75)*(1-L48)</f>
        <v/>
      </c>
      <c r="M171" s="50">
        <f>MAX(M23,M21*Seasonality!$C$77*M22)*(1-M75)*(1-M48)</f>
        <v/>
      </c>
      <c r="N171" s="50">
        <f>MAX(N23,N21*Seasonality!$C$77*N22)*(1-N75)*(1-N48)</f>
        <v/>
      </c>
      <c r="O171" s="50">
        <f>MAX(O23,O21*Seasonality!$C$77*O22)*(1-O75)*(1-O48)</f>
        <v/>
      </c>
      <c r="P171" s="50">
        <f>MAX(P23,P21*Seasonality!$C$77*P22)*(1-P75)*(1-P48)</f>
        <v/>
      </c>
      <c r="Q171" s="50">
        <f>MAX(Q23,Q21*Seasonality!$C$77*Q22)*(1-Q75)*(1-Q48)</f>
        <v/>
      </c>
      <c r="R171" s="50">
        <f>MAX(R23,R21*Seasonality!$C$77*R22)*(1-R75)*(1-R48)</f>
        <v/>
      </c>
      <c r="S171" s="50">
        <f>MAX(S23,S21*Seasonality!$C$77*S22)*(1-S75)*(1-S48)</f>
        <v/>
      </c>
      <c r="T171" s="50">
        <f>MAX(T23,T21*Seasonality!$C$77*T22)*(1-T75)*(1-T48)</f>
        <v/>
      </c>
      <c r="U171" s="50">
        <f>MAX(U23,U21*Seasonality!$C$77*U22)*(1-U75)*(1-U48)</f>
        <v/>
      </c>
      <c r="V171" s="50">
        <f>MAX(V23,V21*Seasonality!$C$77*V22)*(1-V75)*(1-V48)</f>
        <v/>
      </c>
      <c r="W171" s="50">
        <f>MAX(W23,W21*Seasonality!$C$77*W22)*(1-W75)*(1-W48)</f>
        <v/>
      </c>
      <c r="X171" s="50">
        <f>MAX(X23,X21*Seasonality!$C$77*X22)*(1-X75)*(1-X48)</f>
        <v/>
      </c>
      <c r="Y171" s="50">
        <f>MAX(Y23,Y21*Seasonality!$C$77*Y22)*(1-Y75)*(1-Y48)</f>
        <v/>
      </c>
      <c r="Z171" s="50">
        <f>MAX(Z23,Z21*Seasonality!$C$77*Z22)*(1-Z75)*(1-Z48)</f>
        <v/>
      </c>
      <c r="AA171" s="50">
        <f>MAX(AA23,AA21*Seasonality!$C$77*AA22)*(1-AA75)*(1-AA48)</f>
        <v/>
      </c>
      <c r="AB171" s="50">
        <f>MAX(AB23,AB21*Seasonality!$C$77*AB22)*(1-AB75)*(1-AB48)</f>
        <v/>
      </c>
      <c r="AC171" s="50">
        <f>MAX(AC23,AC21*Seasonality!$C$77*AC22)*(1-AC75)*(1-AC48)</f>
        <v/>
      </c>
      <c r="AD171" s="50">
        <f>MAX(AD23,AD21*Seasonality!$C$77*AD22)*(1-AD75)*(1-AD48)</f>
        <v/>
      </c>
      <c r="AE171" s="50">
        <f>MAX(AE23,AE21*Seasonality!$C$77*AE22)*(1-AE75)*(1-AE48)</f>
        <v/>
      </c>
      <c r="AF171" s="50">
        <f>MAX(AF23,AF21*Seasonality!$C$77*AF22)*(1-AF75)*(1-AF48)</f>
        <v/>
      </c>
      <c r="AG171" s="50">
        <f>MAX(AG23,AG21*Seasonality!$C$77*AG22)*(1-AG75)*(1-AG48)</f>
        <v/>
      </c>
      <c r="AH171" s="50">
        <f>MAX(AH23,AH21*Seasonality!$C$77*AH22)*(1-AH75)*(1-AH48)</f>
        <v/>
      </c>
      <c r="AI171" s="50">
        <f>MAX(AI23,AI21*Seasonality!$C$77*AI22)*(1-AI75)*(1-AI48)</f>
        <v/>
      </c>
      <c r="AJ171" s="50">
        <f>MAX(AJ23,AJ21*Seasonality!$C$77*AJ22)*(1-AJ75)*(1-AJ48)</f>
        <v/>
      </c>
      <c r="AK171" s="50">
        <f>MAX(AK23,AK21*Seasonality!$C$77*AK22)*(1-AK75)*(1-AK48)</f>
        <v/>
      </c>
      <c r="AL171" s="50">
        <f>MAX(AL23,AL21*Seasonality!$C$77*AL22)*(1-AL75)*(1-AL48)</f>
        <v/>
      </c>
      <c r="AM171" s="50">
        <f>MAX(AM23,AM21*Seasonality!$C$77*AM22)*(1-AM75)*(1-AM48)</f>
        <v/>
      </c>
      <c r="AN171" s="50">
        <f>MAX(AN23,AN21*Seasonality!$C$77*AN22)*(1-AN75)*(1-AN48)</f>
        <v/>
      </c>
      <c r="AO171" s="50">
        <f>MAX(AO23,AO21*Seasonality!$C$77*AO22)*(1-AO75)*(1-AO48)</f>
        <v/>
      </c>
      <c r="AP171" s="50">
        <f>MAX(AP23,AP21*Seasonality!$C$77*AP22)*(1-AP75)*(1-AP48)</f>
        <v/>
      </c>
      <c r="AQ171" s="50">
        <f>MAX(AQ23,AQ21*Seasonality!$C$77*AQ22)*(1-AQ75)*(1-AQ48)</f>
        <v/>
      </c>
      <c r="AR171" s="50">
        <f>MAX(AR23,AR21*Seasonality!$C$77*AR22)*(1-AR75)*(1-AR48)</f>
        <v/>
      </c>
      <c r="AS171" s="50">
        <f>MAX(AS23,AS21*Seasonality!$C$77*AS22)*(1-AS75)*(1-AS48)</f>
        <v/>
      </c>
      <c r="AT171" s="50">
        <f>MAX(AT23,AT21*Seasonality!$C$77*AT22)*(1-AT75)*(1-AT48)</f>
        <v/>
      </c>
      <c r="AU171" s="50">
        <f>MAX(AU23,AU21*Seasonality!$C$77*AU22)*(1-AU75)*(1-AU48)</f>
        <v/>
      </c>
      <c r="AV171" s="50">
        <f>MAX(AV23,AV21*Seasonality!$C$77*AV22)*(1-AV75)*(1-AV48)</f>
        <v/>
      </c>
      <c r="AW171" s="50">
        <f>MAX(AW23,AW21*Seasonality!$C$77*AW22)*(1-AW75)*(1-AW48)</f>
        <v/>
      </c>
      <c r="AX171" s="50">
        <f>MAX(AX23,AX21*Seasonality!$C$77*AX22)*(1-AX75)*(1-AX48)</f>
        <v/>
      </c>
      <c r="AY171" s="50">
        <f>MAX(AY23,AY21*Seasonality!$C$77*AY22)*(1-AY75)*(1-AY48)</f>
        <v/>
      </c>
      <c r="AZ171" s="50">
        <f>MAX(AZ23,AZ21*Seasonality!$C$77*AZ22)*(1-AZ75)*(1-AZ48)</f>
        <v/>
      </c>
      <c r="BA171" s="50">
        <f>MAX(BA23,BA21*Seasonality!$C$77*BA22)*(1-BA75)*(1-BA48)</f>
        <v/>
      </c>
      <c r="BB171" s="50">
        <f>MAX(BB23,BB21*Seasonality!$C$77*BB22)*(1-BB75)*(1-BB48)</f>
        <v/>
      </c>
      <c r="BC171" s="50">
        <f>MAX(BC23,BC21*Seasonality!$C$77*BC22)*(1-BC75)*(1-BC48)</f>
        <v/>
      </c>
      <c r="BD171" s="50">
        <f>MAX(BD23,BD21*Seasonality!$C$77*BD22)*(1-BD75)*(1-BD48)</f>
        <v/>
      </c>
      <c r="BE171" s="50">
        <f>MAX(BE23,BE21*Seasonality!$C$77*BE22)*(1-BE75)*(1-BE48)</f>
        <v/>
      </c>
    </row>
    <row r="172">
      <c r="B172" s="7" t="inlineStr">
        <is>
          <t>Revenue collected · month 42</t>
        </is>
      </c>
      <c r="C172" s="5" t="inlineStr">
        <is>
          <t>₹</t>
        </is>
      </c>
      <c r="D172" s="50">
        <f>MAX(D23,D21*Seasonality!$C$78*D22)*(1-D75)*(1-D48)</f>
        <v/>
      </c>
      <c r="E172" s="50">
        <f>MAX(E23,E21*Seasonality!$C$78*E22)*(1-E75)*(1-E48)</f>
        <v/>
      </c>
      <c r="F172" s="50">
        <f>MAX(F23,F21*Seasonality!$C$78*F22)*(1-F75)*(1-F48)</f>
        <v/>
      </c>
      <c r="G172" s="50">
        <f>MAX(G23,G21*Seasonality!$C$78*G22)*(1-G75)*(1-G48)</f>
        <v/>
      </c>
      <c r="H172" s="50">
        <f>MAX(H23,H21*Seasonality!$C$78*H22)*(1-H75)*(1-H48)</f>
        <v/>
      </c>
      <c r="I172" s="50">
        <f>MAX(I23,I21*Seasonality!$C$78*I22)*(1-I75)*(1-I48)</f>
        <v/>
      </c>
      <c r="J172" s="50">
        <f>MAX(J23,J21*Seasonality!$C$78*J22)*(1-J75)*(1-J48)</f>
        <v/>
      </c>
      <c r="K172" s="50">
        <f>MAX(K23,K21*Seasonality!$C$78*K22)*(1-K75)*(1-K48)</f>
        <v/>
      </c>
      <c r="L172" s="50">
        <f>MAX(L23,L21*Seasonality!$C$78*L22)*(1-L75)*(1-L48)</f>
        <v/>
      </c>
      <c r="M172" s="50">
        <f>MAX(M23,M21*Seasonality!$C$78*M22)*(1-M75)*(1-M48)</f>
        <v/>
      </c>
      <c r="N172" s="50">
        <f>MAX(N23,N21*Seasonality!$C$78*N22)*(1-N75)*(1-N48)</f>
        <v/>
      </c>
      <c r="O172" s="50">
        <f>MAX(O23,O21*Seasonality!$C$78*O22)*(1-O75)*(1-O48)</f>
        <v/>
      </c>
      <c r="P172" s="50">
        <f>MAX(P23,P21*Seasonality!$C$78*P22)*(1-P75)*(1-P48)</f>
        <v/>
      </c>
      <c r="Q172" s="50">
        <f>MAX(Q23,Q21*Seasonality!$C$78*Q22)*(1-Q75)*(1-Q48)</f>
        <v/>
      </c>
      <c r="R172" s="50">
        <f>MAX(R23,R21*Seasonality!$C$78*R22)*(1-R75)*(1-R48)</f>
        <v/>
      </c>
      <c r="S172" s="50">
        <f>MAX(S23,S21*Seasonality!$C$78*S22)*(1-S75)*(1-S48)</f>
        <v/>
      </c>
      <c r="T172" s="50">
        <f>MAX(T23,T21*Seasonality!$C$78*T22)*(1-T75)*(1-T48)</f>
        <v/>
      </c>
      <c r="U172" s="50">
        <f>MAX(U23,U21*Seasonality!$C$78*U22)*(1-U75)*(1-U48)</f>
        <v/>
      </c>
      <c r="V172" s="50">
        <f>MAX(V23,V21*Seasonality!$C$78*V22)*(1-V75)*(1-V48)</f>
        <v/>
      </c>
      <c r="W172" s="50">
        <f>MAX(W23,W21*Seasonality!$C$78*W22)*(1-W75)*(1-W48)</f>
        <v/>
      </c>
      <c r="X172" s="50">
        <f>MAX(X23,X21*Seasonality!$C$78*X22)*(1-X75)*(1-X48)</f>
        <v/>
      </c>
      <c r="Y172" s="50">
        <f>MAX(Y23,Y21*Seasonality!$C$78*Y22)*(1-Y75)*(1-Y48)</f>
        <v/>
      </c>
      <c r="Z172" s="50">
        <f>MAX(Z23,Z21*Seasonality!$C$78*Z22)*(1-Z75)*(1-Z48)</f>
        <v/>
      </c>
      <c r="AA172" s="50">
        <f>MAX(AA23,AA21*Seasonality!$C$78*AA22)*(1-AA75)*(1-AA48)</f>
        <v/>
      </c>
      <c r="AB172" s="50">
        <f>MAX(AB23,AB21*Seasonality!$C$78*AB22)*(1-AB75)*(1-AB48)</f>
        <v/>
      </c>
      <c r="AC172" s="50">
        <f>MAX(AC23,AC21*Seasonality!$C$78*AC22)*(1-AC75)*(1-AC48)</f>
        <v/>
      </c>
      <c r="AD172" s="50">
        <f>MAX(AD23,AD21*Seasonality!$C$78*AD22)*(1-AD75)*(1-AD48)</f>
        <v/>
      </c>
      <c r="AE172" s="50">
        <f>MAX(AE23,AE21*Seasonality!$C$78*AE22)*(1-AE75)*(1-AE48)</f>
        <v/>
      </c>
      <c r="AF172" s="50">
        <f>MAX(AF23,AF21*Seasonality!$C$78*AF22)*(1-AF75)*(1-AF48)</f>
        <v/>
      </c>
      <c r="AG172" s="50">
        <f>MAX(AG23,AG21*Seasonality!$C$78*AG22)*(1-AG75)*(1-AG48)</f>
        <v/>
      </c>
      <c r="AH172" s="50">
        <f>MAX(AH23,AH21*Seasonality!$C$78*AH22)*(1-AH75)*(1-AH48)</f>
        <v/>
      </c>
      <c r="AI172" s="50">
        <f>MAX(AI23,AI21*Seasonality!$C$78*AI22)*(1-AI75)*(1-AI48)</f>
        <v/>
      </c>
      <c r="AJ172" s="50">
        <f>MAX(AJ23,AJ21*Seasonality!$C$78*AJ22)*(1-AJ75)*(1-AJ48)</f>
        <v/>
      </c>
      <c r="AK172" s="50">
        <f>MAX(AK23,AK21*Seasonality!$C$78*AK22)*(1-AK75)*(1-AK48)</f>
        <v/>
      </c>
      <c r="AL172" s="50">
        <f>MAX(AL23,AL21*Seasonality!$C$78*AL22)*(1-AL75)*(1-AL48)</f>
        <v/>
      </c>
      <c r="AM172" s="50">
        <f>MAX(AM23,AM21*Seasonality!$C$78*AM22)*(1-AM75)*(1-AM48)</f>
        <v/>
      </c>
      <c r="AN172" s="50">
        <f>MAX(AN23,AN21*Seasonality!$C$78*AN22)*(1-AN75)*(1-AN48)</f>
        <v/>
      </c>
      <c r="AO172" s="50">
        <f>MAX(AO23,AO21*Seasonality!$C$78*AO22)*(1-AO75)*(1-AO48)</f>
        <v/>
      </c>
      <c r="AP172" s="50">
        <f>MAX(AP23,AP21*Seasonality!$C$78*AP22)*(1-AP75)*(1-AP48)</f>
        <v/>
      </c>
      <c r="AQ172" s="50">
        <f>MAX(AQ23,AQ21*Seasonality!$C$78*AQ22)*(1-AQ75)*(1-AQ48)</f>
        <v/>
      </c>
      <c r="AR172" s="50">
        <f>MAX(AR23,AR21*Seasonality!$C$78*AR22)*(1-AR75)*(1-AR48)</f>
        <v/>
      </c>
      <c r="AS172" s="50">
        <f>MAX(AS23,AS21*Seasonality!$C$78*AS22)*(1-AS75)*(1-AS48)</f>
        <v/>
      </c>
      <c r="AT172" s="50">
        <f>MAX(AT23,AT21*Seasonality!$C$78*AT22)*(1-AT75)*(1-AT48)</f>
        <v/>
      </c>
      <c r="AU172" s="50">
        <f>MAX(AU23,AU21*Seasonality!$C$78*AU22)*(1-AU75)*(1-AU48)</f>
        <v/>
      </c>
      <c r="AV172" s="50">
        <f>MAX(AV23,AV21*Seasonality!$C$78*AV22)*(1-AV75)*(1-AV48)</f>
        <v/>
      </c>
      <c r="AW172" s="50">
        <f>MAX(AW23,AW21*Seasonality!$C$78*AW22)*(1-AW75)*(1-AW48)</f>
        <v/>
      </c>
      <c r="AX172" s="50">
        <f>MAX(AX23,AX21*Seasonality!$C$78*AX22)*(1-AX75)*(1-AX48)</f>
        <v/>
      </c>
      <c r="AY172" s="50">
        <f>MAX(AY23,AY21*Seasonality!$C$78*AY22)*(1-AY75)*(1-AY48)</f>
        <v/>
      </c>
      <c r="AZ172" s="50">
        <f>MAX(AZ23,AZ21*Seasonality!$C$78*AZ22)*(1-AZ75)*(1-AZ48)</f>
        <v/>
      </c>
      <c r="BA172" s="50">
        <f>MAX(BA23,BA21*Seasonality!$C$78*BA22)*(1-BA75)*(1-BA48)</f>
        <v/>
      </c>
      <c r="BB172" s="50">
        <f>MAX(BB23,BB21*Seasonality!$C$78*BB22)*(1-BB75)*(1-BB48)</f>
        <v/>
      </c>
      <c r="BC172" s="50">
        <f>MAX(BC23,BC21*Seasonality!$C$78*BC22)*(1-BC75)*(1-BC48)</f>
        <v/>
      </c>
      <c r="BD172" s="50">
        <f>MAX(BD23,BD21*Seasonality!$C$78*BD22)*(1-BD75)*(1-BD48)</f>
        <v/>
      </c>
      <c r="BE172" s="50">
        <f>MAX(BE23,BE21*Seasonality!$C$78*BE22)*(1-BE75)*(1-BE48)</f>
        <v/>
      </c>
    </row>
    <row r="173">
      <c r="B173" s="7" t="inlineStr">
        <is>
          <t>Revenue collected · month 43</t>
        </is>
      </c>
      <c r="C173" s="5" t="inlineStr">
        <is>
          <t>₹</t>
        </is>
      </c>
      <c r="D173" s="50">
        <f>MAX(D23,D21*Seasonality!$C$79*D22)*(1-D75)*(1-D48)</f>
        <v/>
      </c>
      <c r="E173" s="50">
        <f>MAX(E23,E21*Seasonality!$C$79*E22)*(1-E75)*(1-E48)</f>
        <v/>
      </c>
      <c r="F173" s="50">
        <f>MAX(F23,F21*Seasonality!$C$79*F22)*(1-F75)*(1-F48)</f>
        <v/>
      </c>
      <c r="G173" s="50">
        <f>MAX(G23,G21*Seasonality!$C$79*G22)*(1-G75)*(1-G48)</f>
        <v/>
      </c>
      <c r="H173" s="50">
        <f>MAX(H23,H21*Seasonality!$C$79*H22)*(1-H75)*(1-H48)</f>
        <v/>
      </c>
      <c r="I173" s="50">
        <f>MAX(I23,I21*Seasonality!$C$79*I22)*(1-I75)*(1-I48)</f>
        <v/>
      </c>
      <c r="J173" s="50">
        <f>MAX(J23,J21*Seasonality!$C$79*J22)*(1-J75)*(1-J48)</f>
        <v/>
      </c>
      <c r="K173" s="50">
        <f>MAX(K23,K21*Seasonality!$C$79*K22)*(1-K75)*(1-K48)</f>
        <v/>
      </c>
      <c r="L173" s="50">
        <f>MAX(L23,L21*Seasonality!$C$79*L22)*(1-L75)*(1-L48)</f>
        <v/>
      </c>
      <c r="M173" s="50">
        <f>MAX(M23,M21*Seasonality!$C$79*M22)*(1-M75)*(1-M48)</f>
        <v/>
      </c>
      <c r="N173" s="50">
        <f>MAX(N23,N21*Seasonality!$C$79*N22)*(1-N75)*(1-N48)</f>
        <v/>
      </c>
      <c r="O173" s="50">
        <f>MAX(O23,O21*Seasonality!$C$79*O22)*(1-O75)*(1-O48)</f>
        <v/>
      </c>
      <c r="P173" s="50">
        <f>MAX(P23,P21*Seasonality!$C$79*P22)*(1-P75)*(1-P48)</f>
        <v/>
      </c>
      <c r="Q173" s="50">
        <f>MAX(Q23,Q21*Seasonality!$C$79*Q22)*(1-Q75)*(1-Q48)</f>
        <v/>
      </c>
      <c r="R173" s="50">
        <f>MAX(R23,R21*Seasonality!$C$79*R22)*(1-R75)*(1-R48)</f>
        <v/>
      </c>
      <c r="S173" s="50">
        <f>MAX(S23,S21*Seasonality!$C$79*S22)*(1-S75)*(1-S48)</f>
        <v/>
      </c>
      <c r="T173" s="50">
        <f>MAX(T23,T21*Seasonality!$C$79*T22)*(1-T75)*(1-T48)</f>
        <v/>
      </c>
      <c r="U173" s="50">
        <f>MAX(U23,U21*Seasonality!$C$79*U22)*(1-U75)*(1-U48)</f>
        <v/>
      </c>
      <c r="V173" s="50">
        <f>MAX(V23,V21*Seasonality!$C$79*V22)*(1-V75)*(1-V48)</f>
        <v/>
      </c>
      <c r="W173" s="50">
        <f>MAX(W23,W21*Seasonality!$C$79*W22)*(1-W75)*(1-W48)</f>
        <v/>
      </c>
      <c r="X173" s="50">
        <f>MAX(X23,X21*Seasonality!$C$79*X22)*(1-X75)*(1-X48)</f>
        <v/>
      </c>
      <c r="Y173" s="50">
        <f>MAX(Y23,Y21*Seasonality!$C$79*Y22)*(1-Y75)*(1-Y48)</f>
        <v/>
      </c>
      <c r="Z173" s="50">
        <f>MAX(Z23,Z21*Seasonality!$C$79*Z22)*(1-Z75)*(1-Z48)</f>
        <v/>
      </c>
      <c r="AA173" s="50">
        <f>MAX(AA23,AA21*Seasonality!$C$79*AA22)*(1-AA75)*(1-AA48)</f>
        <v/>
      </c>
      <c r="AB173" s="50">
        <f>MAX(AB23,AB21*Seasonality!$C$79*AB22)*(1-AB75)*(1-AB48)</f>
        <v/>
      </c>
      <c r="AC173" s="50">
        <f>MAX(AC23,AC21*Seasonality!$C$79*AC22)*(1-AC75)*(1-AC48)</f>
        <v/>
      </c>
      <c r="AD173" s="50">
        <f>MAX(AD23,AD21*Seasonality!$C$79*AD22)*(1-AD75)*(1-AD48)</f>
        <v/>
      </c>
      <c r="AE173" s="50">
        <f>MAX(AE23,AE21*Seasonality!$C$79*AE22)*(1-AE75)*(1-AE48)</f>
        <v/>
      </c>
      <c r="AF173" s="50">
        <f>MAX(AF23,AF21*Seasonality!$C$79*AF22)*(1-AF75)*(1-AF48)</f>
        <v/>
      </c>
      <c r="AG173" s="50">
        <f>MAX(AG23,AG21*Seasonality!$C$79*AG22)*(1-AG75)*(1-AG48)</f>
        <v/>
      </c>
      <c r="AH173" s="50">
        <f>MAX(AH23,AH21*Seasonality!$C$79*AH22)*(1-AH75)*(1-AH48)</f>
        <v/>
      </c>
      <c r="AI173" s="50">
        <f>MAX(AI23,AI21*Seasonality!$C$79*AI22)*(1-AI75)*(1-AI48)</f>
        <v/>
      </c>
      <c r="AJ173" s="50">
        <f>MAX(AJ23,AJ21*Seasonality!$C$79*AJ22)*(1-AJ75)*(1-AJ48)</f>
        <v/>
      </c>
      <c r="AK173" s="50">
        <f>MAX(AK23,AK21*Seasonality!$C$79*AK22)*(1-AK75)*(1-AK48)</f>
        <v/>
      </c>
      <c r="AL173" s="50">
        <f>MAX(AL23,AL21*Seasonality!$C$79*AL22)*(1-AL75)*(1-AL48)</f>
        <v/>
      </c>
      <c r="AM173" s="50">
        <f>MAX(AM23,AM21*Seasonality!$C$79*AM22)*(1-AM75)*(1-AM48)</f>
        <v/>
      </c>
      <c r="AN173" s="50">
        <f>MAX(AN23,AN21*Seasonality!$C$79*AN22)*(1-AN75)*(1-AN48)</f>
        <v/>
      </c>
      <c r="AO173" s="50">
        <f>MAX(AO23,AO21*Seasonality!$C$79*AO22)*(1-AO75)*(1-AO48)</f>
        <v/>
      </c>
      <c r="AP173" s="50">
        <f>MAX(AP23,AP21*Seasonality!$C$79*AP22)*(1-AP75)*(1-AP48)</f>
        <v/>
      </c>
      <c r="AQ173" s="50">
        <f>MAX(AQ23,AQ21*Seasonality!$C$79*AQ22)*(1-AQ75)*(1-AQ48)</f>
        <v/>
      </c>
      <c r="AR173" s="50">
        <f>MAX(AR23,AR21*Seasonality!$C$79*AR22)*(1-AR75)*(1-AR48)</f>
        <v/>
      </c>
      <c r="AS173" s="50">
        <f>MAX(AS23,AS21*Seasonality!$C$79*AS22)*(1-AS75)*(1-AS48)</f>
        <v/>
      </c>
      <c r="AT173" s="50">
        <f>MAX(AT23,AT21*Seasonality!$C$79*AT22)*(1-AT75)*(1-AT48)</f>
        <v/>
      </c>
      <c r="AU173" s="50">
        <f>MAX(AU23,AU21*Seasonality!$C$79*AU22)*(1-AU75)*(1-AU48)</f>
        <v/>
      </c>
      <c r="AV173" s="50">
        <f>MAX(AV23,AV21*Seasonality!$C$79*AV22)*(1-AV75)*(1-AV48)</f>
        <v/>
      </c>
      <c r="AW173" s="50">
        <f>MAX(AW23,AW21*Seasonality!$C$79*AW22)*(1-AW75)*(1-AW48)</f>
        <v/>
      </c>
      <c r="AX173" s="50">
        <f>MAX(AX23,AX21*Seasonality!$C$79*AX22)*(1-AX75)*(1-AX48)</f>
        <v/>
      </c>
      <c r="AY173" s="50">
        <f>MAX(AY23,AY21*Seasonality!$C$79*AY22)*(1-AY75)*(1-AY48)</f>
        <v/>
      </c>
      <c r="AZ173" s="50">
        <f>MAX(AZ23,AZ21*Seasonality!$C$79*AZ22)*(1-AZ75)*(1-AZ48)</f>
        <v/>
      </c>
      <c r="BA173" s="50">
        <f>MAX(BA23,BA21*Seasonality!$C$79*BA22)*(1-BA75)*(1-BA48)</f>
        <v/>
      </c>
      <c r="BB173" s="50">
        <f>MAX(BB23,BB21*Seasonality!$C$79*BB22)*(1-BB75)*(1-BB48)</f>
        <v/>
      </c>
      <c r="BC173" s="50">
        <f>MAX(BC23,BC21*Seasonality!$C$79*BC22)*(1-BC75)*(1-BC48)</f>
        <v/>
      </c>
      <c r="BD173" s="50">
        <f>MAX(BD23,BD21*Seasonality!$C$79*BD22)*(1-BD75)*(1-BD48)</f>
        <v/>
      </c>
      <c r="BE173" s="50">
        <f>MAX(BE23,BE21*Seasonality!$C$79*BE22)*(1-BE75)*(1-BE48)</f>
        <v/>
      </c>
    </row>
    <row r="174">
      <c r="B174" s="7" t="inlineStr">
        <is>
          <t>Revenue collected · month 44</t>
        </is>
      </c>
      <c r="C174" s="5" t="inlineStr">
        <is>
          <t>₹</t>
        </is>
      </c>
      <c r="D174" s="50">
        <f>MAX(D23,D21*Seasonality!$C$80*D22)*(1-D75)*(1-D48)</f>
        <v/>
      </c>
      <c r="E174" s="50">
        <f>MAX(E23,E21*Seasonality!$C$80*E22)*(1-E75)*(1-E48)</f>
        <v/>
      </c>
      <c r="F174" s="50">
        <f>MAX(F23,F21*Seasonality!$C$80*F22)*(1-F75)*(1-F48)</f>
        <v/>
      </c>
      <c r="G174" s="50">
        <f>MAX(G23,G21*Seasonality!$C$80*G22)*(1-G75)*(1-G48)</f>
        <v/>
      </c>
      <c r="H174" s="50">
        <f>MAX(H23,H21*Seasonality!$C$80*H22)*(1-H75)*(1-H48)</f>
        <v/>
      </c>
      <c r="I174" s="50">
        <f>MAX(I23,I21*Seasonality!$C$80*I22)*(1-I75)*(1-I48)</f>
        <v/>
      </c>
      <c r="J174" s="50">
        <f>MAX(J23,J21*Seasonality!$C$80*J22)*(1-J75)*(1-J48)</f>
        <v/>
      </c>
      <c r="K174" s="50">
        <f>MAX(K23,K21*Seasonality!$C$80*K22)*(1-K75)*(1-K48)</f>
        <v/>
      </c>
      <c r="L174" s="50">
        <f>MAX(L23,L21*Seasonality!$C$80*L22)*(1-L75)*(1-L48)</f>
        <v/>
      </c>
      <c r="M174" s="50">
        <f>MAX(M23,M21*Seasonality!$C$80*M22)*(1-M75)*(1-M48)</f>
        <v/>
      </c>
      <c r="N174" s="50">
        <f>MAX(N23,N21*Seasonality!$C$80*N22)*(1-N75)*(1-N48)</f>
        <v/>
      </c>
      <c r="O174" s="50">
        <f>MAX(O23,O21*Seasonality!$C$80*O22)*(1-O75)*(1-O48)</f>
        <v/>
      </c>
      <c r="P174" s="50">
        <f>MAX(P23,P21*Seasonality!$C$80*P22)*(1-P75)*(1-P48)</f>
        <v/>
      </c>
      <c r="Q174" s="50">
        <f>MAX(Q23,Q21*Seasonality!$C$80*Q22)*(1-Q75)*(1-Q48)</f>
        <v/>
      </c>
      <c r="R174" s="50">
        <f>MAX(R23,R21*Seasonality!$C$80*R22)*(1-R75)*(1-R48)</f>
        <v/>
      </c>
      <c r="S174" s="50">
        <f>MAX(S23,S21*Seasonality!$C$80*S22)*(1-S75)*(1-S48)</f>
        <v/>
      </c>
      <c r="T174" s="50">
        <f>MAX(T23,T21*Seasonality!$C$80*T22)*(1-T75)*(1-T48)</f>
        <v/>
      </c>
      <c r="U174" s="50">
        <f>MAX(U23,U21*Seasonality!$C$80*U22)*(1-U75)*(1-U48)</f>
        <v/>
      </c>
      <c r="V174" s="50">
        <f>MAX(V23,V21*Seasonality!$C$80*V22)*(1-V75)*(1-V48)</f>
        <v/>
      </c>
      <c r="W174" s="50">
        <f>MAX(W23,W21*Seasonality!$C$80*W22)*(1-W75)*(1-W48)</f>
        <v/>
      </c>
      <c r="X174" s="50">
        <f>MAX(X23,X21*Seasonality!$C$80*X22)*(1-X75)*(1-X48)</f>
        <v/>
      </c>
      <c r="Y174" s="50">
        <f>MAX(Y23,Y21*Seasonality!$C$80*Y22)*(1-Y75)*(1-Y48)</f>
        <v/>
      </c>
      <c r="Z174" s="50">
        <f>MAX(Z23,Z21*Seasonality!$C$80*Z22)*(1-Z75)*(1-Z48)</f>
        <v/>
      </c>
      <c r="AA174" s="50">
        <f>MAX(AA23,AA21*Seasonality!$C$80*AA22)*(1-AA75)*(1-AA48)</f>
        <v/>
      </c>
      <c r="AB174" s="50">
        <f>MAX(AB23,AB21*Seasonality!$C$80*AB22)*(1-AB75)*(1-AB48)</f>
        <v/>
      </c>
      <c r="AC174" s="50">
        <f>MAX(AC23,AC21*Seasonality!$C$80*AC22)*(1-AC75)*(1-AC48)</f>
        <v/>
      </c>
      <c r="AD174" s="50">
        <f>MAX(AD23,AD21*Seasonality!$C$80*AD22)*(1-AD75)*(1-AD48)</f>
        <v/>
      </c>
      <c r="AE174" s="50">
        <f>MAX(AE23,AE21*Seasonality!$C$80*AE22)*(1-AE75)*(1-AE48)</f>
        <v/>
      </c>
      <c r="AF174" s="50">
        <f>MAX(AF23,AF21*Seasonality!$C$80*AF22)*(1-AF75)*(1-AF48)</f>
        <v/>
      </c>
      <c r="AG174" s="50">
        <f>MAX(AG23,AG21*Seasonality!$C$80*AG22)*(1-AG75)*(1-AG48)</f>
        <v/>
      </c>
      <c r="AH174" s="50">
        <f>MAX(AH23,AH21*Seasonality!$C$80*AH22)*(1-AH75)*(1-AH48)</f>
        <v/>
      </c>
      <c r="AI174" s="50">
        <f>MAX(AI23,AI21*Seasonality!$C$80*AI22)*(1-AI75)*(1-AI48)</f>
        <v/>
      </c>
      <c r="AJ174" s="50">
        <f>MAX(AJ23,AJ21*Seasonality!$C$80*AJ22)*(1-AJ75)*(1-AJ48)</f>
        <v/>
      </c>
      <c r="AK174" s="50">
        <f>MAX(AK23,AK21*Seasonality!$C$80*AK22)*(1-AK75)*(1-AK48)</f>
        <v/>
      </c>
      <c r="AL174" s="50">
        <f>MAX(AL23,AL21*Seasonality!$C$80*AL22)*(1-AL75)*(1-AL48)</f>
        <v/>
      </c>
      <c r="AM174" s="50">
        <f>MAX(AM23,AM21*Seasonality!$C$80*AM22)*(1-AM75)*(1-AM48)</f>
        <v/>
      </c>
      <c r="AN174" s="50">
        <f>MAX(AN23,AN21*Seasonality!$C$80*AN22)*(1-AN75)*(1-AN48)</f>
        <v/>
      </c>
      <c r="AO174" s="50">
        <f>MAX(AO23,AO21*Seasonality!$C$80*AO22)*(1-AO75)*(1-AO48)</f>
        <v/>
      </c>
      <c r="AP174" s="50">
        <f>MAX(AP23,AP21*Seasonality!$C$80*AP22)*(1-AP75)*(1-AP48)</f>
        <v/>
      </c>
      <c r="AQ174" s="50">
        <f>MAX(AQ23,AQ21*Seasonality!$C$80*AQ22)*(1-AQ75)*(1-AQ48)</f>
        <v/>
      </c>
      <c r="AR174" s="50">
        <f>MAX(AR23,AR21*Seasonality!$C$80*AR22)*(1-AR75)*(1-AR48)</f>
        <v/>
      </c>
      <c r="AS174" s="50">
        <f>MAX(AS23,AS21*Seasonality!$C$80*AS22)*(1-AS75)*(1-AS48)</f>
        <v/>
      </c>
      <c r="AT174" s="50">
        <f>MAX(AT23,AT21*Seasonality!$C$80*AT22)*(1-AT75)*(1-AT48)</f>
        <v/>
      </c>
      <c r="AU174" s="50">
        <f>MAX(AU23,AU21*Seasonality!$C$80*AU22)*(1-AU75)*(1-AU48)</f>
        <v/>
      </c>
      <c r="AV174" s="50">
        <f>MAX(AV23,AV21*Seasonality!$C$80*AV22)*(1-AV75)*(1-AV48)</f>
        <v/>
      </c>
      <c r="AW174" s="50">
        <f>MAX(AW23,AW21*Seasonality!$C$80*AW22)*(1-AW75)*(1-AW48)</f>
        <v/>
      </c>
      <c r="AX174" s="50">
        <f>MAX(AX23,AX21*Seasonality!$C$80*AX22)*(1-AX75)*(1-AX48)</f>
        <v/>
      </c>
      <c r="AY174" s="50">
        <f>MAX(AY23,AY21*Seasonality!$C$80*AY22)*(1-AY75)*(1-AY48)</f>
        <v/>
      </c>
      <c r="AZ174" s="50">
        <f>MAX(AZ23,AZ21*Seasonality!$C$80*AZ22)*(1-AZ75)*(1-AZ48)</f>
        <v/>
      </c>
      <c r="BA174" s="50">
        <f>MAX(BA23,BA21*Seasonality!$C$80*BA22)*(1-BA75)*(1-BA48)</f>
        <v/>
      </c>
      <c r="BB174" s="50">
        <f>MAX(BB23,BB21*Seasonality!$C$80*BB22)*(1-BB75)*(1-BB48)</f>
        <v/>
      </c>
      <c r="BC174" s="50">
        <f>MAX(BC23,BC21*Seasonality!$C$80*BC22)*(1-BC75)*(1-BC48)</f>
        <v/>
      </c>
      <c r="BD174" s="50">
        <f>MAX(BD23,BD21*Seasonality!$C$80*BD22)*(1-BD75)*(1-BD48)</f>
        <v/>
      </c>
      <c r="BE174" s="50">
        <f>MAX(BE23,BE21*Seasonality!$C$80*BE22)*(1-BE75)*(1-BE48)</f>
        <v/>
      </c>
    </row>
    <row r="175">
      <c r="B175" s="7" t="inlineStr">
        <is>
          <t>Revenue collected · month 45</t>
        </is>
      </c>
      <c r="C175" s="5" t="inlineStr">
        <is>
          <t>₹</t>
        </is>
      </c>
      <c r="D175" s="50">
        <f>MAX(D23,D21*Seasonality!$C$81*D22)*(1-D75)*(1-D48)</f>
        <v/>
      </c>
      <c r="E175" s="50">
        <f>MAX(E23,E21*Seasonality!$C$81*E22)*(1-E75)*(1-E48)</f>
        <v/>
      </c>
      <c r="F175" s="50">
        <f>MAX(F23,F21*Seasonality!$C$81*F22)*(1-F75)*(1-F48)</f>
        <v/>
      </c>
      <c r="G175" s="50">
        <f>MAX(G23,G21*Seasonality!$C$81*G22)*(1-G75)*(1-G48)</f>
        <v/>
      </c>
      <c r="H175" s="50">
        <f>MAX(H23,H21*Seasonality!$C$81*H22)*(1-H75)*(1-H48)</f>
        <v/>
      </c>
      <c r="I175" s="50">
        <f>MAX(I23,I21*Seasonality!$C$81*I22)*(1-I75)*(1-I48)</f>
        <v/>
      </c>
      <c r="J175" s="50">
        <f>MAX(J23,J21*Seasonality!$C$81*J22)*(1-J75)*(1-J48)</f>
        <v/>
      </c>
      <c r="K175" s="50">
        <f>MAX(K23,K21*Seasonality!$C$81*K22)*(1-K75)*(1-K48)</f>
        <v/>
      </c>
      <c r="L175" s="50">
        <f>MAX(L23,L21*Seasonality!$C$81*L22)*(1-L75)*(1-L48)</f>
        <v/>
      </c>
      <c r="M175" s="50">
        <f>MAX(M23,M21*Seasonality!$C$81*M22)*(1-M75)*(1-M48)</f>
        <v/>
      </c>
      <c r="N175" s="50">
        <f>MAX(N23,N21*Seasonality!$C$81*N22)*(1-N75)*(1-N48)</f>
        <v/>
      </c>
      <c r="O175" s="50">
        <f>MAX(O23,O21*Seasonality!$C$81*O22)*(1-O75)*(1-O48)</f>
        <v/>
      </c>
      <c r="P175" s="50">
        <f>MAX(P23,P21*Seasonality!$C$81*P22)*(1-P75)*(1-P48)</f>
        <v/>
      </c>
      <c r="Q175" s="50">
        <f>MAX(Q23,Q21*Seasonality!$C$81*Q22)*(1-Q75)*(1-Q48)</f>
        <v/>
      </c>
      <c r="R175" s="50">
        <f>MAX(R23,R21*Seasonality!$C$81*R22)*(1-R75)*(1-R48)</f>
        <v/>
      </c>
      <c r="S175" s="50">
        <f>MAX(S23,S21*Seasonality!$C$81*S22)*(1-S75)*(1-S48)</f>
        <v/>
      </c>
      <c r="T175" s="50">
        <f>MAX(T23,T21*Seasonality!$C$81*T22)*(1-T75)*(1-T48)</f>
        <v/>
      </c>
      <c r="U175" s="50">
        <f>MAX(U23,U21*Seasonality!$C$81*U22)*(1-U75)*(1-U48)</f>
        <v/>
      </c>
      <c r="V175" s="50">
        <f>MAX(V23,V21*Seasonality!$C$81*V22)*(1-V75)*(1-V48)</f>
        <v/>
      </c>
      <c r="W175" s="50">
        <f>MAX(W23,W21*Seasonality!$C$81*W22)*(1-W75)*(1-W48)</f>
        <v/>
      </c>
      <c r="X175" s="50">
        <f>MAX(X23,X21*Seasonality!$C$81*X22)*(1-X75)*(1-X48)</f>
        <v/>
      </c>
      <c r="Y175" s="50">
        <f>MAX(Y23,Y21*Seasonality!$C$81*Y22)*(1-Y75)*(1-Y48)</f>
        <v/>
      </c>
      <c r="Z175" s="50">
        <f>MAX(Z23,Z21*Seasonality!$C$81*Z22)*(1-Z75)*(1-Z48)</f>
        <v/>
      </c>
      <c r="AA175" s="50">
        <f>MAX(AA23,AA21*Seasonality!$C$81*AA22)*(1-AA75)*(1-AA48)</f>
        <v/>
      </c>
      <c r="AB175" s="50">
        <f>MAX(AB23,AB21*Seasonality!$C$81*AB22)*(1-AB75)*(1-AB48)</f>
        <v/>
      </c>
      <c r="AC175" s="50">
        <f>MAX(AC23,AC21*Seasonality!$C$81*AC22)*(1-AC75)*(1-AC48)</f>
        <v/>
      </c>
      <c r="AD175" s="50">
        <f>MAX(AD23,AD21*Seasonality!$C$81*AD22)*(1-AD75)*(1-AD48)</f>
        <v/>
      </c>
      <c r="AE175" s="50">
        <f>MAX(AE23,AE21*Seasonality!$C$81*AE22)*(1-AE75)*(1-AE48)</f>
        <v/>
      </c>
      <c r="AF175" s="50">
        <f>MAX(AF23,AF21*Seasonality!$C$81*AF22)*(1-AF75)*(1-AF48)</f>
        <v/>
      </c>
      <c r="AG175" s="50">
        <f>MAX(AG23,AG21*Seasonality!$C$81*AG22)*(1-AG75)*(1-AG48)</f>
        <v/>
      </c>
      <c r="AH175" s="50">
        <f>MAX(AH23,AH21*Seasonality!$C$81*AH22)*(1-AH75)*(1-AH48)</f>
        <v/>
      </c>
      <c r="AI175" s="50">
        <f>MAX(AI23,AI21*Seasonality!$C$81*AI22)*(1-AI75)*(1-AI48)</f>
        <v/>
      </c>
      <c r="AJ175" s="50">
        <f>MAX(AJ23,AJ21*Seasonality!$C$81*AJ22)*(1-AJ75)*(1-AJ48)</f>
        <v/>
      </c>
      <c r="AK175" s="50">
        <f>MAX(AK23,AK21*Seasonality!$C$81*AK22)*(1-AK75)*(1-AK48)</f>
        <v/>
      </c>
      <c r="AL175" s="50">
        <f>MAX(AL23,AL21*Seasonality!$C$81*AL22)*(1-AL75)*(1-AL48)</f>
        <v/>
      </c>
      <c r="AM175" s="50">
        <f>MAX(AM23,AM21*Seasonality!$C$81*AM22)*(1-AM75)*(1-AM48)</f>
        <v/>
      </c>
      <c r="AN175" s="50">
        <f>MAX(AN23,AN21*Seasonality!$C$81*AN22)*(1-AN75)*(1-AN48)</f>
        <v/>
      </c>
      <c r="AO175" s="50">
        <f>MAX(AO23,AO21*Seasonality!$C$81*AO22)*(1-AO75)*(1-AO48)</f>
        <v/>
      </c>
      <c r="AP175" s="50">
        <f>MAX(AP23,AP21*Seasonality!$C$81*AP22)*(1-AP75)*(1-AP48)</f>
        <v/>
      </c>
      <c r="AQ175" s="50">
        <f>MAX(AQ23,AQ21*Seasonality!$C$81*AQ22)*(1-AQ75)*(1-AQ48)</f>
        <v/>
      </c>
      <c r="AR175" s="50">
        <f>MAX(AR23,AR21*Seasonality!$C$81*AR22)*(1-AR75)*(1-AR48)</f>
        <v/>
      </c>
      <c r="AS175" s="50">
        <f>MAX(AS23,AS21*Seasonality!$C$81*AS22)*(1-AS75)*(1-AS48)</f>
        <v/>
      </c>
      <c r="AT175" s="50">
        <f>MAX(AT23,AT21*Seasonality!$C$81*AT22)*(1-AT75)*(1-AT48)</f>
        <v/>
      </c>
      <c r="AU175" s="50">
        <f>MAX(AU23,AU21*Seasonality!$C$81*AU22)*(1-AU75)*(1-AU48)</f>
        <v/>
      </c>
      <c r="AV175" s="50">
        <f>MAX(AV23,AV21*Seasonality!$C$81*AV22)*(1-AV75)*(1-AV48)</f>
        <v/>
      </c>
      <c r="AW175" s="50">
        <f>MAX(AW23,AW21*Seasonality!$C$81*AW22)*(1-AW75)*(1-AW48)</f>
        <v/>
      </c>
      <c r="AX175" s="50">
        <f>MAX(AX23,AX21*Seasonality!$C$81*AX22)*(1-AX75)*(1-AX48)</f>
        <v/>
      </c>
      <c r="AY175" s="50">
        <f>MAX(AY23,AY21*Seasonality!$C$81*AY22)*(1-AY75)*(1-AY48)</f>
        <v/>
      </c>
      <c r="AZ175" s="50">
        <f>MAX(AZ23,AZ21*Seasonality!$C$81*AZ22)*(1-AZ75)*(1-AZ48)</f>
        <v/>
      </c>
      <c r="BA175" s="50">
        <f>MAX(BA23,BA21*Seasonality!$C$81*BA22)*(1-BA75)*(1-BA48)</f>
        <v/>
      </c>
      <c r="BB175" s="50">
        <f>MAX(BB23,BB21*Seasonality!$C$81*BB22)*(1-BB75)*(1-BB48)</f>
        <v/>
      </c>
      <c r="BC175" s="50">
        <f>MAX(BC23,BC21*Seasonality!$C$81*BC22)*(1-BC75)*(1-BC48)</f>
        <v/>
      </c>
      <c r="BD175" s="50">
        <f>MAX(BD23,BD21*Seasonality!$C$81*BD22)*(1-BD75)*(1-BD48)</f>
        <v/>
      </c>
      <c r="BE175" s="50">
        <f>MAX(BE23,BE21*Seasonality!$C$81*BE22)*(1-BE75)*(1-BE48)</f>
        <v/>
      </c>
    </row>
    <row r="176">
      <c r="B176" s="7" t="inlineStr">
        <is>
          <t>Revenue collected · month 46</t>
        </is>
      </c>
      <c r="C176" s="5" t="inlineStr">
        <is>
          <t>₹</t>
        </is>
      </c>
      <c r="D176" s="50">
        <f>MAX(D23,D21*Seasonality!$C$82*D22)*(1-D75)*(1-D48)</f>
        <v/>
      </c>
      <c r="E176" s="50">
        <f>MAX(E23,E21*Seasonality!$C$82*E22)*(1-E75)*(1-E48)</f>
        <v/>
      </c>
      <c r="F176" s="50">
        <f>MAX(F23,F21*Seasonality!$C$82*F22)*(1-F75)*(1-F48)</f>
        <v/>
      </c>
      <c r="G176" s="50">
        <f>MAX(G23,G21*Seasonality!$C$82*G22)*(1-G75)*(1-G48)</f>
        <v/>
      </c>
      <c r="H176" s="50">
        <f>MAX(H23,H21*Seasonality!$C$82*H22)*(1-H75)*(1-H48)</f>
        <v/>
      </c>
      <c r="I176" s="50">
        <f>MAX(I23,I21*Seasonality!$C$82*I22)*(1-I75)*(1-I48)</f>
        <v/>
      </c>
      <c r="J176" s="50">
        <f>MAX(J23,J21*Seasonality!$C$82*J22)*(1-J75)*(1-J48)</f>
        <v/>
      </c>
      <c r="K176" s="50">
        <f>MAX(K23,K21*Seasonality!$C$82*K22)*(1-K75)*(1-K48)</f>
        <v/>
      </c>
      <c r="L176" s="50">
        <f>MAX(L23,L21*Seasonality!$C$82*L22)*(1-L75)*(1-L48)</f>
        <v/>
      </c>
      <c r="M176" s="50">
        <f>MAX(M23,M21*Seasonality!$C$82*M22)*(1-M75)*(1-M48)</f>
        <v/>
      </c>
      <c r="N176" s="50">
        <f>MAX(N23,N21*Seasonality!$C$82*N22)*(1-N75)*(1-N48)</f>
        <v/>
      </c>
      <c r="O176" s="50">
        <f>MAX(O23,O21*Seasonality!$C$82*O22)*(1-O75)*(1-O48)</f>
        <v/>
      </c>
      <c r="P176" s="50">
        <f>MAX(P23,P21*Seasonality!$C$82*P22)*(1-P75)*(1-P48)</f>
        <v/>
      </c>
      <c r="Q176" s="50">
        <f>MAX(Q23,Q21*Seasonality!$C$82*Q22)*(1-Q75)*(1-Q48)</f>
        <v/>
      </c>
      <c r="R176" s="50">
        <f>MAX(R23,R21*Seasonality!$C$82*R22)*(1-R75)*(1-R48)</f>
        <v/>
      </c>
      <c r="S176" s="50">
        <f>MAX(S23,S21*Seasonality!$C$82*S22)*(1-S75)*(1-S48)</f>
        <v/>
      </c>
      <c r="T176" s="50">
        <f>MAX(T23,T21*Seasonality!$C$82*T22)*(1-T75)*(1-T48)</f>
        <v/>
      </c>
      <c r="U176" s="50">
        <f>MAX(U23,U21*Seasonality!$C$82*U22)*(1-U75)*(1-U48)</f>
        <v/>
      </c>
      <c r="V176" s="50">
        <f>MAX(V23,V21*Seasonality!$C$82*V22)*(1-V75)*(1-V48)</f>
        <v/>
      </c>
      <c r="W176" s="50">
        <f>MAX(W23,W21*Seasonality!$C$82*W22)*(1-W75)*(1-W48)</f>
        <v/>
      </c>
      <c r="X176" s="50">
        <f>MAX(X23,X21*Seasonality!$C$82*X22)*(1-X75)*(1-X48)</f>
        <v/>
      </c>
      <c r="Y176" s="50">
        <f>MAX(Y23,Y21*Seasonality!$C$82*Y22)*(1-Y75)*(1-Y48)</f>
        <v/>
      </c>
      <c r="Z176" s="50">
        <f>MAX(Z23,Z21*Seasonality!$C$82*Z22)*(1-Z75)*(1-Z48)</f>
        <v/>
      </c>
      <c r="AA176" s="50">
        <f>MAX(AA23,AA21*Seasonality!$C$82*AA22)*(1-AA75)*(1-AA48)</f>
        <v/>
      </c>
      <c r="AB176" s="50">
        <f>MAX(AB23,AB21*Seasonality!$C$82*AB22)*(1-AB75)*(1-AB48)</f>
        <v/>
      </c>
      <c r="AC176" s="50">
        <f>MAX(AC23,AC21*Seasonality!$C$82*AC22)*(1-AC75)*(1-AC48)</f>
        <v/>
      </c>
      <c r="AD176" s="50">
        <f>MAX(AD23,AD21*Seasonality!$C$82*AD22)*(1-AD75)*(1-AD48)</f>
        <v/>
      </c>
      <c r="AE176" s="50">
        <f>MAX(AE23,AE21*Seasonality!$C$82*AE22)*(1-AE75)*(1-AE48)</f>
        <v/>
      </c>
      <c r="AF176" s="50">
        <f>MAX(AF23,AF21*Seasonality!$C$82*AF22)*(1-AF75)*(1-AF48)</f>
        <v/>
      </c>
      <c r="AG176" s="50">
        <f>MAX(AG23,AG21*Seasonality!$C$82*AG22)*(1-AG75)*(1-AG48)</f>
        <v/>
      </c>
      <c r="AH176" s="50">
        <f>MAX(AH23,AH21*Seasonality!$C$82*AH22)*(1-AH75)*(1-AH48)</f>
        <v/>
      </c>
      <c r="AI176" s="50">
        <f>MAX(AI23,AI21*Seasonality!$C$82*AI22)*(1-AI75)*(1-AI48)</f>
        <v/>
      </c>
      <c r="AJ176" s="50">
        <f>MAX(AJ23,AJ21*Seasonality!$C$82*AJ22)*(1-AJ75)*(1-AJ48)</f>
        <v/>
      </c>
      <c r="AK176" s="50">
        <f>MAX(AK23,AK21*Seasonality!$C$82*AK22)*(1-AK75)*(1-AK48)</f>
        <v/>
      </c>
      <c r="AL176" s="50">
        <f>MAX(AL23,AL21*Seasonality!$C$82*AL22)*(1-AL75)*(1-AL48)</f>
        <v/>
      </c>
      <c r="AM176" s="50">
        <f>MAX(AM23,AM21*Seasonality!$C$82*AM22)*(1-AM75)*(1-AM48)</f>
        <v/>
      </c>
      <c r="AN176" s="50">
        <f>MAX(AN23,AN21*Seasonality!$C$82*AN22)*(1-AN75)*(1-AN48)</f>
        <v/>
      </c>
      <c r="AO176" s="50">
        <f>MAX(AO23,AO21*Seasonality!$C$82*AO22)*(1-AO75)*(1-AO48)</f>
        <v/>
      </c>
      <c r="AP176" s="50">
        <f>MAX(AP23,AP21*Seasonality!$C$82*AP22)*(1-AP75)*(1-AP48)</f>
        <v/>
      </c>
      <c r="AQ176" s="50">
        <f>MAX(AQ23,AQ21*Seasonality!$C$82*AQ22)*(1-AQ75)*(1-AQ48)</f>
        <v/>
      </c>
      <c r="AR176" s="50">
        <f>MAX(AR23,AR21*Seasonality!$C$82*AR22)*(1-AR75)*(1-AR48)</f>
        <v/>
      </c>
      <c r="AS176" s="50">
        <f>MAX(AS23,AS21*Seasonality!$C$82*AS22)*(1-AS75)*(1-AS48)</f>
        <v/>
      </c>
      <c r="AT176" s="50">
        <f>MAX(AT23,AT21*Seasonality!$C$82*AT22)*(1-AT75)*(1-AT48)</f>
        <v/>
      </c>
      <c r="AU176" s="50">
        <f>MAX(AU23,AU21*Seasonality!$C$82*AU22)*(1-AU75)*(1-AU48)</f>
        <v/>
      </c>
      <c r="AV176" s="50">
        <f>MAX(AV23,AV21*Seasonality!$C$82*AV22)*(1-AV75)*(1-AV48)</f>
        <v/>
      </c>
      <c r="AW176" s="50">
        <f>MAX(AW23,AW21*Seasonality!$C$82*AW22)*(1-AW75)*(1-AW48)</f>
        <v/>
      </c>
      <c r="AX176" s="50">
        <f>MAX(AX23,AX21*Seasonality!$C$82*AX22)*(1-AX75)*(1-AX48)</f>
        <v/>
      </c>
      <c r="AY176" s="50">
        <f>MAX(AY23,AY21*Seasonality!$C$82*AY22)*(1-AY75)*(1-AY48)</f>
        <v/>
      </c>
      <c r="AZ176" s="50">
        <f>MAX(AZ23,AZ21*Seasonality!$C$82*AZ22)*(1-AZ75)*(1-AZ48)</f>
        <v/>
      </c>
      <c r="BA176" s="50">
        <f>MAX(BA23,BA21*Seasonality!$C$82*BA22)*(1-BA75)*(1-BA48)</f>
        <v/>
      </c>
      <c r="BB176" s="50">
        <f>MAX(BB23,BB21*Seasonality!$C$82*BB22)*(1-BB75)*(1-BB48)</f>
        <v/>
      </c>
      <c r="BC176" s="50">
        <f>MAX(BC23,BC21*Seasonality!$C$82*BC22)*(1-BC75)*(1-BC48)</f>
        <v/>
      </c>
      <c r="BD176" s="50">
        <f>MAX(BD23,BD21*Seasonality!$C$82*BD22)*(1-BD75)*(1-BD48)</f>
        <v/>
      </c>
      <c r="BE176" s="50">
        <f>MAX(BE23,BE21*Seasonality!$C$82*BE22)*(1-BE75)*(1-BE48)</f>
        <v/>
      </c>
    </row>
    <row r="177">
      <c r="B177" s="7" t="inlineStr">
        <is>
          <t>Revenue collected · month 47</t>
        </is>
      </c>
      <c r="C177" s="5" t="inlineStr">
        <is>
          <t>₹</t>
        </is>
      </c>
      <c r="D177" s="50">
        <f>MAX(D23,D21*Seasonality!$C$83*D22)*(1-D75)*(1-D48)</f>
        <v/>
      </c>
      <c r="E177" s="50">
        <f>MAX(E23,E21*Seasonality!$C$83*E22)*(1-E75)*(1-E48)</f>
        <v/>
      </c>
      <c r="F177" s="50">
        <f>MAX(F23,F21*Seasonality!$C$83*F22)*(1-F75)*(1-F48)</f>
        <v/>
      </c>
      <c r="G177" s="50">
        <f>MAX(G23,G21*Seasonality!$C$83*G22)*(1-G75)*(1-G48)</f>
        <v/>
      </c>
      <c r="H177" s="50">
        <f>MAX(H23,H21*Seasonality!$C$83*H22)*(1-H75)*(1-H48)</f>
        <v/>
      </c>
      <c r="I177" s="50">
        <f>MAX(I23,I21*Seasonality!$C$83*I22)*(1-I75)*(1-I48)</f>
        <v/>
      </c>
      <c r="J177" s="50">
        <f>MAX(J23,J21*Seasonality!$C$83*J22)*(1-J75)*(1-J48)</f>
        <v/>
      </c>
      <c r="K177" s="50">
        <f>MAX(K23,K21*Seasonality!$C$83*K22)*(1-K75)*(1-K48)</f>
        <v/>
      </c>
      <c r="L177" s="50">
        <f>MAX(L23,L21*Seasonality!$C$83*L22)*(1-L75)*(1-L48)</f>
        <v/>
      </c>
      <c r="M177" s="50">
        <f>MAX(M23,M21*Seasonality!$C$83*M22)*(1-M75)*(1-M48)</f>
        <v/>
      </c>
      <c r="N177" s="50">
        <f>MAX(N23,N21*Seasonality!$C$83*N22)*(1-N75)*(1-N48)</f>
        <v/>
      </c>
      <c r="O177" s="50">
        <f>MAX(O23,O21*Seasonality!$C$83*O22)*(1-O75)*(1-O48)</f>
        <v/>
      </c>
      <c r="P177" s="50">
        <f>MAX(P23,P21*Seasonality!$C$83*P22)*(1-P75)*(1-P48)</f>
        <v/>
      </c>
      <c r="Q177" s="50">
        <f>MAX(Q23,Q21*Seasonality!$C$83*Q22)*(1-Q75)*(1-Q48)</f>
        <v/>
      </c>
      <c r="R177" s="50">
        <f>MAX(R23,R21*Seasonality!$C$83*R22)*(1-R75)*(1-R48)</f>
        <v/>
      </c>
      <c r="S177" s="50">
        <f>MAX(S23,S21*Seasonality!$C$83*S22)*(1-S75)*(1-S48)</f>
        <v/>
      </c>
      <c r="T177" s="50">
        <f>MAX(T23,T21*Seasonality!$C$83*T22)*(1-T75)*(1-T48)</f>
        <v/>
      </c>
      <c r="U177" s="50">
        <f>MAX(U23,U21*Seasonality!$C$83*U22)*(1-U75)*(1-U48)</f>
        <v/>
      </c>
      <c r="V177" s="50">
        <f>MAX(V23,V21*Seasonality!$C$83*V22)*(1-V75)*(1-V48)</f>
        <v/>
      </c>
      <c r="W177" s="50">
        <f>MAX(W23,W21*Seasonality!$C$83*W22)*(1-W75)*(1-W48)</f>
        <v/>
      </c>
      <c r="X177" s="50">
        <f>MAX(X23,X21*Seasonality!$C$83*X22)*(1-X75)*(1-X48)</f>
        <v/>
      </c>
      <c r="Y177" s="50">
        <f>MAX(Y23,Y21*Seasonality!$C$83*Y22)*(1-Y75)*(1-Y48)</f>
        <v/>
      </c>
      <c r="Z177" s="50">
        <f>MAX(Z23,Z21*Seasonality!$C$83*Z22)*(1-Z75)*(1-Z48)</f>
        <v/>
      </c>
      <c r="AA177" s="50">
        <f>MAX(AA23,AA21*Seasonality!$C$83*AA22)*(1-AA75)*(1-AA48)</f>
        <v/>
      </c>
      <c r="AB177" s="50">
        <f>MAX(AB23,AB21*Seasonality!$C$83*AB22)*(1-AB75)*(1-AB48)</f>
        <v/>
      </c>
      <c r="AC177" s="50">
        <f>MAX(AC23,AC21*Seasonality!$C$83*AC22)*(1-AC75)*(1-AC48)</f>
        <v/>
      </c>
      <c r="AD177" s="50">
        <f>MAX(AD23,AD21*Seasonality!$C$83*AD22)*(1-AD75)*(1-AD48)</f>
        <v/>
      </c>
      <c r="AE177" s="50">
        <f>MAX(AE23,AE21*Seasonality!$C$83*AE22)*(1-AE75)*(1-AE48)</f>
        <v/>
      </c>
      <c r="AF177" s="50">
        <f>MAX(AF23,AF21*Seasonality!$C$83*AF22)*(1-AF75)*(1-AF48)</f>
        <v/>
      </c>
      <c r="AG177" s="50">
        <f>MAX(AG23,AG21*Seasonality!$C$83*AG22)*(1-AG75)*(1-AG48)</f>
        <v/>
      </c>
      <c r="AH177" s="50">
        <f>MAX(AH23,AH21*Seasonality!$C$83*AH22)*(1-AH75)*(1-AH48)</f>
        <v/>
      </c>
      <c r="AI177" s="50">
        <f>MAX(AI23,AI21*Seasonality!$C$83*AI22)*(1-AI75)*(1-AI48)</f>
        <v/>
      </c>
      <c r="AJ177" s="50">
        <f>MAX(AJ23,AJ21*Seasonality!$C$83*AJ22)*(1-AJ75)*(1-AJ48)</f>
        <v/>
      </c>
      <c r="AK177" s="50">
        <f>MAX(AK23,AK21*Seasonality!$C$83*AK22)*(1-AK75)*(1-AK48)</f>
        <v/>
      </c>
      <c r="AL177" s="50">
        <f>MAX(AL23,AL21*Seasonality!$C$83*AL22)*(1-AL75)*(1-AL48)</f>
        <v/>
      </c>
      <c r="AM177" s="50">
        <f>MAX(AM23,AM21*Seasonality!$C$83*AM22)*(1-AM75)*(1-AM48)</f>
        <v/>
      </c>
      <c r="AN177" s="50">
        <f>MAX(AN23,AN21*Seasonality!$C$83*AN22)*(1-AN75)*(1-AN48)</f>
        <v/>
      </c>
      <c r="AO177" s="50">
        <f>MAX(AO23,AO21*Seasonality!$C$83*AO22)*(1-AO75)*(1-AO48)</f>
        <v/>
      </c>
      <c r="AP177" s="50">
        <f>MAX(AP23,AP21*Seasonality!$C$83*AP22)*(1-AP75)*(1-AP48)</f>
        <v/>
      </c>
      <c r="AQ177" s="50">
        <f>MAX(AQ23,AQ21*Seasonality!$C$83*AQ22)*(1-AQ75)*(1-AQ48)</f>
        <v/>
      </c>
      <c r="AR177" s="50">
        <f>MAX(AR23,AR21*Seasonality!$C$83*AR22)*(1-AR75)*(1-AR48)</f>
        <v/>
      </c>
      <c r="AS177" s="50">
        <f>MAX(AS23,AS21*Seasonality!$C$83*AS22)*(1-AS75)*(1-AS48)</f>
        <v/>
      </c>
      <c r="AT177" s="50">
        <f>MAX(AT23,AT21*Seasonality!$C$83*AT22)*(1-AT75)*(1-AT48)</f>
        <v/>
      </c>
      <c r="AU177" s="50">
        <f>MAX(AU23,AU21*Seasonality!$C$83*AU22)*(1-AU75)*(1-AU48)</f>
        <v/>
      </c>
      <c r="AV177" s="50">
        <f>MAX(AV23,AV21*Seasonality!$C$83*AV22)*(1-AV75)*(1-AV48)</f>
        <v/>
      </c>
      <c r="AW177" s="50">
        <f>MAX(AW23,AW21*Seasonality!$C$83*AW22)*(1-AW75)*(1-AW48)</f>
        <v/>
      </c>
      <c r="AX177" s="50">
        <f>MAX(AX23,AX21*Seasonality!$C$83*AX22)*(1-AX75)*(1-AX48)</f>
        <v/>
      </c>
      <c r="AY177" s="50">
        <f>MAX(AY23,AY21*Seasonality!$C$83*AY22)*(1-AY75)*(1-AY48)</f>
        <v/>
      </c>
      <c r="AZ177" s="50">
        <f>MAX(AZ23,AZ21*Seasonality!$C$83*AZ22)*(1-AZ75)*(1-AZ48)</f>
        <v/>
      </c>
      <c r="BA177" s="50">
        <f>MAX(BA23,BA21*Seasonality!$C$83*BA22)*(1-BA75)*(1-BA48)</f>
        <v/>
      </c>
      <c r="BB177" s="50">
        <f>MAX(BB23,BB21*Seasonality!$C$83*BB22)*(1-BB75)*(1-BB48)</f>
        <v/>
      </c>
      <c r="BC177" s="50">
        <f>MAX(BC23,BC21*Seasonality!$C$83*BC22)*(1-BC75)*(1-BC48)</f>
        <v/>
      </c>
      <c r="BD177" s="50">
        <f>MAX(BD23,BD21*Seasonality!$C$83*BD22)*(1-BD75)*(1-BD48)</f>
        <v/>
      </c>
      <c r="BE177" s="50">
        <f>MAX(BE23,BE21*Seasonality!$C$83*BE22)*(1-BE75)*(1-BE48)</f>
        <v/>
      </c>
    </row>
    <row r="178">
      <c r="B178" s="7" t="inlineStr">
        <is>
          <t>Revenue collected · month 48</t>
        </is>
      </c>
      <c r="C178" s="5" t="inlineStr">
        <is>
          <t>₹</t>
        </is>
      </c>
      <c r="D178" s="50">
        <f>MAX(D23,D21*Seasonality!$C$84*D22)*(1-D75)*(1-D48)</f>
        <v/>
      </c>
      <c r="E178" s="50">
        <f>MAX(E23,E21*Seasonality!$C$84*E22)*(1-E75)*(1-E48)</f>
        <v/>
      </c>
      <c r="F178" s="50">
        <f>MAX(F23,F21*Seasonality!$C$84*F22)*(1-F75)*(1-F48)</f>
        <v/>
      </c>
      <c r="G178" s="50">
        <f>MAX(G23,G21*Seasonality!$C$84*G22)*(1-G75)*(1-G48)</f>
        <v/>
      </c>
      <c r="H178" s="50">
        <f>MAX(H23,H21*Seasonality!$C$84*H22)*(1-H75)*(1-H48)</f>
        <v/>
      </c>
      <c r="I178" s="50">
        <f>MAX(I23,I21*Seasonality!$C$84*I22)*(1-I75)*(1-I48)</f>
        <v/>
      </c>
      <c r="J178" s="50">
        <f>MAX(J23,J21*Seasonality!$C$84*J22)*(1-J75)*(1-J48)</f>
        <v/>
      </c>
      <c r="K178" s="50">
        <f>MAX(K23,K21*Seasonality!$C$84*K22)*(1-K75)*(1-K48)</f>
        <v/>
      </c>
      <c r="L178" s="50">
        <f>MAX(L23,L21*Seasonality!$C$84*L22)*(1-L75)*(1-L48)</f>
        <v/>
      </c>
      <c r="M178" s="50">
        <f>MAX(M23,M21*Seasonality!$C$84*M22)*(1-M75)*(1-M48)</f>
        <v/>
      </c>
      <c r="N178" s="50">
        <f>MAX(N23,N21*Seasonality!$C$84*N22)*(1-N75)*(1-N48)</f>
        <v/>
      </c>
      <c r="O178" s="50">
        <f>MAX(O23,O21*Seasonality!$C$84*O22)*(1-O75)*(1-O48)</f>
        <v/>
      </c>
      <c r="P178" s="50">
        <f>MAX(P23,P21*Seasonality!$C$84*P22)*(1-P75)*(1-P48)</f>
        <v/>
      </c>
      <c r="Q178" s="50">
        <f>MAX(Q23,Q21*Seasonality!$C$84*Q22)*(1-Q75)*(1-Q48)</f>
        <v/>
      </c>
      <c r="R178" s="50">
        <f>MAX(R23,R21*Seasonality!$C$84*R22)*(1-R75)*(1-R48)</f>
        <v/>
      </c>
      <c r="S178" s="50">
        <f>MAX(S23,S21*Seasonality!$C$84*S22)*(1-S75)*(1-S48)</f>
        <v/>
      </c>
      <c r="T178" s="50">
        <f>MAX(T23,T21*Seasonality!$C$84*T22)*(1-T75)*(1-T48)</f>
        <v/>
      </c>
      <c r="U178" s="50">
        <f>MAX(U23,U21*Seasonality!$C$84*U22)*(1-U75)*(1-U48)</f>
        <v/>
      </c>
      <c r="V178" s="50">
        <f>MAX(V23,V21*Seasonality!$C$84*V22)*(1-V75)*(1-V48)</f>
        <v/>
      </c>
      <c r="W178" s="50">
        <f>MAX(W23,W21*Seasonality!$C$84*W22)*(1-W75)*(1-W48)</f>
        <v/>
      </c>
      <c r="X178" s="50">
        <f>MAX(X23,X21*Seasonality!$C$84*X22)*(1-X75)*(1-X48)</f>
        <v/>
      </c>
      <c r="Y178" s="50">
        <f>MAX(Y23,Y21*Seasonality!$C$84*Y22)*(1-Y75)*(1-Y48)</f>
        <v/>
      </c>
      <c r="Z178" s="50">
        <f>MAX(Z23,Z21*Seasonality!$C$84*Z22)*(1-Z75)*(1-Z48)</f>
        <v/>
      </c>
      <c r="AA178" s="50">
        <f>MAX(AA23,AA21*Seasonality!$C$84*AA22)*(1-AA75)*(1-AA48)</f>
        <v/>
      </c>
      <c r="AB178" s="50">
        <f>MAX(AB23,AB21*Seasonality!$C$84*AB22)*(1-AB75)*(1-AB48)</f>
        <v/>
      </c>
      <c r="AC178" s="50">
        <f>MAX(AC23,AC21*Seasonality!$C$84*AC22)*(1-AC75)*(1-AC48)</f>
        <v/>
      </c>
      <c r="AD178" s="50">
        <f>MAX(AD23,AD21*Seasonality!$C$84*AD22)*(1-AD75)*(1-AD48)</f>
        <v/>
      </c>
      <c r="AE178" s="50">
        <f>MAX(AE23,AE21*Seasonality!$C$84*AE22)*(1-AE75)*(1-AE48)</f>
        <v/>
      </c>
      <c r="AF178" s="50">
        <f>MAX(AF23,AF21*Seasonality!$C$84*AF22)*(1-AF75)*(1-AF48)</f>
        <v/>
      </c>
      <c r="AG178" s="50">
        <f>MAX(AG23,AG21*Seasonality!$C$84*AG22)*(1-AG75)*(1-AG48)</f>
        <v/>
      </c>
      <c r="AH178" s="50">
        <f>MAX(AH23,AH21*Seasonality!$C$84*AH22)*(1-AH75)*(1-AH48)</f>
        <v/>
      </c>
      <c r="AI178" s="50">
        <f>MAX(AI23,AI21*Seasonality!$C$84*AI22)*(1-AI75)*(1-AI48)</f>
        <v/>
      </c>
      <c r="AJ178" s="50">
        <f>MAX(AJ23,AJ21*Seasonality!$C$84*AJ22)*(1-AJ75)*(1-AJ48)</f>
        <v/>
      </c>
      <c r="AK178" s="50">
        <f>MAX(AK23,AK21*Seasonality!$C$84*AK22)*(1-AK75)*(1-AK48)</f>
        <v/>
      </c>
      <c r="AL178" s="50">
        <f>MAX(AL23,AL21*Seasonality!$C$84*AL22)*(1-AL75)*(1-AL48)</f>
        <v/>
      </c>
      <c r="AM178" s="50">
        <f>MAX(AM23,AM21*Seasonality!$C$84*AM22)*(1-AM75)*(1-AM48)</f>
        <v/>
      </c>
      <c r="AN178" s="50">
        <f>MAX(AN23,AN21*Seasonality!$C$84*AN22)*(1-AN75)*(1-AN48)</f>
        <v/>
      </c>
      <c r="AO178" s="50">
        <f>MAX(AO23,AO21*Seasonality!$C$84*AO22)*(1-AO75)*(1-AO48)</f>
        <v/>
      </c>
      <c r="AP178" s="50">
        <f>MAX(AP23,AP21*Seasonality!$C$84*AP22)*(1-AP75)*(1-AP48)</f>
        <v/>
      </c>
      <c r="AQ178" s="50">
        <f>MAX(AQ23,AQ21*Seasonality!$C$84*AQ22)*(1-AQ75)*(1-AQ48)</f>
        <v/>
      </c>
      <c r="AR178" s="50">
        <f>MAX(AR23,AR21*Seasonality!$C$84*AR22)*(1-AR75)*(1-AR48)</f>
        <v/>
      </c>
      <c r="AS178" s="50">
        <f>MAX(AS23,AS21*Seasonality!$C$84*AS22)*(1-AS75)*(1-AS48)</f>
        <v/>
      </c>
      <c r="AT178" s="50">
        <f>MAX(AT23,AT21*Seasonality!$C$84*AT22)*(1-AT75)*(1-AT48)</f>
        <v/>
      </c>
      <c r="AU178" s="50">
        <f>MAX(AU23,AU21*Seasonality!$C$84*AU22)*(1-AU75)*(1-AU48)</f>
        <v/>
      </c>
      <c r="AV178" s="50">
        <f>MAX(AV23,AV21*Seasonality!$C$84*AV22)*(1-AV75)*(1-AV48)</f>
        <v/>
      </c>
      <c r="AW178" s="50">
        <f>MAX(AW23,AW21*Seasonality!$C$84*AW22)*(1-AW75)*(1-AW48)</f>
        <v/>
      </c>
      <c r="AX178" s="50">
        <f>MAX(AX23,AX21*Seasonality!$C$84*AX22)*(1-AX75)*(1-AX48)</f>
        <v/>
      </c>
      <c r="AY178" s="50">
        <f>MAX(AY23,AY21*Seasonality!$C$84*AY22)*(1-AY75)*(1-AY48)</f>
        <v/>
      </c>
      <c r="AZ178" s="50">
        <f>MAX(AZ23,AZ21*Seasonality!$C$84*AZ22)*(1-AZ75)*(1-AZ48)</f>
        <v/>
      </c>
      <c r="BA178" s="50">
        <f>MAX(BA23,BA21*Seasonality!$C$84*BA22)*(1-BA75)*(1-BA48)</f>
        <v/>
      </c>
      <c r="BB178" s="50">
        <f>MAX(BB23,BB21*Seasonality!$C$84*BB22)*(1-BB75)*(1-BB48)</f>
        <v/>
      </c>
      <c r="BC178" s="50">
        <f>MAX(BC23,BC21*Seasonality!$C$84*BC22)*(1-BC75)*(1-BC48)</f>
        <v/>
      </c>
      <c r="BD178" s="50">
        <f>MAX(BD23,BD21*Seasonality!$C$84*BD22)*(1-BD75)*(1-BD48)</f>
        <v/>
      </c>
      <c r="BE178" s="50">
        <f>MAX(BE23,BE21*Seasonality!$C$84*BE22)*(1-BE75)*(1-BE48)</f>
        <v/>
      </c>
    </row>
    <row r="179">
      <c r="B179" s="7" t="inlineStr">
        <is>
          <t>Revenue collected · month 49</t>
        </is>
      </c>
      <c r="C179" s="5" t="inlineStr">
        <is>
          <t>₹</t>
        </is>
      </c>
      <c r="D179" s="50">
        <f>MAX(D23,D21*Seasonality!$C$85*D22)*(1-D75)*(1-D48)</f>
        <v/>
      </c>
      <c r="E179" s="50">
        <f>MAX(E23,E21*Seasonality!$C$85*E22)*(1-E75)*(1-E48)</f>
        <v/>
      </c>
      <c r="F179" s="50">
        <f>MAX(F23,F21*Seasonality!$C$85*F22)*(1-F75)*(1-F48)</f>
        <v/>
      </c>
      <c r="G179" s="50">
        <f>MAX(G23,G21*Seasonality!$C$85*G22)*(1-G75)*(1-G48)</f>
        <v/>
      </c>
      <c r="H179" s="50">
        <f>MAX(H23,H21*Seasonality!$C$85*H22)*(1-H75)*(1-H48)</f>
        <v/>
      </c>
      <c r="I179" s="50">
        <f>MAX(I23,I21*Seasonality!$C$85*I22)*(1-I75)*(1-I48)</f>
        <v/>
      </c>
      <c r="J179" s="50">
        <f>MAX(J23,J21*Seasonality!$C$85*J22)*(1-J75)*(1-J48)</f>
        <v/>
      </c>
      <c r="K179" s="50">
        <f>MAX(K23,K21*Seasonality!$C$85*K22)*(1-K75)*(1-K48)</f>
        <v/>
      </c>
      <c r="L179" s="50">
        <f>MAX(L23,L21*Seasonality!$C$85*L22)*(1-L75)*(1-L48)</f>
        <v/>
      </c>
      <c r="M179" s="50">
        <f>MAX(M23,M21*Seasonality!$C$85*M22)*(1-M75)*(1-M48)</f>
        <v/>
      </c>
      <c r="N179" s="50">
        <f>MAX(N23,N21*Seasonality!$C$85*N22)*(1-N75)*(1-N48)</f>
        <v/>
      </c>
      <c r="O179" s="50">
        <f>MAX(O23,O21*Seasonality!$C$85*O22)*(1-O75)*(1-O48)</f>
        <v/>
      </c>
      <c r="P179" s="50">
        <f>MAX(P23,P21*Seasonality!$C$85*P22)*(1-P75)*(1-P48)</f>
        <v/>
      </c>
      <c r="Q179" s="50">
        <f>MAX(Q23,Q21*Seasonality!$C$85*Q22)*(1-Q75)*(1-Q48)</f>
        <v/>
      </c>
      <c r="R179" s="50">
        <f>MAX(R23,R21*Seasonality!$C$85*R22)*(1-R75)*(1-R48)</f>
        <v/>
      </c>
      <c r="S179" s="50">
        <f>MAX(S23,S21*Seasonality!$C$85*S22)*(1-S75)*(1-S48)</f>
        <v/>
      </c>
      <c r="T179" s="50">
        <f>MAX(T23,T21*Seasonality!$C$85*T22)*(1-T75)*(1-T48)</f>
        <v/>
      </c>
      <c r="U179" s="50">
        <f>MAX(U23,U21*Seasonality!$C$85*U22)*(1-U75)*(1-U48)</f>
        <v/>
      </c>
      <c r="V179" s="50">
        <f>MAX(V23,V21*Seasonality!$C$85*V22)*(1-V75)*(1-V48)</f>
        <v/>
      </c>
      <c r="W179" s="50">
        <f>MAX(W23,W21*Seasonality!$C$85*W22)*(1-W75)*(1-W48)</f>
        <v/>
      </c>
      <c r="X179" s="50">
        <f>MAX(X23,X21*Seasonality!$C$85*X22)*(1-X75)*(1-X48)</f>
        <v/>
      </c>
      <c r="Y179" s="50">
        <f>MAX(Y23,Y21*Seasonality!$C$85*Y22)*(1-Y75)*(1-Y48)</f>
        <v/>
      </c>
      <c r="Z179" s="50">
        <f>MAX(Z23,Z21*Seasonality!$C$85*Z22)*(1-Z75)*(1-Z48)</f>
        <v/>
      </c>
      <c r="AA179" s="50">
        <f>MAX(AA23,AA21*Seasonality!$C$85*AA22)*(1-AA75)*(1-AA48)</f>
        <v/>
      </c>
      <c r="AB179" s="50">
        <f>MAX(AB23,AB21*Seasonality!$C$85*AB22)*(1-AB75)*(1-AB48)</f>
        <v/>
      </c>
      <c r="AC179" s="50">
        <f>MAX(AC23,AC21*Seasonality!$C$85*AC22)*(1-AC75)*(1-AC48)</f>
        <v/>
      </c>
      <c r="AD179" s="50">
        <f>MAX(AD23,AD21*Seasonality!$C$85*AD22)*(1-AD75)*(1-AD48)</f>
        <v/>
      </c>
      <c r="AE179" s="50">
        <f>MAX(AE23,AE21*Seasonality!$C$85*AE22)*(1-AE75)*(1-AE48)</f>
        <v/>
      </c>
      <c r="AF179" s="50">
        <f>MAX(AF23,AF21*Seasonality!$C$85*AF22)*(1-AF75)*(1-AF48)</f>
        <v/>
      </c>
      <c r="AG179" s="50">
        <f>MAX(AG23,AG21*Seasonality!$C$85*AG22)*(1-AG75)*(1-AG48)</f>
        <v/>
      </c>
      <c r="AH179" s="50">
        <f>MAX(AH23,AH21*Seasonality!$C$85*AH22)*(1-AH75)*(1-AH48)</f>
        <v/>
      </c>
      <c r="AI179" s="50">
        <f>MAX(AI23,AI21*Seasonality!$C$85*AI22)*(1-AI75)*(1-AI48)</f>
        <v/>
      </c>
      <c r="AJ179" s="50">
        <f>MAX(AJ23,AJ21*Seasonality!$C$85*AJ22)*(1-AJ75)*(1-AJ48)</f>
        <v/>
      </c>
      <c r="AK179" s="50">
        <f>MAX(AK23,AK21*Seasonality!$C$85*AK22)*(1-AK75)*(1-AK48)</f>
        <v/>
      </c>
      <c r="AL179" s="50">
        <f>MAX(AL23,AL21*Seasonality!$C$85*AL22)*(1-AL75)*(1-AL48)</f>
        <v/>
      </c>
      <c r="AM179" s="50">
        <f>MAX(AM23,AM21*Seasonality!$C$85*AM22)*(1-AM75)*(1-AM48)</f>
        <v/>
      </c>
      <c r="AN179" s="50">
        <f>MAX(AN23,AN21*Seasonality!$C$85*AN22)*(1-AN75)*(1-AN48)</f>
        <v/>
      </c>
      <c r="AO179" s="50">
        <f>MAX(AO23,AO21*Seasonality!$C$85*AO22)*(1-AO75)*(1-AO48)</f>
        <v/>
      </c>
      <c r="AP179" s="50">
        <f>MAX(AP23,AP21*Seasonality!$C$85*AP22)*(1-AP75)*(1-AP48)</f>
        <v/>
      </c>
      <c r="AQ179" s="50">
        <f>MAX(AQ23,AQ21*Seasonality!$C$85*AQ22)*(1-AQ75)*(1-AQ48)</f>
        <v/>
      </c>
      <c r="AR179" s="50">
        <f>MAX(AR23,AR21*Seasonality!$C$85*AR22)*(1-AR75)*(1-AR48)</f>
        <v/>
      </c>
      <c r="AS179" s="50">
        <f>MAX(AS23,AS21*Seasonality!$C$85*AS22)*(1-AS75)*(1-AS48)</f>
        <v/>
      </c>
      <c r="AT179" s="50">
        <f>MAX(AT23,AT21*Seasonality!$C$85*AT22)*(1-AT75)*(1-AT48)</f>
        <v/>
      </c>
      <c r="AU179" s="50">
        <f>MAX(AU23,AU21*Seasonality!$C$85*AU22)*(1-AU75)*(1-AU48)</f>
        <v/>
      </c>
      <c r="AV179" s="50">
        <f>MAX(AV23,AV21*Seasonality!$C$85*AV22)*(1-AV75)*(1-AV48)</f>
        <v/>
      </c>
      <c r="AW179" s="50">
        <f>MAX(AW23,AW21*Seasonality!$C$85*AW22)*(1-AW75)*(1-AW48)</f>
        <v/>
      </c>
      <c r="AX179" s="50">
        <f>MAX(AX23,AX21*Seasonality!$C$85*AX22)*(1-AX75)*(1-AX48)</f>
        <v/>
      </c>
      <c r="AY179" s="50">
        <f>MAX(AY23,AY21*Seasonality!$C$85*AY22)*(1-AY75)*(1-AY48)</f>
        <v/>
      </c>
      <c r="AZ179" s="50">
        <f>MAX(AZ23,AZ21*Seasonality!$C$85*AZ22)*(1-AZ75)*(1-AZ48)</f>
        <v/>
      </c>
      <c r="BA179" s="50">
        <f>MAX(BA23,BA21*Seasonality!$C$85*BA22)*(1-BA75)*(1-BA48)</f>
        <v/>
      </c>
      <c r="BB179" s="50">
        <f>MAX(BB23,BB21*Seasonality!$C$85*BB22)*(1-BB75)*(1-BB48)</f>
        <v/>
      </c>
      <c r="BC179" s="50">
        <f>MAX(BC23,BC21*Seasonality!$C$85*BC22)*(1-BC75)*(1-BC48)</f>
        <v/>
      </c>
      <c r="BD179" s="50">
        <f>MAX(BD23,BD21*Seasonality!$C$85*BD22)*(1-BD75)*(1-BD48)</f>
        <v/>
      </c>
      <c r="BE179" s="50">
        <f>MAX(BE23,BE21*Seasonality!$C$85*BE22)*(1-BE75)*(1-BE48)</f>
        <v/>
      </c>
    </row>
    <row r="180">
      <c r="B180" s="7" t="inlineStr">
        <is>
          <t>Revenue collected · month 50</t>
        </is>
      </c>
      <c r="C180" s="5" t="inlineStr">
        <is>
          <t>₹</t>
        </is>
      </c>
      <c r="D180" s="50">
        <f>MAX(D23,D21*Seasonality!$C$86*D22)*(1-D75)*(1-D48)</f>
        <v/>
      </c>
      <c r="E180" s="50">
        <f>MAX(E23,E21*Seasonality!$C$86*E22)*(1-E75)*(1-E48)</f>
        <v/>
      </c>
      <c r="F180" s="50">
        <f>MAX(F23,F21*Seasonality!$C$86*F22)*(1-F75)*(1-F48)</f>
        <v/>
      </c>
      <c r="G180" s="50">
        <f>MAX(G23,G21*Seasonality!$C$86*G22)*(1-G75)*(1-G48)</f>
        <v/>
      </c>
      <c r="H180" s="50">
        <f>MAX(H23,H21*Seasonality!$C$86*H22)*(1-H75)*(1-H48)</f>
        <v/>
      </c>
      <c r="I180" s="50">
        <f>MAX(I23,I21*Seasonality!$C$86*I22)*(1-I75)*(1-I48)</f>
        <v/>
      </c>
      <c r="J180" s="50">
        <f>MAX(J23,J21*Seasonality!$C$86*J22)*(1-J75)*(1-J48)</f>
        <v/>
      </c>
      <c r="K180" s="50">
        <f>MAX(K23,K21*Seasonality!$C$86*K22)*(1-K75)*(1-K48)</f>
        <v/>
      </c>
      <c r="L180" s="50">
        <f>MAX(L23,L21*Seasonality!$C$86*L22)*(1-L75)*(1-L48)</f>
        <v/>
      </c>
      <c r="M180" s="50">
        <f>MAX(M23,M21*Seasonality!$C$86*M22)*(1-M75)*(1-M48)</f>
        <v/>
      </c>
      <c r="N180" s="50">
        <f>MAX(N23,N21*Seasonality!$C$86*N22)*(1-N75)*(1-N48)</f>
        <v/>
      </c>
      <c r="O180" s="50">
        <f>MAX(O23,O21*Seasonality!$C$86*O22)*(1-O75)*(1-O48)</f>
        <v/>
      </c>
      <c r="P180" s="50">
        <f>MAX(P23,P21*Seasonality!$C$86*P22)*(1-P75)*(1-P48)</f>
        <v/>
      </c>
      <c r="Q180" s="50">
        <f>MAX(Q23,Q21*Seasonality!$C$86*Q22)*(1-Q75)*(1-Q48)</f>
        <v/>
      </c>
      <c r="R180" s="50">
        <f>MAX(R23,R21*Seasonality!$C$86*R22)*(1-R75)*(1-R48)</f>
        <v/>
      </c>
      <c r="S180" s="50">
        <f>MAX(S23,S21*Seasonality!$C$86*S22)*(1-S75)*(1-S48)</f>
        <v/>
      </c>
      <c r="T180" s="50">
        <f>MAX(T23,T21*Seasonality!$C$86*T22)*(1-T75)*(1-T48)</f>
        <v/>
      </c>
      <c r="U180" s="50">
        <f>MAX(U23,U21*Seasonality!$C$86*U22)*(1-U75)*(1-U48)</f>
        <v/>
      </c>
      <c r="V180" s="50">
        <f>MAX(V23,V21*Seasonality!$C$86*V22)*(1-V75)*(1-V48)</f>
        <v/>
      </c>
      <c r="W180" s="50">
        <f>MAX(W23,W21*Seasonality!$C$86*W22)*(1-W75)*(1-W48)</f>
        <v/>
      </c>
      <c r="X180" s="50">
        <f>MAX(X23,X21*Seasonality!$C$86*X22)*(1-X75)*(1-X48)</f>
        <v/>
      </c>
      <c r="Y180" s="50">
        <f>MAX(Y23,Y21*Seasonality!$C$86*Y22)*(1-Y75)*(1-Y48)</f>
        <v/>
      </c>
      <c r="Z180" s="50">
        <f>MAX(Z23,Z21*Seasonality!$C$86*Z22)*(1-Z75)*(1-Z48)</f>
        <v/>
      </c>
      <c r="AA180" s="50">
        <f>MAX(AA23,AA21*Seasonality!$C$86*AA22)*(1-AA75)*(1-AA48)</f>
        <v/>
      </c>
      <c r="AB180" s="50">
        <f>MAX(AB23,AB21*Seasonality!$C$86*AB22)*(1-AB75)*(1-AB48)</f>
        <v/>
      </c>
      <c r="AC180" s="50">
        <f>MAX(AC23,AC21*Seasonality!$C$86*AC22)*(1-AC75)*(1-AC48)</f>
        <v/>
      </c>
      <c r="AD180" s="50">
        <f>MAX(AD23,AD21*Seasonality!$C$86*AD22)*(1-AD75)*(1-AD48)</f>
        <v/>
      </c>
      <c r="AE180" s="50">
        <f>MAX(AE23,AE21*Seasonality!$C$86*AE22)*(1-AE75)*(1-AE48)</f>
        <v/>
      </c>
      <c r="AF180" s="50">
        <f>MAX(AF23,AF21*Seasonality!$C$86*AF22)*(1-AF75)*(1-AF48)</f>
        <v/>
      </c>
      <c r="AG180" s="50">
        <f>MAX(AG23,AG21*Seasonality!$C$86*AG22)*(1-AG75)*(1-AG48)</f>
        <v/>
      </c>
      <c r="AH180" s="50">
        <f>MAX(AH23,AH21*Seasonality!$C$86*AH22)*(1-AH75)*(1-AH48)</f>
        <v/>
      </c>
      <c r="AI180" s="50">
        <f>MAX(AI23,AI21*Seasonality!$C$86*AI22)*(1-AI75)*(1-AI48)</f>
        <v/>
      </c>
      <c r="AJ180" s="50">
        <f>MAX(AJ23,AJ21*Seasonality!$C$86*AJ22)*(1-AJ75)*(1-AJ48)</f>
        <v/>
      </c>
      <c r="AK180" s="50">
        <f>MAX(AK23,AK21*Seasonality!$C$86*AK22)*(1-AK75)*(1-AK48)</f>
        <v/>
      </c>
      <c r="AL180" s="50">
        <f>MAX(AL23,AL21*Seasonality!$C$86*AL22)*(1-AL75)*(1-AL48)</f>
        <v/>
      </c>
      <c r="AM180" s="50">
        <f>MAX(AM23,AM21*Seasonality!$C$86*AM22)*(1-AM75)*(1-AM48)</f>
        <v/>
      </c>
      <c r="AN180" s="50">
        <f>MAX(AN23,AN21*Seasonality!$C$86*AN22)*(1-AN75)*(1-AN48)</f>
        <v/>
      </c>
      <c r="AO180" s="50">
        <f>MAX(AO23,AO21*Seasonality!$C$86*AO22)*(1-AO75)*(1-AO48)</f>
        <v/>
      </c>
      <c r="AP180" s="50">
        <f>MAX(AP23,AP21*Seasonality!$C$86*AP22)*(1-AP75)*(1-AP48)</f>
        <v/>
      </c>
      <c r="AQ180" s="50">
        <f>MAX(AQ23,AQ21*Seasonality!$C$86*AQ22)*(1-AQ75)*(1-AQ48)</f>
        <v/>
      </c>
      <c r="AR180" s="50">
        <f>MAX(AR23,AR21*Seasonality!$C$86*AR22)*(1-AR75)*(1-AR48)</f>
        <v/>
      </c>
      <c r="AS180" s="50">
        <f>MAX(AS23,AS21*Seasonality!$C$86*AS22)*(1-AS75)*(1-AS48)</f>
        <v/>
      </c>
      <c r="AT180" s="50">
        <f>MAX(AT23,AT21*Seasonality!$C$86*AT22)*(1-AT75)*(1-AT48)</f>
        <v/>
      </c>
      <c r="AU180" s="50">
        <f>MAX(AU23,AU21*Seasonality!$C$86*AU22)*(1-AU75)*(1-AU48)</f>
        <v/>
      </c>
      <c r="AV180" s="50">
        <f>MAX(AV23,AV21*Seasonality!$C$86*AV22)*(1-AV75)*(1-AV48)</f>
        <v/>
      </c>
      <c r="AW180" s="50">
        <f>MAX(AW23,AW21*Seasonality!$C$86*AW22)*(1-AW75)*(1-AW48)</f>
        <v/>
      </c>
      <c r="AX180" s="50">
        <f>MAX(AX23,AX21*Seasonality!$C$86*AX22)*(1-AX75)*(1-AX48)</f>
        <v/>
      </c>
      <c r="AY180" s="50">
        <f>MAX(AY23,AY21*Seasonality!$C$86*AY22)*(1-AY75)*(1-AY48)</f>
        <v/>
      </c>
      <c r="AZ180" s="50">
        <f>MAX(AZ23,AZ21*Seasonality!$C$86*AZ22)*(1-AZ75)*(1-AZ48)</f>
        <v/>
      </c>
      <c r="BA180" s="50">
        <f>MAX(BA23,BA21*Seasonality!$C$86*BA22)*(1-BA75)*(1-BA48)</f>
        <v/>
      </c>
      <c r="BB180" s="50">
        <f>MAX(BB23,BB21*Seasonality!$C$86*BB22)*(1-BB75)*(1-BB48)</f>
        <v/>
      </c>
      <c r="BC180" s="50">
        <f>MAX(BC23,BC21*Seasonality!$C$86*BC22)*(1-BC75)*(1-BC48)</f>
        <v/>
      </c>
      <c r="BD180" s="50">
        <f>MAX(BD23,BD21*Seasonality!$C$86*BD22)*(1-BD75)*(1-BD48)</f>
        <v/>
      </c>
      <c r="BE180" s="50">
        <f>MAX(BE23,BE21*Seasonality!$C$86*BE22)*(1-BE75)*(1-BE48)</f>
        <v/>
      </c>
    </row>
    <row r="181">
      <c r="B181" s="7" t="inlineStr">
        <is>
          <t>Revenue collected · month 51</t>
        </is>
      </c>
      <c r="C181" s="5" t="inlineStr">
        <is>
          <t>₹</t>
        </is>
      </c>
      <c r="D181" s="50">
        <f>MAX(D23,D21*Seasonality!$C$87*D22)*(1-D75)*(1-D48)</f>
        <v/>
      </c>
      <c r="E181" s="50">
        <f>MAX(E23,E21*Seasonality!$C$87*E22)*(1-E75)*(1-E48)</f>
        <v/>
      </c>
      <c r="F181" s="50">
        <f>MAX(F23,F21*Seasonality!$C$87*F22)*(1-F75)*(1-F48)</f>
        <v/>
      </c>
      <c r="G181" s="50">
        <f>MAX(G23,G21*Seasonality!$C$87*G22)*(1-G75)*(1-G48)</f>
        <v/>
      </c>
      <c r="H181" s="50">
        <f>MAX(H23,H21*Seasonality!$C$87*H22)*(1-H75)*(1-H48)</f>
        <v/>
      </c>
      <c r="I181" s="50">
        <f>MAX(I23,I21*Seasonality!$C$87*I22)*(1-I75)*(1-I48)</f>
        <v/>
      </c>
      <c r="J181" s="50">
        <f>MAX(J23,J21*Seasonality!$C$87*J22)*(1-J75)*(1-J48)</f>
        <v/>
      </c>
      <c r="K181" s="50">
        <f>MAX(K23,K21*Seasonality!$C$87*K22)*(1-K75)*(1-K48)</f>
        <v/>
      </c>
      <c r="L181" s="50">
        <f>MAX(L23,L21*Seasonality!$C$87*L22)*(1-L75)*(1-L48)</f>
        <v/>
      </c>
      <c r="M181" s="50">
        <f>MAX(M23,M21*Seasonality!$C$87*M22)*(1-M75)*(1-M48)</f>
        <v/>
      </c>
      <c r="N181" s="50">
        <f>MAX(N23,N21*Seasonality!$C$87*N22)*(1-N75)*(1-N48)</f>
        <v/>
      </c>
      <c r="O181" s="50">
        <f>MAX(O23,O21*Seasonality!$C$87*O22)*(1-O75)*(1-O48)</f>
        <v/>
      </c>
      <c r="P181" s="50">
        <f>MAX(P23,P21*Seasonality!$C$87*P22)*(1-P75)*(1-P48)</f>
        <v/>
      </c>
      <c r="Q181" s="50">
        <f>MAX(Q23,Q21*Seasonality!$C$87*Q22)*(1-Q75)*(1-Q48)</f>
        <v/>
      </c>
      <c r="R181" s="50">
        <f>MAX(R23,R21*Seasonality!$C$87*R22)*(1-R75)*(1-R48)</f>
        <v/>
      </c>
      <c r="S181" s="50">
        <f>MAX(S23,S21*Seasonality!$C$87*S22)*(1-S75)*(1-S48)</f>
        <v/>
      </c>
      <c r="T181" s="50">
        <f>MAX(T23,T21*Seasonality!$C$87*T22)*(1-T75)*(1-T48)</f>
        <v/>
      </c>
      <c r="U181" s="50">
        <f>MAX(U23,U21*Seasonality!$C$87*U22)*(1-U75)*(1-U48)</f>
        <v/>
      </c>
      <c r="V181" s="50">
        <f>MAX(V23,V21*Seasonality!$C$87*V22)*(1-V75)*(1-V48)</f>
        <v/>
      </c>
      <c r="W181" s="50">
        <f>MAX(W23,W21*Seasonality!$C$87*W22)*(1-W75)*(1-W48)</f>
        <v/>
      </c>
      <c r="X181" s="50">
        <f>MAX(X23,X21*Seasonality!$C$87*X22)*(1-X75)*(1-X48)</f>
        <v/>
      </c>
      <c r="Y181" s="50">
        <f>MAX(Y23,Y21*Seasonality!$C$87*Y22)*(1-Y75)*(1-Y48)</f>
        <v/>
      </c>
      <c r="Z181" s="50">
        <f>MAX(Z23,Z21*Seasonality!$C$87*Z22)*(1-Z75)*(1-Z48)</f>
        <v/>
      </c>
      <c r="AA181" s="50">
        <f>MAX(AA23,AA21*Seasonality!$C$87*AA22)*(1-AA75)*(1-AA48)</f>
        <v/>
      </c>
      <c r="AB181" s="50">
        <f>MAX(AB23,AB21*Seasonality!$C$87*AB22)*(1-AB75)*(1-AB48)</f>
        <v/>
      </c>
      <c r="AC181" s="50">
        <f>MAX(AC23,AC21*Seasonality!$C$87*AC22)*(1-AC75)*(1-AC48)</f>
        <v/>
      </c>
      <c r="AD181" s="50">
        <f>MAX(AD23,AD21*Seasonality!$C$87*AD22)*(1-AD75)*(1-AD48)</f>
        <v/>
      </c>
      <c r="AE181" s="50">
        <f>MAX(AE23,AE21*Seasonality!$C$87*AE22)*(1-AE75)*(1-AE48)</f>
        <v/>
      </c>
      <c r="AF181" s="50">
        <f>MAX(AF23,AF21*Seasonality!$C$87*AF22)*(1-AF75)*(1-AF48)</f>
        <v/>
      </c>
      <c r="AG181" s="50">
        <f>MAX(AG23,AG21*Seasonality!$C$87*AG22)*(1-AG75)*(1-AG48)</f>
        <v/>
      </c>
      <c r="AH181" s="50">
        <f>MAX(AH23,AH21*Seasonality!$C$87*AH22)*(1-AH75)*(1-AH48)</f>
        <v/>
      </c>
      <c r="AI181" s="50">
        <f>MAX(AI23,AI21*Seasonality!$C$87*AI22)*(1-AI75)*(1-AI48)</f>
        <v/>
      </c>
      <c r="AJ181" s="50">
        <f>MAX(AJ23,AJ21*Seasonality!$C$87*AJ22)*(1-AJ75)*(1-AJ48)</f>
        <v/>
      </c>
      <c r="AK181" s="50">
        <f>MAX(AK23,AK21*Seasonality!$C$87*AK22)*(1-AK75)*(1-AK48)</f>
        <v/>
      </c>
      <c r="AL181" s="50">
        <f>MAX(AL23,AL21*Seasonality!$C$87*AL22)*(1-AL75)*(1-AL48)</f>
        <v/>
      </c>
      <c r="AM181" s="50">
        <f>MAX(AM23,AM21*Seasonality!$C$87*AM22)*(1-AM75)*(1-AM48)</f>
        <v/>
      </c>
      <c r="AN181" s="50">
        <f>MAX(AN23,AN21*Seasonality!$C$87*AN22)*(1-AN75)*(1-AN48)</f>
        <v/>
      </c>
      <c r="AO181" s="50">
        <f>MAX(AO23,AO21*Seasonality!$C$87*AO22)*(1-AO75)*(1-AO48)</f>
        <v/>
      </c>
      <c r="AP181" s="50">
        <f>MAX(AP23,AP21*Seasonality!$C$87*AP22)*(1-AP75)*(1-AP48)</f>
        <v/>
      </c>
      <c r="AQ181" s="50">
        <f>MAX(AQ23,AQ21*Seasonality!$C$87*AQ22)*(1-AQ75)*(1-AQ48)</f>
        <v/>
      </c>
      <c r="AR181" s="50">
        <f>MAX(AR23,AR21*Seasonality!$C$87*AR22)*(1-AR75)*(1-AR48)</f>
        <v/>
      </c>
      <c r="AS181" s="50">
        <f>MAX(AS23,AS21*Seasonality!$C$87*AS22)*(1-AS75)*(1-AS48)</f>
        <v/>
      </c>
      <c r="AT181" s="50">
        <f>MAX(AT23,AT21*Seasonality!$C$87*AT22)*(1-AT75)*(1-AT48)</f>
        <v/>
      </c>
      <c r="AU181" s="50">
        <f>MAX(AU23,AU21*Seasonality!$C$87*AU22)*(1-AU75)*(1-AU48)</f>
        <v/>
      </c>
      <c r="AV181" s="50">
        <f>MAX(AV23,AV21*Seasonality!$C$87*AV22)*(1-AV75)*(1-AV48)</f>
        <v/>
      </c>
      <c r="AW181" s="50">
        <f>MAX(AW23,AW21*Seasonality!$C$87*AW22)*(1-AW75)*(1-AW48)</f>
        <v/>
      </c>
      <c r="AX181" s="50">
        <f>MAX(AX23,AX21*Seasonality!$C$87*AX22)*(1-AX75)*(1-AX48)</f>
        <v/>
      </c>
      <c r="AY181" s="50">
        <f>MAX(AY23,AY21*Seasonality!$C$87*AY22)*(1-AY75)*(1-AY48)</f>
        <v/>
      </c>
      <c r="AZ181" s="50">
        <f>MAX(AZ23,AZ21*Seasonality!$C$87*AZ22)*(1-AZ75)*(1-AZ48)</f>
        <v/>
      </c>
      <c r="BA181" s="50">
        <f>MAX(BA23,BA21*Seasonality!$C$87*BA22)*(1-BA75)*(1-BA48)</f>
        <v/>
      </c>
      <c r="BB181" s="50">
        <f>MAX(BB23,BB21*Seasonality!$C$87*BB22)*(1-BB75)*(1-BB48)</f>
        <v/>
      </c>
      <c r="BC181" s="50">
        <f>MAX(BC23,BC21*Seasonality!$C$87*BC22)*(1-BC75)*(1-BC48)</f>
        <v/>
      </c>
      <c r="BD181" s="50">
        <f>MAX(BD23,BD21*Seasonality!$C$87*BD22)*(1-BD75)*(1-BD48)</f>
        <v/>
      </c>
      <c r="BE181" s="50">
        <f>MAX(BE23,BE21*Seasonality!$C$87*BE22)*(1-BE75)*(1-BE48)</f>
        <v/>
      </c>
    </row>
    <row r="182">
      <c r="B182" s="7" t="inlineStr">
        <is>
          <t>Revenue collected · month 52</t>
        </is>
      </c>
      <c r="C182" s="5" t="inlineStr">
        <is>
          <t>₹</t>
        </is>
      </c>
      <c r="D182" s="50">
        <f>MAX(D23,D21*Seasonality!$C$88*D22)*(1-D75)*(1-D48)</f>
        <v/>
      </c>
      <c r="E182" s="50">
        <f>MAX(E23,E21*Seasonality!$C$88*E22)*(1-E75)*(1-E48)</f>
        <v/>
      </c>
      <c r="F182" s="50">
        <f>MAX(F23,F21*Seasonality!$C$88*F22)*(1-F75)*(1-F48)</f>
        <v/>
      </c>
      <c r="G182" s="50">
        <f>MAX(G23,G21*Seasonality!$C$88*G22)*(1-G75)*(1-G48)</f>
        <v/>
      </c>
      <c r="H182" s="50">
        <f>MAX(H23,H21*Seasonality!$C$88*H22)*(1-H75)*(1-H48)</f>
        <v/>
      </c>
      <c r="I182" s="50">
        <f>MAX(I23,I21*Seasonality!$C$88*I22)*(1-I75)*(1-I48)</f>
        <v/>
      </c>
      <c r="J182" s="50">
        <f>MAX(J23,J21*Seasonality!$C$88*J22)*(1-J75)*(1-J48)</f>
        <v/>
      </c>
      <c r="K182" s="50">
        <f>MAX(K23,K21*Seasonality!$C$88*K22)*(1-K75)*(1-K48)</f>
        <v/>
      </c>
      <c r="L182" s="50">
        <f>MAX(L23,L21*Seasonality!$C$88*L22)*(1-L75)*(1-L48)</f>
        <v/>
      </c>
      <c r="M182" s="50">
        <f>MAX(M23,M21*Seasonality!$C$88*M22)*(1-M75)*(1-M48)</f>
        <v/>
      </c>
      <c r="N182" s="50">
        <f>MAX(N23,N21*Seasonality!$C$88*N22)*(1-N75)*(1-N48)</f>
        <v/>
      </c>
      <c r="O182" s="50">
        <f>MAX(O23,O21*Seasonality!$C$88*O22)*(1-O75)*(1-O48)</f>
        <v/>
      </c>
      <c r="P182" s="50">
        <f>MAX(P23,P21*Seasonality!$C$88*P22)*(1-P75)*(1-P48)</f>
        <v/>
      </c>
      <c r="Q182" s="50">
        <f>MAX(Q23,Q21*Seasonality!$C$88*Q22)*(1-Q75)*(1-Q48)</f>
        <v/>
      </c>
      <c r="R182" s="50">
        <f>MAX(R23,R21*Seasonality!$C$88*R22)*(1-R75)*(1-R48)</f>
        <v/>
      </c>
      <c r="S182" s="50">
        <f>MAX(S23,S21*Seasonality!$C$88*S22)*(1-S75)*(1-S48)</f>
        <v/>
      </c>
      <c r="T182" s="50">
        <f>MAX(T23,T21*Seasonality!$C$88*T22)*(1-T75)*(1-T48)</f>
        <v/>
      </c>
      <c r="U182" s="50">
        <f>MAX(U23,U21*Seasonality!$C$88*U22)*(1-U75)*(1-U48)</f>
        <v/>
      </c>
      <c r="V182" s="50">
        <f>MAX(V23,V21*Seasonality!$C$88*V22)*(1-V75)*(1-V48)</f>
        <v/>
      </c>
      <c r="W182" s="50">
        <f>MAX(W23,W21*Seasonality!$C$88*W22)*(1-W75)*(1-W48)</f>
        <v/>
      </c>
      <c r="X182" s="50">
        <f>MAX(X23,X21*Seasonality!$C$88*X22)*(1-X75)*(1-X48)</f>
        <v/>
      </c>
      <c r="Y182" s="50">
        <f>MAX(Y23,Y21*Seasonality!$C$88*Y22)*(1-Y75)*(1-Y48)</f>
        <v/>
      </c>
      <c r="Z182" s="50">
        <f>MAX(Z23,Z21*Seasonality!$C$88*Z22)*(1-Z75)*(1-Z48)</f>
        <v/>
      </c>
      <c r="AA182" s="50">
        <f>MAX(AA23,AA21*Seasonality!$C$88*AA22)*(1-AA75)*(1-AA48)</f>
        <v/>
      </c>
      <c r="AB182" s="50">
        <f>MAX(AB23,AB21*Seasonality!$C$88*AB22)*(1-AB75)*(1-AB48)</f>
        <v/>
      </c>
      <c r="AC182" s="50">
        <f>MAX(AC23,AC21*Seasonality!$C$88*AC22)*(1-AC75)*(1-AC48)</f>
        <v/>
      </c>
      <c r="AD182" s="50">
        <f>MAX(AD23,AD21*Seasonality!$C$88*AD22)*(1-AD75)*(1-AD48)</f>
        <v/>
      </c>
      <c r="AE182" s="50">
        <f>MAX(AE23,AE21*Seasonality!$C$88*AE22)*(1-AE75)*(1-AE48)</f>
        <v/>
      </c>
      <c r="AF182" s="50">
        <f>MAX(AF23,AF21*Seasonality!$C$88*AF22)*(1-AF75)*(1-AF48)</f>
        <v/>
      </c>
      <c r="AG182" s="50">
        <f>MAX(AG23,AG21*Seasonality!$C$88*AG22)*(1-AG75)*(1-AG48)</f>
        <v/>
      </c>
      <c r="AH182" s="50">
        <f>MAX(AH23,AH21*Seasonality!$C$88*AH22)*(1-AH75)*(1-AH48)</f>
        <v/>
      </c>
      <c r="AI182" s="50">
        <f>MAX(AI23,AI21*Seasonality!$C$88*AI22)*(1-AI75)*(1-AI48)</f>
        <v/>
      </c>
      <c r="AJ182" s="50">
        <f>MAX(AJ23,AJ21*Seasonality!$C$88*AJ22)*(1-AJ75)*(1-AJ48)</f>
        <v/>
      </c>
      <c r="AK182" s="50">
        <f>MAX(AK23,AK21*Seasonality!$C$88*AK22)*(1-AK75)*(1-AK48)</f>
        <v/>
      </c>
      <c r="AL182" s="50">
        <f>MAX(AL23,AL21*Seasonality!$C$88*AL22)*(1-AL75)*(1-AL48)</f>
        <v/>
      </c>
      <c r="AM182" s="50">
        <f>MAX(AM23,AM21*Seasonality!$C$88*AM22)*(1-AM75)*(1-AM48)</f>
        <v/>
      </c>
      <c r="AN182" s="50">
        <f>MAX(AN23,AN21*Seasonality!$C$88*AN22)*(1-AN75)*(1-AN48)</f>
        <v/>
      </c>
      <c r="AO182" s="50">
        <f>MAX(AO23,AO21*Seasonality!$C$88*AO22)*(1-AO75)*(1-AO48)</f>
        <v/>
      </c>
      <c r="AP182" s="50">
        <f>MAX(AP23,AP21*Seasonality!$C$88*AP22)*(1-AP75)*(1-AP48)</f>
        <v/>
      </c>
      <c r="AQ182" s="50">
        <f>MAX(AQ23,AQ21*Seasonality!$C$88*AQ22)*(1-AQ75)*(1-AQ48)</f>
        <v/>
      </c>
      <c r="AR182" s="50">
        <f>MAX(AR23,AR21*Seasonality!$C$88*AR22)*(1-AR75)*(1-AR48)</f>
        <v/>
      </c>
      <c r="AS182" s="50">
        <f>MAX(AS23,AS21*Seasonality!$C$88*AS22)*(1-AS75)*(1-AS48)</f>
        <v/>
      </c>
      <c r="AT182" s="50">
        <f>MAX(AT23,AT21*Seasonality!$C$88*AT22)*(1-AT75)*(1-AT48)</f>
        <v/>
      </c>
      <c r="AU182" s="50">
        <f>MAX(AU23,AU21*Seasonality!$C$88*AU22)*(1-AU75)*(1-AU48)</f>
        <v/>
      </c>
      <c r="AV182" s="50">
        <f>MAX(AV23,AV21*Seasonality!$C$88*AV22)*(1-AV75)*(1-AV48)</f>
        <v/>
      </c>
      <c r="AW182" s="50">
        <f>MAX(AW23,AW21*Seasonality!$C$88*AW22)*(1-AW75)*(1-AW48)</f>
        <v/>
      </c>
      <c r="AX182" s="50">
        <f>MAX(AX23,AX21*Seasonality!$C$88*AX22)*(1-AX75)*(1-AX48)</f>
        <v/>
      </c>
      <c r="AY182" s="50">
        <f>MAX(AY23,AY21*Seasonality!$C$88*AY22)*(1-AY75)*(1-AY48)</f>
        <v/>
      </c>
      <c r="AZ182" s="50">
        <f>MAX(AZ23,AZ21*Seasonality!$C$88*AZ22)*(1-AZ75)*(1-AZ48)</f>
        <v/>
      </c>
      <c r="BA182" s="50">
        <f>MAX(BA23,BA21*Seasonality!$C$88*BA22)*(1-BA75)*(1-BA48)</f>
        <v/>
      </c>
      <c r="BB182" s="50">
        <f>MAX(BB23,BB21*Seasonality!$C$88*BB22)*(1-BB75)*(1-BB48)</f>
        <v/>
      </c>
      <c r="BC182" s="50">
        <f>MAX(BC23,BC21*Seasonality!$C$88*BC22)*(1-BC75)*(1-BC48)</f>
        <v/>
      </c>
      <c r="BD182" s="50">
        <f>MAX(BD23,BD21*Seasonality!$C$88*BD22)*(1-BD75)*(1-BD48)</f>
        <v/>
      </c>
      <c r="BE182" s="50">
        <f>MAX(BE23,BE21*Seasonality!$C$88*BE22)*(1-BE75)*(1-BE48)</f>
        <v/>
      </c>
    </row>
    <row r="183">
      <c r="B183" s="7" t="inlineStr">
        <is>
          <t>Revenue collected · month 53</t>
        </is>
      </c>
      <c r="C183" s="5" t="inlineStr">
        <is>
          <t>₹</t>
        </is>
      </c>
      <c r="D183" s="50">
        <f>MAX(D23,D21*Seasonality!$C$89*D22)*(1-D75)*(1-D48)</f>
        <v/>
      </c>
      <c r="E183" s="50">
        <f>MAX(E23,E21*Seasonality!$C$89*E22)*(1-E75)*(1-E48)</f>
        <v/>
      </c>
      <c r="F183" s="50">
        <f>MAX(F23,F21*Seasonality!$C$89*F22)*(1-F75)*(1-F48)</f>
        <v/>
      </c>
      <c r="G183" s="50">
        <f>MAX(G23,G21*Seasonality!$C$89*G22)*(1-G75)*(1-G48)</f>
        <v/>
      </c>
      <c r="H183" s="50">
        <f>MAX(H23,H21*Seasonality!$C$89*H22)*(1-H75)*(1-H48)</f>
        <v/>
      </c>
      <c r="I183" s="50">
        <f>MAX(I23,I21*Seasonality!$C$89*I22)*(1-I75)*(1-I48)</f>
        <v/>
      </c>
      <c r="J183" s="50">
        <f>MAX(J23,J21*Seasonality!$C$89*J22)*(1-J75)*(1-J48)</f>
        <v/>
      </c>
      <c r="K183" s="50">
        <f>MAX(K23,K21*Seasonality!$C$89*K22)*(1-K75)*(1-K48)</f>
        <v/>
      </c>
      <c r="L183" s="50">
        <f>MAX(L23,L21*Seasonality!$C$89*L22)*(1-L75)*(1-L48)</f>
        <v/>
      </c>
      <c r="M183" s="50">
        <f>MAX(M23,M21*Seasonality!$C$89*M22)*(1-M75)*(1-M48)</f>
        <v/>
      </c>
      <c r="N183" s="50">
        <f>MAX(N23,N21*Seasonality!$C$89*N22)*(1-N75)*(1-N48)</f>
        <v/>
      </c>
      <c r="O183" s="50">
        <f>MAX(O23,O21*Seasonality!$C$89*O22)*(1-O75)*(1-O48)</f>
        <v/>
      </c>
      <c r="P183" s="50">
        <f>MAX(P23,P21*Seasonality!$C$89*P22)*(1-P75)*(1-P48)</f>
        <v/>
      </c>
      <c r="Q183" s="50">
        <f>MAX(Q23,Q21*Seasonality!$C$89*Q22)*(1-Q75)*(1-Q48)</f>
        <v/>
      </c>
      <c r="R183" s="50">
        <f>MAX(R23,R21*Seasonality!$C$89*R22)*(1-R75)*(1-R48)</f>
        <v/>
      </c>
      <c r="S183" s="50">
        <f>MAX(S23,S21*Seasonality!$C$89*S22)*(1-S75)*(1-S48)</f>
        <v/>
      </c>
      <c r="T183" s="50">
        <f>MAX(T23,T21*Seasonality!$C$89*T22)*(1-T75)*(1-T48)</f>
        <v/>
      </c>
      <c r="U183" s="50">
        <f>MAX(U23,U21*Seasonality!$C$89*U22)*(1-U75)*(1-U48)</f>
        <v/>
      </c>
      <c r="V183" s="50">
        <f>MAX(V23,V21*Seasonality!$C$89*V22)*(1-V75)*(1-V48)</f>
        <v/>
      </c>
      <c r="W183" s="50">
        <f>MAX(W23,W21*Seasonality!$C$89*W22)*(1-W75)*(1-W48)</f>
        <v/>
      </c>
      <c r="X183" s="50">
        <f>MAX(X23,X21*Seasonality!$C$89*X22)*(1-X75)*(1-X48)</f>
        <v/>
      </c>
      <c r="Y183" s="50">
        <f>MAX(Y23,Y21*Seasonality!$C$89*Y22)*(1-Y75)*(1-Y48)</f>
        <v/>
      </c>
      <c r="Z183" s="50">
        <f>MAX(Z23,Z21*Seasonality!$C$89*Z22)*(1-Z75)*(1-Z48)</f>
        <v/>
      </c>
      <c r="AA183" s="50">
        <f>MAX(AA23,AA21*Seasonality!$C$89*AA22)*(1-AA75)*(1-AA48)</f>
        <v/>
      </c>
      <c r="AB183" s="50">
        <f>MAX(AB23,AB21*Seasonality!$C$89*AB22)*(1-AB75)*(1-AB48)</f>
        <v/>
      </c>
      <c r="AC183" s="50">
        <f>MAX(AC23,AC21*Seasonality!$C$89*AC22)*(1-AC75)*(1-AC48)</f>
        <v/>
      </c>
      <c r="AD183" s="50">
        <f>MAX(AD23,AD21*Seasonality!$C$89*AD22)*(1-AD75)*(1-AD48)</f>
        <v/>
      </c>
      <c r="AE183" s="50">
        <f>MAX(AE23,AE21*Seasonality!$C$89*AE22)*(1-AE75)*(1-AE48)</f>
        <v/>
      </c>
      <c r="AF183" s="50">
        <f>MAX(AF23,AF21*Seasonality!$C$89*AF22)*(1-AF75)*(1-AF48)</f>
        <v/>
      </c>
      <c r="AG183" s="50">
        <f>MAX(AG23,AG21*Seasonality!$C$89*AG22)*(1-AG75)*(1-AG48)</f>
        <v/>
      </c>
      <c r="AH183" s="50">
        <f>MAX(AH23,AH21*Seasonality!$C$89*AH22)*(1-AH75)*(1-AH48)</f>
        <v/>
      </c>
      <c r="AI183" s="50">
        <f>MAX(AI23,AI21*Seasonality!$C$89*AI22)*(1-AI75)*(1-AI48)</f>
        <v/>
      </c>
      <c r="AJ183" s="50">
        <f>MAX(AJ23,AJ21*Seasonality!$C$89*AJ22)*(1-AJ75)*(1-AJ48)</f>
        <v/>
      </c>
      <c r="AK183" s="50">
        <f>MAX(AK23,AK21*Seasonality!$C$89*AK22)*(1-AK75)*(1-AK48)</f>
        <v/>
      </c>
      <c r="AL183" s="50">
        <f>MAX(AL23,AL21*Seasonality!$C$89*AL22)*(1-AL75)*(1-AL48)</f>
        <v/>
      </c>
      <c r="AM183" s="50">
        <f>MAX(AM23,AM21*Seasonality!$C$89*AM22)*(1-AM75)*(1-AM48)</f>
        <v/>
      </c>
      <c r="AN183" s="50">
        <f>MAX(AN23,AN21*Seasonality!$C$89*AN22)*(1-AN75)*(1-AN48)</f>
        <v/>
      </c>
      <c r="AO183" s="50">
        <f>MAX(AO23,AO21*Seasonality!$C$89*AO22)*(1-AO75)*(1-AO48)</f>
        <v/>
      </c>
      <c r="AP183" s="50">
        <f>MAX(AP23,AP21*Seasonality!$C$89*AP22)*(1-AP75)*(1-AP48)</f>
        <v/>
      </c>
      <c r="AQ183" s="50">
        <f>MAX(AQ23,AQ21*Seasonality!$C$89*AQ22)*(1-AQ75)*(1-AQ48)</f>
        <v/>
      </c>
      <c r="AR183" s="50">
        <f>MAX(AR23,AR21*Seasonality!$C$89*AR22)*(1-AR75)*(1-AR48)</f>
        <v/>
      </c>
      <c r="AS183" s="50">
        <f>MAX(AS23,AS21*Seasonality!$C$89*AS22)*(1-AS75)*(1-AS48)</f>
        <v/>
      </c>
      <c r="AT183" s="50">
        <f>MAX(AT23,AT21*Seasonality!$C$89*AT22)*(1-AT75)*(1-AT48)</f>
        <v/>
      </c>
      <c r="AU183" s="50">
        <f>MAX(AU23,AU21*Seasonality!$C$89*AU22)*(1-AU75)*(1-AU48)</f>
        <v/>
      </c>
      <c r="AV183" s="50">
        <f>MAX(AV23,AV21*Seasonality!$C$89*AV22)*(1-AV75)*(1-AV48)</f>
        <v/>
      </c>
      <c r="AW183" s="50">
        <f>MAX(AW23,AW21*Seasonality!$C$89*AW22)*(1-AW75)*(1-AW48)</f>
        <v/>
      </c>
      <c r="AX183" s="50">
        <f>MAX(AX23,AX21*Seasonality!$C$89*AX22)*(1-AX75)*(1-AX48)</f>
        <v/>
      </c>
      <c r="AY183" s="50">
        <f>MAX(AY23,AY21*Seasonality!$C$89*AY22)*(1-AY75)*(1-AY48)</f>
        <v/>
      </c>
      <c r="AZ183" s="50">
        <f>MAX(AZ23,AZ21*Seasonality!$C$89*AZ22)*(1-AZ75)*(1-AZ48)</f>
        <v/>
      </c>
      <c r="BA183" s="50">
        <f>MAX(BA23,BA21*Seasonality!$C$89*BA22)*(1-BA75)*(1-BA48)</f>
        <v/>
      </c>
      <c r="BB183" s="50">
        <f>MAX(BB23,BB21*Seasonality!$C$89*BB22)*(1-BB75)*(1-BB48)</f>
        <v/>
      </c>
      <c r="BC183" s="50">
        <f>MAX(BC23,BC21*Seasonality!$C$89*BC22)*(1-BC75)*(1-BC48)</f>
        <v/>
      </c>
      <c r="BD183" s="50">
        <f>MAX(BD23,BD21*Seasonality!$C$89*BD22)*(1-BD75)*(1-BD48)</f>
        <v/>
      </c>
      <c r="BE183" s="50">
        <f>MAX(BE23,BE21*Seasonality!$C$89*BE22)*(1-BE75)*(1-BE48)</f>
        <v/>
      </c>
    </row>
    <row r="184">
      <c r="B184" s="7" t="inlineStr">
        <is>
          <t>Revenue collected · month 54</t>
        </is>
      </c>
      <c r="C184" s="5" t="inlineStr">
        <is>
          <t>₹</t>
        </is>
      </c>
      <c r="D184" s="50">
        <f>MAX(D23,D21*Seasonality!$C$90*D22)*(1-D75)*(1-D48)</f>
        <v/>
      </c>
      <c r="E184" s="50">
        <f>MAX(E23,E21*Seasonality!$C$90*E22)*(1-E75)*(1-E48)</f>
        <v/>
      </c>
      <c r="F184" s="50">
        <f>MAX(F23,F21*Seasonality!$C$90*F22)*(1-F75)*(1-F48)</f>
        <v/>
      </c>
      <c r="G184" s="50">
        <f>MAX(G23,G21*Seasonality!$C$90*G22)*(1-G75)*(1-G48)</f>
        <v/>
      </c>
      <c r="H184" s="50">
        <f>MAX(H23,H21*Seasonality!$C$90*H22)*(1-H75)*(1-H48)</f>
        <v/>
      </c>
      <c r="I184" s="50">
        <f>MAX(I23,I21*Seasonality!$C$90*I22)*(1-I75)*(1-I48)</f>
        <v/>
      </c>
      <c r="J184" s="50">
        <f>MAX(J23,J21*Seasonality!$C$90*J22)*(1-J75)*(1-J48)</f>
        <v/>
      </c>
      <c r="K184" s="50">
        <f>MAX(K23,K21*Seasonality!$C$90*K22)*(1-K75)*(1-K48)</f>
        <v/>
      </c>
      <c r="L184" s="50">
        <f>MAX(L23,L21*Seasonality!$C$90*L22)*(1-L75)*(1-L48)</f>
        <v/>
      </c>
      <c r="M184" s="50">
        <f>MAX(M23,M21*Seasonality!$C$90*M22)*(1-M75)*(1-M48)</f>
        <v/>
      </c>
      <c r="N184" s="50">
        <f>MAX(N23,N21*Seasonality!$C$90*N22)*(1-N75)*(1-N48)</f>
        <v/>
      </c>
      <c r="O184" s="50">
        <f>MAX(O23,O21*Seasonality!$C$90*O22)*(1-O75)*(1-O48)</f>
        <v/>
      </c>
      <c r="P184" s="50">
        <f>MAX(P23,P21*Seasonality!$C$90*P22)*(1-P75)*(1-P48)</f>
        <v/>
      </c>
      <c r="Q184" s="50">
        <f>MAX(Q23,Q21*Seasonality!$C$90*Q22)*(1-Q75)*(1-Q48)</f>
        <v/>
      </c>
      <c r="R184" s="50">
        <f>MAX(R23,R21*Seasonality!$C$90*R22)*(1-R75)*(1-R48)</f>
        <v/>
      </c>
      <c r="S184" s="50">
        <f>MAX(S23,S21*Seasonality!$C$90*S22)*(1-S75)*(1-S48)</f>
        <v/>
      </c>
      <c r="T184" s="50">
        <f>MAX(T23,T21*Seasonality!$C$90*T22)*(1-T75)*(1-T48)</f>
        <v/>
      </c>
      <c r="U184" s="50">
        <f>MAX(U23,U21*Seasonality!$C$90*U22)*(1-U75)*(1-U48)</f>
        <v/>
      </c>
      <c r="V184" s="50">
        <f>MAX(V23,V21*Seasonality!$C$90*V22)*(1-V75)*(1-V48)</f>
        <v/>
      </c>
      <c r="W184" s="50">
        <f>MAX(W23,W21*Seasonality!$C$90*W22)*(1-W75)*(1-W48)</f>
        <v/>
      </c>
      <c r="X184" s="50">
        <f>MAX(X23,X21*Seasonality!$C$90*X22)*(1-X75)*(1-X48)</f>
        <v/>
      </c>
      <c r="Y184" s="50">
        <f>MAX(Y23,Y21*Seasonality!$C$90*Y22)*(1-Y75)*(1-Y48)</f>
        <v/>
      </c>
      <c r="Z184" s="50">
        <f>MAX(Z23,Z21*Seasonality!$C$90*Z22)*(1-Z75)*(1-Z48)</f>
        <v/>
      </c>
      <c r="AA184" s="50">
        <f>MAX(AA23,AA21*Seasonality!$C$90*AA22)*(1-AA75)*(1-AA48)</f>
        <v/>
      </c>
      <c r="AB184" s="50">
        <f>MAX(AB23,AB21*Seasonality!$C$90*AB22)*(1-AB75)*(1-AB48)</f>
        <v/>
      </c>
      <c r="AC184" s="50">
        <f>MAX(AC23,AC21*Seasonality!$C$90*AC22)*(1-AC75)*(1-AC48)</f>
        <v/>
      </c>
      <c r="AD184" s="50">
        <f>MAX(AD23,AD21*Seasonality!$C$90*AD22)*(1-AD75)*(1-AD48)</f>
        <v/>
      </c>
      <c r="AE184" s="50">
        <f>MAX(AE23,AE21*Seasonality!$C$90*AE22)*(1-AE75)*(1-AE48)</f>
        <v/>
      </c>
      <c r="AF184" s="50">
        <f>MAX(AF23,AF21*Seasonality!$C$90*AF22)*(1-AF75)*(1-AF48)</f>
        <v/>
      </c>
      <c r="AG184" s="50">
        <f>MAX(AG23,AG21*Seasonality!$C$90*AG22)*(1-AG75)*(1-AG48)</f>
        <v/>
      </c>
      <c r="AH184" s="50">
        <f>MAX(AH23,AH21*Seasonality!$C$90*AH22)*(1-AH75)*(1-AH48)</f>
        <v/>
      </c>
      <c r="AI184" s="50">
        <f>MAX(AI23,AI21*Seasonality!$C$90*AI22)*(1-AI75)*(1-AI48)</f>
        <v/>
      </c>
      <c r="AJ184" s="50">
        <f>MAX(AJ23,AJ21*Seasonality!$C$90*AJ22)*(1-AJ75)*(1-AJ48)</f>
        <v/>
      </c>
      <c r="AK184" s="50">
        <f>MAX(AK23,AK21*Seasonality!$C$90*AK22)*(1-AK75)*(1-AK48)</f>
        <v/>
      </c>
      <c r="AL184" s="50">
        <f>MAX(AL23,AL21*Seasonality!$C$90*AL22)*(1-AL75)*(1-AL48)</f>
        <v/>
      </c>
      <c r="AM184" s="50">
        <f>MAX(AM23,AM21*Seasonality!$C$90*AM22)*(1-AM75)*(1-AM48)</f>
        <v/>
      </c>
      <c r="AN184" s="50">
        <f>MAX(AN23,AN21*Seasonality!$C$90*AN22)*(1-AN75)*(1-AN48)</f>
        <v/>
      </c>
      <c r="AO184" s="50">
        <f>MAX(AO23,AO21*Seasonality!$C$90*AO22)*(1-AO75)*(1-AO48)</f>
        <v/>
      </c>
      <c r="AP184" s="50">
        <f>MAX(AP23,AP21*Seasonality!$C$90*AP22)*(1-AP75)*(1-AP48)</f>
        <v/>
      </c>
      <c r="AQ184" s="50">
        <f>MAX(AQ23,AQ21*Seasonality!$C$90*AQ22)*(1-AQ75)*(1-AQ48)</f>
        <v/>
      </c>
      <c r="AR184" s="50">
        <f>MAX(AR23,AR21*Seasonality!$C$90*AR22)*(1-AR75)*(1-AR48)</f>
        <v/>
      </c>
      <c r="AS184" s="50">
        <f>MAX(AS23,AS21*Seasonality!$C$90*AS22)*(1-AS75)*(1-AS48)</f>
        <v/>
      </c>
      <c r="AT184" s="50">
        <f>MAX(AT23,AT21*Seasonality!$C$90*AT22)*(1-AT75)*(1-AT48)</f>
        <v/>
      </c>
      <c r="AU184" s="50">
        <f>MAX(AU23,AU21*Seasonality!$C$90*AU22)*(1-AU75)*(1-AU48)</f>
        <v/>
      </c>
      <c r="AV184" s="50">
        <f>MAX(AV23,AV21*Seasonality!$C$90*AV22)*(1-AV75)*(1-AV48)</f>
        <v/>
      </c>
      <c r="AW184" s="50">
        <f>MAX(AW23,AW21*Seasonality!$C$90*AW22)*(1-AW75)*(1-AW48)</f>
        <v/>
      </c>
      <c r="AX184" s="50">
        <f>MAX(AX23,AX21*Seasonality!$C$90*AX22)*(1-AX75)*(1-AX48)</f>
        <v/>
      </c>
      <c r="AY184" s="50">
        <f>MAX(AY23,AY21*Seasonality!$C$90*AY22)*(1-AY75)*(1-AY48)</f>
        <v/>
      </c>
      <c r="AZ184" s="50">
        <f>MAX(AZ23,AZ21*Seasonality!$C$90*AZ22)*(1-AZ75)*(1-AZ48)</f>
        <v/>
      </c>
      <c r="BA184" s="50">
        <f>MAX(BA23,BA21*Seasonality!$C$90*BA22)*(1-BA75)*(1-BA48)</f>
        <v/>
      </c>
      <c r="BB184" s="50">
        <f>MAX(BB23,BB21*Seasonality!$C$90*BB22)*(1-BB75)*(1-BB48)</f>
        <v/>
      </c>
      <c r="BC184" s="50">
        <f>MAX(BC23,BC21*Seasonality!$C$90*BC22)*(1-BC75)*(1-BC48)</f>
        <v/>
      </c>
      <c r="BD184" s="50">
        <f>MAX(BD23,BD21*Seasonality!$C$90*BD22)*(1-BD75)*(1-BD48)</f>
        <v/>
      </c>
      <c r="BE184" s="50">
        <f>MAX(BE23,BE21*Seasonality!$C$90*BE22)*(1-BE75)*(1-BE48)</f>
        <v/>
      </c>
    </row>
    <row r="185">
      <c r="B185" s="7" t="inlineStr">
        <is>
          <t>Revenue collected · month 55</t>
        </is>
      </c>
      <c r="C185" s="5" t="inlineStr">
        <is>
          <t>₹</t>
        </is>
      </c>
      <c r="D185" s="50">
        <f>MAX(D23,D21*Seasonality!$C$91*D22)*(1-D75)*(1-D48)</f>
        <v/>
      </c>
      <c r="E185" s="50">
        <f>MAX(E23,E21*Seasonality!$C$91*E22)*(1-E75)*(1-E48)</f>
        <v/>
      </c>
      <c r="F185" s="50">
        <f>MAX(F23,F21*Seasonality!$C$91*F22)*(1-F75)*(1-F48)</f>
        <v/>
      </c>
      <c r="G185" s="50">
        <f>MAX(G23,G21*Seasonality!$C$91*G22)*(1-G75)*(1-G48)</f>
        <v/>
      </c>
      <c r="H185" s="50">
        <f>MAX(H23,H21*Seasonality!$C$91*H22)*(1-H75)*(1-H48)</f>
        <v/>
      </c>
      <c r="I185" s="50">
        <f>MAX(I23,I21*Seasonality!$C$91*I22)*(1-I75)*(1-I48)</f>
        <v/>
      </c>
      <c r="J185" s="50">
        <f>MAX(J23,J21*Seasonality!$C$91*J22)*(1-J75)*(1-J48)</f>
        <v/>
      </c>
      <c r="K185" s="50">
        <f>MAX(K23,K21*Seasonality!$C$91*K22)*(1-K75)*(1-K48)</f>
        <v/>
      </c>
      <c r="L185" s="50">
        <f>MAX(L23,L21*Seasonality!$C$91*L22)*(1-L75)*(1-L48)</f>
        <v/>
      </c>
      <c r="M185" s="50">
        <f>MAX(M23,M21*Seasonality!$C$91*M22)*(1-M75)*(1-M48)</f>
        <v/>
      </c>
      <c r="N185" s="50">
        <f>MAX(N23,N21*Seasonality!$C$91*N22)*(1-N75)*(1-N48)</f>
        <v/>
      </c>
      <c r="O185" s="50">
        <f>MAX(O23,O21*Seasonality!$C$91*O22)*(1-O75)*(1-O48)</f>
        <v/>
      </c>
      <c r="P185" s="50">
        <f>MAX(P23,P21*Seasonality!$C$91*P22)*(1-P75)*(1-P48)</f>
        <v/>
      </c>
      <c r="Q185" s="50">
        <f>MAX(Q23,Q21*Seasonality!$C$91*Q22)*(1-Q75)*(1-Q48)</f>
        <v/>
      </c>
      <c r="R185" s="50">
        <f>MAX(R23,R21*Seasonality!$C$91*R22)*(1-R75)*(1-R48)</f>
        <v/>
      </c>
      <c r="S185" s="50">
        <f>MAX(S23,S21*Seasonality!$C$91*S22)*(1-S75)*(1-S48)</f>
        <v/>
      </c>
      <c r="T185" s="50">
        <f>MAX(T23,T21*Seasonality!$C$91*T22)*(1-T75)*(1-T48)</f>
        <v/>
      </c>
      <c r="U185" s="50">
        <f>MAX(U23,U21*Seasonality!$C$91*U22)*(1-U75)*(1-U48)</f>
        <v/>
      </c>
      <c r="V185" s="50">
        <f>MAX(V23,V21*Seasonality!$C$91*V22)*(1-V75)*(1-V48)</f>
        <v/>
      </c>
      <c r="W185" s="50">
        <f>MAX(W23,W21*Seasonality!$C$91*W22)*(1-W75)*(1-W48)</f>
        <v/>
      </c>
      <c r="X185" s="50">
        <f>MAX(X23,X21*Seasonality!$C$91*X22)*(1-X75)*(1-X48)</f>
        <v/>
      </c>
      <c r="Y185" s="50">
        <f>MAX(Y23,Y21*Seasonality!$C$91*Y22)*(1-Y75)*(1-Y48)</f>
        <v/>
      </c>
      <c r="Z185" s="50">
        <f>MAX(Z23,Z21*Seasonality!$C$91*Z22)*(1-Z75)*(1-Z48)</f>
        <v/>
      </c>
      <c r="AA185" s="50">
        <f>MAX(AA23,AA21*Seasonality!$C$91*AA22)*(1-AA75)*(1-AA48)</f>
        <v/>
      </c>
      <c r="AB185" s="50">
        <f>MAX(AB23,AB21*Seasonality!$C$91*AB22)*(1-AB75)*(1-AB48)</f>
        <v/>
      </c>
      <c r="AC185" s="50">
        <f>MAX(AC23,AC21*Seasonality!$C$91*AC22)*(1-AC75)*(1-AC48)</f>
        <v/>
      </c>
      <c r="AD185" s="50">
        <f>MAX(AD23,AD21*Seasonality!$C$91*AD22)*(1-AD75)*(1-AD48)</f>
        <v/>
      </c>
      <c r="AE185" s="50">
        <f>MAX(AE23,AE21*Seasonality!$C$91*AE22)*(1-AE75)*(1-AE48)</f>
        <v/>
      </c>
      <c r="AF185" s="50">
        <f>MAX(AF23,AF21*Seasonality!$C$91*AF22)*(1-AF75)*(1-AF48)</f>
        <v/>
      </c>
      <c r="AG185" s="50">
        <f>MAX(AG23,AG21*Seasonality!$C$91*AG22)*(1-AG75)*(1-AG48)</f>
        <v/>
      </c>
      <c r="AH185" s="50">
        <f>MAX(AH23,AH21*Seasonality!$C$91*AH22)*(1-AH75)*(1-AH48)</f>
        <v/>
      </c>
      <c r="AI185" s="50">
        <f>MAX(AI23,AI21*Seasonality!$C$91*AI22)*(1-AI75)*(1-AI48)</f>
        <v/>
      </c>
      <c r="AJ185" s="50">
        <f>MAX(AJ23,AJ21*Seasonality!$C$91*AJ22)*(1-AJ75)*(1-AJ48)</f>
        <v/>
      </c>
      <c r="AK185" s="50">
        <f>MAX(AK23,AK21*Seasonality!$C$91*AK22)*(1-AK75)*(1-AK48)</f>
        <v/>
      </c>
      <c r="AL185" s="50">
        <f>MAX(AL23,AL21*Seasonality!$C$91*AL22)*(1-AL75)*(1-AL48)</f>
        <v/>
      </c>
      <c r="AM185" s="50">
        <f>MAX(AM23,AM21*Seasonality!$C$91*AM22)*(1-AM75)*(1-AM48)</f>
        <v/>
      </c>
      <c r="AN185" s="50">
        <f>MAX(AN23,AN21*Seasonality!$C$91*AN22)*(1-AN75)*(1-AN48)</f>
        <v/>
      </c>
      <c r="AO185" s="50">
        <f>MAX(AO23,AO21*Seasonality!$C$91*AO22)*(1-AO75)*(1-AO48)</f>
        <v/>
      </c>
      <c r="AP185" s="50">
        <f>MAX(AP23,AP21*Seasonality!$C$91*AP22)*(1-AP75)*(1-AP48)</f>
        <v/>
      </c>
      <c r="AQ185" s="50">
        <f>MAX(AQ23,AQ21*Seasonality!$C$91*AQ22)*(1-AQ75)*(1-AQ48)</f>
        <v/>
      </c>
      <c r="AR185" s="50">
        <f>MAX(AR23,AR21*Seasonality!$C$91*AR22)*(1-AR75)*(1-AR48)</f>
        <v/>
      </c>
      <c r="AS185" s="50">
        <f>MAX(AS23,AS21*Seasonality!$C$91*AS22)*(1-AS75)*(1-AS48)</f>
        <v/>
      </c>
      <c r="AT185" s="50">
        <f>MAX(AT23,AT21*Seasonality!$C$91*AT22)*(1-AT75)*(1-AT48)</f>
        <v/>
      </c>
      <c r="AU185" s="50">
        <f>MAX(AU23,AU21*Seasonality!$C$91*AU22)*(1-AU75)*(1-AU48)</f>
        <v/>
      </c>
      <c r="AV185" s="50">
        <f>MAX(AV23,AV21*Seasonality!$C$91*AV22)*(1-AV75)*(1-AV48)</f>
        <v/>
      </c>
      <c r="AW185" s="50">
        <f>MAX(AW23,AW21*Seasonality!$C$91*AW22)*(1-AW75)*(1-AW48)</f>
        <v/>
      </c>
      <c r="AX185" s="50">
        <f>MAX(AX23,AX21*Seasonality!$C$91*AX22)*(1-AX75)*(1-AX48)</f>
        <v/>
      </c>
      <c r="AY185" s="50">
        <f>MAX(AY23,AY21*Seasonality!$C$91*AY22)*(1-AY75)*(1-AY48)</f>
        <v/>
      </c>
      <c r="AZ185" s="50">
        <f>MAX(AZ23,AZ21*Seasonality!$C$91*AZ22)*(1-AZ75)*(1-AZ48)</f>
        <v/>
      </c>
      <c r="BA185" s="50">
        <f>MAX(BA23,BA21*Seasonality!$C$91*BA22)*(1-BA75)*(1-BA48)</f>
        <v/>
      </c>
      <c r="BB185" s="50">
        <f>MAX(BB23,BB21*Seasonality!$C$91*BB22)*(1-BB75)*(1-BB48)</f>
        <v/>
      </c>
      <c r="BC185" s="50">
        <f>MAX(BC23,BC21*Seasonality!$C$91*BC22)*(1-BC75)*(1-BC48)</f>
        <v/>
      </c>
      <c r="BD185" s="50">
        <f>MAX(BD23,BD21*Seasonality!$C$91*BD22)*(1-BD75)*(1-BD48)</f>
        <v/>
      </c>
      <c r="BE185" s="50">
        <f>MAX(BE23,BE21*Seasonality!$C$91*BE22)*(1-BE75)*(1-BE48)</f>
        <v/>
      </c>
    </row>
    <row r="186">
      <c r="B186" s="7" t="inlineStr">
        <is>
          <t>Revenue collected · month 56</t>
        </is>
      </c>
      <c r="C186" s="5" t="inlineStr">
        <is>
          <t>₹</t>
        </is>
      </c>
      <c r="D186" s="50">
        <f>MAX(D23,D21*Seasonality!$C$92*D22)*(1-D75)*(1-D48)</f>
        <v/>
      </c>
      <c r="E186" s="50">
        <f>MAX(E23,E21*Seasonality!$C$92*E22)*(1-E75)*(1-E48)</f>
        <v/>
      </c>
      <c r="F186" s="50">
        <f>MAX(F23,F21*Seasonality!$C$92*F22)*(1-F75)*(1-F48)</f>
        <v/>
      </c>
      <c r="G186" s="50">
        <f>MAX(G23,G21*Seasonality!$C$92*G22)*(1-G75)*(1-G48)</f>
        <v/>
      </c>
      <c r="H186" s="50">
        <f>MAX(H23,H21*Seasonality!$C$92*H22)*(1-H75)*(1-H48)</f>
        <v/>
      </c>
      <c r="I186" s="50">
        <f>MAX(I23,I21*Seasonality!$C$92*I22)*(1-I75)*(1-I48)</f>
        <v/>
      </c>
      <c r="J186" s="50">
        <f>MAX(J23,J21*Seasonality!$C$92*J22)*(1-J75)*(1-J48)</f>
        <v/>
      </c>
      <c r="K186" s="50">
        <f>MAX(K23,K21*Seasonality!$C$92*K22)*(1-K75)*(1-K48)</f>
        <v/>
      </c>
      <c r="L186" s="50">
        <f>MAX(L23,L21*Seasonality!$C$92*L22)*(1-L75)*(1-L48)</f>
        <v/>
      </c>
      <c r="M186" s="50">
        <f>MAX(M23,M21*Seasonality!$C$92*M22)*(1-M75)*(1-M48)</f>
        <v/>
      </c>
      <c r="N186" s="50">
        <f>MAX(N23,N21*Seasonality!$C$92*N22)*(1-N75)*(1-N48)</f>
        <v/>
      </c>
      <c r="O186" s="50">
        <f>MAX(O23,O21*Seasonality!$C$92*O22)*(1-O75)*(1-O48)</f>
        <v/>
      </c>
      <c r="P186" s="50">
        <f>MAX(P23,P21*Seasonality!$C$92*P22)*(1-P75)*(1-P48)</f>
        <v/>
      </c>
      <c r="Q186" s="50">
        <f>MAX(Q23,Q21*Seasonality!$C$92*Q22)*(1-Q75)*(1-Q48)</f>
        <v/>
      </c>
      <c r="R186" s="50">
        <f>MAX(R23,R21*Seasonality!$C$92*R22)*(1-R75)*(1-R48)</f>
        <v/>
      </c>
      <c r="S186" s="50">
        <f>MAX(S23,S21*Seasonality!$C$92*S22)*(1-S75)*(1-S48)</f>
        <v/>
      </c>
      <c r="T186" s="50">
        <f>MAX(T23,T21*Seasonality!$C$92*T22)*(1-T75)*(1-T48)</f>
        <v/>
      </c>
      <c r="U186" s="50">
        <f>MAX(U23,U21*Seasonality!$C$92*U22)*(1-U75)*(1-U48)</f>
        <v/>
      </c>
      <c r="V186" s="50">
        <f>MAX(V23,V21*Seasonality!$C$92*V22)*(1-V75)*(1-V48)</f>
        <v/>
      </c>
      <c r="W186" s="50">
        <f>MAX(W23,W21*Seasonality!$C$92*W22)*(1-W75)*(1-W48)</f>
        <v/>
      </c>
      <c r="X186" s="50">
        <f>MAX(X23,X21*Seasonality!$C$92*X22)*(1-X75)*(1-X48)</f>
        <v/>
      </c>
      <c r="Y186" s="50">
        <f>MAX(Y23,Y21*Seasonality!$C$92*Y22)*(1-Y75)*(1-Y48)</f>
        <v/>
      </c>
      <c r="Z186" s="50">
        <f>MAX(Z23,Z21*Seasonality!$C$92*Z22)*(1-Z75)*(1-Z48)</f>
        <v/>
      </c>
      <c r="AA186" s="50">
        <f>MAX(AA23,AA21*Seasonality!$C$92*AA22)*(1-AA75)*(1-AA48)</f>
        <v/>
      </c>
      <c r="AB186" s="50">
        <f>MAX(AB23,AB21*Seasonality!$C$92*AB22)*(1-AB75)*(1-AB48)</f>
        <v/>
      </c>
      <c r="AC186" s="50">
        <f>MAX(AC23,AC21*Seasonality!$C$92*AC22)*(1-AC75)*(1-AC48)</f>
        <v/>
      </c>
      <c r="AD186" s="50">
        <f>MAX(AD23,AD21*Seasonality!$C$92*AD22)*(1-AD75)*(1-AD48)</f>
        <v/>
      </c>
      <c r="AE186" s="50">
        <f>MAX(AE23,AE21*Seasonality!$C$92*AE22)*(1-AE75)*(1-AE48)</f>
        <v/>
      </c>
      <c r="AF186" s="50">
        <f>MAX(AF23,AF21*Seasonality!$C$92*AF22)*(1-AF75)*(1-AF48)</f>
        <v/>
      </c>
      <c r="AG186" s="50">
        <f>MAX(AG23,AG21*Seasonality!$C$92*AG22)*(1-AG75)*(1-AG48)</f>
        <v/>
      </c>
      <c r="AH186" s="50">
        <f>MAX(AH23,AH21*Seasonality!$C$92*AH22)*(1-AH75)*(1-AH48)</f>
        <v/>
      </c>
      <c r="AI186" s="50">
        <f>MAX(AI23,AI21*Seasonality!$C$92*AI22)*(1-AI75)*(1-AI48)</f>
        <v/>
      </c>
      <c r="AJ186" s="50">
        <f>MAX(AJ23,AJ21*Seasonality!$C$92*AJ22)*(1-AJ75)*(1-AJ48)</f>
        <v/>
      </c>
      <c r="AK186" s="50">
        <f>MAX(AK23,AK21*Seasonality!$C$92*AK22)*(1-AK75)*(1-AK48)</f>
        <v/>
      </c>
      <c r="AL186" s="50">
        <f>MAX(AL23,AL21*Seasonality!$C$92*AL22)*(1-AL75)*(1-AL48)</f>
        <v/>
      </c>
      <c r="AM186" s="50">
        <f>MAX(AM23,AM21*Seasonality!$C$92*AM22)*(1-AM75)*(1-AM48)</f>
        <v/>
      </c>
      <c r="AN186" s="50">
        <f>MAX(AN23,AN21*Seasonality!$C$92*AN22)*(1-AN75)*(1-AN48)</f>
        <v/>
      </c>
      <c r="AO186" s="50">
        <f>MAX(AO23,AO21*Seasonality!$C$92*AO22)*(1-AO75)*(1-AO48)</f>
        <v/>
      </c>
      <c r="AP186" s="50">
        <f>MAX(AP23,AP21*Seasonality!$C$92*AP22)*(1-AP75)*(1-AP48)</f>
        <v/>
      </c>
      <c r="AQ186" s="50">
        <f>MAX(AQ23,AQ21*Seasonality!$C$92*AQ22)*(1-AQ75)*(1-AQ48)</f>
        <v/>
      </c>
      <c r="AR186" s="50">
        <f>MAX(AR23,AR21*Seasonality!$C$92*AR22)*(1-AR75)*(1-AR48)</f>
        <v/>
      </c>
      <c r="AS186" s="50">
        <f>MAX(AS23,AS21*Seasonality!$C$92*AS22)*(1-AS75)*(1-AS48)</f>
        <v/>
      </c>
      <c r="AT186" s="50">
        <f>MAX(AT23,AT21*Seasonality!$C$92*AT22)*(1-AT75)*(1-AT48)</f>
        <v/>
      </c>
      <c r="AU186" s="50">
        <f>MAX(AU23,AU21*Seasonality!$C$92*AU22)*(1-AU75)*(1-AU48)</f>
        <v/>
      </c>
      <c r="AV186" s="50">
        <f>MAX(AV23,AV21*Seasonality!$C$92*AV22)*(1-AV75)*(1-AV48)</f>
        <v/>
      </c>
      <c r="AW186" s="50">
        <f>MAX(AW23,AW21*Seasonality!$C$92*AW22)*(1-AW75)*(1-AW48)</f>
        <v/>
      </c>
      <c r="AX186" s="50">
        <f>MAX(AX23,AX21*Seasonality!$C$92*AX22)*(1-AX75)*(1-AX48)</f>
        <v/>
      </c>
      <c r="AY186" s="50">
        <f>MAX(AY23,AY21*Seasonality!$C$92*AY22)*(1-AY75)*(1-AY48)</f>
        <v/>
      </c>
      <c r="AZ186" s="50">
        <f>MAX(AZ23,AZ21*Seasonality!$C$92*AZ22)*(1-AZ75)*(1-AZ48)</f>
        <v/>
      </c>
      <c r="BA186" s="50">
        <f>MAX(BA23,BA21*Seasonality!$C$92*BA22)*(1-BA75)*(1-BA48)</f>
        <v/>
      </c>
      <c r="BB186" s="50">
        <f>MAX(BB23,BB21*Seasonality!$C$92*BB22)*(1-BB75)*(1-BB48)</f>
        <v/>
      </c>
      <c r="BC186" s="50">
        <f>MAX(BC23,BC21*Seasonality!$C$92*BC22)*(1-BC75)*(1-BC48)</f>
        <v/>
      </c>
      <c r="BD186" s="50">
        <f>MAX(BD23,BD21*Seasonality!$C$92*BD22)*(1-BD75)*(1-BD48)</f>
        <v/>
      </c>
      <c r="BE186" s="50">
        <f>MAX(BE23,BE21*Seasonality!$C$92*BE22)*(1-BE75)*(1-BE48)</f>
        <v/>
      </c>
    </row>
    <row r="187">
      <c r="B187" s="7" t="inlineStr">
        <is>
          <t>Revenue collected · month 57</t>
        </is>
      </c>
      <c r="C187" s="5" t="inlineStr">
        <is>
          <t>₹</t>
        </is>
      </c>
      <c r="D187" s="50">
        <f>MAX(D23,D21*Seasonality!$C$93*D22)*(1-D75)*(1-D48)</f>
        <v/>
      </c>
      <c r="E187" s="50">
        <f>MAX(E23,E21*Seasonality!$C$93*E22)*(1-E75)*(1-E48)</f>
        <v/>
      </c>
      <c r="F187" s="50">
        <f>MAX(F23,F21*Seasonality!$C$93*F22)*(1-F75)*(1-F48)</f>
        <v/>
      </c>
      <c r="G187" s="50">
        <f>MAX(G23,G21*Seasonality!$C$93*G22)*(1-G75)*(1-G48)</f>
        <v/>
      </c>
      <c r="H187" s="50">
        <f>MAX(H23,H21*Seasonality!$C$93*H22)*(1-H75)*(1-H48)</f>
        <v/>
      </c>
      <c r="I187" s="50">
        <f>MAX(I23,I21*Seasonality!$C$93*I22)*(1-I75)*(1-I48)</f>
        <v/>
      </c>
      <c r="J187" s="50">
        <f>MAX(J23,J21*Seasonality!$C$93*J22)*(1-J75)*(1-J48)</f>
        <v/>
      </c>
      <c r="K187" s="50">
        <f>MAX(K23,K21*Seasonality!$C$93*K22)*(1-K75)*(1-K48)</f>
        <v/>
      </c>
      <c r="L187" s="50">
        <f>MAX(L23,L21*Seasonality!$C$93*L22)*(1-L75)*(1-L48)</f>
        <v/>
      </c>
      <c r="M187" s="50">
        <f>MAX(M23,M21*Seasonality!$C$93*M22)*(1-M75)*(1-M48)</f>
        <v/>
      </c>
      <c r="N187" s="50">
        <f>MAX(N23,N21*Seasonality!$C$93*N22)*(1-N75)*(1-N48)</f>
        <v/>
      </c>
      <c r="O187" s="50">
        <f>MAX(O23,O21*Seasonality!$C$93*O22)*(1-O75)*(1-O48)</f>
        <v/>
      </c>
      <c r="P187" s="50">
        <f>MAX(P23,P21*Seasonality!$C$93*P22)*(1-P75)*(1-P48)</f>
        <v/>
      </c>
      <c r="Q187" s="50">
        <f>MAX(Q23,Q21*Seasonality!$C$93*Q22)*(1-Q75)*(1-Q48)</f>
        <v/>
      </c>
      <c r="R187" s="50">
        <f>MAX(R23,R21*Seasonality!$C$93*R22)*(1-R75)*(1-R48)</f>
        <v/>
      </c>
      <c r="S187" s="50">
        <f>MAX(S23,S21*Seasonality!$C$93*S22)*(1-S75)*(1-S48)</f>
        <v/>
      </c>
      <c r="T187" s="50">
        <f>MAX(T23,T21*Seasonality!$C$93*T22)*(1-T75)*(1-T48)</f>
        <v/>
      </c>
      <c r="U187" s="50">
        <f>MAX(U23,U21*Seasonality!$C$93*U22)*(1-U75)*(1-U48)</f>
        <v/>
      </c>
      <c r="V187" s="50">
        <f>MAX(V23,V21*Seasonality!$C$93*V22)*(1-V75)*(1-V48)</f>
        <v/>
      </c>
      <c r="W187" s="50">
        <f>MAX(W23,W21*Seasonality!$C$93*W22)*(1-W75)*(1-W48)</f>
        <v/>
      </c>
      <c r="X187" s="50">
        <f>MAX(X23,X21*Seasonality!$C$93*X22)*(1-X75)*(1-X48)</f>
        <v/>
      </c>
      <c r="Y187" s="50">
        <f>MAX(Y23,Y21*Seasonality!$C$93*Y22)*(1-Y75)*(1-Y48)</f>
        <v/>
      </c>
      <c r="Z187" s="50">
        <f>MAX(Z23,Z21*Seasonality!$C$93*Z22)*(1-Z75)*(1-Z48)</f>
        <v/>
      </c>
      <c r="AA187" s="50">
        <f>MAX(AA23,AA21*Seasonality!$C$93*AA22)*(1-AA75)*(1-AA48)</f>
        <v/>
      </c>
      <c r="AB187" s="50">
        <f>MAX(AB23,AB21*Seasonality!$C$93*AB22)*(1-AB75)*(1-AB48)</f>
        <v/>
      </c>
      <c r="AC187" s="50">
        <f>MAX(AC23,AC21*Seasonality!$C$93*AC22)*(1-AC75)*(1-AC48)</f>
        <v/>
      </c>
      <c r="AD187" s="50">
        <f>MAX(AD23,AD21*Seasonality!$C$93*AD22)*(1-AD75)*(1-AD48)</f>
        <v/>
      </c>
      <c r="AE187" s="50">
        <f>MAX(AE23,AE21*Seasonality!$C$93*AE22)*(1-AE75)*(1-AE48)</f>
        <v/>
      </c>
      <c r="AF187" s="50">
        <f>MAX(AF23,AF21*Seasonality!$C$93*AF22)*(1-AF75)*(1-AF48)</f>
        <v/>
      </c>
      <c r="AG187" s="50">
        <f>MAX(AG23,AG21*Seasonality!$C$93*AG22)*(1-AG75)*(1-AG48)</f>
        <v/>
      </c>
      <c r="AH187" s="50">
        <f>MAX(AH23,AH21*Seasonality!$C$93*AH22)*(1-AH75)*(1-AH48)</f>
        <v/>
      </c>
      <c r="AI187" s="50">
        <f>MAX(AI23,AI21*Seasonality!$C$93*AI22)*(1-AI75)*(1-AI48)</f>
        <v/>
      </c>
      <c r="AJ187" s="50">
        <f>MAX(AJ23,AJ21*Seasonality!$C$93*AJ22)*(1-AJ75)*(1-AJ48)</f>
        <v/>
      </c>
      <c r="AK187" s="50">
        <f>MAX(AK23,AK21*Seasonality!$C$93*AK22)*(1-AK75)*(1-AK48)</f>
        <v/>
      </c>
      <c r="AL187" s="50">
        <f>MAX(AL23,AL21*Seasonality!$C$93*AL22)*(1-AL75)*(1-AL48)</f>
        <v/>
      </c>
      <c r="AM187" s="50">
        <f>MAX(AM23,AM21*Seasonality!$C$93*AM22)*(1-AM75)*(1-AM48)</f>
        <v/>
      </c>
      <c r="AN187" s="50">
        <f>MAX(AN23,AN21*Seasonality!$C$93*AN22)*(1-AN75)*(1-AN48)</f>
        <v/>
      </c>
      <c r="AO187" s="50">
        <f>MAX(AO23,AO21*Seasonality!$C$93*AO22)*(1-AO75)*(1-AO48)</f>
        <v/>
      </c>
      <c r="AP187" s="50">
        <f>MAX(AP23,AP21*Seasonality!$C$93*AP22)*(1-AP75)*(1-AP48)</f>
        <v/>
      </c>
      <c r="AQ187" s="50">
        <f>MAX(AQ23,AQ21*Seasonality!$C$93*AQ22)*(1-AQ75)*(1-AQ48)</f>
        <v/>
      </c>
      <c r="AR187" s="50">
        <f>MAX(AR23,AR21*Seasonality!$C$93*AR22)*(1-AR75)*(1-AR48)</f>
        <v/>
      </c>
      <c r="AS187" s="50">
        <f>MAX(AS23,AS21*Seasonality!$C$93*AS22)*(1-AS75)*(1-AS48)</f>
        <v/>
      </c>
      <c r="AT187" s="50">
        <f>MAX(AT23,AT21*Seasonality!$C$93*AT22)*(1-AT75)*(1-AT48)</f>
        <v/>
      </c>
      <c r="AU187" s="50">
        <f>MAX(AU23,AU21*Seasonality!$C$93*AU22)*(1-AU75)*(1-AU48)</f>
        <v/>
      </c>
      <c r="AV187" s="50">
        <f>MAX(AV23,AV21*Seasonality!$C$93*AV22)*(1-AV75)*(1-AV48)</f>
        <v/>
      </c>
      <c r="AW187" s="50">
        <f>MAX(AW23,AW21*Seasonality!$C$93*AW22)*(1-AW75)*(1-AW48)</f>
        <v/>
      </c>
      <c r="AX187" s="50">
        <f>MAX(AX23,AX21*Seasonality!$C$93*AX22)*(1-AX75)*(1-AX48)</f>
        <v/>
      </c>
      <c r="AY187" s="50">
        <f>MAX(AY23,AY21*Seasonality!$C$93*AY22)*(1-AY75)*(1-AY48)</f>
        <v/>
      </c>
      <c r="AZ187" s="50">
        <f>MAX(AZ23,AZ21*Seasonality!$C$93*AZ22)*(1-AZ75)*(1-AZ48)</f>
        <v/>
      </c>
      <c r="BA187" s="50">
        <f>MAX(BA23,BA21*Seasonality!$C$93*BA22)*(1-BA75)*(1-BA48)</f>
        <v/>
      </c>
      <c r="BB187" s="50">
        <f>MAX(BB23,BB21*Seasonality!$C$93*BB22)*(1-BB75)*(1-BB48)</f>
        <v/>
      </c>
      <c r="BC187" s="50">
        <f>MAX(BC23,BC21*Seasonality!$C$93*BC22)*(1-BC75)*(1-BC48)</f>
        <v/>
      </c>
      <c r="BD187" s="50">
        <f>MAX(BD23,BD21*Seasonality!$C$93*BD22)*(1-BD75)*(1-BD48)</f>
        <v/>
      </c>
      <c r="BE187" s="50">
        <f>MAX(BE23,BE21*Seasonality!$C$93*BE22)*(1-BE75)*(1-BE48)</f>
        <v/>
      </c>
    </row>
    <row r="188">
      <c r="B188" s="7" t="inlineStr">
        <is>
          <t>Revenue collected · month 58</t>
        </is>
      </c>
      <c r="C188" s="5" t="inlineStr">
        <is>
          <t>₹</t>
        </is>
      </c>
      <c r="D188" s="50">
        <f>MAX(D23,D21*Seasonality!$C$94*D22)*(1-D75)*(1-D48)</f>
        <v/>
      </c>
      <c r="E188" s="50">
        <f>MAX(E23,E21*Seasonality!$C$94*E22)*(1-E75)*(1-E48)</f>
        <v/>
      </c>
      <c r="F188" s="50">
        <f>MAX(F23,F21*Seasonality!$C$94*F22)*(1-F75)*(1-F48)</f>
        <v/>
      </c>
      <c r="G188" s="50">
        <f>MAX(G23,G21*Seasonality!$C$94*G22)*(1-G75)*(1-G48)</f>
        <v/>
      </c>
      <c r="H188" s="50">
        <f>MAX(H23,H21*Seasonality!$C$94*H22)*(1-H75)*(1-H48)</f>
        <v/>
      </c>
      <c r="I188" s="50">
        <f>MAX(I23,I21*Seasonality!$C$94*I22)*(1-I75)*(1-I48)</f>
        <v/>
      </c>
      <c r="J188" s="50">
        <f>MAX(J23,J21*Seasonality!$C$94*J22)*(1-J75)*(1-J48)</f>
        <v/>
      </c>
      <c r="K188" s="50">
        <f>MAX(K23,K21*Seasonality!$C$94*K22)*(1-K75)*(1-K48)</f>
        <v/>
      </c>
      <c r="L188" s="50">
        <f>MAX(L23,L21*Seasonality!$C$94*L22)*(1-L75)*(1-L48)</f>
        <v/>
      </c>
      <c r="M188" s="50">
        <f>MAX(M23,M21*Seasonality!$C$94*M22)*(1-M75)*(1-M48)</f>
        <v/>
      </c>
      <c r="N188" s="50">
        <f>MAX(N23,N21*Seasonality!$C$94*N22)*(1-N75)*(1-N48)</f>
        <v/>
      </c>
      <c r="O188" s="50">
        <f>MAX(O23,O21*Seasonality!$C$94*O22)*(1-O75)*(1-O48)</f>
        <v/>
      </c>
      <c r="P188" s="50">
        <f>MAX(P23,P21*Seasonality!$C$94*P22)*(1-P75)*(1-P48)</f>
        <v/>
      </c>
      <c r="Q188" s="50">
        <f>MAX(Q23,Q21*Seasonality!$C$94*Q22)*(1-Q75)*(1-Q48)</f>
        <v/>
      </c>
      <c r="R188" s="50">
        <f>MAX(R23,R21*Seasonality!$C$94*R22)*(1-R75)*(1-R48)</f>
        <v/>
      </c>
      <c r="S188" s="50">
        <f>MAX(S23,S21*Seasonality!$C$94*S22)*(1-S75)*(1-S48)</f>
        <v/>
      </c>
      <c r="T188" s="50">
        <f>MAX(T23,T21*Seasonality!$C$94*T22)*(1-T75)*(1-T48)</f>
        <v/>
      </c>
      <c r="U188" s="50">
        <f>MAX(U23,U21*Seasonality!$C$94*U22)*(1-U75)*(1-U48)</f>
        <v/>
      </c>
      <c r="V188" s="50">
        <f>MAX(V23,V21*Seasonality!$C$94*V22)*(1-V75)*(1-V48)</f>
        <v/>
      </c>
      <c r="W188" s="50">
        <f>MAX(W23,W21*Seasonality!$C$94*W22)*(1-W75)*(1-W48)</f>
        <v/>
      </c>
      <c r="X188" s="50">
        <f>MAX(X23,X21*Seasonality!$C$94*X22)*(1-X75)*(1-X48)</f>
        <v/>
      </c>
      <c r="Y188" s="50">
        <f>MAX(Y23,Y21*Seasonality!$C$94*Y22)*(1-Y75)*(1-Y48)</f>
        <v/>
      </c>
      <c r="Z188" s="50">
        <f>MAX(Z23,Z21*Seasonality!$C$94*Z22)*(1-Z75)*(1-Z48)</f>
        <v/>
      </c>
      <c r="AA188" s="50">
        <f>MAX(AA23,AA21*Seasonality!$C$94*AA22)*(1-AA75)*(1-AA48)</f>
        <v/>
      </c>
      <c r="AB188" s="50">
        <f>MAX(AB23,AB21*Seasonality!$C$94*AB22)*(1-AB75)*(1-AB48)</f>
        <v/>
      </c>
      <c r="AC188" s="50">
        <f>MAX(AC23,AC21*Seasonality!$C$94*AC22)*(1-AC75)*(1-AC48)</f>
        <v/>
      </c>
      <c r="AD188" s="50">
        <f>MAX(AD23,AD21*Seasonality!$C$94*AD22)*(1-AD75)*(1-AD48)</f>
        <v/>
      </c>
      <c r="AE188" s="50">
        <f>MAX(AE23,AE21*Seasonality!$C$94*AE22)*(1-AE75)*(1-AE48)</f>
        <v/>
      </c>
      <c r="AF188" s="50">
        <f>MAX(AF23,AF21*Seasonality!$C$94*AF22)*(1-AF75)*(1-AF48)</f>
        <v/>
      </c>
      <c r="AG188" s="50">
        <f>MAX(AG23,AG21*Seasonality!$C$94*AG22)*(1-AG75)*(1-AG48)</f>
        <v/>
      </c>
      <c r="AH188" s="50">
        <f>MAX(AH23,AH21*Seasonality!$C$94*AH22)*(1-AH75)*(1-AH48)</f>
        <v/>
      </c>
      <c r="AI188" s="50">
        <f>MAX(AI23,AI21*Seasonality!$C$94*AI22)*(1-AI75)*(1-AI48)</f>
        <v/>
      </c>
      <c r="AJ188" s="50">
        <f>MAX(AJ23,AJ21*Seasonality!$C$94*AJ22)*(1-AJ75)*(1-AJ48)</f>
        <v/>
      </c>
      <c r="AK188" s="50">
        <f>MAX(AK23,AK21*Seasonality!$C$94*AK22)*(1-AK75)*(1-AK48)</f>
        <v/>
      </c>
      <c r="AL188" s="50">
        <f>MAX(AL23,AL21*Seasonality!$C$94*AL22)*(1-AL75)*(1-AL48)</f>
        <v/>
      </c>
      <c r="AM188" s="50">
        <f>MAX(AM23,AM21*Seasonality!$C$94*AM22)*(1-AM75)*(1-AM48)</f>
        <v/>
      </c>
      <c r="AN188" s="50">
        <f>MAX(AN23,AN21*Seasonality!$C$94*AN22)*(1-AN75)*(1-AN48)</f>
        <v/>
      </c>
      <c r="AO188" s="50">
        <f>MAX(AO23,AO21*Seasonality!$C$94*AO22)*(1-AO75)*(1-AO48)</f>
        <v/>
      </c>
      <c r="AP188" s="50">
        <f>MAX(AP23,AP21*Seasonality!$C$94*AP22)*(1-AP75)*(1-AP48)</f>
        <v/>
      </c>
      <c r="AQ188" s="50">
        <f>MAX(AQ23,AQ21*Seasonality!$C$94*AQ22)*(1-AQ75)*(1-AQ48)</f>
        <v/>
      </c>
      <c r="AR188" s="50">
        <f>MAX(AR23,AR21*Seasonality!$C$94*AR22)*(1-AR75)*(1-AR48)</f>
        <v/>
      </c>
      <c r="AS188" s="50">
        <f>MAX(AS23,AS21*Seasonality!$C$94*AS22)*(1-AS75)*(1-AS48)</f>
        <v/>
      </c>
      <c r="AT188" s="50">
        <f>MAX(AT23,AT21*Seasonality!$C$94*AT22)*(1-AT75)*(1-AT48)</f>
        <v/>
      </c>
      <c r="AU188" s="50">
        <f>MAX(AU23,AU21*Seasonality!$C$94*AU22)*(1-AU75)*(1-AU48)</f>
        <v/>
      </c>
      <c r="AV188" s="50">
        <f>MAX(AV23,AV21*Seasonality!$C$94*AV22)*(1-AV75)*(1-AV48)</f>
        <v/>
      </c>
      <c r="AW188" s="50">
        <f>MAX(AW23,AW21*Seasonality!$C$94*AW22)*(1-AW75)*(1-AW48)</f>
        <v/>
      </c>
      <c r="AX188" s="50">
        <f>MAX(AX23,AX21*Seasonality!$C$94*AX22)*(1-AX75)*(1-AX48)</f>
        <v/>
      </c>
      <c r="AY188" s="50">
        <f>MAX(AY23,AY21*Seasonality!$C$94*AY22)*(1-AY75)*(1-AY48)</f>
        <v/>
      </c>
      <c r="AZ188" s="50">
        <f>MAX(AZ23,AZ21*Seasonality!$C$94*AZ22)*(1-AZ75)*(1-AZ48)</f>
        <v/>
      </c>
      <c r="BA188" s="50">
        <f>MAX(BA23,BA21*Seasonality!$C$94*BA22)*(1-BA75)*(1-BA48)</f>
        <v/>
      </c>
      <c r="BB188" s="50">
        <f>MAX(BB23,BB21*Seasonality!$C$94*BB22)*(1-BB75)*(1-BB48)</f>
        <v/>
      </c>
      <c r="BC188" s="50">
        <f>MAX(BC23,BC21*Seasonality!$C$94*BC22)*(1-BC75)*(1-BC48)</f>
        <v/>
      </c>
      <c r="BD188" s="50">
        <f>MAX(BD23,BD21*Seasonality!$C$94*BD22)*(1-BD75)*(1-BD48)</f>
        <v/>
      </c>
      <c r="BE188" s="50">
        <f>MAX(BE23,BE21*Seasonality!$C$94*BE22)*(1-BE75)*(1-BE48)</f>
        <v/>
      </c>
    </row>
    <row r="189">
      <c r="B189" s="7" t="inlineStr">
        <is>
          <t>Revenue collected · month 59</t>
        </is>
      </c>
      <c r="C189" s="5" t="inlineStr">
        <is>
          <t>₹</t>
        </is>
      </c>
      <c r="D189" s="50">
        <f>MAX(D23,D21*Seasonality!$C$95*D22)*(1-D75)*(1-D48)</f>
        <v/>
      </c>
      <c r="E189" s="50">
        <f>MAX(E23,E21*Seasonality!$C$95*E22)*(1-E75)*(1-E48)</f>
        <v/>
      </c>
      <c r="F189" s="50">
        <f>MAX(F23,F21*Seasonality!$C$95*F22)*(1-F75)*(1-F48)</f>
        <v/>
      </c>
      <c r="G189" s="50">
        <f>MAX(G23,G21*Seasonality!$C$95*G22)*(1-G75)*(1-G48)</f>
        <v/>
      </c>
      <c r="H189" s="50">
        <f>MAX(H23,H21*Seasonality!$C$95*H22)*(1-H75)*(1-H48)</f>
        <v/>
      </c>
      <c r="I189" s="50">
        <f>MAX(I23,I21*Seasonality!$C$95*I22)*(1-I75)*(1-I48)</f>
        <v/>
      </c>
      <c r="J189" s="50">
        <f>MAX(J23,J21*Seasonality!$C$95*J22)*(1-J75)*(1-J48)</f>
        <v/>
      </c>
      <c r="K189" s="50">
        <f>MAX(K23,K21*Seasonality!$C$95*K22)*(1-K75)*(1-K48)</f>
        <v/>
      </c>
      <c r="L189" s="50">
        <f>MAX(L23,L21*Seasonality!$C$95*L22)*(1-L75)*(1-L48)</f>
        <v/>
      </c>
      <c r="M189" s="50">
        <f>MAX(M23,M21*Seasonality!$C$95*M22)*(1-M75)*(1-M48)</f>
        <v/>
      </c>
      <c r="N189" s="50">
        <f>MAX(N23,N21*Seasonality!$C$95*N22)*(1-N75)*(1-N48)</f>
        <v/>
      </c>
      <c r="O189" s="50">
        <f>MAX(O23,O21*Seasonality!$C$95*O22)*(1-O75)*(1-O48)</f>
        <v/>
      </c>
      <c r="P189" s="50">
        <f>MAX(P23,P21*Seasonality!$C$95*P22)*(1-P75)*(1-P48)</f>
        <v/>
      </c>
      <c r="Q189" s="50">
        <f>MAX(Q23,Q21*Seasonality!$C$95*Q22)*(1-Q75)*(1-Q48)</f>
        <v/>
      </c>
      <c r="R189" s="50">
        <f>MAX(R23,R21*Seasonality!$C$95*R22)*(1-R75)*(1-R48)</f>
        <v/>
      </c>
      <c r="S189" s="50">
        <f>MAX(S23,S21*Seasonality!$C$95*S22)*(1-S75)*(1-S48)</f>
        <v/>
      </c>
      <c r="T189" s="50">
        <f>MAX(T23,T21*Seasonality!$C$95*T22)*(1-T75)*(1-T48)</f>
        <v/>
      </c>
      <c r="U189" s="50">
        <f>MAX(U23,U21*Seasonality!$C$95*U22)*(1-U75)*(1-U48)</f>
        <v/>
      </c>
      <c r="V189" s="50">
        <f>MAX(V23,V21*Seasonality!$C$95*V22)*(1-V75)*(1-V48)</f>
        <v/>
      </c>
      <c r="W189" s="50">
        <f>MAX(W23,W21*Seasonality!$C$95*W22)*(1-W75)*(1-W48)</f>
        <v/>
      </c>
      <c r="X189" s="50">
        <f>MAX(X23,X21*Seasonality!$C$95*X22)*(1-X75)*(1-X48)</f>
        <v/>
      </c>
      <c r="Y189" s="50">
        <f>MAX(Y23,Y21*Seasonality!$C$95*Y22)*(1-Y75)*(1-Y48)</f>
        <v/>
      </c>
      <c r="Z189" s="50">
        <f>MAX(Z23,Z21*Seasonality!$C$95*Z22)*(1-Z75)*(1-Z48)</f>
        <v/>
      </c>
      <c r="AA189" s="50">
        <f>MAX(AA23,AA21*Seasonality!$C$95*AA22)*(1-AA75)*(1-AA48)</f>
        <v/>
      </c>
      <c r="AB189" s="50">
        <f>MAX(AB23,AB21*Seasonality!$C$95*AB22)*(1-AB75)*(1-AB48)</f>
        <v/>
      </c>
      <c r="AC189" s="50">
        <f>MAX(AC23,AC21*Seasonality!$C$95*AC22)*(1-AC75)*(1-AC48)</f>
        <v/>
      </c>
      <c r="AD189" s="50">
        <f>MAX(AD23,AD21*Seasonality!$C$95*AD22)*(1-AD75)*(1-AD48)</f>
        <v/>
      </c>
      <c r="AE189" s="50">
        <f>MAX(AE23,AE21*Seasonality!$C$95*AE22)*(1-AE75)*(1-AE48)</f>
        <v/>
      </c>
      <c r="AF189" s="50">
        <f>MAX(AF23,AF21*Seasonality!$C$95*AF22)*(1-AF75)*(1-AF48)</f>
        <v/>
      </c>
      <c r="AG189" s="50">
        <f>MAX(AG23,AG21*Seasonality!$C$95*AG22)*(1-AG75)*(1-AG48)</f>
        <v/>
      </c>
      <c r="AH189" s="50">
        <f>MAX(AH23,AH21*Seasonality!$C$95*AH22)*(1-AH75)*(1-AH48)</f>
        <v/>
      </c>
      <c r="AI189" s="50">
        <f>MAX(AI23,AI21*Seasonality!$C$95*AI22)*(1-AI75)*(1-AI48)</f>
        <v/>
      </c>
      <c r="AJ189" s="50">
        <f>MAX(AJ23,AJ21*Seasonality!$C$95*AJ22)*(1-AJ75)*(1-AJ48)</f>
        <v/>
      </c>
      <c r="AK189" s="50">
        <f>MAX(AK23,AK21*Seasonality!$C$95*AK22)*(1-AK75)*(1-AK48)</f>
        <v/>
      </c>
      <c r="AL189" s="50">
        <f>MAX(AL23,AL21*Seasonality!$C$95*AL22)*(1-AL75)*(1-AL48)</f>
        <v/>
      </c>
      <c r="AM189" s="50">
        <f>MAX(AM23,AM21*Seasonality!$C$95*AM22)*(1-AM75)*(1-AM48)</f>
        <v/>
      </c>
      <c r="AN189" s="50">
        <f>MAX(AN23,AN21*Seasonality!$C$95*AN22)*(1-AN75)*(1-AN48)</f>
        <v/>
      </c>
      <c r="AO189" s="50">
        <f>MAX(AO23,AO21*Seasonality!$C$95*AO22)*(1-AO75)*(1-AO48)</f>
        <v/>
      </c>
      <c r="AP189" s="50">
        <f>MAX(AP23,AP21*Seasonality!$C$95*AP22)*(1-AP75)*(1-AP48)</f>
        <v/>
      </c>
      <c r="AQ189" s="50">
        <f>MAX(AQ23,AQ21*Seasonality!$C$95*AQ22)*(1-AQ75)*(1-AQ48)</f>
        <v/>
      </c>
      <c r="AR189" s="50">
        <f>MAX(AR23,AR21*Seasonality!$C$95*AR22)*(1-AR75)*(1-AR48)</f>
        <v/>
      </c>
      <c r="AS189" s="50">
        <f>MAX(AS23,AS21*Seasonality!$C$95*AS22)*(1-AS75)*(1-AS48)</f>
        <v/>
      </c>
      <c r="AT189" s="50">
        <f>MAX(AT23,AT21*Seasonality!$C$95*AT22)*(1-AT75)*(1-AT48)</f>
        <v/>
      </c>
      <c r="AU189" s="50">
        <f>MAX(AU23,AU21*Seasonality!$C$95*AU22)*(1-AU75)*(1-AU48)</f>
        <v/>
      </c>
      <c r="AV189" s="50">
        <f>MAX(AV23,AV21*Seasonality!$C$95*AV22)*(1-AV75)*(1-AV48)</f>
        <v/>
      </c>
      <c r="AW189" s="50">
        <f>MAX(AW23,AW21*Seasonality!$C$95*AW22)*(1-AW75)*(1-AW48)</f>
        <v/>
      </c>
      <c r="AX189" s="50">
        <f>MAX(AX23,AX21*Seasonality!$C$95*AX22)*(1-AX75)*(1-AX48)</f>
        <v/>
      </c>
      <c r="AY189" s="50">
        <f>MAX(AY23,AY21*Seasonality!$C$95*AY22)*(1-AY75)*(1-AY48)</f>
        <v/>
      </c>
      <c r="AZ189" s="50">
        <f>MAX(AZ23,AZ21*Seasonality!$C$95*AZ22)*(1-AZ75)*(1-AZ48)</f>
        <v/>
      </c>
      <c r="BA189" s="50">
        <f>MAX(BA23,BA21*Seasonality!$C$95*BA22)*(1-BA75)*(1-BA48)</f>
        <v/>
      </c>
      <c r="BB189" s="50">
        <f>MAX(BB23,BB21*Seasonality!$C$95*BB22)*(1-BB75)*(1-BB48)</f>
        <v/>
      </c>
      <c r="BC189" s="50">
        <f>MAX(BC23,BC21*Seasonality!$C$95*BC22)*(1-BC75)*(1-BC48)</f>
        <v/>
      </c>
      <c r="BD189" s="50">
        <f>MAX(BD23,BD21*Seasonality!$C$95*BD22)*(1-BD75)*(1-BD48)</f>
        <v/>
      </c>
      <c r="BE189" s="50">
        <f>MAX(BE23,BE21*Seasonality!$C$95*BE22)*(1-BE75)*(1-BE48)</f>
        <v/>
      </c>
    </row>
    <row r="190">
      <c r="B190" s="7" t="inlineStr">
        <is>
          <t>Revenue collected · month 60</t>
        </is>
      </c>
      <c r="C190" s="5" t="inlineStr">
        <is>
          <t>₹</t>
        </is>
      </c>
      <c r="D190" s="50">
        <f>MAX(D23,D21*Seasonality!$C$96*D22)*(1-D75)*(1-D48)</f>
        <v/>
      </c>
      <c r="E190" s="50">
        <f>MAX(E23,E21*Seasonality!$C$96*E22)*(1-E75)*(1-E48)</f>
        <v/>
      </c>
      <c r="F190" s="50">
        <f>MAX(F23,F21*Seasonality!$C$96*F22)*(1-F75)*(1-F48)</f>
        <v/>
      </c>
      <c r="G190" s="50">
        <f>MAX(G23,G21*Seasonality!$C$96*G22)*(1-G75)*(1-G48)</f>
        <v/>
      </c>
      <c r="H190" s="50">
        <f>MAX(H23,H21*Seasonality!$C$96*H22)*(1-H75)*(1-H48)</f>
        <v/>
      </c>
      <c r="I190" s="50">
        <f>MAX(I23,I21*Seasonality!$C$96*I22)*(1-I75)*(1-I48)</f>
        <v/>
      </c>
      <c r="J190" s="50">
        <f>MAX(J23,J21*Seasonality!$C$96*J22)*(1-J75)*(1-J48)</f>
        <v/>
      </c>
      <c r="K190" s="50">
        <f>MAX(K23,K21*Seasonality!$C$96*K22)*(1-K75)*(1-K48)</f>
        <v/>
      </c>
      <c r="L190" s="50">
        <f>MAX(L23,L21*Seasonality!$C$96*L22)*(1-L75)*(1-L48)</f>
        <v/>
      </c>
      <c r="M190" s="50">
        <f>MAX(M23,M21*Seasonality!$C$96*M22)*(1-M75)*(1-M48)</f>
        <v/>
      </c>
      <c r="N190" s="50">
        <f>MAX(N23,N21*Seasonality!$C$96*N22)*(1-N75)*(1-N48)</f>
        <v/>
      </c>
      <c r="O190" s="50">
        <f>MAX(O23,O21*Seasonality!$C$96*O22)*(1-O75)*(1-O48)</f>
        <v/>
      </c>
      <c r="P190" s="50">
        <f>MAX(P23,P21*Seasonality!$C$96*P22)*(1-P75)*(1-P48)</f>
        <v/>
      </c>
      <c r="Q190" s="50">
        <f>MAX(Q23,Q21*Seasonality!$C$96*Q22)*(1-Q75)*(1-Q48)</f>
        <v/>
      </c>
      <c r="R190" s="50">
        <f>MAX(R23,R21*Seasonality!$C$96*R22)*(1-R75)*(1-R48)</f>
        <v/>
      </c>
      <c r="S190" s="50">
        <f>MAX(S23,S21*Seasonality!$C$96*S22)*(1-S75)*(1-S48)</f>
        <v/>
      </c>
      <c r="T190" s="50">
        <f>MAX(T23,T21*Seasonality!$C$96*T22)*(1-T75)*(1-T48)</f>
        <v/>
      </c>
      <c r="U190" s="50">
        <f>MAX(U23,U21*Seasonality!$C$96*U22)*(1-U75)*(1-U48)</f>
        <v/>
      </c>
      <c r="V190" s="50">
        <f>MAX(V23,V21*Seasonality!$C$96*V22)*(1-V75)*(1-V48)</f>
        <v/>
      </c>
      <c r="W190" s="50">
        <f>MAX(W23,W21*Seasonality!$C$96*W22)*(1-W75)*(1-W48)</f>
        <v/>
      </c>
      <c r="X190" s="50">
        <f>MAX(X23,X21*Seasonality!$C$96*X22)*(1-X75)*(1-X48)</f>
        <v/>
      </c>
      <c r="Y190" s="50">
        <f>MAX(Y23,Y21*Seasonality!$C$96*Y22)*(1-Y75)*(1-Y48)</f>
        <v/>
      </c>
      <c r="Z190" s="50">
        <f>MAX(Z23,Z21*Seasonality!$C$96*Z22)*(1-Z75)*(1-Z48)</f>
        <v/>
      </c>
      <c r="AA190" s="50">
        <f>MAX(AA23,AA21*Seasonality!$C$96*AA22)*(1-AA75)*(1-AA48)</f>
        <v/>
      </c>
      <c r="AB190" s="50">
        <f>MAX(AB23,AB21*Seasonality!$C$96*AB22)*(1-AB75)*(1-AB48)</f>
        <v/>
      </c>
      <c r="AC190" s="50">
        <f>MAX(AC23,AC21*Seasonality!$C$96*AC22)*(1-AC75)*(1-AC48)</f>
        <v/>
      </c>
      <c r="AD190" s="50">
        <f>MAX(AD23,AD21*Seasonality!$C$96*AD22)*(1-AD75)*(1-AD48)</f>
        <v/>
      </c>
      <c r="AE190" s="50">
        <f>MAX(AE23,AE21*Seasonality!$C$96*AE22)*(1-AE75)*(1-AE48)</f>
        <v/>
      </c>
      <c r="AF190" s="50">
        <f>MAX(AF23,AF21*Seasonality!$C$96*AF22)*(1-AF75)*(1-AF48)</f>
        <v/>
      </c>
      <c r="AG190" s="50">
        <f>MAX(AG23,AG21*Seasonality!$C$96*AG22)*(1-AG75)*(1-AG48)</f>
        <v/>
      </c>
      <c r="AH190" s="50">
        <f>MAX(AH23,AH21*Seasonality!$C$96*AH22)*(1-AH75)*(1-AH48)</f>
        <v/>
      </c>
      <c r="AI190" s="50">
        <f>MAX(AI23,AI21*Seasonality!$C$96*AI22)*(1-AI75)*(1-AI48)</f>
        <v/>
      </c>
      <c r="AJ190" s="50">
        <f>MAX(AJ23,AJ21*Seasonality!$C$96*AJ22)*(1-AJ75)*(1-AJ48)</f>
        <v/>
      </c>
      <c r="AK190" s="50">
        <f>MAX(AK23,AK21*Seasonality!$C$96*AK22)*(1-AK75)*(1-AK48)</f>
        <v/>
      </c>
      <c r="AL190" s="50">
        <f>MAX(AL23,AL21*Seasonality!$C$96*AL22)*(1-AL75)*(1-AL48)</f>
        <v/>
      </c>
      <c r="AM190" s="50">
        <f>MAX(AM23,AM21*Seasonality!$C$96*AM22)*(1-AM75)*(1-AM48)</f>
        <v/>
      </c>
      <c r="AN190" s="50">
        <f>MAX(AN23,AN21*Seasonality!$C$96*AN22)*(1-AN75)*(1-AN48)</f>
        <v/>
      </c>
      <c r="AO190" s="50">
        <f>MAX(AO23,AO21*Seasonality!$C$96*AO22)*(1-AO75)*(1-AO48)</f>
        <v/>
      </c>
      <c r="AP190" s="50">
        <f>MAX(AP23,AP21*Seasonality!$C$96*AP22)*(1-AP75)*(1-AP48)</f>
        <v/>
      </c>
      <c r="AQ190" s="50">
        <f>MAX(AQ23,AQ21*Seasonality!$C$96*AQ22)*(1-AQ75)*(1-AQ48)</f>
        <v/>
      </c>
      <c r="AR190" s="50">
        <f>MAX(AR23,AR21*Seasonality!$C$96*AR22)*(1-AR75)*(1-AR48)</f>
        <v/>
      </c>
      <c r="AS190" s="50">
        <f>MAX(AS23,AS21*Seasonality!$C$96*AS22)*(1-AS75)*(1-AS48)</f>
        <v/>
      </c>
      <c r="AT190" s="50">
        <f>MAX(AT23,AT21*Seasonality!$C$96*AT22)*(1-AT75)*(1-AT48)</f>
        <v/>
      </c>
      <c r="AU190" s="50">
        <f>MAX(AU23,AU21*Seasonality!$C$96*AU22)*(1-AU75)*(1-AU48)</f>
        <v/>
      </c>
      <c r="AV190" s="50">
        <f>MAX(AV23,AV21*Seasonality!$C$96*AV22)*(1-AV75)*(1-AV48)</f>
        <v/>
      </c>
      <c r="AW190" s="50">
        <f>MAX(AW23,AW21*Seasonality!$C$96*AW22)*(1-AW75)*(1-AW48)</f>
        <v/>
      </c>
      <c r="AX190" s="50">
        <f>MAX(AX23,AX21*Seasonality!$C$96*AX22)*(1-AX75)*(1-AX48)</f>
        <v/>
      </c>
      <c r="AY190" s="50">
        <f>MAX(AY23,AY21*Seasonality!$C$96*AY22)*(1-AY75)*(1-AY48)</f>
        <v/>
      </c>
      <c r="AZ190" s="50">
        <f>MAX(AZ23,AZ21*Seasonality!$C$96*AZ22)*(1-AZ75)*(1-AZ48)</f>
        <v/>
      </c>
      <c r="BA190" s="50">
        <f>MAX(BA23,BA21*Seasonality!$C$96*BA22)*(1-BA75)*(1-BA48)</f>
        <v/>
      </c>
      <c r="BB190" s="50">
        <f>MAX(BB23,BB21*Seasonality!$C$96*BB22)*(1-BB75)*(1-BB48)</f>
        <v/>
      </c>
      <c r="BC190" s="50">
        <f>MAX(BC23,BC21*Seasonality!$C$96*BC22)*(1-BC75)*(1-BC48)</f>
        <v/>
      </c>
      <c r="BD190" s="50">
        <f>MAX(BD23,BD21*Seasonality!$C$96*BD22)*(1-BD75)*(1-BD48)</f>
        <v/>
      </c>
      <c r="BE190" s="50">
        <f>MAX(BE23,BE21*Seasonality!$C$96*BE22)*(1-BE75)*(1-BE48)</f>
        <v/>
      </c>
    </row>
    <row r="191">
      <c r="B191" s="7" t="inlineStr">
        <is>
          <t>Contribution · month 1</t>
        </is>
      </c>
      <c r="C191" s="5" t="inlineStr">
        <is>
          <t>₹</t>
        </is>
      </c>
      <c r="D191" s="50">
        <f>D131-(D21*Seasonality!$C$37*D71+D73+D49*D131)-D111</f>
        <v/>
      </c>
      <c r="E191" s="50">
        <f>E131-(E21*Seasonality!$C$37*E71+E73+E49*E131)-E111</f>
        <v/>
      </c>
      <c r="F191" s="50">
        <f>F131-(F21*Seasonality!$C$37*F71+F73+F49*F131)-F111</f>
        <v/>
      </c>
      <c r="G191" s="50">
        <f>G131-(G21*Seasonality!$C$37*G71+G73+G49*G131)-G111</f>
        <v/>
      </c>
      <c r="H191" s="50">
        <f>H131-(H21*Seasonality!$C$37*H71+H73+H49*H131)-H111</f>
        <v/>
      </c>
      <c r="I191" s="50">
        <f>I131-(I21*Seasonality!$C$37*I71+I73+I49*I131)-I111</f>
        <v/>
      </c>
      <c r="J191" s="50">
        <f>J131-(J21*Seasonality!$C$37*J71+J73+J49*J131)-J111</f>
        <v/>
      </c>
      <c r="K191" s="50">
        <f>K131-(K21*Seasonality!$C$37*K71+K73+K49*K131)-K111</f>
        <v/>
      </c>
      <c r="L191" s="50">
        <f>L131-(L21*Seasonality!$C$37*L71+L73+L49*L131)-L111</f>
        <v/>
      </c>
      <c r="M191" s="50">
        <f>M131-(M21*Seasonality!$C$37*M71+M73+M49*M131)-M111</f>
        <v/>
      </c>
      <c r="N191" s="50">
        <f>N131-(N21*Seasonality!$C$37*N71+N73+N49*N131)-N111</f>
        <v/>
      </c>
      <c r="O191" s="50">
        <f>O131-(O21*Seasonality!$C$37*O71+O73+O49*O131)-O111</f>
        <v/>
      </c>
      <c r="P191" s="50">
        <f>P131-(P21*Seasonality!$C$37*P71+P73+P49*P131)-P111</f>
        <v/>
      </c>
      <c r="Q191" s="50">
        <f>Q131-(Q21*Seasonality!$C$37*Q71+Q73+Q49*Q131)-Q111</f>
        <v/>
      </c>
      <c r="R191" s="50">
        <f>R131-(R21*Seasonality!$C$37*R71+R73+R49*R131)-R111</f>
        <v/>
      </c>
      <c r="S191" s="50">
        <f>S131-(S21*Seasonality!$C$37*S71+S73+S49*S131)-S111</f>
        <v/>
      </c>
      <c r="T191" s="50">
        <f>T131-(T21*Seasonality!$C$37*T71+T73+T49*T131)-T111</f>
        <v/>
      </c>
      <c r="U191" s="50">
        <f>U131-(U21*Seasonality!$C$37*U71+U73+U49*U131)-U111</f>
        <v/>
      </c>
      <c r="V191" s="50">
        <f>V131-(V21*Seasonality!$C$37*V71+V73+V49*V131)-V111</f>
        <v/>
      </c>
      <c r="W191" s="50">
        <f>W131-(W21*Seasonality!$C$37*W71+W73+W49*W131)-W111</f>
        <v/>
      </c>
      <c r="X191" s="50">
        <f>X131-(X21*Seasonality!$C$37*X71+X73+X49*X131)-X111</f>
        <v/>
      </c>
      <c r="Y191" s="50">
        <f>Y131-(Y21*Seasonality!$C$37*Y71+Y73+Y49*Y131)-Y111</f>
        <v/>
      </c>
      <c r="Z191" s="50">
        <f>Z131-(Z21*Seasonality!$C$37*Z71+Z73+Z49*Z131)-Z111</f>
        <v/>
      </c>
      <c r="AA191" s="50">
        <f>AA131-(AA21*Seasonality!$C$37*AA71+AA73+AA49*AA131)-AA111</f>
        <v/>
      </c>
      <c r="AB191" s="50">
        <f>AB131-(AB21*Seasonality!$C$37*AB71+AB73+AB49*AB131)-AB111</f>
        <v/>
      </c>
      <c r="AC191" s="50">
        <f>AC131-(AC21*Seasonality!$C$37*AC71+AC73+AC49*AC131)-AC111</f>
        <v/>
      </c>
      <c r="AD191" s="50">
        <f>AD131-(AD21*Seasonality!$C$37*AD71+AD73+AD49*AD131)-AD111</f>
        <v/>
      </c>
      <c r="AE191" s="50">
        <f>AE131-(AE21*Seasonality!$C$37*AE71+AE73+AE49*AE131)-AE111</f>
        <v/>
      </c>
      <c r="AF191" s="50">
        <f>AF131-(AF21*Seasonality!$C$37*AF71+AF73+AF49*AF131)-AF111</f>
        <v/>
      </c>
      <c r="AG191" s="50">
        <f>AG131-(AG21*Seasonality!$C$37*AG71+AG73+AG49*AG131)-AG111</f>
        <v/>
      </c>
      <c r="AH191" s="50">
        <f>AH131-(AH21*Seasonality!$C$37*AH71+AH73+AH49*AH131)-AH111</f>
        <v/>
      </c>
      <c r="AI191" s="50">
        <f>AI131-(AI21*Seasonality!$C$37*AI71+AI73+AI49*AI131)-AI111</f>
        <v/>
      </c>
      <c r="AJ191" s="50">
        <f>AJ131-(AJ21*Seasonality!$C$37*AJ71+AJ73+AJ49*AJ131)-AJ111</f>
        <v/>
      </c>
      <c r="AK191" s="50">
        <f>AK131-(AK21*Seasonality!$C$37*AK71+AK73+AK49*AK131)-AK111</f>
        <v/>
      </c>
      <c r="AL191" s="50">
        <f>AL131-(AL21*Seasonality!$C$37*AL71+AL73+AL49*AL131)-AL111</f>
        <v/>
      </c>
      <c r="AM191" s="50">
        <f>AM131-(AM21*Seasonality!$C$37*AM71+AM73+AM49*AM131)-AM111</f>
        <v/>
      </c>
      <c r="AN191" s="50">
        <f>AN131-(AN21*Seasonality!$C$37*AN71+AN73+AN49*AN131)-AN111</f>
        <v/>
      </c>
      <c r="AO191" s="50">
        <f>AO131-(AO21*Seasonality!$C$37*AO71+AO73+AO49*AO131)-AO111</f>
        <v/>
      </c>
      <c r="AP191" s="50">
        <f>AP131-(AP21*Seasonality!$C$37*AP71+AP73+AP49*AP131)-AP111</f>
        <v/>
      </c>
      <c r="AQ191" s="50">
        <f>AQ131-(AQ21*Seasonality!$C$37*AQ71+AQ73+AQ49*AQ131)-AQ111</f>
        <v/>
      </c>
      <c r="AR191" s="50">
        <f>AR131-(AR21*Seasonality!$C$37*AR71+AR73+AR49*AR131)-AR111</f>
        <v/>
      </c>
      <c r="AS191" s="50">
        <f>AS131-(AS21*Seasonality!$C$37*AS71+AS73+AS49*AS131)-AS111</f>
        <v/>
      </c>
      <c r="AT191" s="50">
        <f>AT131-(AT21*Seasonality!$C$37*AT71+AT73+AT49*AT131)-AT111</f>
        <v/>
      </c>
      <c r="AU191" s="50">
        <f>AU131-(AU21*Seasonality!$C$37*AU71+AU73+AU49*AU131)-AU111</f>
        <v/>
      </c>
      <c r="AV191" s="50">
        <f>AV131-(AV21*Seasonality!$C$37*AV71+AV73+AV49*AV131)-AV111</f>
        <v/>
      </c>
      <c r="AW191" s="50">
        <f>AW131-(AW21*Seasonality!$C$37*AW71+AW73+AW49*AW131)-AW111</f>
        <v/>
      </c>
      <c r="AX191" s="50">
        <f>AX131-(AX21*Seasonality!$C$37*AX71+AX73+AX49*AX131)-AX111</f>
        <v/>
      </c>
      <c r="AY191" s="50">
        <f>AY131-(AY21*Seasonality!$C$37*AY71+AY73+AY49*AY131)-AY111</f>
        <v/>
      </c>
      <c r="AZ191" s="50">
        <f>AZ131-(AZ21*Seasonality!$C$37*AZ71+AZ73+AZ49*AZ131)-AZ111</f>
        <v/>
      </c>
      <c r="BA191" s="50">
        <f>BA131-(BA21*Seasonality!$C$37*BA71+BA73+BA49*BA131)-BA111</f>
        <v/>
      </c>
      <c r="BB191" s="50">
        <f>BB131-(BB21*Seasonality!$C$37*BB71+BB73+BB49*BB131)-BB111</f>
        <v/>
      </c>
      <c r="BC191" s="50">
        <f>BC131-(BC21*Seasonality!$C$37*BC71+BC73+BC49*BC131)-BC111</f>
        <v/>
      </c>
      <c r="BD191" s="50">
        <f>BD131-(BD21*Seasonality!$C$37*BD71+BD73+BD49*BD131)-BD111</f>
        <v/>
      </c>
      <c r="BE191" s="50">
        <f>BE131-(BE21*Seasonality!$C$37*BE71+BE73+BE49*BE131)-BE111</f>
        <v/>
      </c>
    </row>
    <row r="192">
      <c r="B192" s="7" t="inlineStr">
        <is>
          <t>Contribution · month 2</t>
        </is>
      </c>
      <c r="C192" s="5" t="inlineStr">
        <is>
          <t>₹</t>
        </is>
      </c>
      <c r="D192" s="50">
        <f>D132-(D21*Seasonality!$C$38*D71+D73+D49*D132)-D111</f>
        <v/>
      </c>
      <c r="E192" s="50">
        <f>E132-(E21*Seasonality!$C$38*E71+E73+E49*E132)-E111</f>
        <v/>
      </c>
      <c r="F192" s="50">
        <f>F132-(F21*Seasonality!$C$38*F71+F73+F49*F132)-F111</f>
        <v/>
      </c>
      <c r="G192" s="50">
        <f>G132-(G21*Seasonality!$C$38*G71+G73+G49*G132)-G111</f>
        <v/>
      </c>
      <c r="H192" s="50">
        <f>H132-(H21*Seasonality!$C$38*H71+H73+H49*H132)-H111</f>
        <v/>
      </c>
      <c r="I192" s="50">
        <f>I132-(I21*Seasonality!$C$38*I71+I73+I49*I132)-I111</f>
        <v/>
      </c>
      <c r="J192" s="50">
        <f>J132-(J21*Seasonality!$C$38*J71+J73+J49*J132)-J111</f>
        <v/>
      </c>
      <c r="K192" s="50">
        <f>K132-(K21*Seasonality!$C$38*K71+K73+K49*K132)-K111</f>
        <v/>
      </c>
      <c r="L192" s="50">
        <f>L132-(L21*Seasonality!$C$38*L71+L73+L49*L132)-L111</f>
        <v/>
      </c>
      <c r="M192" s="50">
        <f>M132-(M21*Seasonality!$C$38*M71+M73+M49*M132)-M111</f>
        <v/>
      </c>
      <c r="N192" s="50">
        <f>N132-(N21*Seasonality!$C$38*N71+N73+N49*N132)-N111</f>
        <v/>
      </c>
      <c r="O192" s="50">
        <f>O132-(O21*Seasonality!$C$38*O71+O73+O49*O132)-O111</f>
        <v/>
      </c>
      <c r="P192" s="50">
        <f>P132-(P21*Seasonality!$C$38*P71+P73+P49*P132)-P111</f>
        <v/>
      </c>
      <c r="Q192" s="50">
        <f>Q132-(Q21*Seasonality!$C$38*Q71+Q73+Q49*Q132)-Q111</f>
        <v/>
      </c>
      <c r="R192" s="50">
        <f>R132-(R21*Seasonality!$C$38*R71+R73+R49*R132)-R111</f>
        <v/>
      </c>
      <c r="S192" s="50">
        <f>S132-(S21*Seasonality!$C$38*S71+S73+S49*S132)-S111</f>
        <v/>
      </c>
      <c r="T192" s="50">
        <f>T132-(T21*Seasonality!$C$38*T71+T73+T49*T132)-T111</f>
        <v/>
      </c>
      <c r="U192" s="50">
        <f>U132-(U21*Seasonality!$C$38*U71+U73+U49*U132)-U111</f>
        <v/>
      </c>
      <c r="V192" s="50">
        <f>V132-(V21*Seasonality!$C$38*V71+V73+V49*V132)-V111</f>
        <v/>
      </c>
      <c r="W192" s="50">
        <f>W132-(W21*Seasonality!$C$38*W71+W73+W49*W132)-W111</f>
        <v/>
      </c>
      <c r="X192" s="50">
        <f>X132-(X21*Seasonality!$C$38*X71+X73+X49*X132)-X111</f>
        <v/>
      </c>
      <c r="Y192" s="50">
        <f>Y132-(Y21*Seasonality!$C$38*Y71+Y73+Y49*Y132)-Y111</f>
        <v/>
      </c>
      <c r="Z192" s="50">
        <f>Z132-(Z21*Seasonality!$C$38*Z71+Z73+Z49*Z132)-Z111</f>
        <v/>
      </c>
      <c r="AA192" s="50">
        <f>AA132-(AA21*Seasonality!$C$38*AA71+AA73+AA49*AA132)-AA111</f>
        <v/>
      </c>
      <c r="AB192" s="50">
        <f>AB132-(AB21*Seasonality!$C$38*AB71+AB73+AB49*AB132)-AB111</f>
        <v/>
      </c>
      <c r="AC192" s="50">
        <f>AC132-(AC21*Seasonality!$C$38*AC71+AC73+AC49*AC132)-AC111</f>
        <v/>
      </c>
      <c r="AD192" s="50">
        <f>AD132-(AD21*Seasonality!$C$38*AD71+AD73+AD49*AD132)-AD111</f>
        <v/>
      </c>
      <c r="AE192" s="50">
        <f>AE132-(AE21*Seasonality!$C$38*AE71+AE73+AE49*AE132)-AE111</f>
        <v/>
      </c>
      <c r="AF192" s="50">
        <f>AF132-(AF21*Seasonality!$C$38*AF71+AF73+AF49*AF132)-AF111</f>
        <v/>
      </c>
      <c r="AG192" s="50">
        <f>AG132-(AG21*Seasonality!$C$38*AG71+AG73+AG49*AG132)-AG111</f>
        <v/>
      </c>
      <c r="AH192" s="50">
        <f>AH132-(AH21*Seasonality!$C$38*AH71+AH73+AH49*AH132)-AH111</f>
        <v/>
      </c>
      <c r="AI192" s="50">
        <f>AI132-(AI21*Seasonality!$C$38*AI71+AI73+AI49*AI132)-AI111</f>
        <v/>
      </c>
      <c r="AJ192" s="50">
        <f>AJ132-(AJ21*Seasonality!$C$38*AJ71+AJ73+AJ49*AJ132)-AJ111</f>
        <v/>
      </c>
      <c r="AK192" s="50">
        <f>AK132-(AK21*Seasonality!$C$38*AK71+AK73+AK49*AK132)-AK111</f>
        <v/>
      </c>
      <c r="AL192" s="50">
        <f>AL132-(AL21*Seasonality!$C$38*AL71+AL73+AL49*AL132)-AL111</f>
        <v/>
      </c>
      <c r="AM192" s="50">
        <f>AM132-(AM21*Seasonality!$C$38*AM71+AM73+AM49*AM132)-AM111</f>
        <v/>
      </c>
      <c r="AN192" s="50">
        <f>AN132-(AN21*Seasonality!$C$38*AN71+AN73+AN49*AN132)-AN111</f>
        <v/>
      </c>
      <c r="AO192" s="50">
        <f>AO132-(AO21*Seasonality!$C$38*AO71+AO73+AO49*AO132)-AO111</f>
        <v/>
      </c>
      <c r="AP192" s="50">
        <f>AP132-(AP21*Seasonality!$C$38*AP71+AP73+AP49*AP132)-AP111</f>
        <v/>
      </c>
      <c r="AQ192" s="50">
        <f>AQ132-(AQ21*Seasonality!$C$38*AQ71+AQ73+AQ49*AQ132)-AQ111</f>
        <v/>
      </c>
      <c r="AR192" s="50">
        <f>AR132-(AR21*Seasonality!$C$38*AR71+AR73+AR49*AR132)-AR111</f>
        <v/>
      </c>
      <c r="AS192" s="50">
        <f>AS132-(AS21*Seasonality!$C$38*AS71+AS73+AS49*AS132)-AS111</f>
        <v/>
      </c>
      <c r="AT192" s="50">
        <f>AT132-(AT21*Seasonality!$C$38*AT71+AT73+AT49*AT132)-AT111</f>
        <v/>
      </c>
      <c r="AU192" s="50">
        <f>AU132-(AU21*Seasonality!$C$38*AU71+AU73+AU49*AU132)-AU111</f>
        <v/>
      </c>
      <c r="AV192" s="50">
        <f>AV132-(AV21*Seasonality!$C$38*AV71+AV73+AV49*AV132)-AV111</f>
        <v/>
      </c>
      <c r="AW192" s="50">
        <f>AW132-(AW21*Seasonality!$C$38*AW71+AW73+AW49*AW132)-AW111</f>
        <v/>
      </c>
      <c r="AX192" s="50">
        <f>AX132-(AX21*Seasonality!$C$38*AX71+AX73+AX49*AX132)-AX111</f>
        <v/>
      </c>
      <c r="AY192" s="50">
        <f>AY132-(AY21*Seasonality!$C$38*AY71+AY73+AY49*AY132)-AY111</f>
        <v/>
      </c>
      <c r="AZ192" s="50">
        <f>AZ132-(AZ21*Seasonality!$C$38*AZ71+AZ73+AZ49*AZ132)-AZ111</f>
        <v/>
      </c>
      <c r="BA192" s="50">
        <f>BA132-(BA21*Seasonality!$C$38*BA71+BA73+BA49*BA132)-BA111</f>
        <v/>
      </c>
      <c r="BB192" s="50">
        <f>BB132-(BB21*Seasonality!$C$38*BB71+BB73+BB49*BB132)-BB111</f>
        <v/>
      </c>
      <c r="BC192" s="50">
        <f>BC132-(BC21*Seasonality!$C$38*BC71+BC73+BC49*BC132)-BC111</f>
        <v/>
      </c>
      <c r="BD192" s="50">
        <f>BD132-(BD21*Seasonality!$C$38*BD71+BD73+BD49*BD132)-BD111</f>
        <v/>
      </c>
      <c r="BE192" s="50">
        <f>BE132-(BE21*Seasonality!$C$38*BE71+BE73+BE49*BE132)-BE111</f>
        <v/>
      </c>
    </row>
    <row r="193">
      <c r="B193" s="7" t="inlineStr">
        <is>
          <t>Contribution · month 3</t>
        </is>
      </c>
      <c r="C193" s="5" t="inlineStr">
        <is>
          <t>₹</t>
        </is>
      </c>
      <c r="D193" s="50">
        <f>D133-(D21*Seasonality!$C$39*D71+D73+D49*D133)-D111</f>
        <v/>
      </c>
      <c r="E193" s="50">
        <f>E133-(E21*Seasonality!$C$39*E71+E73+E49*E133)-E111</f>
        <v/>
      </c>
      <c r="F193" s="50">
        <f>F133-(F21*Seasonality!$C$39*F71+F73+F49*F133)-F111</f>
        <v/>
      </c>
      <c r="G193" s="50">
        <f>G133-(G21*Seasonality!$C$39*G71+G73+G49*G133)-G111</f>
        <v/>
      </c>
      <c r="H193" s="50">
        <f>H133-(H21*Seasonality!$C$39*H71+H73+H49*H133)-H111</f>
        <v/>
      </c>
      <c r="I193" s="50">
        <f>I133-(I21*Seasonality!$C$39*I71+I73+I49*I133)-I111</f>
        <v/>
      </c>
      <c r="J193" s="50">
        <f>J133-(J21*Seasonality!$C$39*J71+J73+J49*J133)-J111</f>
        <v/>
      </c>
      <c r="K193" s="50">
        <f>K133-(K21*Seasonality!$C$39*K71+K73+K49*K133)-K111</f>
        <v/>
      </c>
      <c r="L193" s="50">
        <f>L133-(L21*Seasonality!$C$39*L71+L73+L49*L133)-L111</f>
        <v/>
      </c>
      <c r="M193" s="50">
        <f>M133-(M21*Seasonality!$C$39*M71+M73+M49*M133)-M111</f>
        <v/>
      </c>
      <c r="N193" s="50">
        <f>N133-(N21*Seasonality!$C$39*N71+N73+N49*N133)-N111</f>
        <v/>
      </c>
      <c r="O193" s="50">
        <f>O133-(O21*Seasonality!$C$39*O71+O73+O49*O133)-O111</f>
        <v/>
      </c>
      <c r="P193" s="50">
        <f>P133-(P21*Seasonality!$C$39*P71+P73+P49*P133)-P111</f>
        <v/>
      </c>
      <c r="Q193" s="50">
        <f>Q133-(Q21*Seasonality!$C$39*Q71+Q73+Q49*Q133)-Q111</f>
        <v/>
      </c>
      <c r="R193" s="50">
        <f>R133-(R21*Seasonality!$C$39*R71+R73+R49*R133)-R111</f>
        <v/>
      </c>
      <c r="S193" s="50">
        <f>S133-(S21*Seasonality!$C$39*S71+S73+S49*S133)-S111</f>
        <v/>
      </c>
      <c r="T193" s="50">
        <f>T133-(T21*Seasonality!$C$39*T71+T73+T49*T133)-T111</f>
        <v/>
      </c>
      <c r="U193" s="50">
        <f>U133-(U21*Seasonality!$C$39*U71+U73+U49*U133)-U111</f>
        <v/>
      </c>
      <c r="V193" s="50">
        <f>V133-(V21*Seasonality!$C$39*V71+V73+V49*V133)-V111</f>
        <v/>
      </c>
      <c r="W193" s="50">
        <f>W133-(W21*Seasonality!$C$39*W71+W73+W49*W133)-W111</f>
        <v/>
      </c>
      <c r="X193" s="50">
        <f>X133-(X21*Seasonality!$C$39*X71+X73+X49*X133)-X111</f>
        <v/>
      </c>
      <c r="Y193" s="50">
        <f>Y133-(Y21*Seasonality!$C$39*Y71+Y73+Y49*Y133)-Y111</f>
        <v/>
      </c>
      <c r="Z193" s="50">
        <f>Z133-(Z21*Seasonality!$C$39*Z71+Z73+Z49*Z133)-Z111</f>
        <v/>
      </c>
      <c r="AA193" s="50">
        <f>AA133-(AA21*Seasonality!$C$39*AA71+AA73+AA49*AA133)-AA111</f>
        <v/>
      </c>
      <c r="AB193" s="50">
        <f>AB133-(AB21*Seasonality!$C$39*AB71+AB73+AB49*AB133)-AB111</f>
        <v/>
      </c>
      <c r="AC193" s="50">
        <f>AC133-(AC21*Seasonality!$C$39*AC71+AC73+AC49*AC133)-AC111</f>
        <v/>
      </c>
      <c r="AD193" s="50">
        <f>AD133-(AD21*Seasonality!$C$39*AD71+AD73+AD49*AD133)-AD111</f>
        <v/>
      </c>
      <c r="AE193" s="50">
        <f>AE133-(AE21*Seasonality!$C$39*AE71+AE73+AE49*AE133)-AE111</f>
        <v/>
      </c>
      <c r="AF193" s="50">
        <f>AF133-(AF21*Seasonality!$C$39*AF71+AF73+AF49*AF133)-AF111</f>
        <v/>
      </c>
      <c r="AG193" s="50">
        <f>AG133-(AG21*Seasonality!$C$39*AG71+AG73+AG49*AG133)-AG111</f>
        <v/>
      </c>
      <c r="AH193" s="50">
        <f>AH133-(AH21*Seasonality!$C$39*AH71+AH73+AH49*AH133)-AH111</f>
        <v/>
      </c>
      <c r="AI193" s="50">
        <f>AI133-(AI21*Seasonality!$C$39*AI71+AI73+AI49*AI133)-AI111</f>
        <v/>
      </c>
      <c r="AJ193" s="50">
        <f>AJ133-(AJ21*Seasonality!$C$39*AJ71+AJ73+AJ49*AJ133)-AJ111</f>
        <v/>
      </c>
      <c r="AK193" s="50">
        <f>AK133-(AK21*Seasonality!$C$39*AK71+AK73+AK49*AK133)-AK111</f>
        <v/>
      </c>
      <c r="AL193" s="50">
        <f>AL133-(AL21*Seasonality!$C$39*AL71+AL73+AL49*AL133)-AL111</f>
        <v/>
      </c>
      <c r="AM193" s="50">
        <f>AM133-(AM21*Seasonality!$C$39*AM71+AM73+AM49*AM133)-AM111</f>
        <v/>
      </c>
      <c r="AN193" s="50">
        <f>AN133-(AN21*Seasonality!$C$39*AN71+AN73+AN49*AN133)-AN111</f>
        <v/>
      </c>
      <c r="AO193" s="50">
        <f>AO133-(AO21*Seasonality!$C$39*AO71+AO73+AO49*AO133)-AO111</f>
        <v/>
      </c>
      <c r="AP193" s="50">
        <f>AP133-(AP21*Seasonality!$C$39*AP71+AP73+AP49*AP133)-AP111</f>
        <v/>
      </c>
      <c r="AQ193" s="50">
        <f>AQ133-(AQ21*Seasonality!$C$39*AQ71+AQ73+AQ49*AQ133)-AQ111</f>
        <v/>
      </c>
      <c r="AR193" s="50">
        <f>AR133-(AR21*Seasonality!$C$39*AR71+AR73+AR49*AR133)-AR111</f>
        <v/>
      </c>
      <c r="AS193" s="50">
        <f>AS133-(AS21*Seasonality!$C$39*AS71+AS73+AS49*AS133)-AS111</f>
        <v/>
      </c>
      <c r="AT193" s="50">
        <f>AT133-(AT21*Seasonality!$C$39*AT71+AT73+AT49*AT133)-AT111</f>
        <v/>
      </c>
      <c r="AU193" s="50">
        <f>AU133-(AU21*Seasonality!$C$39*AU71+AU73+AU49*AU133)-AU111</f>
        <v/>
      </c>
      <c r="AV193" s="50">
        <f>AV133-(AV21*Seasonality!$C$39*AV71+AV73+AV49*AV133)-AV111</f>
        <v/>
      </c>
      <c r="AW193" s="50">
        <f>AW133-(AW21*Seasonality!$C$39*AW71+AW73+AW49*AW133)-AW111</f>
        <v/>
      </c>
      <c r="AX193" s="50">
        <f>AX133-(AX21*Seasonality!$C$39*AX71+AX73+AX49*AX133)-AX111</f>
        <v/>
      </c>
      <c r="AY193" s="50">
        <f>AY133-(AY21*Seasonality!$C$39*AY71+AY73+AY49*AY133)-AY111</f>
        <v/>
      </c>
      <c r="AZ193" s="50">
        <f>AZ133-(AZ21*Seasonality!$C$39*AZ71+AZ73+AZ49*AZ133)-AZ111</f>
        <v/>
      </c>
      <c r="BA193" s="50">
        <f>BA133-(BA21*Seasonality!$C$39*BA71+BA73+BA49*BA133)-BA111</f>
        <v/>
      </c>
      <c r="BB193" s="50">
        <f>BB133-(BB21*Seasonality!$C$39*BB71+BB73+BB49*BB133)-BB111</f>
        <v/>
      </c>
      <c r="BC193" s="50">
        <f>BC133-(BC21*Seasonality!$C$39*BC71+BC73+BC49*BC133)-BC111</f>
        <v/>
      </c>
      <c r="BD193" s="50">
        <f>BD133-(BD21*Seasonality!$C$39*BD71+BD73+BD49*BD133)-BD111</f>
        <v/>
      </c>
      <c r="BE193" s="50">
        <f>BE133-(BE21*Seasonality!$C$39*BE71+BE73+BE49*BE133)-BE111</f>
        <v/>
      </c>
    </row>
    <row r="194">
      <c r="B194" s="7" t="inlineStr">
        <is>
          <t>Contribution · month 4</t>
        </is>
      </c>
      <c r="C194" s="5" t="inlineStr">
        <is>
          <t>₹</t>
        </is>
      </c>
      <c r="D194" s="50">
        <f>D134-(D21*Seasonality!$C$40*D71+D73+D49*D134)-D111</f>
        <v/>
      </c>
      <c r="E194" s="50">
        <f>E134-(E21*Seasonality!$C$40*E71+E73+E49*E134)-E111</f>
        <v/>
      </c>
      <c r="F194" s="50">
        <f>F134-(F21*Seasonality!$C$40*F71+F73+F49*F134)-F111</f>
        <v/>
      </c>
      <c r="G194" s="50">
        <f>G134-(G21*Seasonality!$C$40*G71+G73+G49*G134)-G111</f>
        <v/>
      </c>
      <c r="H194" s="50">
        <f>H134-(H21*Seasonality!$C$40*H71+H73+H49*H134)-H111</f>
        <v/>
      </c>
      <c r="I194" s="50">
        <f>I134-(I21*Seasonality!$C$40*I71+I73+I49*I134)-I111</f>
        <v/>
      </c>
      <c r="J194" s="50">
        <f>J134-(J21*Seasonality!$C$40*J71+J73+J49*J134)-J111</f>
        <v/>
      </c>
      <c r="K194" s="50">
        <f>K134-(K21*Seasonality!$C$40*K71+K73+K49*K134)-K111</f>
        <v/>
      </c>
      <c r="L194" s="50">
        <f>L134-(L21*Seasonality!$C$40*L71+L73+L49*L134)-L111</f>
        <v/>
      </c>
      <c r="M194" s="50">
        <f>M134-(M21*Seasonality!$C$40*M71+M73+M49*M134)-M111</f>
        <v/>
      </c>
      <c r="N194" s="50">
        <f>N134-(N21*Seasonality!$C$40*N71+N73+N49*N134)-N111</f>
        <v/>
      </c>
      <c r="O194" s="50">
        <f>O134-(O21*Seasonality!$C$40*O71+O73+O49*O134)-O111</f>
        <v/>
      </c>
      <c r="P194" s="50">
        <f>P134-(P21*Seasonality!$C$40*P71+P73+P49*P134)-P111</f>
        <v/>
      </c>
      <c r="Q194" s="50">
        <f>Q134-(Q21*Seasonality!$C$40*Q71+Q73+Q49*Q134)-Q111</f>
        <v/>
      </c>
      <c r="R194" s="50">
        <f>R134-(R21*Seasonality!$C$40*R71+R73+R49*R134)-R111</f>
        <v/>
      </c>
      <c r="S194" s="50">
        <f>S134-(S21*Seasonality!$C$40*S71+S73+S49*S134)-S111</f>
        <v/>
      </c>
      <c r="T194" s="50">
        <f>T134-(T21*Seasonality!$C$40*T71+T73+T49*T134)-T111</f>
        <v/>
      </c>
      <c r="U194" s="50">
        <f>U134-(U21*Seasonality!$C$40*U71+U73+U49*U134)-U111</f>
        <v/>
      </c>
      <c r="V194" s="50">
        <f>V134-(V21*Seasonality!$C$40*V71+V73+V49*V134)-V111</f>
        <v/>
      </c>
      <c r="W194" s="50">
        <f>W134-(W21*Seasonality!$C$40*W71+W73+W49*W134)-W111</f>
        <v/>
      </c>
      <c r="X194" s="50">
        <f>X134-(X21*Seasonality!$C$40*X71+X73+X49*X134)-X111</f>
        <v/>
      </c>
      <c r="Y194" s="50">
        <f>Y134-(Y21*Seasonality!$C$40*Y71+Y73+Y49*Y134)-Y111</f>
        <v/>
      </c>
      <c r="Z194" s="50">
        <f>Z134-(Z21*Seasonality!$C$40*Z71+Z73+Z49*Z134)-Z111</f>
        <v/>
      </c>
      <c r="AA194" s="50">
        <f>AA134-(AA21*Seasonality!$C$40*AA71+AA73+AA49*AA134)-AA111</f>
        <v/>
      </c>
      <c r="AB194" s="50">
        <f>AB134-(AB21*Seasonality!$C$40*AB71+AB73+AB49*AB134)-AB111</f>
        <v/>
      </c>
      <c r="AC194" s="50">
        <f>AC134-(AC21*Seasonality!$C$40*AC71+AC73+AC49*AC134)-AC111</f>
        <v/>
      </c>
      <c r="AD194" s="50">
        <f>AD134-(AD21*Seasonality!$C$40*AD71+AD73+AD49*AD134)-AD111</f>
        <v/>
      </c>
      <c r="AE194" s="50">
        <f>AE134-(AE21*Seasonality!$C$40*AE71+AE73+AE49*AE134)-AE111</f>
        <v/>
      </c>
      <c r="AF194" s="50">
        <f>AF134-(AF21*Seasonality!$C$40*AF71+AF73+AF49*AF134)-AF111</f>
        <v/>
      </c>
      <c r="AG194" s="50">
        <f>AG134-(AG21*Seasonality!$C$40*AG71+AG73+AG49*AG134)-AG111</f>
        <v/>
      </c>
      <c r="AH194" s="50">
        <f>AH134-(AH21*Seasonality!$C$40*AH71+AH73+AH49*AH134)-AH111</f>
        <v/>
      </c>
      <c r="AI194" s="50">
        <f>AI134-(AI21*Seasonality!$C$40*AI71+AI73+AI49*AI134)-AI111</f>
        <v/>
      </c>
      <c r="AJ194" s="50">
        <f>AJ134-(AJ21*Seasonality!$C$40*AJ71+AJ73+AJ49*AJ134)-AJ111</f>
        <v/>
      </c>
      <c r="AK194" s="50">
        <f>AK134-(AK21*Seasonality!$C$40*AK71+AK73+AK49*AK134)-AK111</f>
        <v/>
      </c>
      <c r="AL194" s="50">
        <f>AL134-(AL21*Seasonality!$C$40*AL71+AL73+AL49*AL134)-AL111</f>
        <v/>
      </c>
      <c r="AM194" s="50">
        <f>AM134-(AM21*Seasonality!$C$40*AM71+AM73+AM49*AM134)-AM111</f>
        <v/>
      </c>
      <c r="AN194" s="50">
        <f>AN134-(AN21*Seasonality!$C$40*AN71+AN73+AN49*AN134)-AN111</f>
        <v/>
      </c>
      <c r="AO194" s="50">
        <f>AO134-(AO21*Seasonality!$C$40*AO71+AO73+AO49*AO134)-AO111</f>
        <v/>
      </c>
      <c r="AP194" s="50">
        <f>AP134-(AP21*Seasonality!$C$40*AP71+AP73+AP49*AP134)-AP111</f>
        <v/>
      </c>
      <c r="AQ194" s="50">
        <f>AQ134-(AQ21*Seasonality!$C$40*AQ71+AQ73+AQ49*AQ134)-AQ111</f>
        <v/>
      </c>
      <c r="AR194" s="50">
        <f>AR134-(AR21*Seasonality!$C$40*AR71+AR73+AR49*AR134)-AR111</f>
        <v/>
      </c>
      <c r="AS194" s="50">
        <f>AS134-(AS21*Seasonality!$C$40*AS71+AS73+AS49*AS134)-AS111</f>
        <v/>
      </c>
      <c r="AT194" s="50">
        <f>AT134-(AT21*Seasonality!$C$40*AT71+AT73+AT49*AT134)-AT111</f>
        <v/>
      </c>
      <c r="AU194" s="50">
        <f>AU134-(AU21*Seasonality!$C$40*AU71+AU73+AU49*AU134)-AU111</f>
        <v/>
      </c>
      <c r="AV194" s="50">
        <f>AV134-(AV21*Seasonality!$C$40*AV71+AV73+AV49*AV134)-AV111</f>
        <v/>
      </c>
      <c r="AW194" s="50">
        <f>AW134-(AW21*Seasonality!$C$40*AW71+AW73+AW49*AW134)-AW111</f>
        <v/>
      </c>
      <c r="AX194" s="50">
        <f>AX134-(AX21*Seasonality!$C$40*AX71+AX73+AX49*AX134)-AX111</f>
        <v/>
      </c>
      <c r="AY194" s="50">
        <f>AY134-(AY21*Seasonality!$C$40*AY71+AY73+AY49*AY134)-AY111</f>
        <v/>
      </c>
      <c r="AZ194" s="50">
        <f>AZ134-(AZ21*Seasonality!$C$40*AZ71+AZ73+AZ49*AZ134)-AZ111</f>
        <v/>
      </c>
      <c r="BA194" s="50">
        <f>BA134-(BA21*Seasonality!$C$40*BA71+BA73+BA49*BA134)-BA111</f>
        <v/>
      </c>
      <c r="BB194" s="50">
        <f>BB134-(BB21*Seasonality!$C$40*BB71+BB73+BB49*BB134)-BB111</f>
        <v/>
      </c>
      <c r="BC194" s="50">
        <f>BC134-(BC21*Seasonality!$C$40*BC71+BC73+BC49*BC134)-BC111</f>
        <v/>
      </c>
      <c r="BD194" s="50">
        <f>BD134-(BD21*Seasonality!$C$40*BD71+BD73+BD49*BD134)-BD111</f>
        <v/>
      </c>
      <c r="BE194" s="50">
        <f>BE134-(BE21*Seasonality!$C$40*BE71+BE73+BE49*BE134)-BE111</f>
        <v/>
      </c>
    </row>
    <row r="195">
      <c r="B195" s="7" t="inlineStr">
        <is>
          <t>Contribution · month 5</t>
        </is>
      </c>
      <c r="C195" s="5" t="inlineStr">
        <is>
          <t>₹</t>
        </is>
      </c>
      <c r="D195" s="50">
        <f>D135-(D21*Seasonality!$C$41*D71+D73+D49*D135)-D111</f>
        <v/>
      </c>
      <c r="E195" s="50">
        <f>E135-(E21*Seasonality!$C$41*E71+E73+E49*E135)-E111</f>
        <v/>
      </c>
      <c r="F195" s="50">
        <f>F135-(F21*Seasonality!$C$41*F71+F73+F49*F135)-F111</f>
        <v/>
      </c>
      <c r="G195" s="50">
        <f>G135-(G21*Seasonality!$C$41*G71+G73+G49*G135)-G111</f>
        <v/>
      </c>
      <c r="H195" s="50">
        <f>H135-(H21*Seasonality!$C$41*H71+H73+H49*H135)-H111</f>
        <v/>
      </c>
      <c r="I195" s="50">
        <f>I135-(I21*Seasonality!$C$41*I71+I73+I49*I135)-I111</f>
        <v/>
      </c>
      <c r="J195" s="50">
        <f>J135-(J21*Seasonality!$C$41*J71+J73+J49*J135)-J111</f>
        <v/>
      </c>
      <c r="K195" s="50">
        <f>K135-(K21*Seasonality!$C$41*K71+K73+K49*K135)-K111</f>
        <v/>
      </c>
      <c r="L195" s="50">
        <f>L135-(L21*Seasonality!$C$41*L71+L73+L49*L135)-L111</f>
        <v/>
      </c>
      <c r="M195" s="50">
        <f>M135-(M21*Seasonality!$C$41*M71+M73+M49*M135)-M111</f>
        <v/>
      </c>
      <c r="N195" s="50">
        <f>N135-(N21*Seasonality!$C$41*N71+N73+N49*N135)-N111</f>
        <v/>
      </c>
      <c r="O195" s="50">
        <f>O135-(O21*Seasonality!$C$41*O71+O73+O49*O135)-O111</f>
        <v/>
      </c>
      <c r="P195" s="50">
        <f>P135-(P21*Seasonality!$C$41*P71+P73+P49*P135)-P111</f>
        <v/>
      </c>
      <c r="Q195" s="50">
        <f>Q135-(Q21*Seasonality!$C$41*Q71+Q73+Q49*Q135)-Q111</f>
        <v/>
      </c>
      <c r="R195" s="50">
        <f>R135-(R21*Seasonality!$C$41*R71+R73+R49*R135)-R111</f>
        <v/>
      </c>
      <c r="S195" s="50">
        <f>S135-(S21*Seasonality!$C$41*S71+S73+S49*S135)-S111</f>
        <v/>
      </c>
      <c r="T195" s="50">
        <f>T135-(T21*Seasonality!$C$41*T71+T73+T49*T135)-T111</f>
        <v/>
      </c>
      <c r="U195" s="50">
        <f>U135-(U21*Seasonality!$C$41*U71+U73+U49*U135)-U111</f>
        <v/>
      </c>
      <c r="V195" s="50">
        <f>V135-(V21*Seasonality!$C$41*V71+V73+V49*V135)-V111</f>
        <v/>
      </c>
      <c r="W195" s="50">
        <f>W135-(W21*Seasonality!$C$41*W71+W73+W49*W135)-W111</f>
        <v/>
      </c>
      <c r="X195" s="50">
        <f>X135-(X21*Seasonality!$C$41*X71+X73+X49*X135)-X111</f>
        <v/>
      </c>
      <c r="Y195" s="50">
        <f>Y135-(Y21*Seasonality!$C$41*Y71+Y73+Y49*Y135)-Y111</f>
        <v/>
      </c>
      <c r="Z195" s="50">
        <f>Z135-(Z21*Seasonality!$C$41*Z71+Z73+Z49*Z135)-Z111</f>
        <v/>
      </c>
      <c r="AA195" s="50">
        <f>AA135-(AA21*Seasonality!$C$41*AA71+AA73+AA49*AA135)-AA111</f>
        <v/>
      </c>
      <c r="AB195" s="50">
        <f>AB135-(AB21*Seasonality!$C$41*AB71+AB73+AB49*AB135)-AB111</f>
        <v/>
      </c>
      <c r="AC195" s="50">
        <f>AC135-(AC21*Seasonality!$C$41*AC71+AC73+AC49*AC135)-AC111</f>
        <v/>
      </c>
      <c r="AD195" s="50">
        <f>AD135-(AD21*Seasonality!$C$41*AD71+AD73+AD49*AD135)-AD111</f>
        <v/>
      </c>
      <c r="AE195" s="50">
        <f>AE135-(AE21*Seasonality!$C$41*AE71+AE73+AE49*AE135)-AE111</f>
        <v/>
      </c>
      <c r="AF195" s="50">
        <f>AF135-(AF21*Seasonality!$C$41*AF71+AF73+AF49*AF135)-AF111</f>
        <v/>
      </c>
      <c r="AG195" s="50">
        <f>AG135-(AG21*Seasonality!$C$41*AG71+AG73+AG49*AG135)-AG111</f>
        <v/>
      </c>
      <c r="AH195" s="50">
        <f>AH135-(AH21*Seasonality!$C$41*AH71+AH73+AH49*AH135)-AH111</f>
        <v/>
      </c>
      <c r="AI195" s="50">
        <f>AI135-(AI21*Seasonality!$C$41*AI71+AI73+AI49*AI135)-AI111</f>
        <v/>
      </c>
      <c r="AJ195" s="50">
        <f>AJ135-(AJ21*Seasonality!$C$41*AJ71+AJ73+AJ49*AJ135)-AJ111</f>
        <v/>
      </c>
      <c r="AK195" s="50">
        <f>AK135-(AK21*Seasonality!$C$41*AK71+AK73+AK49*AK135)-AK111</f>
        <v/>
      </c>
      <c r="AL195" s="50">
        <f>AL135-(AL21*Seasonality!$C$41*AL71+AL73+AL49*AL135)-AL111</f>
        <v/>
      </c>
      <c r="AM195" s="50">
        <f>AM135-(AM21*Seasonality!$C$41*AM71+AM73+AM49*AM135)-AM111</f>
        <v/>
      </c>
      <c r="AN195" s="50">
        <f>AN135-(AN21*Seasonality!$C$41*AN71+AN73+AN49*AN135)-AN111</f>
        <v/>
      </c>
      <c r="AO195" s="50">
        <f>AO135-(AO21*Seasonality!$C$41*AO71+AO73+AO49*AO135)-AO111</f>
        <v/>
      </c>
      <c r="AP195" s="50">
        <f>AP135-(AP21*Seasonality!$C$41*AP71+AP73+AP49*AP135)-AP111</f>
        <v/>
      </c>
      <c r="AQ195" s="50">
        <f>AQ135-(AQ21*Seasonality!$C$41*AQ71+AQ73+AQ49*AQ135)-AQ111</f>
        <v/>
      </c>
      <c r="AR195" s="50">
        <f>AR135-(AR21*Seasonality!$C$41*AR71+AR73+AR49*AR135)-AR111</f>
        <v/>
      </c>
      <c r="AS195" s="50">
        <f>AS135-(AS21*Seasonality!$C$41*AS71+AS73+AS49*AS135)-AS111</f>
        <v/>
      </c>
      <c r="AT195" s="50">
        <f>AT135-(AT21*Seasonality!$C$41*AT71+AT73+AT49*AT135)-AT111</f>
        <v/>
      </c>
      <c r="AU195" s="50">
        <f>AU135-(AU21*Seasonality!$C$41*AU71+AU73+AU49*AU135)-AU111</f>
        <v/>
      </c>
      <c r="AV195" s="50">
        <f>AV135-(AV21*Seasonality!$C$41*AV71+AV73+AV49*AV135)-AV111</f>
        <v/>
      </c>
      <c r="AW195" s="50">
        <f>AW135-(AW21*Seasonality!$C$41*AW71+AW73+AW49*AW135)-AW111</f>
        <v/>
      </c>
      <c r="AX195" s="50">
        <f>AX135-(AX21*Seasonality!$C$41*AX71+AX73+AX49*AX135)-AX111</f>
        <v/>
      </c>
      <c r="AY195" s="50">
        <f>AY135-(AY21*Seasonality!$C$41*AY71+AY73+AY49*AY135)-AY111</f>
        <v/>
      </c>
      <c r="AZ195" s="50">
        <f>AZ135-(AZ21*Seasonality!$C$41*AZ71+AZ73+AZ49*AZ135)-AZ111</f>
        <v/>
      </c>
      <c r="BA195" s="50">
        <f>BA135-(BA21*Seasonality!$C$41*BA71+BA73+BA49*BA135)-BA111</f>
        <v/>
      </c>
      <c r="BB195" s="50">
        <f>BB135-(BB21*Seasonality!$C$41*BB71+BB73+BB49*BB135)-BB111</f>
        <v/>
      </c>
      <c r="BC195" s="50">
        <f>BC135-(BC21*Seasonality!$C$41*BC71+BC73+BC49*BC135)-BC111</f>
        <v/>
      </c>
      <c r="BD195" s="50">
        <f>BD135-(BD21*Seasonality!$C$41*BD71+BD73+BD49*BD135)-BD111</f>
        <v/>
      </c>
      <c r="BE195" s="50">
        <f>BE135-(BE21*Seasonality!$C$41*BE71+BE73+BE49*BE135)-BE111</f>
        <v/>
      </c>
    </row>
    <row r="196">
      <c r="B196" s="7" t="inlineStr">
        <is>
          <t>Contribution · month 6</t>
        </is>
      </c>
      <c r="C196" s="5" t="inlineStr">
        <is>
          <t>₹</t>
        </is>
      </c>
      <c r="D196" s="50">
        <f>D136-(D21*Seasonality!$C$42*D71+D73+D49*D136)-D111</f>
        <v/>
      </c>
      <c r="E196" s="50">
        <f>E136-(E21*Seasonality!$C$42*E71+E73+E49*E136)-E111</f>
        <v/>
      </c>
      <c r="F196" s="50">
        <f>F136-(F21*Seasonality!$C$42*F71+F73+F49*F136)-F111</f>
        <v/>
      </c>
      <c r="G196" s="50">
        <f>G136-(G21*Seasonality!$C$42*G71+G73+G49*G136)-G111</f>
        <v/>
      </c>
      <c r="H196" s="50">
        <f>H136-(H21*Seasonality!$C$42*H71+H73+H49*H136)-H111</f>
        <v/>
      </c>
      <c r="I196" s="50">
        <f>I136-(I21*Seasonality!$C$42*I71+I73+I49*I136)-I111</f>
        <v/>
      </c>
      <c r="J196" s="50">
        <f>J136-(J21*Seasonality!$C$42*J71+J73+J49*J136)-J111</f>
        <v/>
      </c>
      <c r="K196" s="50">
        <f>K136-(K21*Seasonality!$C$42*K71+K73+K49*K136)-K111</f>
        <v/>
      </c>
      <c r="L196" s="50">
        <f>L136-(L21*Seasonality!$C$42*L71+L73+L49*L136)-L111</f>
        <v/>
      </c>
      <c r="M196" s="50">
        <f>M136-(M21*Seasonality!$C$42*M71+M73+M49*M136)-M111</f>
        <v/>
      </c>
      <c r="N196" s="50">
        <f>N136-(N21*Seasonality!$C$42*N71+N73+N49*N136)-N111</f>
        <v/>
      </c>
      <c r="O196" s="50">
        <f>O136-(O21*Seasonality!$C$42*O71+O73+O49*O136)-O111</f>
        <v/>
      </c>
      <c r="P196" s="50">
        <f>P136-(P21*Seasonality!$C$42*P71+P73+P49*P136)-P111</f>
        <v/>
      </c>
      <c r="Q196" s="50">
        <f>Q136-(Q21*Seasonality!$C$42*Q71+Q73+Q49*Q136)-Q111</f>
        <v/>
      </c>
      <c r="R196" s="50">
        <f>R136-(R21*Seasonality!$C$42*R71+R73+R49*R136)-R111</f>
        <v/>
      </c>
      <c r="S196" s="50">
        <f>S136-(S21*Seasonality!$C$42*S71+S73+S49*S136)-S111</f>
        <v/>
      </c>
      <c r="T196" s="50">
        <f>T136-(T21*Seasonality!$C$42*T71+T73+T49*T136)-T111</f>
        <v/>
      </c>
      <c r="U196" s="50">
        <f>U136-(U21*Seasonality!$C$42*U71+U73+U49*U136)-U111</f>
        <v/>
      </c>
      <c r="V196" s="50">
        <f>V136-(V21*Seasonality!$C$42*V71+V73+V49*V136)-V111</f>
        <v/>
      </c>
      <c r="W196" s="50">
        <f>W136-(W21*Seasonality!$C$42*W71+W73+W49*W136)-W111</f>
        <v/>
      </c>
      <c r="X196" s="50">
        <f>X136-(X21*Seasonality!$C$42*X71+X73+X49*X136)-X111</f>
        <v/>
      </c>
      <c r="Y196" s="50">
        <f>Y136-(Y21*Seasonality!$C$42*Y71+Y73+Y49*Y136)-Y111</f>
        <v/>
      </c>
      <c r="Z196" s="50">
        <f>Z136-(Z21*Seasonality!$C$42*Z71+Z73+Z49*Z136)-Z111</f>
        <v/>
      </c>
      <c r="AA196" s="50">
        <f>AA136-(AA21*Seasonality!$C$42*AA71+AA73+AA49*AA136)-AA111</f>
        <v/>
      </c>
      <c r="AB196" s="50">
        <f>AB136-(AB21*Seasonality!$C$42*AB71+AB73+AB49*AB136)-AB111</f>
        <v/>
      </c>
      <c r="AC196" s="50">
        <f>AC136-(AC21*Seasonality!$C$42*AC71+AC73+AC49*AC136)-AC111</f>
        <v/>
      </c>
      <c r="AD196" s="50">
        <f>AD136-(AD21*Seasonality!$C$42*AD71+AD73+AD49*AD136)-AD111</f>
        <v/>
      </c>
      <c r="AE196" s="50">
        <f>AE136-(AE21*Seasonality!$C$42*AE71+AE73+AE49*AE136)-AE111</f>
        <v/>
      </c>
      <c r="AF196" s="50">
        <f>AF136-(AF21*Seasonality!$C$42*AF71+AF73+AF49*AF136)-AF111</f>
        <v/>
      </c>
      <c r="AG196" s="50">
        <f>AG136-(AG21*Seasonality!$C$42*AG71+AG73+AG49*AG136)-AG111</f>
        <v/>
      </c>
      <c r="AH196" s="50">
        <f>AH136-(AH21*Seasonality!$C$42*AH71+AH73+AH49*AH136)-AH111</f>
        <v/>
      </c>
      <c r="AI196" s="50">
        <f>AI136-(AI21*Seasonality!$C$42*AI71+AI73+AI49*AI136)-AI111</f>
        <v/>
      </c>
      <c r="AJ196" s="50">
        <f>AJ136-(AJ21*Seasonality!$C$42*AJ71+AJ73+AJ49*AJ136)-AJ111</f>
        <v/>
      </c>
      <c r="AK196" s="50">
        <f>AK136-(AK21*Seasonality!$C$42*AK71+AK73+AK49*AK136)-AK111</f>
        <v/>
      </c>
      <c r="AL196" s="50">
        <f>AL136-(AL21*Seasonality!$C$42*AL71+AL73+AL49*AL136)-AL111</f>
        <v/>
      </c>
      <c r="AM196" s="50">
        <f>AM136-(AM21*Seasonality!$C$42*AM71+AM73+AM49*AM136)-AM111</f>
        <v/>
      </c>
      <c r="AN196" s="50">
        <f>AN136-(AN21*Seasonality!$C$42*AN71+AN73+AN49*AN136)-AN111</f>
        <v/>
      </c>
      <c r="AO196" s="50">
        <f>AO136-(AO21*Seasonality!$C$42*AO71+AO73+AO49*AO136)-AO111</f>
        <v/>
      </c>
      <c r="AP196" s="50">
        <f>AP136-(AP21*Seasonality!$C$42*AP71+AP73+AP49*AP136)-AP111</f>
        <v/>
      </c>
      <c r="AQ196" s="50">
        <f>AQ136-(AQ21*Seasonality!$C$42*AQ71+AQ73+AQ49*AQ136)-AQ111</f>
        <v/>
      </c>
      <c r="AR196" s="50">
        <f>AR136-(AR21*Seasonality!$C$42*AR71+AR73+AR49*AR136)-AR111</f>
        <v/>
      </c>
      <c r="AS196" s="50">
        <f>AS136-(AS21*Seasonality!$C$42*AS71+AS73+AS49*AS136)-AS111</f>
        <v/>
      </c>
      <c r="AT196" s="50">
        <f>AT136-(AT21*Seasonality!$C$42*AT71+AT73+AT49*AT136)-AT111</f>
        <v/>
      </c>
      <c r="AU196" s="50">
        <f>AU136-(AU21*Seasonality!$C$42*AU71+AU73+AU49*AU136)-AU111</f>
        <v/>
      </c>
      <c r="AV196" s="50">
        <f>AV136-(AV21*Seasonality!$C$42*AV71+AV73+AV49*AV136)-AV111</f>
        <v/>
      </c>
      <c r="AW196" s="50">
        <f>AW136-(AW21*Seasonality!$C$42*AW71+AW73+AW49*AW136)-AW111</f>
        <v/>
      </c>
      <c r="AX196" s="50">
        <f>AX136-(AX21*Seasonality!$C$42*AX71+AX73+AX49*AX136)-AX111</f>
        <v/>
      </c>
      <c r="AY196" s="50">
        <f>AY136-(AY21*Seasonality!$C$42*AY71+AY73+AY49*AY136)-AY111</f>
        <v/>
      </c>
      <c r="AZ196" s="50">
        <f>AZ136-(AZ21*Seasonality!$C$42*AZ71+AZ73+AZ49*AZ136)-AZ111</f>
        <v/>
      </c>
      <c r="BA196" s="50">
        <f>BA136-(BA21*Seasonality!$C$42*BA71+BA73+BA49*BA136)-BA111</f>
        <v/>
      </c>
      <c r="BB196" s="50">
        <f>BB136-(BB21*Seasonality!$C$42*BB71+BB73+BB49*BB136)-BB111</f>
        <v/>
      </c>
      <c r="BC196" s="50">
        <f>BC136-(BC21*Seasonality!$C$42*BC71+BC73+BC49*BC136)-BC111</f>
        <v/>
      </c>
      <c r="BD196" s="50">
        <f>BD136-(BD21*Seasonality!$C$42*BD71+BD73+BD49*BD136)-BD111</f>
        <v/>
      </c>
      <c r="BE196" s="50">
        <f>BE136-(BE21*Seasonality!$C$42*BE71+BE73+BE49*BE136)-BE111</f>
        <v/>
      </c>
    </row>
    <row r="197">
      <c r="B197" s="7" t="inlineStr">
        <is>
          <t>Contribution · month 7</t>
        </is>
      </c>
      <c r="C197" s="5" t="inlineStr">
        <is>
          <t>₹</t>
        </is>
      </c>
      <c r="D197" s="50">
        <f>D137-(D21*Seasonality!$C$43*D71+D73+D49*D137)-D111</f>
        <v/>
      </c>
      <c r="E197" s="50">
        <f>E137-(E21*Seasonality!$C$43*E71+E73+E49*E137)-E111</f>
        <v/>
      </c>
      <c r="F197" s="50">
        <f>F137-(F21*Seasonality!$C$43*F71+F73+F49*F137)-F111</f>
        <v/>
      </c>
      <c r="G197" s="50">
        <f>G137-(G21*Seasonality!$C$43*G71+G73+G49*G137)-G111</f>
        <v/>
      </c>
      <c r="H197" s="50">
        <f>H137-(H21*Seasonality!$C$43*H71+H73+H49*H137)-H111</f>
        <v/>
      </c>
      <c r="I197" s="50">
        <f>I137-(I21*Seasonality!$C$43*I71+I73+I49*I137)-I111</f>
        <v/>
      </c>
      <c r="J197" s="50">
        <f>J137-(J21*Seasonality!$C$43*J71+J73+J49*J137)-J111</f>
        <v/>
      </c>
      <c r="K197" s="50">
        <f>K137-(K21*Seasonality!$C$43*K71+K73+K49*K137)-K111</f>
        <v/>
      </c>
      <c r="L197" s="50">
        <f>L137-(L21*Seasonality!$C$43*L71+L73+L49*L137)-L111</f>
        <v/>
      </c>
      <c r="M197" s="50">
        <f>M137-(M21*Seasonality!$C$43*M71+M73+M49*M137)-M111</f>
        <v/>
      </c>
      <c r="N197" s="50">
        <f>N137-(N21*Seasonality!$C$43*N71+N73+N49*N137)-N111</f>
        <v/>
      </c>
      <c r="O197" s="50">
        <f>O137-(O21*Seasonality!$C$43*O71+O73+O49*O137)-O111</f>
        <v/>
      </c>
      <c r="P197" s="50">
        <f>P137-(P21*Seasonality!$C$43*P71+P73+P49*P137)-P111</f>
        <v/>
      </c>
      <c r="Q197" s="50">
        <f>Q137-(Q21*Seasonality!$C$43*Q71+Q73+Q49*Q137)-Q111</f>
        <v/>
      </c>
      <c r="R197" s="50">
        <f>R137-(R21*Seasonality!$C$43*R71+R73+R49*R137)-R111</f>
        <v/>
      </c>
      <c r="S197" s="50">
        <f>S137-(S21*Seasonality!$C$43*S71+S73+S49*S137)-S111</f>
        <v/>
      </c>
      <c r="T197" s="50">
        <f>T137-(T21*Seasonality!$C$43*T71+T73+T49*T137)-T111</f>
        <v/>
      </c>
      <c r="U197" s="50">
        <f>U137-(U21*Seasonality!$C$43*U71+U73+U49*U137)-U111</f>
        <v/>
      </c>
      <c r="V197" s="50">
        <f>V137-(V21*Seasonality!$C$43*V71+V73+V49*V137)-V111</f>
        <v/>
      </c>
      <c r="W197" s="50">
        <f>W137-(W21*Seasonality!$C$43*W71+W73+W49*W137)-W111</f>
        <v/>
      </c>
      <c r="X197" s="50">
        <f>X137-(X21*Seasonality!$C$43*X71+X73+X49*X137)-X111</f>
        <v/>
      </c>
      <c r="Y197" s="50">
        <f>Y137-(Y21*Seasonality!$C$43*Y71+Y73+Y49*Y137)-Y111</f>
        <v/>
      </c>
      <c r="Z197" s="50">
        <f>Z137-(Z21*Seasonality!$C$43*Z71+Z73+Z49*Z137)-Z111</f>
        <v/>
      </c>
      <c r="AA197" s="50">
        <f>AA137-(AA21*Seasonality!$C$43*AA71+AA73+AA49*AA137)-AA111</f>
        <v/>
      </c>
      <c r="AB197" s="50">
        <f>AB137-(AB21*Seasonality!$C$43*AB71+AB73+AB49*AB137)-AB111</f>
        <v/>
      </c>
      <c r="AC197" s="50">
        <f>AC137-(AC21*Seasonality!$C$43*AC71+AC73+AC49*AC137)-AC111</f>
        <v/>
      </c>
      <c r="AD197" s="50">
        <f>AD137-(AD21*Seasonality!$C$43*AD71+AD73+AD49*AD137)-AD111</f>
        <v/>
      </c>
      <c r="AE197" s="50">
        <f>AE137-(AE21*Seasonality!$C$43*AE71+AE73+AE49*AE137)-AE111</f>
        <v/>
      </c>
      <c r="AF197" s="50">
        <f>AF137-(AF21*Seasonality!$C$43*AF71+AF73+AF49*AF137)-AF111</f>
        <v/>
      </c>
      <c r="AG197" s="50">
        <f>AG137-(AG21*Seasonality!$C$43*AG71+AG73+AG49*AG137)-AG111</f>
        <v/>
      </c>
      <c r="AH197" s="50">
        <f>AH137-(AH21*Seasonality!$C$43*AH71+AH73+AH49*AH137)-AH111</f>
        <v/>
      </c>
      <c r="AI197" s="50">
        <f>AI137-(AI21*Seasonality!$C$43*AI71+AI73+AI49*AI137)-AI111</f>
        <v/>
      </c>
      <c r="AJ197" s="50">
        <f>AJ137-(AJ21*Seasonality!$C$43*AJ71+AJ73+AJ49*AJ137)-AJ111</f>
        <v/>
      </c>
      <c r="AK197" s="50">
        <f>AK137-(AK21*Seasonality!$C$43*AK71+AK73+AK49*AK137)-AK111</f>
        <v/>
      </c>
      <c r="AL197" s="50">
        <f>AL137-(AL21*Seasonality!$C$43*AL71+AL73+AL49*AL137)-AL111</f>
        <v/>
      </c>
      <c r="AM197" s="50">
        <f>AM137-(AM21*Seasonality!$C$43*AM71+AM73+AM49*AM137)-AM111</f>
        <v/>
      </c>
      <c r="AN197" s="50">
        <f>AN137-(AN21*Seasonality!$C$43*AN71+AN73+AN49*AN137)-AN111</f>
        <v/>
      </c>
      <c r="AO197" s="50">
        <f>AO137-(AO21*Seasonality!$C$43*AO71+AO73+AO49*AO137)-AO111</f>
        <v/>
      </c>
      <c r="AP197" s="50">
        <f>AP137-(AP21*Seasonality!$C$43*AP71+AP73+AP49*AP137)-AP111</f>
        <v/>
      </c>
      <c r="AQ197" s="50">
        <f>AQ137-(AQ21*Seasonality!$C$43*AQ71+AQ73+AQ49*AQ137)-AQ111</f>
        <v/>
      </c>
      <c r="AR197" s="50">
        <f>AR137-(AR21*Seasonality!$C$43*AR71+AR73+AR49*AR137)-AR111</f>
        <v/>
      </c>
      <c r="AS197" s="50">
        <f>AS137-(AS21*Seasonality!$C$43*AS71+AS73+AS49*AS137)-AS111</f>
        <v/>
      </c>
      <c r="AT197" s="50">
        <f>AT137-(AT21*Seasonality!$C$43*AT71+AT73+AT49*AT137)-AT111</f>
        <v/>
      </c>
      <c r="AU197" s="50">
        <f>AU137-(AU21*Seasonality!$C$43*AU71+AU73+AU49*AU137)-AU111</f>
        <v/>
      </c>
      <c r="AV197" s="50">
        <f>AV137-(AV21*Seasonality!$C$43*AV71+AV73+AV49*AV137)-AV111</f>
        <v/>
      </c>
      <c r="AW197" s="50">
        <f>AW137-(AW21*Seasonality!$C$43*AW71+AW73+AW49*AW137)-AW111</f>
        <v/>
      </c>
      <c r="AX197" s="50">
        <f>AX137-(AX21*Seasonality!$C$43*AX71+AX73+AX49*AX137)-AX111</f>
        <v/>
      </c>
      <c r="AY197" s="50">
        <f>AY137-(AY21*Seasonality!$C$43*AY71+AY73+AY49*AY137)-AY111</f>
        <v/>
      </c>
      <c r="AZ197" s="50">
        <f>AZ137-(AZ21*Seasonality!$C$43*AZ71+AZ73+AZ49*AZ137)-AZ111</f>
        <v/>
      </c>
      <c r="BA197" s="50">
        <f>BA137-(BA21*Seasonality!$C$43*BA71+BA73+BA49*BA137)-BA111</f>
        <v/>
      </c>
      <c r="BB197" s="50">
        <f>BB137-(BB21*Seasonality!$C$43*BB71+BB73+BB49*BB137)-BB111</f>
        <v/>
      </c>
      <c r="BC197" s="50">
        <f>BC137-(BC21*Seasonality!$C$43*BC71+BC73+BC49*BC137)-BC111</f>
        <v/>
      </c>
      <c r="BD197" s="50">
        <f>BD137-(BD21*Seasonality!$C$43*BD71+BD73+BD49*BD137)-BD111</f>
        <v/>
      </c>
      <c r="BE197" s="50">
        <f>BE137-(BE21*Seasonality!$C$43*BE71+BE73+BE49*BE137)-BE111</f>
        <v/>
      </c>
    </row>
    <row r="198">
      <c r="B198" s="7" t="inlineStr">
        <is>
          <t>Contribution · month 8</t>
        </is>
      </c>
      <c r="C198" s="5" t="inlineStr">
        <is>
          <t>₹</t>
        </is>
      </c>
      <c r="D198" s="50">
        <f>D138-(D21*Seasonality!$C$44*D71+D73+D49*D138)-D111</f>
        <v/>
      </c>
      <c r="E198" s="50">
        <f>E138-(E21*Seasonality!$C$44*E71+E73+E49*E138)-E111</f>
        <v/>
      </c>
      <c r="F198" s="50">
        <f>F138-(F21*Seasonality!$C$44*F71+F73+F49*F138)-F111</f>
        <v/>
      </c>
      <c r="G198" s="50">
        <f>G138-(G21*Seasonality!$C$44*G71+G73+G49*G138)-G111</f>
        <v/>
      </c>
      <c r="H198" s="50">
        <f>H138-(H21*Seasonality!$C$44*H71+H73+H49*H138)-H111</f>
        <v/>
      </c>
      <c r="I198" s="50">
        <f>I138-(I21*Seasonality!$C$44*I71+I73+I49*I138)-I111</f>
        <v/>
      </c>
      <c r="J198" s="50">
        <f>J138-(J21*Seasonality!$C$44*J71+J73+J49*J138)-J111</f>
        <v/>
      </c>
      <c r="K198" s="50">
        <f>K138-(K21*Seasonality!$C$44*K71+K73+K49*K138)-K111</f>
        <v/>
      </c>
      <c r="L198" s="50">
        <f>L138-(L21*Seasonality!$C$44*L71+L73+L49*L138)-L111</f>
        <v/>
      </c>
      <c r="M198" s="50">
        <f>M138-(M21*Seasonality!$C$44*M71+M73+M49*M138)-M111</f>
        <v/>
      </c>
      <c r="N198" s="50">
        <f>N138-(N21*Seasonality!$C$44*N71+N73+N49*N138)-N111</f>
        <v/>
      </c>
      <c r="O198" s="50">
        <f>O138-(O21*Seasonality!$C$44*O71+O73+O49*O138)-O111</f>
        <v/>
      </c>
      <c r="P198" s="50">
        <f>P138-(P21*Seasonality!$C$44*P71+P73+P49*P138)-P111</f>
        <v/>
      </c>
      <c r="Q198" s="50">
        <f>Q138-(Q21*Seasonality!$C$44*Q71+Q73+Q49*Q138)-Q111</f>
        <v/>
      </c>
      <c r="R198" s="50">
        <f>R138-(R21*Seasonality!$C$44*R71+R73+R49*R138)-R111</f>
        <v/>
      </c>
      <c r="S198" s="50">
        <f>S138-(S21*Seasonality!$C$44*S71+S73+S49*S138)-S111</f>
        <v/>
      </c>
      <c r="T198" s="50">
        <f>T138-(T21*Seasonality!$C$44*T71+T73+T49*T138)-T111</f>
        <v/>
      </c>
      <c r="U198" s="50">
        <f>U138-(U21*Seasonality!$C$44*U71+U73+U49*U138)-U111</f>
        <v/>
      </c>
      <c r="V198" s="50">
        <f>V138-(V21*Seasonality!$C$44*V71+V73+V49*V138)-V111</f>
        <v/>
      </c>
      <c r="W198" s="50">
        <f>W138-(W21*Seasonality!$C$44*W71+W73+W49*W138)-W111</f>
        <v/>
      </c>
      <c r="X198" s="50">
        <f>X138-(X21*Seasonality!$C$44*X71+X73+X49*X138)-X111</f>
        <v/>
      </c>
      <c r="Y198" s="50">
        <f>Y138-(Y21*Seasonality!$C$44*Y71+Y73+Y49*Y138)-Y111</f>
        <v/>
      </c>
      <c r="Z198" s="50">
        <f>Z138-(Z21*Seasonality!$C$44*Z71+Z73+Z49*Z138)-Z111</f>
        <v/>
      </c>
      <c r="AA198" s="50">
        <f>AA138-(AA21*Seasonality!$C$44*AA71+AA73+AA49*AA138)-AA111</f>
        <v/>
      </c>
      <c r="AB198" s="50">
        <f>AB138-(AB21*Seasonality!$C$44*AB71+AB73+AB49*AB138)-AB111</f>
        <v/>
      </c>
      <c r="AC198" s="50">
        <f>AC138-(AC21*Seasonality!$C$44*AC71+AC73+AC49*AC138)-AC111</f>
        <v/>
      </c>
      <c r="AD198" s="50">
        <f>AD138-(AD21*Seasonality!$C$44*AD71+AD73+AD49*AD138)-AD111</f>
        <v/>
      </c>
      <c r="AE198" s="50">
        <f>AE138-(AE21*Seasonality!$C$44*AE71+AE73+AE49*AE138)-AE111</f>
        <v/>
      </c>
      <c r="AF198" s="50">
        <f>AF138-(AF21*Seasonality!$C$44*AF71+AF73+AF49*AF138)-AF111</f>
        <v/>
      </c>
      <c r="AG198" s="50">
        <f>AG138-(AG21*Seasonality!$C$44*AG71+AG73+AG49*AG138)-AG111</f>
        <v/>
      </c>
      <c r="AH198" s="50">
        <f>AH138-(AH21*Seasonality!$C$44*AH71+AH73+AH49*AH138)-AH111</f>
        <v/>
      </c>
      <c r="AI198" s="50">
        <f>AI138-(AI21*Seasonality!$C$44*AI71+AI73+AI49*AI138)-AI111</f>
        <v/>
      </c>
      <c r="AJ198" s="50">
        <f>AJ138-(AJ21*Seasonality!$C$44*AJ71+AJ73+AJ49*AJ138)-AJ111</f>
        <v/>
      </c>
      <c r="AK198" s="50">
        <f>AK138-(AK21*Seasonality!$C$44*AK71+AK73+AK49*AK138)-AK111</f>
        <v/>
      </c>
      <c r="AL198" s="50">
        <f>AL138-(AL21*Seasonality!$C$44*AL71+AL73+AL49*AL138)-AL111</f>
        <v/>
      </c>
      <c r="AM198" s="50">
        <f>AM138-(AM21*Seasonality!$C$44*AM71+AM73+AM49*AM138)-AM111</f>
        <v/>
      </c>
      <c r="AN198" s="50">
        <f>AN138-(AN21*Seasonality!$C$44*AN71+AN73+AN49*AN138)-AN111</f>
        <v/>
      </c>
      <c r="AO198" s="50">
        <f>AO138-(AO21*Seasonality!$C$44*AO71+AO73+AO49*AO138)-AO111</f>
        <v/>
      </c>
      <c r="AP198" s="50">
        <f>AP138-(AP21*Seasonality!$C$44*AP71+AP73+AP49*AP138)-AP111</f>
        <v/>
      </c>
      <c r="AQ198" s="50">
        <f>AQ138-(AQ21*Seasonality!$C$44*AQ71+AQ73+AQ49*AQ138)-AQ111</f>
        <v/>
      </c>
      <c r="AR198" s="50">
        <f>AR138-(AR21*Seasonality!$C$44*AR71+AR73+AR49*AR138)-AR111</f>
        <v/>
      </c>
      <c r="AS198" s="50">
        <f>AS138-(AS21*Seasonality!$C$44*AS71+AS73+AS49*AS138)-AS111</f>
        <v/>
      </c>
      <c r="AT198" s="50">
        <f>AT138-(AT21*Seasonality!$C$44*AT71+AT73+AT49*AT138)-AT111</f>
        <v/>
      </c>
      <c r="AU198" s="50">
        <f>AU138-(AU21*Seasonality!$C$44*AU71+AU73+AU49*AU138)-AU111</f>
        <v/>
      </c>
      <c r="AV198" s="50">
        <f>AV138-(AV21*Seasonality!$C$44*AV71+AV73+AV49*AV138)-AV111</f>
        <v/>
      </c>
      <c r="AW198" s="50">
        <f>AW138-(AW21*Seasonality!$C$44*AW71+AW73+AW49*AW138)-AW111</f>
        <v/>
      </c>
      <c r="AX198" s="50">
        <f>AX138-(AX21*Seasonality!$C$44*AX71+AX73+AX49*AX138)-AX111</f>
        <v/>
      </c>
      <c r="AY198" s="50">
        <f>AY138-(AY21*Seasonality!$C$44*AY71+AY73+AY49*AY138)-AY111</f>
        <v/>
      </c>
      <c r="AZ198" s="50">
        <f>AZ138-(AZ21*Seasonality!$C$44*AZ71+AZ73+AZ49*AZ138)-AZ111</f>
        <v/>
      </c>
      <c r="BA198" s="50">
        <f>BA138-(BA21*Seasonality!$C$44*BA71+BA73+BA49*BA138)-BA111</f>
        <v/>
      </c>
      <c r="BB198" s="50">
        <f>BB138-(BB21*Seasonality!$C$44*BB71+BB73+BB49*BB138)-BB111</f>
        <v/>
      </c>
      <c r="BC198" s="50">
        <f>BC138-(BC21*Seasonality!$C$44*BC71+BC73+BC49*BC138)-BC111</f>
        <v/>
      </c>
      <c r="BD198" s="50">
        <f>BD138-(BD21*Seasonality!$C$44*BD71+BD73+BD49*BD138)-BD111</f>
        <v/>
      </c>
      <c r="BE198" s="50">
        <f>BE138-(BE21*Seasonality!$C$44*BE71+BE73+BE49*BE138)-BE111</f>
        <v/>
      </c>
    </row>
    <row r="199">
      <c r="B199" s="7" t="inlineStr">
        <is>
          <t>Contribution · month 9</t>
        </is>
      </c>
      <c r="C199" s="5" t="inlineStr">
        <is>
          <t>₹</t>
        </is>
      </c>
      <c r="D199" s="50">
        <f>D139-(D21*Seasonality!$C$45*D71+D73+D49*D139)-D111</f>
        <v/>
      </c>
      <c r="E199" s="50">
        <f>E139-(E21*Seasonality!$C$45*E71+E73+E49*E139)-E111</f>
        <v/>
      </c>
      <c r="F199" s="50">
        <f>F139-(F21*Seasonality!$C$45*F71+F73+F49*F139)-F111</f>
        <v/>
      </c>
      <c r="G199" s="50">
        <f>G139-(G21*Seasonality!$C$45*G71+G73+G49*G139)-G111</f>
        <v/>
      </c>
      <c r="H199" s="50">
        <f>H139-(H21*Seasonality!$C$45*H71+H73+H49*H139)-H111</f>
        <v/>
      </c>
      <c r="I199" s="50">
        <f>I139-(I21*Seasonality!$C$45*I71+I73+I49*I139)-I111</f>
        <v/>
      </c>
      <c r="J199" s="50">
        <f>J139-(J21*Seasonality!$C$45*J71+J73+J49*J139)-J111</f>
        <v/>
      </c>
      <c r="K199" s="50">
        <f>K139-(K21*Seasonality!$C$45*K71+K73+K49*K139)-K111</f>
        <v/>
      </c>
      <c r="L199" s="50">
        <f>L139-(L21*Seasonality!$C$45*L71+L73+L49*L139)-L111</f>
        <v/>
      </c>
      <c r="M199" s="50">
        <f>M139-(M21*Seasonality!$C$45*M71+M73+M49*M139)-M111</f>
        <v/>
      </c>
      <c r="N199" s="50">
        <f>N139-(N21*Seasonality!$C$45*N71+N73+N49*N139)-N111</f>
        <v/>
      </c>
      <c r="O199" s="50">
        <f>O139-(O21*Seasonality!$C$45*O71+O73+O49*O139)-O111</f>
        <v/>
      </c>
      <c r="P199" s="50">
        <f>P139-(P21*Seasonality!$C$45*P71+P73+P49*P139)-P111</f>
        <v/>
      </c>
      <c r="Q199" s="50">
        <f>Q139-(Q21*Seasonality!$C$45*Q71+Q73+Q49*Q139)-Q111</f>
        <v/>
      </c>
      <c r="R199" s="50">
        <f>R139-(R21*Seasonality!$C$45*R71+R73+R49*R139)-R111</f>
        <v/>
      </c>
      <c r="S199" s="50">
        <f>S139-(S21*Seasonality!$C$45*S71+S73+S49*S139)-S111</f>
        <v/>
      </c>
      <c r="T199" s="50">
        <f>T139-(T21*Seasonality!$C$45*T71+T73+T49*T139)-T111</f>
        <v/>
      </c>
      <c r="U199" s="50">
        <f>U139-(U21*Seasonality!$C$45*U71+U73+U49*U139)-U111</f>
        <v/>
      </c>
      <c r="V199" s="50">
        <f>V139-(V21*Seasonality!$C$45*V71+V73+V49*V139)-V111</f>
        <v/>
      </c>
      <c r="W199" s="50">
        <f>W139-(W21*Seasonality!$C$45*W71+W73+W49*W139)-W111</f>
        <v/>
      </c>
      <c r="X199" s="50">
        <f>X139-(X21*Seasonality!$C$45*X71+X73+X49*X139)-X111</f>
        <v/>
      </c>
      <c r="Y199" s="50">
        <f>Y139-(Y21*Seasonality!$C$45*Y71+Y73+Y49*Y139)-Y111</f>
        <v/>
      </c>
      <c r="Z199" s="50">
        <f>Z139-(Z21*Seasonality!$C$45*Z71+Z73+Z49*Z139)-Z111</f>
        <v/>
      </c>
      <c r="AA199" s="50">
        <f>AA139-(AA21*Seasonality!$C$45*AA71+AA73+AA49*AA139)-AA111</f>
        <v/>
      </c>
      <c r="AB199" s="50">
        <f>AB139-(AB21*Seasonality!$C$45*AB71+AB73+AB49*AB139)-AB111</f>
        <v/>
      </c>
      <c r="AC199" s="50">
        <f>AC139-(AC21*Seasonality!$C$45*AC71+AC73+AC49*AC139)-AC111</f>
        <v/>
      </c>
      <c r="AD199" s="50">
        <f>AD139-(AD21*Seasonality!$C$45*AD71+AD73+AD49*AD139)-AD111</f>
        <v/>
      </c>
      <c r="AE199" s="50">
        <f>AE139-(AE21*Seasonality!$C$45*AE71+AE73+AE49*AE139)-AE111</f>
        <v/>
      </c>
      <c r="AF199" s="50">
        <f>AF139-(AF21*Seasonality!$C$45*AF71+AF73+AF49*AF139)-AF111</f>
        <v/>
      </c>
      <c r="AG199" s="50">
        <f>AG139-(AG21*Seasonality!$C$45*AG71+AG73+AG49*AG139)-AG111</f>
        <v/>
      </c>
      <c r="AH199" s="50">
        <f>AH139-(AH21*Seasonality!$C$45*AH71+AH73+AH49*AH139)-AH111</f>
        <v/>
      </c>
      <c r="AI199" s="50">
        <f>AI139-(AI21*Seasonality!$C$45*AI71+AI73+AI49*AI139)-AI111</f>
        <v/>
      </c>
      <c r="AJ199" s="50">
        <f>AJ139-(AJ21*Seasonality!$C$45*AJ71+AJ73+AJ49*AJ139)-AJ111</f>
        <v/>
      </c>
      <c r="AK199" s="50">
        <f>AK139-(AK21*Seasonality!$C$45*AK71+AK73+AK49*AK139)-AK111</f>
        <v/>
      </c>
      <c r="AL199" s="50">
        <f>AL139-(AL21*Seasonality!$C$45*AL71+AL73+AL49*AL139)-AL111</f>
        <v/>
      </c>
      <c r="AM199" s="50">
        <f>AM139-(AM21*Seasonality!$C$45*AM71+AM73+AM49*AM139)-AM111</f>
        <v/>
      </c>
      <c r="AN199" s="50">
        <f>AN139-(AN21*Seasonality!$C$45*AN71+AN73+AN49*AN139)-AN111</f>
        <v/>
      </c>
      <c r="AO199" s="50">
        <f>AO139-(AO21*Seasonality!$C$45*AO71+AO73+AO49*AO139)-AO111</f>
        <v/>
      </c>
      <c r="AP199" s="50">
        <f>AP139-(AP21*Seasonality!$C$45*AP71+AP73+AP49*AP139)-AP111</f>
        <v/>
      </c>
      <c r="AQ199" s="50">
        <f>AQ139-(AQ21*Seasonality!$C$45*AQ71+AQ73+AQ49*AQ139)-AQ111</f>
        <v/>
      </c>
      <c r="AR199" s="50">
        <f>AR139-(AR21*Seasonality!$C$45*AR71+AR73+AR49*AR139)-AR111</f>
        <v/>
      </c>
      <c r="AS199" s="50">
        <f>AS139-(AS21*Seasonality!$C$45*AS71+AS73+AS49*AS139)-AS111</f>
        <v/>
      </c>
      <c r="AT199" s="50">
        <f>AT139-(AT21*Seasonality!$C$45*AT71+AT73+AT49*AT139)-AT111</f>
        <v/>
      </c>
      <c r="AU199" s="50">
        <f>AU139-(AU21*Seasonality!$C$45*AU71+AU73+AU49*AU139)-AU111</f>
        <v/>
      </c>
      <c r="AV199" s="50">
        <f>AV139-(AV21*Seasonality!$C$45*AV71+AV73+AV49*AV139)-AV111</f>
        <v/>
      </c>
      <c r="AW199" s="50">
        <f>AW139-(AW21*Seasonality!$C$45*AW71+AW73+AW49*AW139)-AW111</f>
        <v/>
      </c>
      <c r="AX199" s="50">
        <f>AX139-(AX21*Seasonality!$C$45*AX71+AX73+AX49*AX139)-AX111</f>
        <v/>
      </c>
      <c r="AY199" s="50">
        <f>AY139-(AY21*Seasonality!$C$45*AY71+AY73+AY49*AY139)-AY111</f>
        <v/>
      </c>
      <c r="AZ199" s="50">
        <f>AZ139-(AZ21*Seasonality!$C$45*AZ71+AZ73+AZ49*AZ139)-AZ111</f>
        <v/>
      </c>
      <c r="BA199" s="50">
        <f>BA139-(BA21*Seasonality!$C$45*BA71+BA73+BA49*BA139)-BA111</f>
        <v/>
      </c>
      <c r="BB199" s="50">
        <f>BB139-(BB21*Seasonality!$C$45*BB71+BB73+BB49*BB139)-BB111</f>
        <v/>
      </c>
      <c r="BC199" s="50">
        <f>BC139-(BC21*Seasonality!$C$45*BC71+BC73+BC49*BC139)-BC111</f>
        <v/>
      </c>
      <c r="BD199" s="50">
        <f>BD139-(BD21*Seasonality!$C$45*BD71+BD73+BD49*BD139)-BD111</f>
        <v/>
      </c>
      <c r="BE199" s="50">
        <f>BE139-(BE21*Seasonality!$C$45*BE71+BE73+BE49*BE139)-BE111</f>
        <v/>
      </c>
    </row>
    <row r="200">
      <c r="B200" s="7" t="inlineStr">
        <is>
          <t>Contribution · month 10</t>
        </is>
      </c>
      <c r="C200" s="5" t="inlineStr">
        <is>
          <t>₹</t>
        </is>
      </c>
      <c r="D200" s="50">
        <f>D140-(D21*Seasonality!$C$46*D71+D73+D49*D140)-D111</f>
        <v/>
      </c>
      <c r="E200" s="50">
        <f>E140-(E21*Seasonality!$C$46*E71+E73+E49*E140)-E111</f>
        <v/>
      </c>
      <c r="F200" s="50">
        <f>F140-(F21*Seasonality!$C$46*F71+F73+F49*F140)-F111</f>
        <v/>
      </c>
      <c r="G200" s="50">
        <f>G140-(G21*Seasonality!$C$46*G71+G73+G49*G140)-G111</f>
        <v/>
      </c>
      <c r="H200" s="50">
        <f>H140-(H21*Seasonality!$C$46*H71+H73+H49*H140)-H111</f>
        <v/>
      </c>
      <c r="I200" s="50">
        <f>I140-(I21*Seasonality!$C$46*I71+I73+I49*I140)-I111</f>
        <v/>
      </c>
      <c r="J200" s="50">
        <f>J140-(J21*Seasonality!$C$46*J71+J73+J49*J140)-J111</f>
        <v/>
      </c>
      <c r="K200" s="50">
        <f>K140-(K21*Seasonality!$C$46*K71+K73+K49*K140)-K111</f>
        <v/>
      </c>
      <c r="L200" s="50">
        <f>L140-(L21*Seasonality!$C$46*L71+L73+L49*L140)-L111</f>
        <v/>
      </c>
      <c r="M200" s="50">
        <f>M140-(M21*Seasonality!$C$46*M71+M73+M49*M140)-M111</f>
        <v/>
      </c>
      <c r="N200" s="50">
        <f>N140-(N21*Seasonality!$C$46*N71+N73+N49*N140)-N111</f>
        <v/>
      </c>
      <c r="O200" s="50">
        <f>O140-(O21*Seasonality!$C$46*O71+O73+O49*O140)-O111</f>
        <v/>
      </c>
      <c r="P200" s="50">
        <f>P140-(P21*Seasonality!$C$46*P71+P73+P49*P140)-P111</f>
        <v/>
      </c>
      <c r="Q200" s="50">
        <f>Q140-(Q21*Seasonality!$C$46*Q71+Q73+Q49*Q140)-Q111</f>
        <v/>
      </c>
      <c r="R200" s="50">
        <f>R140-(R21*Seasonality!$C$46*R71+R73+R49*R140)-R111</f>
        <v/>
      </c>
      <c r="S200" s="50">
        <f>S140-(S21*Seasonality!$C$46*S71+S73+S49*S140)-S111</f>
        <v/>
      </c>
      <c r="T200" s="50">
        <f>T140-(T21*Seasonality!$C$46*T71+T73+T49*T140)-T111</f>
        <v/>
      </c>
      <c r="U200" s="50">
        <f>U140-(U21*Seasonality!$C$46*U71+U73+U49*U140)-U111</f>
        <v/>
      </c>
      <c r="V200" s="50">
        <f>V140-(V21*Seasonality!$C$46*V71+V73+V49*V140)-V111</f>
        <v/>
      </c>
      <c r="W200" s="50">
        <f>W140-(W21*Seasonality!$C$46*W71+W73+W49*W140)-W111</f>
        <v/>
      </c>
      <c r="X200" s="50">
        <f>X140-(X21*Seasonality!$C$46*X71+X73+X49*X140)-X111</f>
        <v/>
      </c>
      <c r="Y200" s="50">
        <f>Y140-(Y21*Seasonality!$C$46*Y71+Y73+Y49*Y140)-Y111</f>
        <v/>
      </c>
      <c r="Z200" s="50">
        <f>Z140-(Z21*Seasonality!$C$46*Z71+Z73+Z49*Z140)-Z111</f>
        <v/>
      </c>
      <c r="AA200" s="50">
        <f>AA140-(AA21*Seasonality!$C$46*AA71+AA73+AA49*AA140)-AA111</f>
        <v/>
      </c>
      <c r="AB200" s="50">
        <f>AB140-(AB21*Seasonality!$C$46*AB71+AB73+AB49*AB140)-AB111</f>
        <v/>
      </c>
      <c r="AC200" s="50">
        <f>AC140-(AC21*Seasonality!$C$46*AC71+AC73+AC49*AC140)-AC111</f>
        <v/>
      </c>
      <c r="AD200" s="50">
        <f>AD140-(AD21*Seasonality!$C$46*AD71+AD73+AD49*AD140)-AD111</f>
        <v/>
      </c>
      <c r="AE200" s="50">
        <f>AE140-(AE21*Seasonality!$C$46*AE71+AE73+AE49*AE140)-AE111</f>
        <v/>
      </c>
      <c r="AF200" s="50">
        <f>AF140-(AF21*Seasonality!$C$46*AF71+AF73+AF49*AF140)-AF111</f>
        <v/>
      </c>
      <c r="AG200" s="50">
        <f>AG140-(AG21*Seasonality!$C$46*AG71+AG73+AG49*AG140)-AG111</f>
        <v/>
      </c>
      <c r="AH200" s="50">
        <f>AH140-(AH21*Seasonality!$C$46*AH71+AH73+AH49*AH140)-AH111</f>
        <v/>
      </c>
      <c r="AI200" s="50">
        <f>AI140-(AI21*Seasonality!$C$46*AI71+AI73+AI49*AI140)-AI111</f>
        <v/>
      </c>
      <c r="AJ200" s="50">
        <f>AJ140-(AJ21*Seasonality!$C$46*AJ71+AJ73+AJ49*AJ140)-AJ111</f>
        <v/>
      </c>
      <c r="AK200" s="50">
        <f>AK140-(AK21*Seasonality!$C$46*AK71+AK73+AK49*AK140)-AK111</f>
        <v/>
      </c>
      <c r="AL200" s="50">
        <f>AL140-(AL21*Seasonality!$C$46*AL71+AL73+AL49*AL140)-AL111</f>
        <v/>
      </c>
      <c r="AM200" s="50">
        <f>AM140-(AM21*Seasonality!$C$46*AM71+AM73+AM49*AM140)-AM111</f>
        <v/>
      </c>
      <c r="AN200" s="50">
        <f>AN140-(AN21*Seasonality!$C$46*AN71+AN73+AN49*AN140)-AN111</f>
        <v/>
      </c>
      <c r="AO200" s="50">
        <f>AO140-(AO21*Seasonality!$C$46*AO71+AO73+AO49*AO140)-AO111</f>
        <v/>
      </c>
      <c r="AP200" s="50">
        <f>AP140-(AP21*Seasonality!$C$46*AP71+AP73+AP49*AP140)-AP111</f>
        <v/>
      </c>
      <c r="AQ200" s="50">
        <f>AQ140-(AQ21*Seasonality!$C$46*AQ71+AQ73+AQ49*AQ140)-AQ111</f>
        <v/>
      </c>
      <c r="AR200" s="50">
        <f>AR140-(AR21*Seasonality!$C$46*AR71+AR73+AR49*AR140)-AR111</f>
        <v/>
      </c>
      <c r="AS200" s="50">
        <f>AS140-(AS21*Seasonality!$C$46*AS71+AS73+AS49*AS140)-AS111</f>
        <v/>
      </c>
      <c r="AT200" s="50">
        <f>AT140-(AT21*Seasonality!$C$46*AT71+AT73+AT49*AT140)-AT111</f>
        <v/>
      </c>
      <c r="AU200" s="50">
        <f>AU140-(AU21*Seasonality!$C$46*AU71+AU73+AU49*AU140)-AU111</f>
        <v/>
      </c>
      <c r="AV200" s="50">
        <f>AV140-(AV21*Seasonality!$C$46*AV71+AV73+AV49*AV140)-AV111</f>
        <v/>
      </c>
      <c r="AW200" s="50">
        <f>AW140-(AW21*Seasonality!$C$46*AW71+AW73+AW49*AW140)-AW111</f>
        <v/>
      </c>
      <c r="AX200" s="50">
        <f>AX140-(AX21*Seasonality!$C$46*AX71+AX73+AX49*AX140)-AX111</f>
        <v/>
      </c>
      <c r="AY200" s="50">
        <f>AY140-(AY21*Seasonality!$C$46*AY71+AY73+AY49*AY140)-AY111</f>
        <v/>
      </c>
      <c r="AZ200" s="50">
        <f>AZ140-(AZ21*Seasonality!$C$46*AZ71+AZ73+AZ49*AZ140)-AZ111</f>
        <v/>
      </c>
      <c r="BA200" s="50">
        <f>BA140-(BA21*Seasonality!$C$46*BA71+BA73+BA49*BA140)-BA111</f>
        <v/>
      </c>
      <c r="BB200" s="50">
        <f>BB140-(BB21*Seasonality!$C$46*BB71+BB73+BB49*BB140)-BB111</f>
        <v/>
      </c>
      <c r="BC200" s="50">
        <f>BC140-(BC21*Seasonality!$C$46*BC71+BC73+BC49*BC140)-BC111</f>
        <v/>
      </c>
      <c r="BD200" s="50">
        <f>BD140-(BD21*Seasonality!$C$46*BD71+BD73+BD49*BD140)-BD111</f>
        <v/>
      </c>
      <c r="BE200" s="50">
        <f>BE140-(BE21*Seasonality!$C$46*BE71+BE73+BE49*BE140)-BE111</f>
        <v/>
      </c>
    </row>
    <row r="201">
      <c r="B201" s="7" t="inlineStr">
        <is>
          <t>Contribution · month 11</t>
        </is>
      </c>
      <c r="C201" s="5" t="inlineStr">
        <is>
          <t>₹</t>
        </is>
      </c>
      <c r="D201" s="50">
        <f>D141-(D21*Seasonality!$C$47*D71+D73+D49*D141)-D111</f>
        <v/>
      </c>
      <c r="E201" s="50">
        <f>E141-(E21*Seasonality!$C$47*E71+E73+E49*E141)-E111</f>
        <v/>
      </c>
      <c r="F201" s="50">
        <f>F141-(F21*Seasonality!$C$47*F71+F73+F49*F141)-F111</f>
        <v/>
      </c>
      <c r="G201" s="50">
        <f>G141-(G21*Seasonality!$C$47*G71+G73+G49*G141)-G111</f>
        <v/>
      </c>
      <c r="H201" s="50">
        <f>H141-(H21*Seasonality!$C$47*H71+H73+H49*H141)-H111</f>
        <v/>
      </c>
      <c r="I201" s="50">
        <f>I141-(I21*Seasonality!$C$47*I71+I73+I49*I141)-I111</f>
        <v/>
      </c>
      <c r="J201" s="50">
        <f>J141-(J21*Seasonality!$C$47*J71+J73+J49*J141)-J111</f>
        <v/>
      </c>
      <c r="K201" s="50">
        <f>K141-(K21*Seasonality!$C$47*K71+K73+K49*K141)-K111</f>
        <v/>
      </c>
      <c r="L201" s="50">
        <f>L141-(L21*Seasonality!$C$47*L71+L73+L49*L141)-L111</f>
        <v/>
      </c>
      <c r="M201" s="50">
        <f>M141-(M21*Seasonality!$C$47*M71+M73+M49*M141)-M111</f>
        <v/>
      </c>
      <c r="N201" s="50">
        <f>N141-(N21*Seasonality!$C$47*N71+N73+N49*N141)-N111</f>
        <v/>
      </c>
      <c r="O201" s="50">
        <f>O141-(O21*Seasonality!$C$47*O71+O73+O49*O141)-O111</f>
        <v/>
      </c>
      <c r="P201" s="50">
        <f>P141-(P21*Seasonality!$C$47*P71+P73+P49*P141)-P111</f>
        <v/>
      </c>
      <c r="Q201" s="50">
        <f>Q141-(Q21*Seasonality!$C$47*Q71+Q73+Q49*Q141)-Q111</f>
        <v/>
      </c>
      <c r="R201" s="50">
        <f>R141-(R21*Seasonality!$C$47*R71+R73+R49*R141)-R111</f>
        <v/>
      </c>
      <c r="S201" s="50">
        <f>S141-(S21*Seasonality!$C$47*S71+S73+S49*S141)-S111</f>
        <v/>
      </c>
      <c r="T201" s="50">
        <f>T141-(T21*Seasonality!$C$47*T71+T73+T49*T141)-T111</f>
        <v/>
      </c>
      <c r="U201" s="50">
        <f>U141-(U21*Seasonality!$C$47*U71+U73+U49*U141)-U111</f>
        <v/>
      </c>
      <c r="V201" s="50">
        <f>V141-(V21*Seasonality!$C$47*V71+V73+V49*V141)-V111</f>
        <v/>
      </c>
      <c r="W201" s="50">
        <f>W141-(W21*Seasonality!$C$47*W71+W73+W49*W141)-W111</f>
        <v/>
      </c>
      <c r="X201" s="50">
        <f>X141-(X21*Seasonality!$C$47*X71+X73+X49*X141)-X111</f>
        <v/>
      </c>
      <c r="Y201" s="50">
        <f>Y141-(Y21*Seasonality!$C$47*Y71+Y73+Y49*Y141)-Y111</f>
        <v/>
      </c>
      <c r="Z201" s="50">
        <f>Z141-(Z21*Seasonality!$C$47*Z71+Z73+Z49*Z141)-Z111</f>
        <v/>
      </c>
      <c r="AA201" s="50">
        <f>AA141-(AA21*Seasonality!$C$47*AA71+AA73+AA49*AA141)-AA111</f>
        <v/>
      </c>
      <c r="AB201" s="50">
        <f>AB141-(AB21*Seasonality!$C$47*AB71+AB73+AB49*AB141)-AB111</f>
        <v/>
      </c>
      <c r="AC201" s="50">
        <f>AC141-(AC21*Seasonality!$C$47*AC71+AC73+AC49*AC141)-AC111</f>
        <v/>
      </c>
      <c r="AD201" s="50">
        <f>AD141-(AD21*Seasonality!$C$47*AD71+AD73+AD49*AD141)-AD111</f>
        <v/>
      </c>
      <c r="AE201" s="50">
        <f>AE141-(AE21*Seasonality!$C$47*AE71+AE73+AE49*AE141)-AE111</f>
        <v/>
      </c>
      <c r="AF201" s="50">
        <f>AF141-(AF21*Seasonality!$C$47*AF71+AF73+AF49*AF141)-AF111</f>
        <v/>
      </c>
      <c r="AG201" s="50">
        <f>AG141-(AG21*Seasonality!$C$47*AG71+AG73+AG49*AG141)-AG111</f>
        <v/>
      </c>
      <c r="AH201" s="50">
        <f>AH141-(AH21*Seasonality!$C$47*AH71+AH73+AH49*AH141)-AH111</f>
        <v/>
      </c>
      <c r="AI201" s="50">
        <f>AI141-(AI21*Seasonality!$C$47*AI71+AI73+AI49*AI141)-AI111</f>
        <v/>
      </c>
      <c r="AJ201" s="50">
        <f>AJ141-(AJ21*Seasonality!$C$47*AJ71+AJ73+AJ49*AJ141)-AJ111</f>
        <v/>
      </c>
      <c r="AK201" s="50">
        <f>AK141-(AK21*Seasonality!$C$47*AK71+AK73+AK49*AK141)-AK111</f>
        <v/>
      </c>
      <c r="AL201" s="50">
        <f>AL141-(AL21*Seasonality!$C$47*AL71+AL73+AL49*AL141)-AL111</f>
        <v/>
      </c>
      <c r="AM201" s="50">
        <f>AM141-(AM21*Seasonality!$C$47*AM71+AM73+AM49*AM141)-AM111</f>
        <v/>
      </c>
      <c r="AN201" s="50">
        <f>AN141-(AN21*Seasonality!$C$47*AN71+AN73+AN49*AN141)-AN111</f>
        <v/>
      </c>
      <c r="AO201" s="50">
        <f>AO141-(AO21*Seasonality!$C$47*AO71+AO73+AO49*AO141)-AO111</f>
        <v/>
      </c>
      <c r="AP201" s="50">
        <f>AP141-(AP21*Seasonality!$C$47*AP71+AP73+AP49*AP141)-AP111</f>
        <v/>
      </c>
      <c r="AQ201" s="50">
        <f>AQ141-(AQ21*Seasonality!$C$47*AQ71+AQ73+AQ49*AQ141)-AQ111</f>
        <v/>
      </c>
      <c r="AR201" s="50">
        <f>AR141-(AR21*Seasonality!$C$47*AR71+AR73+AR49*AR141)-AR111</f>
        <v/>
      </c>
      <c r="AS201" s="50">
        <f>AS141-(AS21*Seasonality!$C$47*AS71+AS73+AS49*AS141)-AS111</f>
        <v/>
      </c>
      <c r="AT201" s="50">
        <f>AT141-(AT21*Seasonality!$C$47*AT71+AT73+AT49*AT141)-AT111</f>
        <v/>
      </c>
      <c r="AU201" s="50">
        <f>AU141-(AU21*Seasonality!$C$47*AU71+AU73+AU49*AU141)-AU111</f>
        <v/>
      </c>
      <c r="AV201" s="50">
        <f>AV141-(AV21*Seasonality!$C$47*AV71+AV73+AV49*AV141)-AV111</f>
        <v/>
      </c>
      <c r="AW201" s="50">
        <f>AW141-(AW21*Seasonality!$C$47*AW71+AW73+AW49*AW141)-AW111</f>
        <v/>
      </c>
      <c r="AX201" s="50">
        <f>AX141-(AX21*Seasonality!$C$47*AX71+AX73+AX49*AX141)-AX111</f>
        <v/>
      </c>
      <c r="AY201" s="50">
        <f>AY141-(AY21*Seasonality!$C$47*AY71+AY73+AY49*AY141)-AY111</f>
        <v/>
      </c>
      <c r="AZ201" s="50">
        <f>AZ141-(AZ21*Seasonality!$C$47*AZ71+AZ73+AZ49*AZ141)-AZ111</f>
        <v/>
      </c>
      <c r="BA201" s="50">
        <f>BA141-(BA21*Seasonality!$C$47*BA71+BA73+BA49*BA141)-BA111</f>
        <v/>
      </c>
      <c r="BB201" s="50">
        <f>BB141-(BB21*Seasonality!$C$47*BB71+BB73+BB49*BB141)-BB111</f>
        <v/>
      </c>
      <c r="BC201" s="50">
        <f>BC141-(BC21*Seasonality!$C$47*BC71+BC73+BC49*BC141)-BC111</f>
        <v/>
      </c>
      <c r="BD201" s="50">
        <f>BD141-(BD21*Seasonality!$C$47*BD71+BD73+BD49*BD141)-BD111</f>
        <v/>
      </c>
      <c r="BE201" s="50">
        <f>BE141-(BE21*Seasonality!$C$47*BE71+BE73+BE49*BE141)-BE111</f>
        <v/>
      </c>
    </row>
    <row r="202">
      <c r="B202" s="7" t="inlineStr">
        <is>
          <t>Contribution · month 12</t>
        </is>
      </c>
      <c r="C202" s="5" t="inlineStr">
        <is>
          <t>₹</t>
        </is>
      </c>
      <c r="D202" s="50">
        <f>D142-(D21*Seasonality!$C$48*D71+D73+D49*D142)-D111</f>
        <v/>
      </c>
      <c r="E202" s="50">
        <f>E142-(E21*Seasonality!$C$48*E71+E73+E49*E142)-E111</f>
        <v/>
      </c>
      <c r="F202" s="50">
        <f>F142-(F21*Seasonality!$C$48*F71+F73+F49*F142)-F111</f>
        <v/>
      </c>
      <c r="G202" s="50">
        <f>G142-(G21*Seasonality!$C$48*G71+G73+G49*G142)-G111</f>
        <v/>
      </c>
      <c r="H202" s="50">
        <f>H142-(H21*Seasonality!$C$48*H71+H73+H49*H142)-H111</f>
        <v/>
      </c>
      <c r="I202" s="50">
        <f>I142-(I21*Seasonality!$C$48*I71+I73+I49*I142)-I111</f>
        <v/>
      </c>
      <c r="J202" s="50">
        <f>J142-(J21*Seasonality!$C$48*J71+J73+J49*J142)-J111</f>
        <v/>
      </c>
      <c r="K202" s="50">
        <f>K142-(K21*Seasonality!$C$48*K71+K73+K49*K142)-K111</f>
        <v/>
      </c>
      <c r="L202" s="50">
        <f>L142-(L21*Seasonality!$C$48*L71+L73+L49*L142)-L111</f>
        <v/>
      </c>
      <c r="M202" s="50">
        <f>M142-(M21*Seasonality!$C$48*M71+M73+M49*M142)-M111</f>
        <v/>
      </c>
      <c r="N202" s="50">
        <f>N142-(N21*Seasonality!$C$48*N71+N73+N49*N142)-N111</f>
        <v/>
      </c>
      <c r="O202" s="50">
        <f>O142-(O21*Seasonality!$C$48*O71+O73+O49*O142)-O111</f>
        <v/>
      </c>
      <c r="P202" s="50">
        <f>P142-(P21*Seasonality!$C$48*P71+P73+P49*P142)-P111</f>
        <v/>
      </c>
      <c r="Q202" s="50">
        <f>Q142-(Q21*Seasonality!$C$48*Q71+Q73+Q49*Q142)-Q111</f>
        <v/>
      </c>
      <c r="R202" s="50">
        <f>R142-(R21*Seasonality!$C$48*R71+R73+R49*R142)-R111</f>
        <v/>
      </c>
      <c r="S202" s="50">
        <f>S142-(S21*Seasonality!$C$48*S71+S73+S49*S142)-S111</f>
        <v/>
      </c>
      <c r="T202" s="50">
        <f>T142-(T21*Seasonality!$C$48*T71+T73+T49*T142)-T111</f>
        <v/>
      </c>
      <c r="U202" s="50">
        <f>U142-(U21*Seasonality!$C$48*U71+U73+U49*U142)-U111</f>
        <v/>
      </c>
      <c r="V202" s="50">
        <f>V142-(V21*Seasonality!$C$48*V71+V73+V49*V142)-V111</f>
        <v/>
      </c>
      <c r="W202" s="50">
        <f>W142-(W21*Seasonality!$C$48*W71+W73+W49*W142)-W111</f>
        <v/>
      </c>
      <c r="X202" s="50">
        <f>X142-(X21*Seasonality!$C$48*X71+X73+X49*X142)-X111</f>
        <v/>
      </c>
      <c r="Y202" s="50">
        <f>Y142-(Y21*Seasonality!$C$48*Y71+Y73+Y49*Y142)-Y111</f>
        <v/>
      </c>
      <c r="Z202" s="50">
        <f>Z142-(Z21*Seasonality!$C$48*Z71+Z73+Z49*Z142)-Z111</f>
        <v/>
      </c>
      <c r="AA202" s="50">
        <f>AA142-(AA21*Seasonality!$C$48*AA71+AA73+AA49*AA142)-AA111</f>
        <v/>
      </c>
      <c r="AB202" s="50">
        <f>AB142-(AB21*Seasonality!$C$48*AB71+AB73+AB49*AB142)-AB111</f>
        <v/>
      </c>
      <c r="AC202" s="50">
        <f>AC142-(AC21*Seasonality!$C$48*AC71+AC73+AC49*AC142)-AC111</f>
        <v/>
      </c>
      <c r="AD202" s="50">
        <f>AD142-(AD21*Seasonality!$C$48*AD71+AD73+AD49*AD142)-AD111</f>
        <v/>
      </c>
      <c r="AE202" s="50">
        <f>AE142-(AE21*Seasonality!$C$48*AE71+AE73+AE49*AE142)-AE111</f>
        <v/>
      </c>
      <c r="AF202" s="50">
        <f>AF142-(AF21*Seasonality!$C$48*AF71+AF73+AF49*AF142)-AF111</f>
        <v/>
      </c>
      <c r="AG202" s="50">
        <f>AG142-(AG21*Seasonality!$C$48*AG71+AG73+AG49*AG142)-AG111</f>
        <v/>
      </c>
      <c r="AH202" s="50">
        <f>AH142-(AH21*Seasonality!$C$48*AH71+AH73+AH49*AH142)-AH111</f>
        <v/>
      </c>
      <c r="AI202" s="50">
        <f>AI142-(AI21*Seasonality!$C$48*AI71+AI73+AI49*AI142)-AI111</f>
        <v/>
      </c>
      <c r="AJ202" s="50">
        <f>AJ142-(AJ21*Seasonality!$C$48*AJ71+AJ73+AJ49*AJ142)-AJ111</f>
        <v/>
      </c>
      <c r="AK202" s="50">
        <f>AK142-(AK21*Seasonality!$C$48*AK71+AK73+AK49*AK142)-AK111</f>
        <v/>
      </c>
      <c r="AL202" s="50">
        <f>AL142-(AL21*Seasonality!$C$48*AL71+AL73+AL49*AL142)-AL111</f>
        <v/>
      </c>
      <c r="AM202" s="50">
        <f>AM142-(AM21*Seasonality!$C$48*AM71+AM73+AM49*AM142)-AM111</f>
        <v/>
      </c>
      <c r="AN202" s="50">
        <f>AN142-(AN21*Seasonality!$C$48*AN71+AN73+AN49*AN142)-AN111</f>
        <v/>
      </c>
      <c r="AO202" s="50">
        <f>AO142-(AO21*Seasonality!$C$48*AO71+AO73+AO49*AO142)-AO111</f>
        <v/>
      </c>
      <c r="AP202" s="50">
        <f>AP142-(AP21*Seasonality!$C$48*AP71+AP73+AP49*AP142)-AP111</f>
        <v/>
      </c>
      <c r="AQ202" s="50">
        <f>AQ142-(AQ21*Seasonality!$C$48*AQ71+AQ73+AQ49*AQ142)-AQ111</f>
        <v/>
      </c>
      <c r="AR202" s="50">
        <f>AR142-(AR21*Seasonality!$C$48*AR71+AR73+AR49*AR142)-AR111</f>
        <v/>
      </c>
      <c r="AS202" s="50">
        <f>AS142-(AS21*Seasonality!$C$48*AS71+AS73+AS49*AS142)-AS111</f>
        <v/>
      </c>
      <c r="AT202" s="50">
        <f>AT142-(AT21*Seasonality!$C$48*AT71+AT73+AT49*AT142)-AT111</f>
        <v/>
      </c>
      <c r="AU202" s="50">
        <f>AU142-(AU21*Seasonality!$C$48*AU71+AU73+AU49*AU142)-AU111</f>
        <v/>
      </c>
      <c r="AV202" s="50">
        <f>AV142-(AV21*Seasonality!$C$48*AV71+AV73+AV49*AV142)-AV111</f>
        <v/>
      </c>
      <c r="AW202" s="50">
        <f>AW142-(AW21*Seasonality!$C$48*AW71+AW73+AW49*AW142)-AW111</f>
        <v/>
      </c>
      <c r="AX202" s="50">
        <f>AX142-(AX21*Seasonality!$C$48*AX71+AX73+AX49*AX142)-AX111</f>
        <v/>
      </c>
      <c r="AY202" s="50">
        <f>AY142-(AY21*Seasonality!$C$48*AY71+AY73+AY49*AY142)-AY111</f>
        <v/>
      </c>
      <c r="AZ202" s="50">
        <f>AZ142-(AZ21*Seasonality!$C$48*AZ71+AZ73+AZ49*AZ142)-AZ111</f>
        <v/>
      </c>
      <c r="BA202" s="50">
        <f>BA142-(BA21*Seasonality!$C$48*BA71+BA73+BA49*BA142)-BA111</f>
        <v/>
      </c>
      <c r="BB202" s="50">
        <f>BB142-(BB21*Seasonality!$C$48*BB71+BB73+BB49*BB142)-BB111</f>
        <v/>
      </c>
      <c r="BC202" s="50">
        <f>BC142-(BC21*Seasonality!$C$48*BC71+BC73+BC49*BC142)-BC111</f>
        <v/>
      </c>
      <c r="BD202" s="50">
        <f>BD142-(BD21*Seasonality!$C$48*BD71+BD73+BD49*BD142)-BD111</f>
        <v/>
      </c>
      <c r="BE202" s="50">
        <f>BE142-(BE21*Seasonality!$C$48*BE71+BE73+BE49*BE142)-BE111</f>
        <v/>
      </c>
    </row>
    <row r="203">
      <c r="B203" s="7" t="inlineStr">
        <is>
          <t>Contribution · month 13</t>
        </is>
      </c>
      <c r="C203" s="5" t="inlineStr">
        <is>
          <t>₹</t>
        </is>
      </c>
      <c r="D203" s="50">
        <f>D143-(D21*Seasonality!$C$49*D71+D73+D49*D143)-D111</f>
        <v/>
      </c>
      <c r="E203" s="50">
        <f>E143-(E21*Seasonality!$C$49*E71+E73+E49*E143)-E111</f>
        <v/>
      </c>
      <c r="F203" s="50">
        <f>F143-(F21*Seasonality!$C$49*F71+F73+F49*F143)-F111</f>
        <v/>
      </c>
      <c r="G203" s="50">
        <f>G143-(G21*Seasonality!$C$49*G71+G73+G49*G143)-G111</f>
        <v/>
      </c>
      <c r="H203" s="50">
        <f>H143-(H21*Seasonality!$C$49*H71+H73+H49*H143)-H111</f>
        <v/>
      </c>
      <c r="I203" s="50">
        <f>I143-(I21*Seasonality!$C$49*I71+I73+I49*I143)-I111</f>
        <v/>
      </c>
      <c r="J203" s="50">
        <f>J143-(J21*Seasonality!$C$49*J71+J73+J49*J143)-J111</f>
        <v/>
      </c>
      <c r="K203" s="50">
        <f>K143-(K21*Seasonality!$C$49*K71+K73+K49*K143)-K111</f>
        <v/>
      </c>
      <c r="L203" s="50">
        <f>L143-(L21*Seasonality!$C$49*L71+L73+L49*L143)-L111</f>
        <v/>
      </c>
      <c r="M203" s="50">
        <f>M143-(M21*Seasonality!$C$49*M71+M73+M49*M143)-M111</f>
        <v/>
      </c>
      <c r="N203" s="50">
        <f>N143-(N21*Seasonality!$C$49*N71+N73+N49*N143)-N111</f>
        <v/>
      </c>
      <c r="O203" s="50">
        <f>O143-(O21*Seasonality!$C$49*O71+O73+O49*O143)-O111</f>
        <v/>
      </c>
      <c r="P203" s="50">
        <f>P143-(P21*Seasonality!$C$49*P71+P73+P49*P143)-P111</f>
        <v/>
      </c>
      <c r="Q203" s="50">
        <f>Q143-(Q21*Seasonality!$C$49*Q71+Q73+Q49*Q143)-Q111</f>
        <v/>
      </c>
      <c r="R203" s="50">
        <f>R143-(R21*Seasonality!$C$49*R71+R73+R49*R143)-R111</f>
        <v/>
      </c>
      <c r="S203" s="50">
        <f>S143-(S21*Seasonality!$C$49*S71+S73+S49*S143)-S111</f>
        <v/>
      </c>
      <c r="T203" s="50">
        <f>T143-(T21*Seasonality!$C$49*T71+T73+T49*T143)-T111</f>
        <v/>
      </c>
      <c r="U203" s="50">
        <f>U143-(U21*Seasonality!$C$49*U71+U73+U49*U143)-U111</f>
        <v/>
      </c>
      <c r="V203" s="50">
        <f>V143-(V21*Seasonality!$C$49*V71+V73+V49*V143)-V111</f>
        <v/>
      </c>
      <c r="W203" s="50">
        <f>W143-(W21*Seasonality!$C$49*W71+W73+W49*W143)-W111</f>
        <v/>
      </c>
      <c r="X203" s="50">
        <f>X143-(X21*Seasonality!$C$49*X71+X73+X49*X143)-X111</f>
        <v/>
      </c>
      <c r="Y203" s="50">
        <f>Y143-(Y21*Seasonality!$C$49*Y71+Y73+Y49*Y143)-Y111</f>
        <v/>
      </c>
      <c r="Z203" s="50">
        <f>Z143-(Z21*Seasonality!$C$49*Z71+Z73+Z49*Z143)-Z111</f>
        <v/>
      </c>
      <c r="AA203" s="50">
        <f>AA143-(AA21*Seasonality!$C$49*AA71+AA73+AA49*AA143)-AA111</f>
        <v/>
      </c>
      <c r="AB203" s="50">
        <f>AB143-(AB21*Seasonality!$C$49*AB71+AB73+AB49*AB143)-AB111</f>
        <v/>
      </c>
      <c r="AC203" s="50">
        <f>AC143-(AC21*Seasonality!$C$49*AC71+AC73+AC49*AC143)-AC111</f>
        <v/>
      </c>
      <c r="AD203" s="50">
        <f>AD143-(AD21*Seasonality!$C$49*AD71+AD73+AD49*AD143)-AD111</f>
        <v/>
      </c>
      <c r="AE203" s="50">
        <f>AE143-(AE21*Seasonality!$C$49*AE71+AE73+AE49*AE143)-AE111</f>
        <v/>
      </c>
      <c r="AF203" s="50">
        <f>AF143-(AF21*Seasonality!$C$49*AF71+AF73+AF49*AF143)-AF111</f>
        <v/>
      </c>
      <c r="AG203" s="50">
        <f>AG143-(AG21*Seasonality!$C$49*AG71+AG73+AG49*AG143)-AG111</f>
        <v/>
      </c>
      <c r="AH203" s="50">
        <f>AH143-(AH21*Seasonality!$C$49*AH71+AH73+AH49*AH143)-AH111</f>
        <v/>
      </c>
      <c r="AI203" s="50">
        <f>AI143-(AI21*Seasonality!$C$49*AI71+AI73+AI49*AI143)-AI111</f>
        <v/>
      </c>
      <c r="AJ203" s="50">
        <f>AJ143-(AJ21*Seasonality!$C$49*AJ71+AJ73+AJ49*AJ143)-AJ111</f>
        <v/>
      </c>
      <c r="AK203" s="50">
        <f>AK143-(AK21*Seasonality!$C$49*AK71+AK73+AK49*AK143)-AK111</f>
        <v/>
      </c>
      <c r="AL203" s="50">
        <f>AL143-(AL21*Seasonality!$C$49*AL71+AL73+AL49*AL143)-AL111</f>
        <v/>
      </c>
      <c r="AM203" s="50">
        <f>AM143-(AM21*Seasonality!$C$49*AM71+AM73+AM49*AM143)-AM111</f>
        <v/>
      </c>
      <c r="AN203" s="50">
        <f>AN143-(AN21*Seasonality!$C$49*AN71+AN73+AN49*AN143)-AN111</f>
        <v/>
      </c>
      <c r="AO203" s="50">
        <f>AO143-(AO21*Seasonality!$C$49*AO71+AO73+AO49*AO143)-AO111</f>
        <v/>
      </c>
      <c r="AP203" s="50">
        <f>AP143-(AP21*Seasonality!$C$49*AP71+AP73+AP49*AP143)-AP111</f>
        <v/>
      </c>
      <c r="AQ203" s="50">
        <f>AQ143-(AQ21*Seasonality!$C$49*AQ71+AQ73+AQ49*AQ143)-AQ111</f>
        <v/>
      </c>
      <c r="AR203" s="50">
        <f>AR143-(AR21*Seasonality!$C$49*AR71+AR73+AR49*AR143)-AR111</f>
        <v/>
      </c>
      <c r="AS203" s="50">
        <f>AS143-(AS21*Seasonality!$C$49*AS71+AS73+AS49*AS143)-AS111</f>
        <v/>
      </c>
      <c r="AT203" s="50">
        <f>AT143-(AT21*Seasonality!$C$49*AT71+AT73+AT49*AT143)-AT111</f>
        <v/>
      </c>
      <c r="AU203" s="50">
        <f>AU143-(AU21*Seasonality!$C$49*AU71+AU73+AU49*AU143)-AU111</f>
        <v/>
      </c>
      <c r="AV203" s="50">
        <f>AV143-(AV21*Seasonality!$C$49*AV71+AV73+AV49*AV143)-AV111</f>
        <v/>
      </c>
      <c r="AW203" s="50">
        <f>AW143-(AW21*Seasonality!$C$49*AW71+AW73+AW49*AW143)-AW111</f>
        <v/>
      </c>
      <c r="AX203" s="50">
        <f>AX143-(AX21*Seasonality!$C$49*AX71+AX73+AX49*AX143)-AX111</f>
        <v/>
      </c>
      <c r="AY203" s="50">
        <f>AY143-(AY21*Seasonality!$C$49*AY71+AY73+AY49*AY143)-AY111</f>
        <v/>
      </c>
      <c r="AZ203" s="50">
        <f>AZ143-(AZ21*Seasonality!$C$49*AZ71+AZ73+AZ49*AZ143)-AZ111</f>
        <v/>
      </c>
      <c r="BA203" s="50">
        <f>BA143-(BA21*Seasonality!$C$49*BA71+BA73+BA49*BA143)-BA111</f>
        <v/>
      </c>
      <c r="BB203" s="50">
        <f>BB143-(BB21*Seasonality!$C$49*BB71+BB73+BB49*BB143)-BB111</f>
        <v/>
      </c>
      <c r="BC203" s="50">
        <f>BC143-(BC21*Seasonality!$C$49*BC71+BC73+BC49*BC143)-BC111</f>
        <v/>
      </c>
      <c r="BD203" s="50">
        <f>BD143-(BD21*Seasonality!$C$49*BD71+BD73+BD49*BD143)-BD111</f>
        <v/>
      </c>
      <c r="BE203" s="50">
        <f>BE143-(BE21*Seasonality!$C$49*BE71+BE73+BE49*BE143)-BE111</f>
        <v/>
      </c>
    </row>
    <row r="204">
      <c r="B204" s="7" t="inlineStr">
        <is>
          <t>Contribution · month 14</t>
        </is>
      </c>
      <c r="C204" s="5" t="inlineStr">
        <is>
          <t>₹</t>
        </is>
      </c>
      <c r="D204" s="50">
        <f>D144-(D21*Seasonality!$C$50*D71+D73+D49*D144)-D111</f>
        <v/>
      </c>
      <c r="E204" s="50">
        <f>E144-(E21*Seasonality!$C$50*E71+E73+E49*E144)-E111</f>
        <v/>
      </c>
      <c r="F204" s="50">
        <f>F144-(F21*Seasonality!$C$50*F71+F73+F49*F144)-F111</f>
        <v/>
      </c>
      <c r="G204" s="50">
        <f>G144-(G21*Seasonality!$C$50*G71+G73+G49*G144)-G111</f>
        <v/>
      </c>
      <c r="H204" s="50">
        <f>H144-(H21*Seasonality!$C$50*H71+H73+H49*H144)-H111</f>
        <v/>
      </c>
      <c r="I204" s="50">
        <f>I144-(I21*Seasonality!$C$50*I71+I73+I49*I144)-I111</f>
        <v/>
      </c>
      <c r="J204" s="50">
        <f>J144-(J21*Seasonality!$C$50*J71+J73+J49*J144)-J111</f>
        <v/>
      </c>
      <c r="K204" s="50">
        <f>K144-(K21*Seasonality!$C$50*K71+K73+K49*K144)-K111</f>
        <v/>
      </c>
      <c r="L204" s="50">
        <f>L144-(L21*Seasonality!$C$50*L71+L73+L49*L144)-L111</f>
        <v/>
      </c>
      <c r="M204" s="50">
        <f>M144-(M21*Seasonality!$C$50*M71+M73+M49*M144)-M111</f>
        <v/>
      </c>
      <c r="N204" s="50">
        <f>N144-(N21*Seasonality!$C$50*N71+N73+N49*N144)-N111</f>
        <v/>
      </c>
      <c r="O204" s="50">
        <f>O144-(O21*Seasonality!$C$50*O71+O73+O49*O144)-O111</f>
        <v/>
      </c>
      <c r="P204" s="50">
        <f>P144-(P21*Seasonality!$C$50*P71+P73+P49*P144)-P111</f>
        <v/>
      </c>
      <c r="Q204" s="50">
        <f>Q144-(Q21*Seasonality!$C$50*Q71+Q73+Q49*Q144)-Q111</f>
        <v/>
      </c>
      <c r="R204" s="50">
        <f>R144-(R21*Seasonality!$C$50*R71+R73+R49*R144)-R111</f>
        <v/>
      </c>
      <c r="S204" s="50">
        <f>S144-(S21*Seasonality!$C$50*S71+S73+S49*S144)-S111</f>
        <v/>
      </c>
      <c r="T204" s="50">
        <f>T144-(T21*Seasonality!$C$50*T71+T73+T49*T144)-T111</f>
        <v/>
      </c>
      <c r="U204" s="50">
        <f>U144-(U21*Seasonality!$C$50*U71+U73+U49*U144)-U111</f>
        <v/>
      </c>
      <c r="V204" s="50">
        <f>V144-(V21*Seasonality!$C$50*V71+V73+V49*V144)-V111</f>
        <v/>
      </c>
      <c r="W204" s="50">
        <f>W144-(W21*Seasonality!$C$50*W71+W73+W49*W144)-W111</f>
        <v/>
      </c>
      <c r="X204" s="50">
        <f>X144-(X21*Seasonality!$C$50*X71+X73+X49*X144)-X111</f>
        <v/>
      </c>
      <c r="Y204" s="50">
        <f>Y144-(Y21*Seasonality!$C$50*Y71+Y73+Y49*Y144)-Y111</f>
        <v/>
      </c>
      <c r="Z204" s="50">
        <f>Z144-(Z21*Seasonality!$C$50*Z71+Z73+Z49*Z144)-Z111</f>
        <v/>
      </c>
      <c r="AA204" s="50">
        <f>AA144-(AA21*Seasonality!$C$50*AA71+AA73+AA49*AA144)-AA111</f>
        <v/>
      </c>
      <c r="AB204" s="50">
        <f>AB144-(AB21*Seasonality!$C$50*AB71+AB73+AB49*AB144)-AB111</f>
        <v/>
      </c>
      <c r="AC204" s="50">
        <f>AC144-(AC21*Seasonality!$C$50*AC71+AC73+AC49*AC144)-AC111</f>
        <v/>
      </c>
      <c r="AD204" s="50">
        <f>AD144-(AD21*Seasonality!$C$50*AD71+AD73+AD49*AD144)-AD111</f>
        <v/>
      </c>
      <c r="AE204" s="50">
        <f>AE144-(AE21*Seasonality!$C$50*AE71+AE73+AE49*AE144)-AE111</f>
        <v/>
      </c>
      <c r="AF204" s="50">
        <f>AF144-(AF21*Seasonality!$C$50*AF71+AF73+AF49*AF144)-AF111</f>
        <v/>
      </c>
      <c r="AG204" s="50">
        <f>AG144-(AG21*Seasonality!$C$50*AG71+AG73+AG49*AG144)-AG111</f>
        <v/>
      </c>
      <c r="AH204" s="50">
        <f>AH144-(AH21*Seasonality!$C$50*AH71+AH73+AH49*AH144)-AH111</f>
        <v/>
      </c>
      <c r="AI204" s="50">
        <f>AI144-(AI21*Seasonality!$C$50*AI71+AI73+AI49*AI144)-AI111</f>
        <v/>
      </c>
      <c r="AJ204" s="50">
        <f>AJ144-(AJ21*Seasonality!$C$50*AJ71+AJ73+AJ49*AJ144)-AJ111</f>
        <v/>
      </c>
      <c r="AK204" s="50">
        <f>AK144-(AK21*Seasonality!$C$50*AK71+AK73+AK49*AK144)-AK111</f>
        <v/>
      </c>
      <c r="AL204" s="50">
        <f>AL144-(AL21*Seasonality!$C$50*AL71+AL73+AL49*AL144)-AL111</f>
        <v/>
      </c>
      <c r="AM204" s="50">
        <f>AM144-(AM21*Seasonality!$C$50*AM71+AM73+AM49*AM144)-AM111</f>
        <v/>
      </c>
      <c r="AN204" s="50">
        <f>AN144-(AN21*Seasonality!$C$50*AN71+AN73+AN49*AN144)-AN111</f>
        <v/>
      </c>
      <c r="AO204" s="50">
        <f>AO144-(AO21*Seasonality!$C$50*AO71+AO73+AO49*AO144)-AO111</f>
        <v/>
      </c>
      <c r="AP204" s="50">
        <f>AP144-(AP21*Seasonality!$C$50*AP71+AP73+AP49*AP144)-AP111</f>
        <v/>
      </c>
      <c r="AQ204" s="50">
        <f>AQ144-(AQ21*Seasonality!$C$50*AQ71+AQ73+AQ49*AQ144)-AQ111</f>
        <v/>
      </c>
      <c r="AR204" s="50">
        <f>AR144-(AR21*Seasonality!$C$50*AR71+AR73+AR49*AR144)-AR111</f>
        <v/>
      </c>
      <c r="AS204" s="50">
        <f>AS144-(AS21*Seasonality!$C$50*AS71+AS73+AS49*AS144)-AS111</f>
        <v/>
      </c>
      <c r="AT204" s="50">
        <f>AT144-(AT21*Seasonality!$C$50*AT71+AT73+AT49*AT144)-AT111</f>
        <v/>
      </c>
      <c r="AU204" s="50">
        <f>AU144-(AU21*Seasonality!$C$50*AU71+AU73+AU49*AU144)-AU111</f>
        <v/>
      </c>
      <c r="AV204" s="50">
        <f>AV144-(AV21*Seasonality!$C$50*AV71+AV73+AV49*AV144)-AV111</f>
        <v/>
      </c>
      <c r="AW204" s="50">
        <f>AW144-(AW21*Seasonality!$C$50*AW71+AW73+AW49*AW144)-AW111</f>
        <v/>
      </c>
      <c r="AX204" s="50">
        <f>AX144-(AX21*Seasonality!$C$50*AX71+AX73+AX49*AX144)-AX111</f>
        <v/>
      </c>
      <c r="AY204" s="50">
        <f>AY144-(AY21*Seasonality!$C$50*AY71+AY73+AY49*AY144)-AY111</f>
        <v/>
      </c>
      <c r="AZ204" s="50">
        <f>AZ144-(AZ21*Seasonality!$C$50*AZ71+AZ73+AZ49*AZ144)-AZ111</f>
        <v/>
      </c>
      <c r="BA204" s="50">
        <f>BA144-(BA21*Seasonality!$C$50*BA71+BA73+BA49*BA144)-BA111</f>
        <v/>
      </c>
      <c r="BB204" s="50">
        <f>BB144-(BB21*Seasonality!$C$50*BB71+BB73+BB49*BB144)-BB111</f>
        <v/>
      </c>
      <c r="BC204" s="50">
        <f>BC144-(BC21*Seasonality!$C$50*BC71+BC73+BC49*BC144)-BC111</f>
        <v/>
      </c>
      <c r="BD204" s="50">
        <f>BD144-(BD21*Seasonality!$C$50*BD71+BD73+BD49*BD144)-BD111</f>
        <v/>
      </c>
      <c r="BE204" s="50">
        <f>BE144-(BE21*Seasonality!$C$50*BE71+BE73+BE49*BE144)-BE111</f>
        <v/>
      </c>
    </row>
    <row r="205">
      <c r="B205" s="7" t="inlineStr">
        <is>
          <t>Contribution · month 15</t>
        </is>
      </c>
      <c r="C205" s="5" t="inlineStr">
        <is>
          <t>₹</t>
        </is>
      </c>
      <c r="D205" s="50">
        <f>D145-(D21*Seasonality!$C$51*D71+D73+D49*D145)-D111</f>
        <v/>
      </c>
      <c r="E205" s="50">
        <f>E145-(E21*Seasonality!$C$51*E71+E73+E49*E145)-E111</f>
        <v/>
      </c>
      <c r="F205" s="50">
        <f>F145-(F21*Seasonality!$C$51*F71+F73+F49*F145)-F111</f>
        <v/>
      </c>
      <c r="G205" s="50">
        <f>G145-(G21*Seasonality!$C$51*G71+G73+G49*G145)-G111</f>
        <v/>
      </c>
      <c r="H205" s="50">
        <f>H145-(H21*Seasonality!$C$51*H71+H73+H49*H145)-H111</f>
        <v/>
      </c>
      <c r="I205" s="50">
        <f>I145-(I21*Seasonality!$C$51*I71+I73+I49*I145)-I111</f>
        <v/>
      </c>
      <c r="J205" s="50">
        <f>J145-(J21*Seasonality!$C$51*J71+J73+J49*J145)-J111</f>
        <v/>
      </c>
      <c r="K205" s="50">
        <f>K145-(K21*Seasonality!$C$51*K71+K73+K49*K145)-K111</f>
        <v/>
      </c>
      <c r="L205" s="50">
        <f>L145-(L21*Seasonality!$C$51*L71+L73+L49*L145)-L111</f>
        <v/>
      </c>
      <c r="M205" s="50">
        <f>M145-(M21*Seasonality!$C$51*M71+M73+M49*M145)-M111</f>
        <v/>
      </c>
      <c r="N205" s="50">
        <f>N145-(N21*Seasonality!$C$51*N71+N73+N49*N145)-N111</f>
        <v/>
      </c>
      <c r="O205" s="50">
        <f>O145-(O21*Seasonality!$C$51*O71+O73+O49*O145)-O111</f>
        <v/>
      </c>
      <c r="P205" s="50">
        <f>P145-(P21*Seasonality!$C$51*P71+P73+P49*P145)-P111</f>
        <v/>
      </c>
      <c r="Q205" s="50">
        <f>Q145-(Q21*Seasonality!$C$51*Q71+Q73+Q49*Q145)-Q111</f>
        <v/>
      </c>
      <c r="R205" s="50">
        <f>R145-(R21*Seasonality!$C$51*R71+R73+R49*R145)-R111</f>
        <v/>
      </c>
      <c r="S205" s="50">
        <f>S145-(S21*Seasonality!$C$51*S71+S73+S49*S145)-S111</f>
        <v/>
      </c>
      <c r="T205" s="50">
        <f>T145-(T21*Seasonality!$C$51*T71+T73+T49*T145)-T111</f>
        <v/>
      </c>
      <c r="U205" s="50">
        <f>U145-(U21*Seasonality!$C$51*U71+U73+U49*U145)-U111</f>
        <v/>
      </c>
      <c r="V205" s="50">
        <f>V145-(V21*Seasonality!$C$51*V71+V73+V49*V145)-V111</f>
        <v/>
      </c>
      <c r="W205" s="50">
        <f>W145-(W21*Seasonality!$C$51*W71+W73+W49*W145)-W111</f>
        <v/>
      </c>
      <c r="X205" s="50">
        <f>X145-(X21*Seasonality!$C$51*X71+X73+X49*X145)-X111</f>
        <v/>
      </c>
      <c r="Y205" s="50">
        <f>Y145-(Y21*Seasonality!$C$51*Y71+Y73+Y49*Y145)-Y111</f>
        <v/>
      </c>
      <c r="Z205" s="50">
        <f>Z145-(Z21*Seasonality!$C$51*Z71+Z73+Z49*Z145)-Z111</f>
        <v/>
      </c>
      <c r="AA205" s="50">
        <f>AA145-(AA21*Seasonality!$C$51*AA71+AA73+AA49*AA145)-AA111</f>
        <v/>
      </c>
      <c r="AB205" s="50">
        <f>AB145-(AB21*Seasonality!$C$51*AB71+AB73+AB49*AB145)-AB111</f>
        <v/>
      </c>
      <c r="AC205" s="50">
        <f>AC145-(AC21*Seasonality!$C$51*AC71+AC73+AC49*AC145)-AC111</f>
        <v/>
      </c>
      <c r="AD205" s="50">
        <f>AD145-(AD21*Seasonality!$C$51*AD71+AD73+AD49*AD145)-AD111</f>
        <v/>
      </c>
      <c r="AE205" s="50">
        <f>AE145-(AE21*Seasonality!$C$51*AE71+AE73+AE49*AE145)-AE111</f>
        <v/>
      </c>
      <c r="AF205" s="50">
        <f>AF145-(AF21*Seasonality!$C$51*AF71+AF73+AF49*AF145)-AF111</f>
        <v/>
      </c>
      <c r="AG205" s="50">
        <f>AG145-(AG21*Seasonality!$C$51*AG71+AG73+AG49*AG145)-AG111</f>
        <v/>
      </c>
      <c r="AH205" s="50">
        <f>AH145-(AH21*Seasonality!$C$51*AH71+AH73+AH49*AH145)-AH111</f>
        <v/>
      </c>
      <c r="AI205" s="50">
        <f>AI145-(AI21*Seasonality!$C$51*AI71+AI73+AI49*AI145)-AI111</f>
        <v/>
      </c>
      <c r="AJ205" s="50">
        <f>AJ145-(AJ21*Seasonality!$C$51*AJ71+AJ73+AJ49*AJ145)-AJ111</f>
        <v/>
      </c>
      <c r="AK205" s="50">
        <f>AK145-(AK21*Seasonality!$C$51*AK71+AK73+AK49*AK145)-AK111</f>
        <v/>
      </c>
      <c r="AL205" s="50">
        <f>AL145-(AL21*Seasonality!$C$51*AL71+AL73+AL49*AL145)-AL111</f>
        <v/>
      </c>
      <c r="AM205" s="50">
        <f>AM145-(AM21*Seasonality!$C$51*AM71+AM73+AM49*AM145)-AM111</f>
        <v/>
      </c>
      <c r="AN205" s="50">
        <f>AN145-(AN21*Seasonality!$C$51*AN71+AN73+AN49*AN145)-AN111</f>
        <v/>
      </c>
      <c r="AO205" s="50">
        <f>AO145-(AO21*Seasonality!$C$51*AO71+AO73+AO49*AO145)-AO111</f>
        <v/>
      </c>
      <c r="AP205" s="50">
        <f>AP145-(AP21*Seasonality!$C$51*AP71+AP73+AP49*AP145)-AP111</f>
        <v/>
      </c>
      <c r="AQ205" s="50">
        <f>AQ145-(AQ21*Seasonality!$C$51*AQ71+AQ73+AQ49*AQ145)-AQ111</f>
        <v/>
      </c>
      <c r="AR205" s="50">
        <f>AR145-(AR21*Seasonality!$C$51*AR71+AR73+AR49*AR145)-AR111</f>
        <v/>
      </c>
      <c r="AS205" s="50">
        <f>AS145-(AS21*Seasonality!$C$51*AS71+AS73+AS49*AS145)-AS111</f>
        <v/>
      </c>
      <c r="AT205" s="50">
        <f>AT145-(AT21*Seasonality!$C$51*AT71+AT73+AT49*AT145)-AT111</f>
        <v/>
      </c>
      <c r="AU205" s="50">
        <f>AU145-(AU21*Seasonality!$C$51*AU71+AU73+AU49*AU145)-AU111</f>
        <v/>
      </c>
      <c r="AV205" s="50">
        <f>AV145-(AV21*Seasonality!$C$51*AV71+AV73+AV49*AV145)-AV111</f>
        <v/>
      </c>
      <c r="AW205" s="50">
        <f>AW145-(AW21*Seasonality!$C$51*AW71+AW73+AW49*AW145)-AW111</f>
        <v/>
      </c>
      <c r="AX205" s="50">
        <f>AX145-(AX21*Seasonality!$C$51*AX71+AX73+AX49*AX145)-AX111</f>
        <v/>
      </c>
      <c r="AY205" s="50">
        <f>AY145-(AY21*Seasonality!$C$51*AY71+AY73+AY49*AY145)-AY111</f>
        <v/>
      </c>
      <c r="AZ205" s="50">
        <f>AZ145-(AZ21*Seasonality!$C$51*AZ71+AZ73+AZ49*AZ145)-AZ111</f>
        <v/>
      </c>
      <c r="BA205" s="50">
        <f>BA145-(BA21*Seasonality!$C$51*BA71+BA73+BA49*BA145)-BA111</f>
        <v/>
      </c>
      <c r="BB205" s="50">
        <f>BB145-(BB21*Seasonality!$C$51*BB71+BB73+BB49*BB145)-BB111</f>
        <v/>
      </c>
      <c r="BC205" s="50">
        <f>BC145-(BC21*Seasonality!$C$51*BC71+BC73+BC49*BC145)-BC111</f>
        <v/>
      </c>
      <c r="BD205" s="50">
        <f>BD145-(BD21*Seasonality!$C$51*BD71+BD73+BD49*BD145)-BD111</f>
        <v/>
      </c>
      <c r="BE205" s="50">
        <f>BE145-(BE21*Seasonality!$C$51*BE71+BE73+BE49*BE145)-BE111</f>
        <v/>
      </c>
    </row>
    <row r="206">
      <c r="B206" s="7" t="inlineStr">
        <is>
          <t>Contribution · month 16</t>
        </is>
      </c>
      <c r="C206" s="5" t="inlineStr">
        <is>
          <t>₹</t>
        </is>
      </c>
      <c r="D206" s="50">
        <f>D146-(D21*Seasonality!$C$52*D71+D73+D49*D146)-D111</f>
        <v/>
      </c>
      <c r="E206" s="50">
        <f>E146-(E21*Seasonality!$C$52*E71+E73+E49*E146)-E111</f>
        <v/>
      </c>
      <c r="F206" s="50">
        <f>F146-(F21*Seasonality!$C$52*F71+F73+F49*F146)-F111</f>
        <v/>
      </c>
      <c r="G206" s="50">
        <f>G146-(G21*Seasonality!$C$52*G71+G73+G49*G146)-G111</f>
        <v/>
      </c>
      <c r="H206" s="50">
        <f>H146-(H21*Seasonality!$C$52*H71+H73+H49*H146)-H111</f>
        <v/>
      </c>
      <c r="I206" s="50">
        <f>I146-(I21*Seasonality!$C$52*I71+I73+I49*I146)-I111</f>
        <v/>
      </c>
      <c r="J206" s="50">
        <f>J146-(J21*Seasonality!$C$52*J71+J73+J49*J146)-J111</f>
        <v/>
      </c>
      <c r="K206" s="50">
        <f>K146-(K21*Seasonality!$C$52*K71+K73+K49*K146)-K111</f>
        <v/>
      </c>
      <c r="L206" s="50">
        <f>L146-(L21*Seasonality!$C$52*L71+L73+L49*L146)-L111</f>
        <v/>
      </c>
      <c r="M206" s="50">
        <f>M146-(M21*Seasonality!$C$52*M71+M73+M49*M146)-M111</f>
        <v/>
      </c>
      <c r="N206" s="50">
        <f>N146-(N21*Seasonality!$C$52*N71+N73+N49*N146)-N111</f>
        <v/>
      </c>
      <c r="O206" s="50">
        <f>O146-(O21*Seasonality!$C$52*O71+O73+O49*O146)-O111</f>
        <v/>
      </c>
      <c r="P206" s="50">
        <f>P146-(P21*Seasonality!$C$52*P71+P73+P49*P146)-P111</f>
        <v/>
      </c>
      <c r="Q206" s="50">
        <f>Q146-(Q21*Seasonality!$C$52*Q71+Q73+Q49*Q146)-Q111</f>
        <v/>
      </c>
      <c r="R206" s="50">
        <f>R146-(R21*Seasonality!$C$52*R71+R73+R49*R146)-R111</f>
        <v/>
      </c>
      <c r="S206" s="50">
        <f>S146-(S21*Seasonality!$C$52*S71+S73+S49*S146)-S111</f>
        <v/>
      </c>
      <c r="T206" s="50">
        <f>T146-(T21*Seasonality!$C$52*T71+T73+T49*T146)-T111</f>
        <v/>
      </c>
      <c r="U206" s="50">
        <f>U146-(U21*Seasonality!$C$52*U71+U73+U49*U146)-U111</f>
        <v/>
      </c>
      <c r="V206" s="50">
        <f>V146-(V21*Seasonality!$C$52*V71+V73+V49*V146)-V111</f>
        <v/>
      </c>
      <c r="W206" s="50">
        <f>W146-(W21*Seasonality!$C$52*W71+W73+W49*W146)-W111</f>
        <v/>
      </c>
      <c r="X206" s="50">
        <f>X146-(X21*Seasonality!$C$52*X71+X73+X49*X146)-X111</f>
        <v/>
      </c>
      <c r="Y206" s="50">
        <f>Y146-(Y21*Seasonality!$C$52*Y71+Y73+Y49*Y146)-Y111</f>
        <v/>
      </c>
      <c r="Z206" s="50">
        <f>Z146-(Z21*Seasonality!$C$52*Z71+Z73+Z49*Z146)-Z111</f>
        <v/>
      </c>
      <c r="AA206" s="50">
        <f>AA146-(AA21*Seasonality!$C$52*AA71+AA73+AA49*AA146)-AA111</f>
        <v/>
      </c>
      <c r="AB206" s="50">
        <f>AB146-(AB21*Seasonality!$C$52*AB71+AB73+AB49*AB146)-AB111</f>
        <v/>
      </c>
      <c r="AC206" s="50">
        <f>AC146-(AC21*Seasonality!$C$52*AC71+AC73+AC49*AC146)-AC111</f>
        <v/>
      </c>
      <c r="AD206" s="50">
        <f>AD146-(AD21*Seasonality!$C$52*AD71+AD73+AD49*AD146)-AD111</f>
        <v/>
      </c>
      <c r="AE206" s="50">
        <f>AE146-(AE21*Seasonality!$C$52*AE71+AE73+AE49*AE146)-AE111</f>
        <v/>
      </c>
      <c r="AF206" s="50">
        <f>AF146-(AF21*Seasonality!$C$52*AF71+AF73+AF49*AF146)-AF111</f>
        <v/>
      </c>
      <c r="AG206" s="50">
        <f>AG146-(AG21*Seasonality!$C$52*AG71+AG73+AG49*AG146)-AG111</f>
        <v/>
      </c>
      <c r="AH206" s="50">
        <f>AH146-(AH21*Seasonality!$C$52*AH71+AH73+AH49*AH146)-AH111</f>
        <v/>
      </c>
      <c r="AI206" s="50">
        <f>AI146-(AI21*Seasonality!$C$52*AI71+AI73+AI49*AI146)-AI111</f>
        <v/>
      </c>
      <c r="AJ206" s="50">
        <f>AJ146-(AJ21*Seasonality!$C$52*AJ71+AJ73+AJ49*AJ146)-AJ111</f>
        <v/>
      </c>
      <c r="AK206" s="50">
        <f>AK146-(AK21*Seasonality!$C$52*AK71+AK73+AK49*AK146)-AK111</f>
        <v/>
      </c>
      <c r="AL206" s="50">
        <f>AL146-(AL21*Seasonality!$C$52*AL71+AL73+AL49*AL146)-AL111</f>
        <v/>
      </c>
      <c r="AM206" s="50">
        <f>AM146-(AM21*Seasonality!$C$52*AM71+AM73+AM49*AM146)-AM111</f>
        <v/>
      </c>
      <c r="AN206" s="50">
        <f>AN146-(AN21*Seasonality!$C$52*AN71+AN73+AN49*AN146)-AN111</f>
        <v/>
      </c>
      <c r="AO206" s="50">
        <f>AO146-(AO21*Seasonality!$C$52*AO71+AO73+AO49*AO146)-AO111</f>
        <v/>
      </c>
      <c r="AP206" s="50">
        <f>AP146-(AP21*Seasonality!$C$52*AP71+AP73+AP49*AP146)-AP111</f>
        <v/>
      </c>
      <c r="AQ206" s="50">
        <f>AQ146-(AQ21*Seasonality!$C$52*AQ71+AQ73+AQ49*AQ146)-AQ111</f>
        <v/>
      </c>
      <c r="AR206" s="50">
        <f>AR146-(AR21*Seasonality!$C$52*AR71+AR73+AR49*AR146)-AR111</f>
        <v/>
      </c>
      <c r="AS206" s="50">
        <f>AS146-(AS21*Seasonality!$C$52*AS71+AS73+AS49*AS146)-AS111</f>
        <v/>
      </c>
      <c r="AT206" s="50">
        <f>AT146-(AT21*Seasonality!$C$52*AT71+AT73+AT49*AT146)-AT111</f>
        <v/>
      </c>
      <c r="AU206" s="50">
        <f>AU146-(AU21*Seasonality!$C$52*AU71+AU73+AU49*AU146)-AU111</f>
        <v/>
      </c>
      <c r="AV206" s="50">
        <f>AV146-(AV21*Seasonality!$C$52*AV71+AV73+AV49*AV146)-AV111</f>
        <v/>
      </c>
      <c r="AW206" s="50">
        <f>AW146-(AW21*Seasonality!$C$52*AW71+AW73+AW49*AW146)-AW111</f>
        <v/>
      </c>
      <c r="AX206" s="50">
        <f>AX146-(AX21*Seasonality!$C$52*AX71+AX73+AX49*AX146)-AX111</f>
        <v/>
      </c>
      <c r="AY206" s="50">
        <f>AY146-(AY21*Seasonality!$C$52*AY71+AY73+AY49*AY146)-AY111</f>
        <v/>
      </c>
      <c r="AZ206" s="50">
        <f>AZ146-(AZ21*Seasonality!$C$52*AZ71+AZ73+AZ49*AZ146)-AZ111</f>
        <v/>
      </c>
      <c r="BA206" s="50">
        <f>BA146-(BA21*Seasonality!$C$52*BA71+BA73+BA49*BA146)-BA111</f>
        <v/>
      </c>
      <c r="BB206" s="50">
        <f>BB146-(BB21*Seasonality!$C$52*BB71+BB73+BB49*BB146)-BB111</f>
        <v/>
      </c>
      <c r="BC206" s="50">
        <f>BC146-(BC21*Seasonality!$C$52*BC71+BC73+BC49*BC146)-BC111</f>
        <v/>
      </c>
      <c r="BD206" s="50">
        <f>BD146-(BD21*Seasonality!$C$52*BD71+BD73+BD49*BD146)-BD111</f>
        <v/>
      </c>
      <c r="BE206" s="50">
        <f>BE146-(BE21*Seasonality!$C$52*BE71+BE73+BE49*BE146)-BE111</f>
        <v/>
      </c>
    </row>
    <row r="207">
      <c r="B207" s="7" t="inlineStr">
        <is>
          <t>Contribution · month 17</t>
        </is>
      </c>
      <c r="C207" s="5" t="inlineStr">
        <is>
          <t>₹</t>
        </is>
      </c>
      <c r="D207" s="50">
        <f>D147-(D21*Seasonality!$C$53*D71+D73+D49*D147)-D111</f>
        <v/>
      </c>
      <c r="E207" s="50">
        <f>E147-(E21*Seasonality!$C$53*E71+E73+E49*E147)-E111</f>
        <v/>
      </c>
      <c r="F207" s="50">
        <f>F147-(F21*Seasonality!$C$53*F71+F73+F49*F147)-F111</f>
        <v/>
      </c>
      <c r="G207" s="50">
        <f>G147-(G21*Seasonality!$C$53*G71+G73+G49*G147)-G111</f>
        <v/>
      </c>
      <c r="H207" s="50">
        <f>H147-(H21*Seasonality!$C$53*H71+H73+H49*H147)-H111</f>
        <v/>
      </c>
      <c r="I207" s="50">
        <f>I147-(I21*Seasonality!$C$53*I71+I73+I49*I147)-I111</f>
        <v/>
      </c>
      <c r="J207" s="50">
        <f>J147-(J21*Seasonality!$C$53*J71+J73+J49*J147)-J111</f>
        <v/>
      </c>
      <c r="K207" s="50">
        <f>K147-(K21*Seasonality!$C$53*K71+K73+K49*K147)-K111</f>
        <v/>
      </c>
      <c r="L207" s="50">
        <f>L147-(L21*Seasonality!$C$53*L71+L73+L49*L147)-L111</f>
        <v/>
      </c>
      <c r="M207" s="50">
        <f>M147-(M21*Seasonality!$C$53*M71+M73+M49*M147)-M111</f>
        <v/>
      </c>
      <c r="N207" s="50">
        <f>N147-(N21*Seasonality!$C$53*N71+N73+N49*N147)-N111</f>
        <v/>
      </c>
      <c r="O207" s="50">
        <f>O147-(O21*Seasonality!$C$53*O71+O73+O49*O147)-O111</f>
        <v/>
      </c>
      <c r="P207" s="50">
        <f>P147-(P21*Seasonality!$C$53*P71+P73+P49*P147)-P111</f>
        <v/>
      </c>
      <c r="Q207" s="50">
        <f>Q147-(Q21*Seasonality!$C$53*Q71+Q73+Q49*Q147)-Q111</f>
        <v/>
      </c>
      <c r="R207" s="50">
        <f>R147-(R21*Seasonality!$C$53*R71+R73+R49*R147)-R111</f>
        <v/>
      </c>
      <c r="S207" s="50">
        <f>S147-(S21*Seasonality!$C$53*S71+S73+S49*S147)-S111</f>
        <v/>
      </c>
      <c r="T207" s="50">
        <f>T147-(T21*Seasonality!$C$53*T71+T73+T49*T147)-T111</f>
        <v/>
      </c>
      <c r="U207" s="50">
        <f>U147-(U21*Seasonality!$C$53*U71+U73+U49*U147)-U111</f>
        <v/>
      </c>
      <c r="V207" s="50">
        <f>V147-(V21*Seasonality!$C$53*V71+V73+V49*V147)-V111</f>
        <v/>
      </c>
      <c r="W207" s="50">
        <f>W147-(W21*Seasonality!$C$53*W71+W73+W49*W147)-W111</f>
        <v/>
      </c>
      <c r="X207" s="50">
        <f>X147-(X21*Seasonality!$C$53*X71+X73+X49*X147)-X111</f>
        <v/>
      </c>
      <c r="Y207" s="50">
        <f>Y147-(Y21*Seasonality!$C$53*Y71+Y73+Y49*Y147)-Y111</f>
        <v/>
      </c>
      <c r="Z207" s="50">
        <f>Z147-(Z21*Seasonality!$C$53*Z71+Z73+Z49*Z147)-Z111</f>
        <v/>
      </c>
      <c r="AA207" s="50">
        <f>AA147-(AA21*Seasonality!$C$53*AA71+AA73+AA49*AA147)-AA111</f>
        <v/>
      </c>
      <c r="AB207" s="50">
        <f>AB147-(AB21*Seasonality!$C$53*AB71+AB73+AB49*AB147)-AB111</f>
        <v/>
      </c>
      <c r="AC207" s="50">
        <f>AC147-(AC21*Seasonality!$C$53*AC71+AC73+AC49*AC147)-AC111</f>
        <v/>
      </c>
      <c r="AD207" s="50">
        <f>AD147-(AD21*Seasonality!$C$53*AD71+AD73+AD49*AD147)-AD111</f>
        <v/>
      </c>
      <c r="AE207" s="50">
        <f>AE147-(AE21*Seasonality!$C$53*AE71+AE73+AE49*AE147)-AE111</f>
        <v/>
      </c>
      <c r="AF207" s="50">
        <f>AF147-(AF21*Seasonality!$C$53*AF71+AF73+AF49*AF147)-AF111</f>
        <v/>
      </c>
      <c r="AG207" s="50">
        <f>AG147-(AG21*Seasonality!$C$53*AG71+AG73+AG49*AG147)-AG111</f>
        <v/>
      </c>
      <c r="AH207" s="50">
        <f>AH147-(AH21*Seasonality!$C$53*AH71+AH73+AH49*AH147)-AH111</f>
        <v/>
      </c>
      <c r="AI207" s="50">
        <f>AI147-(AI21*Seasonality!$C$53*AI71+AI73+AI49*AI147)-AI111</f>
        <v/>
      </c>
      <c r="AJ207" s="50">
        <f>AJ147-(AJ21*Seasonality!$C$53*AJ71+AJ73+AJ49*AJ147)-AJ111</f>
        <v/>
      </c>
      <c r="AK207" s="50">
        <f>AK147-(AK21*Seasonality!$C$53*AK71+AK73+AK49*AK147)-AK111</f>
        <v/>
      </c>
      <c r="AL207" s="50">
        <f>AL147-(AL21*Seasonality!$C$53*AL71+AL73+AL49*AL147)-AL111</f>
        <v/>
      </c>
      <c r="AM207" s="50">
        <f>AM147-(AM21*Seasonality!$C$53*AM71+AM73+AM49*AM147)-AM111</f>
        <v/>
      </c>
      <c r="AN207" s="50">
        <f>AN147-(AN21*Seasonality!$C$53*AN71+AN73+AN49*AN147)-AN111</f>
        <v/>
      </c>
      <c r="AO207" s="50">
        <f>AO147-(AO21*Seasonality!$C$53*AO71+AO73+AO49*AO147)-AO111</f>
        <v/>
      </c>
      <c r="AP207" s="50">
        <f>AP147-(AP21*Seasonality!$C$53*AP71+AP73+AP49*AP147)-AP111</f>
        <v/>
      </c>
      <c r="AQ207" s="50">
        <f>AQ147-(AQ21*Seasonality!$C$53*AQ71+AQ73+AQ49*AQ147)-AQ111</f>
        <v/>
      </c>
      <c r="AR207" s="50">
        <f>AR147-(AR21*Seasonality!$C$53*AR71+AR73+AR49*AR147)-AR111</f>
        <v/>
      </c>
      <c r="AS207" s="50">
        <f>AS147-(AS21*Seasonality!$C$53*AS71+AS73+AS49*AS147)-AS111</f>
        <v/>
      </c>
      <c r="AT207" s="50">
        <f>AT147-(AT21*Seasonality!$C$53*AT71+AT73+AT49*AT147)-AT111</f>
        <v/>
      </c>
      <c r="AU207" s="50">
        <f>AU147-(AU21*Seasonality!$C$53*AU71+AU73+AU49*AU147)-AU111</f>
        <v/>
      </c>
      <c r="AV207" s="50">
        <f>AV147-(AV21*Seasonality!$C$53*AV71+AV73+AV49*AV147)-AV111</f>
        <v/>
      </c>
      <c r="AW207" s="50">
        <f>AW147-(AW21*Seasonality!$C$53*AW71+AW73+AW49*AW147)-AW111</f>
        <v/>
      </c>
      <c r="AX207" s="50">
        <f>AX147-(AX21*Seasonality!$C$53*AX71+AX73+AX49*AX147)-AX111</f>
        <v/>
      </c>
      <c r="AY207" s="50">
        <f>AY147-(AY21*Seasonality!$C$53*AY71+AY73+AY49*AY147)-AY111</f>
        <v/>
      </c>
      <c r="AZ207" s="50">
        <f>AZ147-(AZ21*Seasonality!$C$53*AZ71+AZ73+AZ49*AZ147)-AZ111</f>
        <v/>
      </c>
      <c r="BA207" s="50">
        <f>BA147-(BA21*Seasonality!$C$53*BA71+BA73+BA49*BA147)-BA111</f>
        <v/>
      </c>
      <c r="BB207" s="50">
        <f>BB147-(BB21*Seasonality!$C$53*BB71+BB73+BB49*BB147)-BB111</f>
        <v/>
      </c>
      <c r="BC207" s="50">
        <f>BC147-(BC21*Seasonality!$C$53*BC71+BC73+BC49*BC147)-BC111</f>
        <v/>
      </c>
      <c r="BD207" s="50">
        <f>BD147-(BD21*Seasonality!$C$53*BD71+BD73+BD49*BD147)-BD111</f>
        <v/>
      </c>
      <c r="BE207" s="50">
        <f>BE147-(BE21*Seasonality!$C$53*BE71+BE73+BE49*BE147)-BE111</f>
        <v/>
      </c>
    </row>
    <row r="208">
      <c r="B208" s="7" t="inlineStr">
        <is>
          <t>Contribution · month 18</t>
        </is>
      </c>
      <c r="C208" s="5" t="inlineStr">
        <is>
          <t>₹</t>
        </is>
      </c>
      <c r="D208" s="50">
        <f>D148-(D21*Seasonality!$C$54*D71+D73+D49*D148)-D111</f>
        <v/>
      </c>
      <c r="E208" s="50">
        <f>E148-(E21*Seasonality!$C$54*E71+E73+E49*E148)-E111</f>
        <v/>
      </c>
      <c r="F208" s="50">
        <f>F148-(F21*Seasonality!$C$54*F71+F73+F49*F148)-F111</f>
        <v/>
      </c>
      <c r="G208" s="50">
        <f>G148-(G21*Seasonality!$C$54*G71+G73+G49*G148)-G111</f>
        <v/>
      </c>
      <c r="H208" s="50">
        <f>H148-(H21*Seasonality!$C$54*H71+H73+H49*H148)-H111</f>
        <v/>
      </c>
      <c r="I208" s="50">
        <f>I148-(I21*Seasonality!$C$54*I71+I73+I49*I148)-I111</f>
        <v/>
      </c>
      <c r="J208" s="50">
        <f>J148-(J21*Seasonality!$C$54*J71+J73+J49*J148)-J111</f>
        <v/>
      </c>
      <c r="K208" s="50">
        <f>K148-(K21*Seasonality!$C$54*K71+K73+K49*K148)-K111</f>
        <v/>
      </c>
      <c r="L208" s="50">
        <f>L148-(L21*Seasonality!$C$54*L71+L73+L49*L148)-L111</f>
        <v/>
      </c>
      <c r="M208" s="50">
        <f>M148-(M21*Seasonality!$C$54*M71+M73+M49*M148)-M111</f>
        <v/>
      </c>
      <c r="N208" s="50">
        <f>N148-(N21*Seasonality!$C$54*N71+N73+N49*N148)-N111</f>
        <v/>
      </c>
      <c r="O208" s="50">
        <f>O148-(O21*Seasonality!$C$54*O71+O73+O49*O148)-O111</f>
        <v/>
      </c>
      <c r="P208" s="50">
        <f>P148-(P21*Seasonality!$C$54*P71+P73+P49*P148)-P111</f>
        <v/>
      </c>
      <c r="Q208" s="50">
        <f>Q148-(Q21*Seasonality!$C$54*Q71+Q73+Q49*Q148)-Q111</f>
        <v/>
      </c>
      <c r="R208" s="50">
        <f>R148-(R21*Seasonality!$C$54*R71+R73+R49*R148)-R111</f>
        <v/>
      </c>
      <c r="S208" s="50">
        <f>S148-(S21*Seasonality!$C$54*S71+S73+S49*S148)-S111</f>
        <v/>
      </c>
      <c r="T208" s="50">
        <f>T148-(T21*Seasonality!$C$54*T71+T73+T49*T148)-T111</f>
        <v/>
      </c>
      <c r="U208" s="50">
        <f>U148-(U21*Seasonality!$C$54*U71+U73+U49*U148)-U111</f>
        <v/>
      </c>
      <c r="V208" s="50">
        <f>V148-(V21*Seasonality!$C$54*V71+V73+V49*V148)-V111</f>
        <v/>
      </c>
      <c r="W208" s="50">
        <f>W148-(W21*Seasonality!$C$54*W71+W73+W49*W148)-W111</f>
        <v/>
      </c>
      <c r="X208" s="50">
        <f>X148-(X21*Seasonality!$C$54*X71+X73+X49*X148)-X111</f>
        <v/>
      </c>
      <c r="Y208" s="50">
        <f>Y148-(Y21*Seasonality!$C$54*Y71+Y73+Y49*Y148)-Y111</f>
        <v/>
      </c>
      <c r="Z208" s="50">
        <f>Z148-(Z21*Seasonality!$C$54*Z71+Z73+Z49*Z148)-Z111</f>
        <v/>
      </c>
      <c r="AA208" s="50">
        <f>AA148-(AA21*Seasonality!$C$54*AA71+AA73+AA49*AA148)-AA111</f>
        <v/>
      </c>
      <c r="AB208" s="50">
        <f>AB148-(AB21*Seasonality!$C$54*AB71+AB73+AB49*AB148)-AB111</f>
        <v/>
      </c>
      <c r="AC208" s="50">
        <f>AC148-(AC21*Seasonality!$C$54*AC71+AC73+AC49*AC148)-AC111</f>
        <v/>
      </c>
      <c r="AD208" s="50">
        <f>AD148-(AD21*Seasonality!$C$54*AD71+AD73+AD49*AD148)-AD111</f>
        <v/>
      </c>
      <c r="AE208" s="50">
        <f>AE148-(AE21*Seasonality!$C$54*AE71+AE73+AE49*AE148)-AE111</f>
        <v/>
      </c>
      <c r="AF208" s="50">
        <f>AF148-(AF21*Seasonality!$C$54*AF71+AF73+AF49*AF148)-AF111</f>
        <v/>
      </c>
      <c r="AG208" s="50">
        <f>AG148-(AG21*Seasonality!$C$54*AG71+AG73+AG49*AG148)-AG111</f>
        <v/>
      </c>
      <c r="AH208" s="50">
        <f>AH148-(AH21*Seasonality!$C$54*AH71+AH73+AH49*AH148)-AH111</f>
        <v/>
      </c>
      <c r="AI208" s="50">
        <f>AI148-(AI21*Seasonality!$C$54*AI71+AI73+AI49*AI148)-AI111</f>
        <v/>
      </c>
      <c r="AJ208" s="50">
        <f>AJ148-(AJ21*Seasonality!$C$54*AJ71+AJ73+AJ49*AJ148)-AJ111</f>
        <v/>
      </c>
      <c r="AK208" s="50">
        <f>AK148-(AK21*Seasonality!$C$54*AK71+AK73+AK49*AK148)-AK111</f>
        <v/>
      </c>
      <c r="AL208" s="50">
        <f>AL148-(AL21*Seasonality!$C$54*AL71+AL73+AL49*AL148)-AL111</f>
        <v/>
      </c>
      <c r="AM208" s="50">
        <f>AM148-(AM21*Seasonality!$C$54*AM71+AM73+AM49*AM148)-AM111</f>
        <v/>
      </c>
      <c r="AN208" s="50">
        <f>AN148-(AN21*Seasonality!$C$54*AN71+AN73+AN49*AN148)-AN111</f>
        <v/>
      </c>
      <c r="AO208" s="50">
        <f>AO148-(AO21*Seasonality!$C$54*AO71+AO73+AO49*AO148)-AO111</f>
        <v/>
      </c>
      <c r="AP208" s="50">
        <f>AP148-(AP21*Seasonality!$C$54*AP71+AP73+AP49*AP148)-AP111</f>
        <v/>
      </c>
      <c r="AQ208" s="50">
        <f>AQ148-(AQ21*Seasonality!$C$54*AQ71+AQ73+AQ49*AQ148)-AQ111</f>
        <v/>
      </c>
      <c r="AR208" s="50">
        <f>AR148-(AR21*Seasonality!$C$54*AR71+AR73+AR49*AR148)-AR111</f>
        <v/>
      </c>
      <c r="AS208" s="50">
        <f>AS148-(AS21*Seasonality!$C$54*AS71+AS73+AS49*AS148)-AS111</f>
        <v/>
      </c>
      <c r="AT208" s="50">
        <f>AT148-(AT21*Seasonality!$C$54*AT71+AT73+AT49*AT148)-AT111</f>
        <v/>
      </c>
      <c r="AU208" s="50">
        <f>AU148-(AU21*Seasonality!$C$54*AU71+AU73+AU49*AU148)-AU111</f>
        <v/>
      </c>
      <c r="AV208" s="50">
        <f>AV148-(AV21*Seasonality!$C$54*AV71+AV73+AV49*AV148)-AV111</f>
        <v/>
      </c>
      <c r="AW208" s="50">
        <f>AW148-(AW21*Seasonality!$C$54*AW71+AW73+AW49*AW148)-AW111</f>
        <v/>
      </c>
      <c r="AX208" s="50">
        <f>AX148-(AX21*Seasonality!$C$54*AX71+AX73+AX49*AX148)-AX111</f>
        <v/>
      </c>
      <c r="AY208" s="50">
        <f>AY148-(AY21*Seasonality!$C$54*AY71+AY73+AY49*AY148)-AY111</f>
        <v/>
      </c>
      <c r="AZ208" s="50">
        <f>AZ148-(AZ21*Seasonality!$C$54*AZ71+AZ73+AZ49*AZ148)-AZ111</f>
        <v/>
      </c>
      <c r="BA208" s="50">
        <f>BA148-(BA21*Seasonality!$C$54*BA71+BA73+BA49*BA148)-BA111</f>
        <v/>
      </c>
      <c r="BB208" s="50">
        <f>BB148-(BB21*Seasonality!$C$54*BB71+BB73+BB49*BB148)-BB111</f>
        <v/>
      </c>
      <c r="BC208" s="50">
        <f>BC148-(BC21*Seasonality!$C$54*BC71+BC73+BC49*BC148)-BC111</f>
        <v/>
      </c>
      <c r="BD208" s="50">
        <f>BD148-(BD21*Seasonality!$C$54*BD71+BD73+BD49*BD148)-BD111</f>
        <v/>
      </c>
      <c r="BE208" s="50">
        <f>BE148-(BE21*Seasonality!$C$54*BE71+BE73+BE49*BE148)-BE111</f>
        <v/>
      </c>
    </row>
    <row r="209">
      <c r="B209" s="7" t="inlineStr">
        <is>
          <t>Contribution · month 19</t>
        </is>
      </c>
      <c r="C209" s="5" t="inlineStr">
        <is>
          <t>₹</t>
        </is>
      </c>
      <c r="D209" s="50">
        <f>D149-(D21*Seasonality!$C$55*D71+D73+D49*D149)-D111</f>
        <v/>
      </c>
      <c r="E209" s="50">
        <f>E149-(E21*Seasonality!$C$55*E71+E73+E49*E149)-E111</f>
        <v/>
      </c>
      <c r="F209" s="50">
        <f>F149-(F21*Seasonality!$C$55*F71+F73+F49*F149)-F111</f>
        <v/>
      </c>
      <c r="G209" s="50">
        <f>G149-(G21*Seasonality!$C$55*G71+G73+G49*G149)-G111</f>
        <v/>
      </c>
      <c r="H209" s="50">
        <f>H149-(H21*Seasonality!$C$55*H71+H73+H49*H149)-H111</f>
        <v/>
      </c>
      <c r="I209" s="50">
        <f>I149-(I21*Seasonality!$C$55*I71+I73+I49*I149)-I111</f>
        <v/>
      </c>
      <c r="J209" s="50">
        <f>J149-(J21*Seasonality!$C$55*J71+J73+J49*J149)-J111</f>
        <v/>
      </c>
      <c r="K209" s="50">
        <f>K149-(K21*Seasonality!$C$55*K71+K73+K49*K149)-K111</f>
        <v/>
      </c>
      <c r="L209" s="50">
        <f>L149-(L21*Seasonality!$C$55*L71+L73+L49*L149)-L111</f>
        <v/>
      </c>
      <c r="M209" s="50">
        <f>M149-(M21*Seasonality!$C$55*M71+M73+M49*M149)-M111</f>
        <v/>
      </c>
      <c r="N209" s="50">
        <f>N149-(N21*Seasonality!$C$55*N71+N73+N49*N149)-N111</f>
        <v/>
      </c>
      <c r="O209" s="50">
        <f>O149-(O21*Seasonality!$C$55*O71+O73+O49*O149)-O111</f>
        <v/>
      </c>
      <c r="P209" s="50">
        <f>P149-(P21*Seasonality!$C$55*P71+P73+P49*P149)-P111</f>
        <v/>
      </c>
      <c r="Q209" s="50">
        <f>Q149-(Q21*Seasonality!$C$55*Q71+Q73+Q49*Q149)-Q111</f>
        <v/>
      </c>
      <c r="R209" s="50">
        <f>R149-(R21*Seasonality!$C$55*R71+R73+R49*R149)-R111</f>
        <v/>
      </c>
      <c r="S209" s="50">
        <f>S149-(S21*Seasonality!$C$55*S71+S73+S49*S149)-S111</f>
        <v/>
      </c>
      <c r="T209" s="50">
        <f>T149-(T21*Seasonality!$C$55*T71+T73+T49*T149)-T111</f>
        <v/>
      </c>
      <c r="U209" s="50">
        <f>U149-(U21*Seasonality!$C$55*U71+U73+U49*U149)-U111</f>
        <v/>
      </c>
      <c r="V209" s="50">
        <f>V149-(V21*Seasonality!$C$55*V71+V73+V49*V149)-V111</f>
        <v/>
      </c>
      <c r="W209" s="50">
        <f>W149-(W21*Seasonality!$C$55*W71+W73+W49*W149)-W111</f>
        <v/>
      </c>
      <c r="X209" s="50">
        <f>X149-(X21*Seasonality!$C$55*X71+X73+X49*X149)-X111</f>
        <v/>
      </c>
      <c r="Y209" s="50">
        <f>Y149-(Y21*Seasonality!$C$55*Y71+Y73+Y49*Y149)-Y111</f>
        <v/>
      </c>
      <c r="Z209" s="50">
        <f>Z149-(Z21*Seasonality!$C$55*Z71+Z73+Z49*Z149)-Z111</f>
        <v/>
      </c>
      <c r="AA209" s="50">
        <f>AA149-(AA21*Seasonality!$C$55*AA71+AA73+AA49*AA149)-AA111</f>
        <v/>
      </c>
      <c r="AB209" s="50">
        <f>AB149-(AB21*Seasonality!$C$55*AB71+AB73+AB49*AB149)-AB111</f>
        <v/>
      </c>
      <c r="AC209" s="50">
        <f>AC149-(AC21*Seasonality!$C$55*AC71+AC73+AC49*AC149)-AC111</f>
        <v/>
      </c>
      <c r="AD209" s="50">
        <f>AD149-(AD21*Seasonality!$C$55*AD71+AD73+AD49*AD149)-AD111</f>
        <v/>
      </c>
      <c r="AE209" s="50">
        <f>AE149-(AE21*Seasonality!$C$55*AE71+AE73+AE49*AE149)-AE111</f>
        <v/>
      </c>
      <c r="AF209" s="50">
        <f>AF149-(AF21*Seasonality!$C$55*AF71+AF73+AF49*AF149)-AF111</f>
        <v/>
      </c>
      <c r="AG209" s="50">
        <f>AG149-(AG21*Seasonality!$C$55*AG71+AG73+AG49*AG149)-AG111</f>
        <v/>
      </c>
      <c r="AH209" s="50">
        <f>AH149-(AH21*Seasonality!$C$55*AH71+AH73+AH49*AH149)-AH111</f>
        <v/>
      </c>
      <c r="AI209" s="50">
        <f>AI149-(AI21*Seasonality!$C$55*AI71+AI73+AI49*AI149)-AI111</f>
        <v/>
      </c>
      <c r="AJ209" s="50">
        <f>AJ149-(AJ21*Seasonality!$C$55*AJ71+AJ73+AJ49*AJ149)-AJ111</f>
        <v/>
      </c>
      <c r="AK209" s="50">
        <f>AK149-(AK21*Seasonality!$C$55*AK71+AK73+AK49*AK149)-AK111</f>
        <v/>
      </c>
      <c r="AL209" s="50">
        <f>AL149-(AL21*Seasonality!$C$55*AL71+AL73+AL49*AL149)-AL111</f>
        <v/>
      </c>
      <c r="AM209" s="50">
        <f>AM149-(AM21*Seasonality!$C$55*AM71+AM73+AM49*AM149)-AM111</f>
        <v/>
      </c>
      <c r="AN209" s="50">
        <f>AN149-(AN21*Seasonality!$C$55*AN71+AN73+AN49*AN149)-AN111</f>
        <v/>
      </c>
      <c r="AO209" s="50">
        <f>AO149-(AO21*Seasonality!$C$55*AO71+AO73+AO49*AO149)-AO111</f>
        <v/>
      </c>
      <c r="AP209" s="50">
        <f>AP149-(AP21*Seasonality!$C$55*AP71+AP73+AP49*AP149)-AP111</f>
        <v/>
      </c>
      <c r="AQ209" s="50">
        <f>AQ149-(AQ21*Seasonality!$C$55*AQ71+AQ73+AQ49*AQ149)-AQ111</f>
        <v/>
      </c>
      <c r="AR209" s="50">
        <f>AR149-(AR21*Seasonality!$C$55*AR71+AR73+AR49*AR149)-AR111</f>
        <v/>
      </c>
      <c r="AS209" s="50">
        <f>AS149-(AS21*Seasonality!$C$55*AS71+AS73+AS49*AS149)-AS111</f>
        <v/>
      </c>
      <c r="AT209" s="50">
        <f>AT149-(AT21*Seasonality!$C$55*AT71+AT73+AT49*AT149)-AT111</f>
        <v/>
      </c>
      <c r="AU209" s="50">
        <f>AU149-(AU21*Seasonality!$C$55*AU71+AU73+AU49*AU149)-AU111</f>
        <v/>
      </c>
      <c r="AV209" s="50">
        <f>AV149-(AV21*Seasonality!$C$55*AV71+AV73+AV49*AV149)-AV111</f>
        <v/>
      </c>
      <c r="AW209" s="50">
        <f>AW149-(AW21*Seasonality!$C$55*AW71+AW73+AW49*AW149)-AW111</f>
        <v/>
      </c>
      <c r="AX209" s="50">
        <f>AX149-(AX21*Seasonality!$C$55*AX71+AX73+AX49*AX149)-AX111</f>
        <v/>
      </c>
      <c r="AY209" s="50">
        <f>AY149-(AY21*Seasonality!$C$55*AY71+AY73+AY49*AY149)-AY111</f>
        <v/>
      </c>
      <c r="AZ209" s="50">
        <f>AZ149-(AZ21*Seasonality!$C$55*AZ71+AZ73+AZ49*AZ149)-AZ111</f>
        <v/>
      </c>
      <c r="BA209" s="50">
        <f>BA149-(BA21*Seasonality!$C$55*BA71+BA73+BA49*BA149)-BA111</f>
        <v/>
      </c>
      <c r="BB209" s="50">
        <f>BB149-(BB21*Seasonality!$C$55*BB71+BB73+BB49*BB149)-BB111</f>
        <v/>
      </c>
      <c r="BC209" s="50">
        <f>BC149-(BC21*Seasonality!$C$55*BC71+BC73+BC49*BC149)-BC111</f>
        <v/>
      </c>
      <c r="BD209" s="50">
        <f>BD149-(BD21*Seasonality!$C$55*BD71+BD73+BD49*BD149)-BD111</f>
        <v/>
      </c>
      <c r="BE209" s="50">
        <f>BE149-(BE21*Seasonality!$C$55*BE71+BE73+BE49*BE149)-BE111</f>
        <v/>
      </c>
    </row>
    <row r="210">
      <c r="B210" s="7" t="inlineStr">
        <is>
          <t>Contribution · month 20</t>
        </is>
      </c>
      <c r="C210" s="5" t="inlineStr">
        <is>
          <t>₹</t>
        </is>
      </c>
      <c r="D210" s="50">
        <f>D150-(D21*Seasonality!$C$56*D71+D73+D49*D150)-D111</f>
        <v/>
      </c>
      <c r="E210" s="50">
        <f>E150-(E21*Seasonality!$C$56*E71+E73+E49*E150)-E111</f>
        <v/>
      </c>
      <c r="F210" s="50">
        <f>F150-(F21*Seasonality!$C$56*F71+F73+F49*F150)-F111</f>
        <v/>
      </c>
      <c r="G210" s="50">
        <f>G150-(G21*Seasonality!$C$56*G71+G73+G49*G150)-G111</f>
        <v/>
      </c>
      <c r="H210" s="50">
        <f>H150-(H21*Seasonality!$C$56*H71+H73+H49*H150)-H111</f>
        <v/>
      </c>
      <c r="I210" s="50">
        <f>I150-(I21*Seasonality!$C$56*I71+I73+I49*I150)-I111</f>
        <v/>
      </c>
      <c r="J210" s="50">
        <f>J150-(J21*Seasonality!$C$56*J71+J73+J49*J150)-J111</f>
        <v/>
      </c>
      <c r="K210" s="50">
        <f>K150-(K21*Seasonality!$C$56*K71+K73+K49*K150)-K111</f>
        <v/>
      </c>
      <c r="L210" s="50">
        <f>L150-(L21*Seasonality!$C$56*L71+L73+L49*L150)-L111</f>
        <v/>
      </c>
      <c r="M210" s="50">
        <f>M150-(M21*Seasonality!$C$56*M71+M73+M49*M150)-M111</f>
        <v/>
      </c>
      <c r="N210" s="50">
        <f>N150-(N21*Seasonality!$C$56*N71+N73+N49*N150)-N111</f>
        <v/>
      </c>
      <c r="O210" s="50">
        <f>O150-(O21*Seasonality!$C$56*O71+O73+O49*O150)-O111</f>
        <v/>
      </c>
      <c r="P210" s="50">
        <f>P150-(P21*Seasonality!$C$56*P71+P73+P49*P150)-P111</f>
        <v/>
      </c>
      <c r="Q210" s="50">
        <f>Q150-(Q21*Seasonality!$C$56*Q71+Q73+Q49*Q150)-Q111</f>
        <v/>
      </c>
      <c r="R210" s="50">
        <f>R150-(R21*Seasonality!$C$56*R71+R73+R49*R150)-R111</f>
        <v/>
      </c>
      <c r="S210" s="50">
        <f>S150-(S21*Seasonality!$C$56*S71+S73+S49*S150)-S111</f>
        <v/>
      </c>
      <c r="T210" s="50">
        <f>T150-(T21*Seasonality!$C$56*T71+T73+T49*T150)-T111</f>
        <v/>
      </c>
      <c r="U210" s="50">
        <f>U150-(U21*Seasonality!$C$56*U71+U73+U49*U150)-U111</f>
        <v/>
      </c>
      <c r="V210" s="50">
        <f>V150-(V21*Seasonality!$C$56*V71+V73+V49*V150)-V111</f>
        <v/>
      </c>
      <c r="W210" s="50">
        <f>W150-(W21*Seasonality!$C$56*W71+W73+W49*W150)-W111</f>
        <v/>
      </c>
      <c r="X210" s="50">
        <f>X150-(X21*Seasonality!$C$56*X71+X73+X49*X150)-X111</f>
        <v/>
      </c>
      <c r="Y210" s="50">
        <f>Y150-(Y21*Seasonality!$C$56*Y71+Y73+Y49*Y150)-Y111</f>
        <v/>
      </c>
      <c r="Z210" s="50">
        <f>Z150-(Z21*Seasonality!$C$56*Z71+Z73+Z49*Z150)-Z111</f>
        <v/>
      </c>
      <c r="AA210" s="50">
        <f>AA150-(AA21*Seasonality!$C$56*AA71+AA73+AA49*AA150)-AA111</f>
        <v/>
      </c>
      <c r="AB210" s="50">
        <f>AB150-(AB21*Seasonality!$C$56*AB71+AB73+AB49*AB150)-AB111</f>
        <v/>
      </c>
      <c r="AC210" s="50">
        <f>AC150-(AC21*Seasonality!$C$56*AC71+AC73+AC49*AC150)-AC111</f>
        <v/>
      </c>
      <c r="AD210" s="50">
        <f>AD150-(AD21*Seasonality!$C$56*AD71+AD73+AD49*AD150)-AD111</f>
        <v/>
      </c>
      <c r="AE210" s="50">
        <f>AE150-(AE21*Seasonality!$C$56*AE71+AE73+AE49*AE150)-AE111</f>
        <v/>
      </c>
      <c r="AF210" s="50">
        <f>AF150-(AF21*Seasonality!$C$56*AF71+AF73+AF49*AF150)-AF111</f>
        <v/>
      </c>
      <c r="AG210" s="50">
        <f>AG150-(AG21*Seasonality!$C$56*AG71+AG73+AG49*AG150)-AG111</f>
        <v/>
      </c>
      <c r="AH210" s="50">
        <f>AH150-(AH21*Seasonality!$C$56*AH71+AH73+AH49*AH150)-AH111</f>
        <v/>
      </c>
      <c r="AI210" s="50">
        <f>AI150-(AI21*Seasonality!$C$56*AI71+AI73+AI49*AI150)-AI111</f>
        <v/>
      </c>
      <c r="AJ210" s="50">
        <f>AJ150-(AJ21*Seasonality!$C$56*AJ71+AJ73+AJ49*AJ150)-AJ111</f>
        <v/>
      </c>
      <c r="AK210" s="50">
        <f>AK150-(AK21*Seasonality!$C$56*AK71+AK73+AK49*AK150)-AK111</f>
        <v/>
      </c>
      <c r="AL210" s="50">
        <f>AL150-(AL21*Seasonality!$C$56*AL71+AL73+AL49*AL150)-AL111</f>
        <v/>
      </c>
      <c r="AM210" s="50">
        <f>AM150-(AM21*Seasonality!$C$56*AM71+AM73+AM49*AM150)-AM111</f>
        <v/>
      </c>
      <c r="AN210" s="50">
        <f>AN150-(AN21*Seasonality!$C$56*AN71+AN73+AN49*AN150)-AN111</f>
        <v/>
      </c>
      <c r="AO210" s="50">
        <f>AO150-(AO21*Seasonality!$C$56*AO71+AO73+AO49*AO150)-AO111</f>
        <v/>
      </c>
      <c r="AP210" s="50">
        <f>AP150-(AP21*Seasonality!$C$56*AP71+AP73+AP49*AP150)-AP111</f>
        <v/>
      </c>
      <c r="AQ210" s="50">
        <f>AQ150-(AQ21*Seasonality!$C$56*AQ71+AQ73+AQ49*AQ150)-AQ111</f>
        <v/>
      </c>
      <c r="AR210" s="50">
        <f>AR150-(AR21*Seasonality!$C$56*AR71+AR73+AR49*AR150)-AR111</f>
        <v/>
      </c>
      <c r="AS210" s="50">
        <f>AS150-(AS21*Seasonality!$C$56*AS71+AS73+AS49*AS150)-AS111</f>
        <v/>
      </c>
      <c r="AT210" s="50">
        <f>AT150-(AT21*Seasonality!$C$56*AT71+AT73+AT49*AT150)-AT111</f>
        <v/>
      </c>
      <c r="AU210" s="50">
        <f>AU150-(AU21*Seasonality!$C$56*AU71+AU73+AU49*AU150)-AU111</f>
        <v/>
      </c>
      <c r="AV210" s="50">
        <f>AV150-(AV21*Seasonality!$C$56*AV71+AV73+AV49*AV150)-AV111</f>
        <v/>
      </c>
      <c r="AW210" s="50">
        <f>AW150-(AW21*Seasonality!$C$56*AW71+AW73+AW49*AW150)-AW111</f>
        <v/>
      </c>
      <c r="AX210" s="50">
        <f>AX150-(AX21*Seasonality!$C$56*AX71+AX73+AX49*AX150)-AX111</f>
        <v/>
      </c>
      <c r="AY210" s="50">
        <f>AY150-(AY21*Seasonality!$C$56*AY71+AY73+AY49*AY150)-AY111</f>
        <v/>
      </c>
      <c r="AZ210" s="50">
        <f>AZ150-(AZ21*Seasonality!$C$56*AZ71+AZ73+AZ49*AZ150)-AZ111</f>
        <v/>
      </c>
      <c r="BA210" s="50">
        <f>BA150-(BA21*Seasonality!$C$56*BA71+BA73+BA49*BA150)-BA111</f>
        <v/>
      </c>
      <c r="BB210" s="50">
        <f>BB150-(BB21*Seasonality!$C$56*BB71+BB73+BB49*BB150)-BB111</f>
        <v/>
      </c>
      <c r="BC210" s="50">
        <f>BC150-(BC21*Seasonality!$C$56*BC71+BC73+BC49*BC150)-BC111</f>
        <v/>
      </c>
      <c r="BD210" s="50">
        <f>BD150-(BD21*Seasonality!$C$56*BD71+BD73+BD49*BD150)-BD111</f>
        <v/>
      </c>
      <c r="BE210" s="50">
        <f>BE150-(BE21*Seasonality!$C$56*BE71+BE73+BE49*BE150)-BE111</f>
        <v/>
      </c>
    </row>
    <row r="211">
      <c r="B211" s="7" t="inlineStr">
        <is>
          <t>Contribution · month 21</t>
        </is>
      </c>
      <c r="C211" s="5" t="inlineStr">
        <is>
          <t>₹</t>
        </is>
      </c>
      <c r="D211" s="50">
        <f>D151-(D21*Seasonality!$C$57*D71+D73+D49*D151)-D111</f>
        <v/>
      </c>
      <c r="E211" s="50">
        <f>E151-(E21*Seasonality!$C$57*E71+E73+E49*E151)-E111</f>
        <v/>
      </c>
      <c r="F211" s="50">
        <f>F151-(F21*Seasonality!$C$57*F71+F73+F49*F151)-F111</f>
        <v/>
      </c>
      <c r="G211" s="50">
        <f>G151-(G21*Seasonality!$C$57*G71+G73+G49*G151)-G111</f>
        <v/>
      </c>
      <c r="H211" s="50">
        <f>H151-(H21*Seasonality!$C$57*H71+H73+H49*H151)-H111</f>
        <v/>
      </c>
      <c r="I211" s="50">
        <f>I151-(I21*Seasonality!$C$57*I71+I73+I49*I151)-I111</f>
        <v/>
      </c>
      <c r="J211" s="50">
        <f>J151-(J21*Seasonality!$C$57*J71+J73+J49*J151)-J111</f>
        <v/>
      </c>
      <c r="K211" s="50">
        <f>K151-(K21*Seasonality!$C$57*K71+K73+K49*K151)-K111</f>
        <v/>
      </c>
      <c r="L211" s="50">
        <f>L151-(L21*Seasonality!$C$57*L71+L73+L49*L151)-L111</f>
        <v/>
      </c>
      <c r="M211" s="50">
        <f>M151-(M21*Seasonality!$C$57*M71+M73+M49*M151)-M111</f>
        <v/>
      </c>
      <c r="N211" s="50">
        <f>N151-(N21*Seasonality!$C$57*N71+N73+N49*N151)-N111</f>
        <v/>
      </c>
      <c r="O211" s="50">
        <f>O151-(O21*Seasonality!$C$57*O71+O73+O49*O151)-O111</f>
        <v/>
      </c>
      <c r="P211" s="50">
        <f>P151-(P21*Seasonality!$C$57*P71+P73+P49*P151)-P111</f>
        <v/>
      </c>
      <c r="Q211" s="50">
        <f>Q151-(Q21*Seasonality!$C$57*Q71+Q73+Q49*Q151)-Q111</f>
        <v/>
      </c>
      <c r="R211" s="50">
        <f>R151-(R21*Seasonality!$C$57*R71+R73+R49*R151)-R111</f>
        <v/>
      </c>
      <c r="S211" s="50">
        <f>S151-(S21*Seasonality!$C$57*S71+S73+S49*S151)-S111</f>
        <v/>
      </c>
      <c r="T211" s="50">
        <f>T151-(T21*Seasonality!$C$57*T71+T73+T49*T151)-T111</f>
        <v/>
      </c>
      <c r="U211" s="50">
        <f>U151-(U21*Seasonality!$C$57*U71+U73+U49*U151)-U111</f>
        <v/>
      </c>
      <c r="V211" s="50">
        <f>V151-(V21*Seasonality!$C$57*V71+V73+V49*V151)-V111</f>
        <v/>
      </c>
      <c r="W211" s="50">
        <f>W151-(W21*Seasonality!$C$57*W71+W73+W49*W151)-W111</f>
        <v/>
      </c>
      <c r="X211" s="50">
        <f>X151-(X21*Seasonality!$C$57*X71+X73+X49*X151)-X111</f>
        <v/>
      </c>
      <c r="Y211" s="50">
        <f>Y151-(Y21*Seasonality!$C$57*Y71+Y73+Y49*Y151)-Y111</f>
        <v/>
      </c>
      <c r="Z211" s="50">
        <f>Z151-(Z21*Seasonality!$C$57*Z71+Z73+Z49*Z151)-Z111</f>
        <v/>
      </c>
      <c r="AA211" s="50">
        <f>AA151-(AA21*Seasonality!$C$57*AA71+AA73+AA49*AA151)-AA111</f>
        <v/>
      </c>
      <c r="AB211" s="50">
        <f>AB151-(AB21*Seasonality!$C$57*AB71+AB73+AB49*AB151)-AB111</f>
        <v/>
      </c>
      <c r="AC211" s="50">
        <f>AC151-(AC21*Seasonality!$C$57*AC71+AC73+AC49*AC151)-AC111</f>
        <v/>
      </c>
      <c r="AD211" s="50">
        <f>AD151-(AD21*Seasonality!$C$57*AD71+AD73+AD49*AD151)-AD111</f>
        <v/>
      </c>
      <c r="AE211" s="50">
        <f>AE151-(AE21*Seasonality!$C$57*AE71+AE73+AE49*AE151)-AE111</f>
        <v/>
      </c>
      <c r="AF211" s="50">
        <f>AF151-(AF21*Seasonality!$C$57*AF71+AF73+AF49*AF151)-AF111</f>
        <v/>
      </c>
      <c r="AG211" s="50">
        <f>AG151-(AG21*Seasonality!$C$57*AG71+AG73+AG49*AG151)-AG111</f>
        <v/>
      </c>
      <c r="AH211" s="50">
        <f>AH151-(AH21*Seasonality!$C$57*AH71+AH73+AH49*AH151)-AH111</f>
        <v/>
      </c>
      <c r="AI211" s="50">
        <f>AI151-(AI21*Seasonality!$C$57*AI71+AI73+AI49*AI151)-AI111</f>
        <v/>
      </c>
      <c r="AJ211" s="50">
        <f>AJ151-(AJ21*Seasonality!$C$57*AJ71+AJ73+AJ49*AJ151)-AJ111</f>
        <v/>
      </c>
      <c r="AK211" s="50">
        <f>AK151-(AK21*Seasonality!$C$57*AK71+AK73+AK49*AK151)-AK111</f>
        <v/>
      </c>
      <c r="AL211" s="50">
        <f>AL151-(AL21*Seasonality!$C$57*AL71+AL73+AL49*AL151)-AL111</f>
        <v/>
      </c>
      <c r="AM211" s="50">
        <f>AM151-(AM21*Seasonality!$C$57*AM71+AM73+AM49*AM151)-AM111</f>
        <v/>
      </c>
      <c r="AN211" s="50">
        <f>AN151-(AN21*Seasonality!$C$57*AN71+AN73+AN49*AN151)-AN111</f>
        <v/>
      </c>
      <c r="AO211" s="50">
        <f>AO151-(AO21*Seasonality!$C$57*AO71+AO73+AO49*AO151)-AO111</f>
        <v/>
      </c>
      <c r="AP211" s="50">
        <f>AP151-(AP21*Seasonality!$C$57*AP71+AP73+AP49*AP151)-AP111</f>
        <v/>
      </c>
      <c r="AQ211" s="50">
        <f>AQ151-(AQ21*Seasonality!$C$57*AQ71+AQ73+AQ49*AQ151)-AQ111</f>
        <v/>
      </c>
      <c r="AR211" s="50">
        <f>AR151-(AR21*Seasonality!$C$57*AR71+AR73+AR49*AR151)-AR111</f>
        <v/>
      </c>
      <c r="AS211" s="50">
        <f>AS151-(AS21*Seasonality!$C$57*AS71+AS73+AS49*AS151)-AS111</f>
        <v/>
      </c>
      <c r="AT211" s="50">
        <f>AT151-(AT21*Seasonality!$C$57*AT71+AT73+AT49*AT151)-AT111</f>
        <v/>
      </c>
      <c r="AU211" s="50">
        <f>AU151-(AU21*Seasonality!$C$57*AU71+AU73+AU49*AU151)-AU111</f>
        <v/>
      </c>
      <c r="AV211" s="50">
        <f>AV151-(AV21*Seasonality!$C$57*AV71+AV73+AV49*AV151)-AV111</f>
        <v/>
      </c>
      <c r="AW211" s="50">
        <f>AW151-(AW21*Seasonality!$C$57*AW71+AW73+AW49*AW151)-AW111</f>
        <v/>
      </c>
      <c r="AX211" s="50">
        <f>AX151-(AX21*Seasonality!$C$57*AX71+AX73+AX49*AX151)-AX111</f>
        <v/>
      </c>
      <c r="AY211" s="50">
        <f>AY151-(AY21*Seasonality!$C$57*AY71+AY73+AY49*AY151)-AY111</f>
        <v/>
      </c>
      <c r="AZ211" s="50">
        <f>AZ151-(AZ21*Seasonality!$C$57*AZ71+AZ73+AZ49*AZ151)-AZ111</f>
        <v/>
      </c>
      <c r="BA211" s="50">
        <f>BA151-(BA21*Seasonality!$C$57*BA71+BA73+BA49*BA151)-BA111</f>
        <v/>
      </c>
      <c r="BB211" s="50">
        <f>BB151-(BB21*Seasonality!$C$57*BB71+BB73+BB49*BB151)-BB111</f>
        <v/>
      </c>
      <c r="BC211" s="50">
        <f>BC151-(BC21*Seasonality!$C$57*BC71+BC73+BC49*BC151)-BC111</f>
        <v/>
      </c>
      <c r="BD211" s="50">
        <f>BD151-(BD21*Seasonality!$C$57*BD71+BD73+BD49*BD151)-BD111</f>
        <v/>
      </c>
      <c r="BE211" s="50">
        <f>BE151-(BE21*Seasonality!$C$57*BE71+BE73+BE49*BE151)-BE111</f>
        <v/>
      </c>
    </row>
    <row r="212">
      <c r="B212" s="7" t="inlineStr">
        <is>
          <t>Contribution · month 22</t>
        </is>
      </c>
      <c r="C212" s="5" t="inlineStr">
        <is>
          <t>₹</t>
        </is>
      </c>
      <c r="D212" s="50">
        <f>D152-(D21*Seasonality!$C$58*D71+D73+D49*D152)-D111</f>
        <v/>
      </c>
      <c r="E212" s="50">
        <f>E152-(E21*Seasonality!$C$58*E71+E73+E49*E152)-E111</f>
        <v/>
      </c>
      <c r="F212" s="50">
        <f>F152-(F21*Seasonality!$C$58*F71+F73+F49*F152)-F111</f>
        <v/>
      </c>
      <c r="G212" s="50">
        <f>G152-(G21*Seasonality!$C$58*G71+G73+G49*G152)-G111</f>
        <v/>
      </c>
      <c r="H212" s="50">
        <f>H152-(H21*Seasonality!$C$58*H71+H73+H49*H152)-H111</f>
        <v/>
      </c>
      <c r="I212" s="50">
        <f>I152-(I21*Seasonality!$C$58*I71+I73+I49*I152)-I111</f>
        <v/>
      </c>
      <c r="J212" s="50">
        <f>J152-(J21*Seasonality!$C$58*J71+J73+J49*J152)-J111</f>
        <v/>
      </c>
      <c r="K212" s="50">
        <f>K152-(K21*Seasonality!$C$58*K71+K73+K49*K152)-K111</f>
        <v/>
      </c>
      <c r="L212" s="50">
        <f>L152-(L21*Seasonality!$C$58*L71+L73+L49*L152)-L111</f>
        <v/>
      </c>
      <c r="M212" s="50">
        <f>M152-(M21*Seasonality!$C$58*M71+M73+M49*M152)-M111</f>
        <v/>
      </c>
      <c r="N212" s="50">
        <f>N152-(N21*Seasonality!$C$58*N71+N73+N49*N152)-N111</f>
        <v/>
      </c>
      <c r="O212" s="50">
        <f>O152-(O21*Seasonality!$C$58*O71+O73+O49*O152)-O111</f>
        <v/>
      </c>
      <c r="P212" s="50">
        <f>P152-(P21*Seasonality!$C$58*P71+P73+P49*P152)-P111</f>
        <v/>
      </c>
      <c r="Q212" s="50">
        <f>Q152-(Q21*Seasonality!$C$58*Q71+Q73+Q49*Q152)-Q111</f>
        <v/>
      </c>
      <c r="R212" s="50">
        <f>R152-(R21*Seasonality!$C$58*R71+R73+R49*R152)-R111</f>
        <v/>
      </c>
      <c r="S212" s="50">
        <f>S152-(S21*Seasonality!$C$58*S71+S73+S49*S152)-S111</f>
        <v/>
      </c>
      <c r="T212" s="50">
        <f>T152-(T21*Seasonality!$C$58*T71+T73+T49*T152)-T111</f>
        <v/>
      </c>
      <c r="U212" s="50">
        <f>U152-(U21*Seasonality!$C$58*U71+U73+U49*U152)-U111</f>
        <v/>
      </c>
      <c r="V212" s="50">
        <f>V152-(V21*Seasonality!$C$58*V71+V73+V49*V152)-V111</f>
        <v/>
      </c>
      <c r="W212" s="50">
        <f>W152-(W21*Seasonality!$C$58*W71+W73+W49*W152)-W111</f>
        <v/>
      </c>
      <c r="X212" s="50">
        <f>X152-(X21*Seasonality!$C$58*X71+X73+X49*X152)-X111</f>
        <v/>
      </c>
      <c r="Y212" s="50">
        <f>Y152-(Y21*Seasonality!$C$58*Y71+Y73+Y49*Y152)-Y111</f>
        <v/>
      </c>
      <c r="Z212" s="50">
        <f>Z152-(Z21*Seasonality!$C$58*Z71+Z73+Z49*Z152)-Z111</f>
        <v/>
      </c>
      <c r="AA212" s="50">
        <f>AA152-(AA21*Seasonality!$C$58*AA71+AA73+AA49*AA152)-AA111</f>
        <v/>
      </c>
      <c r="AB212" s="50">
        <f>AB152-(AB21*Seasonality!$C$58*AB71+AB73+AB49*AB152)-AB111</f>
        <v/>
      </c>
      <c r="AC212" s="50">
        <f>AC152-(AC21*Seasonality!$C$58*AC71+AC73+AC49*AC152)-AC111</f>
        <v/>
      </c>
      <c r="AD212" s="50">
        <f>AD152-(AD21*Seasonality!$C$58*AD71+AD73+AD49*AD152)-AD111</f>
        <v/>
      </c>
      <c r="AE212" s="50">
        <f>AE152-(AE21*Seasonality!$C$58*AE71+AE73+AE49*AE152)-AE111</f>
        <v/>
      </c>
      <c r="AF212" s="50">
        <f>AF152-(AF21*Seasonality!$C$58*AF71+AF73+AF49*AF152)-AF111</f>
        <v/>
      </c>
      <c r="AG212" s="50">
        <f>AG152-(AG21*Seasonality!$C$58*AG71+AG73+AG49*AG152)-AG111</f>
        <v/>
      </c>
      <c r="AH212" s="50">
        <f>AH152-(AH21*Seasonality!$C$58*AH71+AH73+AH49*AH152)-AH111</f>
        <v/>
      </c>
      <c r="AI212" s="50">
        <f>AI152-(AI21*Seasonality!$C$58*AI71+AI73+AI49*AI152)-AI111</f>
        <v/>
      </c>
      <c r="AJ212" s="50">
        <f>AJ152-(AJ21*Seasonality!$C$58*AJ71+AJ73+AJ49*AJ152)-AJ111</f>
        <v/>
      </c>
      <c r="AK212" s="50">
        <f>AK152-(AK21*Seasonality!$C$58*AK71+AK73+AK49*AK152)-AK111</f>
        <v/>
      </c>
      <c r="AL212" s="50">
        <f>AL152-(AL21*Seasonality!$C$58*AL71+AL73+AL49*AL152)-AL111</f>
        <v/>
      </c>
      <c r="AM212" s="50">
        <f>AM152-(AM21*Seasonality!$C$58*AM71+AM73+AM49*AM152)-AM111</f>
        <v/>
      </c>
      <c r="AN212" s="50">
        <f>AN152-(AN21*Seasonality!$C$58*AN71+AN73+AN49*AN152)-AN111</f>
        <v/>
      </c>
      <c r="AO212" s="50">
        <f>AO152-(AO21*Seasonality!$C$58*AO71+AO73+AO49*AO152)-AO111</f>
        <v/>
      </c>
      <c r="AP212" s="50">
        <f>AP152-(AP21*Seasonality!$C$58*AP71+AP73+AP49*AP152)-AP111</f>
        <v/>
      </c>
      <c r="AQ212" s="50">
        <f>AQ152-(AQ21*Seasonality!$C$58*AQ71+AQ73+AQ49*AQ152)-AQ111</f>
        <v/>
      </c>
      <c r="AR212" s="50">
        <f>AR152-(AR21*Seasonality!$C$58*AR71+AR73+AR49*AR152)-AR111</f>
        <v/>
      </c>
      <c r="AS212" s="50">
        <f>AS152-(AS21*Seasonality!$C$58*AS71+AS73+AS49*AS152)-AS111</f>
        <v/>
      </c>
      <c r="AT212" s="50">
        <f>AT152-(AT21*Seasonality!$C$58*AT71+AT73+AT49*AT152)-AT111</f>
        <v/>
      </c>
      <c r="AU212" s="50">
        <f>AU152-(AU21*Seasonality!$C$58*AU71+AU73+AU49*AU152)-AU111</f>
        <v/>
      </c>
      <c r="AV212" s="50">
        <f>AV152-(AV21*Seasonality!$C$58*AV71+AV73+AV49*AV152)-AV111</f>
        <v/>
      </c>
      <c r="AW212" s="50">
        <f>AW152-(AW21*Seasonality!$C$58*AW71+AW73+AW49*AW152)-AW111</f>
        <v/>
      </c>
      <c r="AX212" s="50">
        <f>AX152-(AX21*Seasonality!$C$58*AX71+AX73+AX49*AX152)-AX111</f>
        <v/>
      </c>
      <c r="AY212" s="50">
        <f>AY152-(AY21*Seasonality!$C$58*AY71+AY73+AY49*AY152)-AY111</f>
        <v/>
      </c>
      <c r="AZ212" s="50">
        <f>AZ152-(AZ21*Seasonality!$C$58*AZ71+AZ73+AZ49*AZ152)-AZ111</f>
        <v/>
      </c>
      <c r="BA212" s="50">
        <f>BA152-(BA21*Seasonality!$C$58*BA71+BA73+BA49*BA152)-BA111</f>
        <v/>
      </c>
      <c r="BB212" s="50">
        <f>BB152-(BB21*Seasonality!$C$58*BB71+BB73+BB49*BB152)-BB111</f>
        <v/>
      </c>
      <c r="BC212" s="50">
        <f>BC152-(BC21*Seasonality!$C$58*BC71+BC73+BC49*BC152)-BC111</f>
        <v/>
      </c>
      <c r="BD212" s="50">
        <f>BD152-(BD21*Seasonality!$C$58*BD71+BD73+BD49*BD152)-BD111</f>
        <v/>
      </c>
      <c r="BE212" s="50">
        <f>BE152-(BE21*Seasonality!$C$58*BE71+BE73+BE49*BE152)-BE111</f>
        <v/>
      </c>
    </row>
    <row r="213">
      <c r="B213" s="7" t="inlineStr">
        <is>
          <t>Contribution · month 23</t>
        </is>
      </c>
      <c r="C213" s="5" t="inlineStr">
        <is>
          <t>₹</t>
        </is>
      </c>
      <c r="D213" s="50">
        <f>D153-(D21*Seasonality!$C$59*D71+D73+D49*D153)-D111</f>
        <v/>
      </c>
      <c r="E213" s="50">
        <f>E153-(E21*Seasonality!$C$59*E71+E73+E49*E153)-E111</f>
        <v/>
      </c>
      <c r="F213" s="50">
        <f>F153-(F21*Seasonality!$C$59*F71+F73+F49*F153)-F111</f>
        <v/>
      </c>
      <c r="G213" s="50">
        <f>G153-(G21*Seasonality!$C$59*G71+G73+G49*G153)-G111</f>
        <v/>
      </c>
      <c r="H213" s="50">
        <f>H153-(H21*Seasonality!$C$59*H71+H73+H49*H153)-H111</f>
        <v/>
      </c>
      <c r="I213" s="50">
        <f>I153-(I21*Seasonality!$C$59*I71+I73+I49*I153)-I111</f>
        <v/>
      </c>
      <c r="J213" s="50">
        <f>J153-(J21*Seasonality!$C$59*J71+J73+J49*J153)-J111</f>
        <v/>
      </c>
      <c r="K213" s="50">
        <f>K153-(K21*Seasonality!$C$59*K71+K73+K49*K153)-K111</f>
        <v/>
      </c>
      <c r="L213" s="50">
        <f>L153-(L21*Seasonality!$C$59*L71+L73+L49*L153)-L111</f>
        <v/>
      </c>
      <c r="M213" s="50">
        <f>M153-(M21*Seasonality!$C$59*M71+M73+M49*M153)-M111</f>
        <v/>
      </c>
      <c r="N213" s="50">
        <f>N153-(N21*Seasonality!$C$59*N71+N73+N49*N153)-N111</f>
        <v/>
      </c>
      <c r="O213" s="50">
        <f>O153-(O21*Seasonality!$C$59*O71+O73+O49*O153)-O111</f>
        <v/>
      </c>
      <c r="P213" s="50">
        <f>P153-(P21*Seasonality!$C$59*P71+P73+P49*P153)-P111</f>
        <v/>
      </c>
      <c r="Q213" s="50">
        <f>Q153-(Q21*Seasonality!$C$59*Q71+Q73+Q49*Q153)-Q111</f>
        <v/>
      </c>
      <c r="R213" s="50">
        <f>R153-(R21*Seasonality!$C$59*R71+R73+R49*R153)-R111</f>
        <v/>
      </c>
      <c r="S213" s="50">
        <f>S153-(S21*Seasonality!$C$59*S71+S73+S49*S153)-S111</f>
        <v/>
      </c>
      <c r="T213" s="50">
        <f>T153-(T21*Seasonality!$C$59*T71+T73+T49*T153)-T111</f>
        <v/>
      </c>
      <c r="U213" s="50">
        <f>U153-(U21*Seasonality!$C$59*U71+U73+U49*U153)-U111</f>
        <v/>
      </c>
      <c r="V213" s="50">
        <f>V153-(V21*Seasonality!$C$59*V71+V73+V49*V153)-V111</f>
        <v/>
      </c>
      <c r="W213" s="50">
        <f>W153-(W21*Seasonality!$C$59*W71+W73+W49*W153)-W111</f>
        <v/>
      </c>
      <c r="X213" s="50">
        <f>X153-(X21*Seasonality!$C$59*X71+X73+X49*X153)-X111</f>
        <v/>
      </c>
      <c r="Y213" s="50">
        <f>Y153-(Y21*Seasonality!$C$59*Y71+Y73+Y49*Y153)-Y111</f>
        <v/>
      </c>
      <c r="Z213" s="50">
        <f>Z153-(Z21*Seasonality!$C$59*Z71+Z73+Z49*Z153)-Z111</f>
        <v/>
      </c>
      <c r="AA213" s="50">
        <f>AA153-(AA21*Seasonality!$C$59*AA71+AA73+AA49*AA153)-AA111</f>
        <v/>
      </c>
      <c r="AB213" s="50">
        <f>AB153-(AB21*Seasonality!$C$59*AB71+AB73+AB49*AB153)-AB111</f>
        <v/>
      </c>
      <c r="AC213" s="50">
        <f>AC153-(AC21*Seasonality!$C$59*AC71+AC73+AC49*AC153)-AC111</f>
        <v/>
      </c>
      <c r="AD213" s="50">
        <f>AD153-(AD21*Seasonality!$C$59*AD71+AD73+AD49*AD153)-AD111</f>
        <v/>
      </c>
      <c r="AE213" s="50">
        <f>AE153-(AE21*Seasonality!$C$59*AE71+AE73+AE49*AE153)-AE111</f>
        <v/>
      </c>
      <c r="AF213" s="50">
        <f>AF153-(AF21*Seasonality!$C$59*AF71+AF73+AF49*AF153)-AF111</f>
        <v/>
      </c>
      <c r="AG213" s="50">
        <f>AG153-(AG21*Seasonality!$C$59*AG71+AG73+AG49*AG153)-AG111</f>
        <v/>
      </c>
      <c r="AH213" s="50">
        <f>AH153-(AH21*Seasonality!$C$59*AH71+AH73+AH49*AH153)-AH111</f>
        <v/>
      </c>
      <c r="AI213" s="50">
        <f>AI153-(AI21*Seasonality!$C$59*AI71+AI73+AI49*AI153)-AI111</f>
        <v/>
      </c>
      <c r="AJ213" s="50">
        <f>AJ153-(AJ21*Seasonality!$C$59*AJ71+AJ73+AJ49*AJ153)-AJ111</f>
        <v/>
      </c>
      <c r="AK213" s="50">
        <f>AK153-(AK21*Seasonality!$C$59*AK71+AK73+AK49*AK153)-AK111</f>
        <v/>
      </c>
      <c r="AL213" s="50">
        <f>AL153-(AL21*Seasonality!$C$59*AL71+AL73+AL49*AL153)-AL111</f>
        <v/>
      </c>
      <c r="AM213" s="50">
        <f>AM153-(AM21*Seasonality!$C$59*AM71+AM73+AM49*AM153)-AM111</f>
        <v/>
      </c>
      <c r="AN213" s="50">
        <f>AN153-(AN21*Seasonality!$C$59*AN71+AN73+AN49*AN153)-AN111</f>
        <v/>
      </c>
      <c r="AO213" s="50">
        <f>AO153-(AO21*Seasonality!$C$59*AO71+AO73+AO49*AO153)-AO111</f>
        <v/>
      </c>
      <c r="AP213" s="50">
        <f>AP153-(AP21*Seasonality!$C$59*AP71+AP73+AP49*AP153)-AP111</f>
        <v/>
      </c>
      <c r="AQ213" s="50">
        <f>AQ153-(AQ21*Seasonality!$C$59*AQ71+AQ73+AQ49*AQ153)-AQ111</f>
        <v/>
      </c>
      <c r="AR213" s="50">
        <f>AR153-(AR21*Seasonality!$C$59*AR71+AR73+AR49*AR153)-AR111</f>
        <v/>
      </c>
      <c r="AS213" s="50">
        <f>AS153-(AS21*Seasonality!$C$59*AS71+AS73+AS49*AS153)-AS111</f>
        <v/>
      </c>
      <c r="AT213" s="50">
        <f>AT153-(AT21*Seasonality!$C$59*AT71+AT73+AT49*AT153)-AT111</f>
        <v/>
      </c>
      <c r="AU213" s="50">
        <f>AU153-(AU21*Seasonality!$C$59*AU71+AU73+AU49*AU153)-AU111</f>
        <v/>
      </c>
      <c r="AV213" s="50">
        <f>AV153-(AV21*Seasonality!$C$59*AV71+AV73+AV49*AV153)-AV111</f>
        <v/>
      </c>
      <c r="AW213" s="50">
        <f>AW153-(AW21*Seasonality!$C$59*AW71+AW73+AW49*AW153)-AW111</f>
        <v/>
      </c>
      <c r="AX213" s="50">
        <f>AX153-(AX21*Seasonality!$C$59*AX71+AX73+AX49*AX153)-AX111</f>
        <v/>
      </c>
      <c r="AY213" s="50">
        <f>AY153-(AY21*Seasonality!$C$59*AY71+AY73+AY49*AY153)-AY111</f>
        <v/>
      </c>
      <c r="AZ213" s="50">
        <f>AZ153-(AZ21*Seasonality!$C$59*AZ71+AZ73+AZ49*AZ153)-AZ111</f>
        <v/>
      </c>
      <c r="BA213" s="50">
        <f>BA153-(BA21*Seasonality!$C$59*BA71+BA73+BA49*BA153)-BA111</f>
        <v/>
      </c>
      <c r="BB213" s="50">
        <f>BB153-(BB21*Seasonality!$C$59*BB71+BB73+BB49*BB153)-BB111</f>
        <v/>
      </c>
      <c r="BC213" s="50">
        <f>BC153-(BC21*Seasonality!$C$59*BC71+BC73+BC49*BC153)-BC111</f>
        <v/>
      </c>
      <c r="BD213" s="50">
        <f>BD153-(BD21*Seasonality!$C$59*BD71+BD73+BD49*BD153)-BD111</f>
        <v/>
      </c>
      <c r="BE213" s="50">
        <f>BE153-(BE21*Seasonality!$C$59*BE71+BE73+BE49*BE153)-BE111</f>
        <v/>
      </c>
    </row>
    <row r="214">
      <c r="B214" s="7" t="inlineStr">
        <is>
          <t>Contribution · month 24</t>
        </is>
      </c>
      <c r="C214" s="5" t="inlineStr">
        <is>
          <t>₹</t>
        </is>
      </c>
      <c r="D214" s="50">
        <f>D154-(D21*Seasonality!$C$60*D71+D73+D49*D154)-D111</f>
        <v/>
      </c>
      <c r="E214" s="50">
        <f>E154-(E21*Seasonality!$C$60*E71+E73+E49*E154)-E111</f>
        <v/>
      </c>
      <c r="F214" s="50">
        <f>F154-(F21*Seasonality!$C$60*F71+F73+F49*F154)-F111</f>
        <v/>
      </c>
      <c r="G214" s="50">
        <f>G154-(G21*Seasonality!$C$60*G71+G73+G49*G154)-G111</f>
        <v/>
      </c>
      <c r="H214" s="50">
        <f>H154-(H21*Seasonality!$C$60*H71+H73+H49*H154)-H111</f>
        <v/>
      </c>
      <c r="I214" s="50">
        <f>I154-(I21*Seasonality!$C$60*I71+I73+I49*I154)-I111</f>
        <v/>
      </c>
      <c r="J214" s="50">
        <f>J154-(J21*Seasonality!$C$60*J71+J73+J49*J154)-J111</f>
        <v/>
      </c>
      <c r="K214" s="50">
        <f>K154-(K21*Seasonality!$C$60*K71+K73+K49*K154)-K111</f>
        <v/>
      </c>
      <c r="L214" s="50">
        <f>L154-(L21*Seasonality!$C$60*L71+L73+L49*L154)-L111</f>
        <v/>
      </c>
      <c r="M214" s="50">
        <f>M154-(M21*Seasonality!$C$60*M71+M73+M49*M154)-M111</f>
        <v/>
      </c>
      <c r="N214" s="50">
        <f>N154-(N21*Seasonality!$C$60*N71+N73+N49*N154)-N111</f>
        <v/>
      </c>
      <c r="O214" s="50">
        <f>O154-(O21*Seasonality!$C$60*O71+O73+O49*O154)-O111</f>
        <v/>
      </c>
      <c r="P214" s="50">
        <f>P154-(P21*Seasonality!$C$60*P71+P73+P49*P154)-P111</f>
        <v/>
      </c>
      <c r="Q214" s="50">
        <f>Q154-(Q21*Seasonality!$C$60*Q71+Q73+Q49*Q154)-Q111</f>
        <v/>
      </c>
      <c r="R214" s="50">
        <f>R154-(R21*Seasonality!$C$60*R71+R73+R49*R154)-R111</f>
        <v/>
      </c>
      <c r="S214" s="50">
        <f>S154-(S21*Seasonality!$C$60*S71+S73+S49*S154)-S111</f>
        <v/>
      </c>
      <c r="T214" s="50">
        <f>T154-(T21*Seasonality!$C$60*T71+T73+T49*T154)-T111</f>
        <v/>
      </c>
      <c r="U214" s="50">
        <f>U154-(U21*Seasonality!$C$60*U71+U73+U49*U154)-U111</f>
        <v/>
      </c>
      <c r="V214" s="50">
        <f>V154-(V21*Seasonality!$C$60*V71+V73+V49*V154)-V111</f>
        <v/>
      </c>
      <c r="W214" s="50">
        <f>W154-(W21*Seasonality!$C$60*W71+W73+W49*W154)-W111</f>
        <v/>
      </c>
      <c r="X214" s="50">
        <f>X154-(X21*Seasonality!$C$60*X71+X73+X49*X154)-X111</f>
        <v/>
      </c>
      <c r="Y214" s="50">
        <f>Y154-(Y21*Seasonality!$C$60*Y71+Y73+Y49*Y154)-Y111</f>
        <v/>
      </c>
      <c r="Z214" s="50">
        <f>Z154-(Z21*Seasonality!$C$60*Z71+Z73+Z49*Z154)-Z111</f>
        <v/>
      </c>
      <c r="AA214" s="50">
        <f>AA154-(AA21*Seasonality!$C$60*AA71+AA73+AA49*AA154)-AA111</f>
        <v/>
      </c>
      <c r="AB214" s="50">
        <f>AB154-(AB21*Seasonality!$C$60*AB71+AB73+AB49*AB154)-AB111</f>
        <v/>
      </c>
      <c r="AC214" s="50">
        <f>AC154-(AC21*Seasonality!$C$60*AC71+AC73+AC49*AC154)-AC111</f>
        <v/>
      </c>
      <c r="AD214" s="50">
        <f>AD154-(AD21*Seasonality!$C$60*AD71+AD73+AD49*AD154)-AD111</f>
        <v/>
      </c>
      <c r="AE214" s="50">
        <f>AE154-(AE21*Seasonality!$C$60*AE71+AE73+AE49*AE154)-AE111</f>
        <v/>
      </c>
      <c r="AF214" s="50">
        <f>AF154-(AF21*Seasonality!$C$60*AF71+AF73+AF49*AF154)-AF111</f>
        <v/>
      </c>
      <c r="AG214" s="50">
        <f>AG154-(AG21*Seasonality!$C$60*AG71+AG73+AG49*AG154)-AG111</f>
        <v/>
      </c>
      <c r="AH214" s="50">
        <f>AH154-(AH21*Seasonality!$C$60*AH71+AH73+AH49*AH154)-AH111</f>
        <v/>
      </c>
      <c r="AI214" s="50">
        <f>AI154-(AI21*Seasonality!$C$60*AI71+AI73+AI49*AI154)-AI111</f>
        <v/>
      </c>
      <c r="AJ214" s="50">
        <f>AJ154-(AJ21*Seasonality!$C$60*AJ71+AJ73+AJ49*AJ154)-AJ111</f>
        <v/>
      </c>
      <c r="AK214" s="50">
        <f>AK154-(AK21*Seasonality!$C$60*AK71+AK73+AK49*AK154)-AK111</f>
        <v/>
      </c>
      <c r="AL214" s="50">
        <f>AL154-(AL21*Seasonality!$C$60*AL71+AL73+AL49*AL154)-AL111</f>
        <v/>
      </c>
      <c r="AM214" s="50">
        <f>AM154-(AM21*Seasonality!$C$60*AM71+AM73+AM49*AM154)-AM111</f>
        <v/>
      </c>
      <c r="AN214" s="50">
        <f>AN154-(AN21*Seasonality!$C$60*AN71+AN73+AN49*AN154)-AN111</f>
        <v/>
      </c>
      <c r="AO214" s="50">
        <f>AO154-(AO21*Seasonality!$C$60*AO71+AO73+AO49*AO154)-AO111</f>
        <v/>
      </c>
      <c r="AP214" s="50">
        <f>AP154-(AP21*Seasonality!$C$60*AP71+AP73+AP49*AP154)-AP111</f>
        <v/>
      </c>
      <c r="AQ214" s="50">
        <f>AQ154-(AQ21*Seasonality!$C$60*AQ71+AQ73+AQ49*AQ154)-AQ111</f>
        <v/>
      </c>
      <c r="AR214" s="50">
        <f>AR154-(AR21*Seasonality!$C$60*AR71+AR73+AR49*AR154)-AR111</f>
        <v/>
      </c>
      <c r="AS214" s="50">
        <f>AS154-(AS21*Seasonality!$C$60*AS71+AS73+AS49*AS154)-AS111</f>
        <v/>
      </c>
      <c r="AT214" s="50">
        <f>AT154-(AT21*Seasonality!$C$60*AT71+AT73+AT49*AT154)-AT111</f>
        <v/>
      </c>
      <c r="AU214" s="50">
        <f>AU154-(AU21*Seasonality!$C$60*AU71+AU73+AU49*AU154)-AU111</f>
        <v/>
      </c>
      <c r="AV214" s="50">
        <f>AV154-(AV21*Seasonality!$C$60*AV71+AV73+AV49*AV154)-AV111</f>
        <v/>
      </c>
      <c r="AW214" s="50">
        <f>AW154-(AW21*Seasonality!$C$60*AW71+AW73+AW49*AW154)-AW111</f>
        <v/>
      </c>
      <c r="AX214" s="50">
        <f>AX154-(AX21*Seasonality!$C$60*AX71+AX73+AX49*AX154)-AX111</f>
        <v/>
      </c>
      <c r="AY214" s="50">
        <f>AY154-(AY21*Seasonality!$C$60*AY71+AY73+AY49*AY154)-AY111</f>
        <v/>
      </c>
      <c r="AZ214" s="50">
        <f>AZ154-(AZ21*Seasonality!$C$60*AZ71+AZ73+AZ49*AZ154)-AZ111</f>
        <v/>
      </c>
      <c r="BA214" s="50">
        <f>BA154-(BA21*Seasonality!$C$60*BA71+BA73+BA49*BA154)-BA111</f>
        <v/>
      </c>
      <c r="BB214" s="50">
        <f>BB154-(BB21*Seasonality!$C$60*BB71+BB73+BB49*BB154)-BB111</f>
        <v/>
      </c>
      <c r="BC214" s="50">
        <f>BC154-(BC21*Seasonality!$C$60*BC71+BC73+BC49*BC154)-BC111</f>
        <v/>
      </c>
      <c r="BD214" s="50">
        <f>BD154-(BD21*Seasonality!$C$60*BD71+BD73+BD49*BD154)-BD111</f>
        <v/>
      </c>
      <c r="BE214" s="50">
        <f>BE154-(BE21*Seasonality!$C$60*BE71+BE73+BE49*BE154)-BE111</f>
        <v/>
      </c>
    </row>
    <row r="215">
      <c r="B215" s="7" t="inlineStr">
        <is>
          <t>Contribution · month 25</t>
        </is>
      </c>
      <c r="C215" s="5" t="inlineStr">
        <is>
          <t>₹</t>
        </is>
      </c>
      <c r="D215" s="50">
        <f>D155-(D21*Seasonality!$C$61*D71+D73+D49*D155)-D111</f>
        <v/>
      </c>
      <c r="E215" s="50">
        <f>E155-(E21*Seasonality!$C$61*E71+E73+E49*E155)-E111</f>
        <v/>
      </c>
      <c r="F215" s="50">
        <f>F155-(F21*Seasonality!$C$61*F71+F73+F49*F155)-F111</f>
        <v/>
      </c>
      <c r="G215" s="50">
        <f>G155-(G21*Seasonality!$C$61*G71+G73+G49*G155)-G111</f>
        <v/>
      </c>
      <c r="H215" s="50">
        <f>H155-(H21*Seasonality!$C$61*H71+H73+H49*H155)-H111</f>
        <v/>
      </c>
      <c r="I215" s="50">
        <f>I155-(I21*Seasonality!$C$61*I71+I73+I49*I155)-I111</f>
        <v/>
      </c>
      <c r="J215" s="50">
        <f>J155-(J21*Seasonality!$C$61*J71+J73+J49*J155)-J111</f>
        <v/>
      </c>
      <c r="K215" s="50">
        <f>K155-(K21*Seasonality!$C$61*K71+K73+K49*K155)-K111</f>
        <v/>
      </c>
      <c r="L215" s="50">
        <f>L155-(L21*Seasonality!$C$61*L71+L73+L49*L155)-L111</f>
        <v/>
      </c>
      <c r="M215" s="50">
        <f>M155-(M21*Seasonality!$C$61*M71+M73+M49*M155)-M111</f>
        <v/>
      </c>
      <c r="N215" s="50">
        <f>N155-(N21*Seasonality!$C$61*N71+N73+N49*N155)-N111</f>
        <v/>
      </c>
      <c r="O215" s="50">
        <f>O155-(O21*Seasonality!$C$61*O71+O73+O49*O155)-O111</f>
        <v/>
      </c>
      <c r="P215" s="50">
        <f>P155-(P21*Seasonality!$C$61*P71+P73+P49*P155)-P111</f>
        <v/>
      </c>
      <c r="Q215" s="50">
        <f>Q155-(Q21*Seasonality!$C$61*Q71+Q73+Q49*Q155)-Q111</f>
        <v/>
      </c>
      <c r="R215" s="50">
        <f>R155-(R21*Seasonality!$C$61*R71+R73+R49*R155)-R111</f>
        <v/>
      </c>
      <c r="S215" s="50">
        <f>S155-(S21*Seasonality!$C$61*S71+S73+S49*S155)-S111</f>
        <v/>
      </c>
      <c r="T215" s="50">
        <f>T155-(T21*Seasonality!$C$61*T71+T73+T49*T155)-T111</f>
        <v/>
      </c>
      <c r="U215" s="50">
        <f>U155-(U21*Seasonality!$C$61*U71+U73+U49*U155)-U111</f>
        <v/>
      </c>
      <c r="V215" s="50">
        <f>V155-(V21*Seasonality!$C$61*V71+V73+V49*V155)-V111</f>
        <v/>
      </c>
      <c r="W215" s="50">
        <f>W155-(W21*Seasonality!$C$61*W71+W73+W49*W155)-W111</f>
        <v/>
      </c>
      <c r="X215" s="50">
        <f>X155-(X21*Seasonality!$C$61*X71+X73+X49*X155)-X111</f>
        <v/>
      </c>
      <c r="Y215" s="50">
        <f>Y155-(Y21*Seasonality!$C$61*Y71+Y73+Y49*Y155)-Y111</f>
        <v/>
      </c>
      <c r="Z215" s="50">
        <f>Z155-(Z21*Seasonality!$C$61*Z71+Z73+Z49*Z155)-Z111</f>
        <v/>
      </c>
      <c r="AA215" s="50">
        <f>AA155-(AA21*Seasonality!$C$61*AA71+AA73+AA49*AA155)-AA111</f>
        <v/>
      </c>
      <c r="AB215" s="50">
        <f>AB155-(AB21*Seasonality!$C$61*AB71+AB73+AB49*AB155)-AB111</f>
        <v/>
      </c>
      <c r="AC215" s="50">
        <f>AC155-(AC21*Seasonality!$C$61*AC71+AC73+AC49*AC155)-AC111</f>
        <v/>
      </c>
      <c r="AD215" s="50">
        <f>AD155-(AD21*Seasonality!$C$61*AD71+AD73+AD49*AD155)-AD111</f>
        <v/>
      </c>
      <c r="AE215" s="50">
        <f>AE155-(AE21*Seasonality!$C$61*AE71+AE73+AE49*AE155)-AE111</f>
        <v/>
      </c>
      <c r="AF215" s="50">
        <f>AF155-(AF21*Seasonality!$C$61*AF71+AF73+AF49*AF155)-AF111</f>
        <v/>
      </c>
      <c r="AG215" s="50">
        <f>AG155-(AG21*Seasonality!$C$61*AG71+AG73+AG49*AG155)-AG111</f>
        <v/>
      </c>
      <c r="AH215" s="50">
        <f>AH155-(AH21*Seasonality!$C$61*AH71+AH73+AH49*AH155)-AH111</f>
        <v/>
      </c>
      <c r="AI215" s="50">
        <f>AI155-(AI21*Seasonality!$C$61*AI71+AI73+AI49*AI155)-AI111</f>
        <v/>
      </c>
      <c r="AJ215" s="50">
        <f>AJ155-(AJ21*Seasonality!$C$61*AJ71+AJ73+AJ49*AJ155)-AJ111</f>
        <v/>
      </c>
      <c r="AK215" s="50">
        <f>AK155-(AK21*Seasonality!$C$61*AK71+AK73+AK49*AK155)-AK111</f>
        <v/>
      </c>
      <c r="AL215" s="50">
        <f>AL155-(AL21*Seasonality!$C$61*AL71+AL73+AL49*AL155)-AL111</f>
        <v/>
      </c>
      <c r="AM215" s="50">
        <f>AM155-(AM21*Seasonality!$C$61*AM71+AM73+AM49*AM155)-AM111</f>
        <v/>
      </c>
      <c r="AN215" s="50">
        <f>AN155-(AN21*Seasonality!$C$61*AN71+AN73+AN49*AN155)-AN111</f>
        <v/>
      </c>
      <c r="AO215" s="50">
        <f>AO155-(AO21*Seasonality!$C$61*AO71+AO73+AO49*AO155)-AO111</f>
        <v/>
      </c>
      <c r="AP215" s="50">
        <f>AP155-(AP21*Seasonality!$C$61*AP71+AP73+AP49*AP155)-AP111</f>
        <v/>
      </c>
      <c r="AQ215" s="50">
        <f>AQ155-(AQ21*Seasonality!$C$61*AQ71+AQ73+AQ49*AQ155)-AQ111</f>
        <v/>
      </c>
      <c r="AR215" s="50">
        <f>AR155-(AR21*Seasonality!$C$61*AR71+AR73+AR49*AR155)-AR111</f>
        <v/>
      </c>
      <c r="AS215" s="50">
        <f>AS155-(AS21*Seasonality!$C$61*AS71+AS73+AS49*AS155)-AS111</f>
        <v/>
      </c>
      <c r="AT215" s="50">
        <f>AT155-(AT21*Seasonality!$C$61*AT71+AT73+AT49*AT155)-AT111</f>
        <v/>
      </c>
      <c r="AU215" s="50">
        <f>AU155-(AU21*Seasonality!$C$61*AU71+AU73+AU49*AU155)-AU111</f>
        <v/>
      </c>
      <c r="AV215" s="50">
        <f>AV155-(AV21*Seasonality!$C$61*AV71+AV73+AV49*AV155)-AV111</f>
        <v/>
      </c>
      <c r="AW215" s="50">
        <f>AW155-(AW21*Seasonality!$C$61*AW71+AW73+AW49*AW155)-AW111</f>
        <v/>
      </c>
      <c r="AX215" s="50">
        <f>AX155-(AX21*Seasonality!$C$61*AX71+AX73+AX49*AX155)-AX111</f>
        <v/>
      </c>
      <c r="AY215" s="50">
        <f>AY155-(AY21*Seasonality!$C$61*AY71+AY73+AY49*AY155)-AY111</f>
        <v/>
      </c>
      <c r="AZ215" s="50">
        <f>AZ155-(AZ21*Seasonality!$C$61*AZ71+AZ73+AZ49*AZ155)-AZ111</f>
        <v/>
      </c>
      <c r="BA215" s="50">
        <f>BA155-(BA21*Seasonality!$C$61*BA71+BA73+BA49*BA155)-BA111</f>
        <v/>
      </c>
      <c r="BB215" s="50">
        <f>BB155-(BB21*Seasonality!$C$61*BB71+BB73+BB49*BB155)-BB111</f>
        <v/>
      </c>
      <c r="BC215" s="50">
        <f>BC155-(BC21*Seasonality!$C$61*BC71+BC73+BC49*BC155)-BC111</f>
        <v/>
      </c>
      <c r="BD215" s="50">
        <f>BD155-(BD21*Seasonality!$C$61*BD71+BD73+BD49*BD155)-BD111</f>
        <v/>
      </c>
      <c r="BE215" s="50">
        <f>BE155-(BE21*Seasonality!$C$61*BE71+BE73+BE49*BE155)-BE111</f>
        <v/>
      </c>
    </row>
    <row r="216">
      <c r="B216" s="7" t="inlineStr">
        <is>
          <t>Contribution · month 26</t>
        </is>
      </c>
      <c r="C216" s="5" t="inlineStr">
        <is>
          <t>₹</t>
        </is>
      </c>
      <c r="D216" s="50">
        <f>D156-(D21*Seasonality!$C$62*D71+D73+D49*D156)-D111</f>
        <v/>
      </c>
      <c r="E216" s="50">
        <f>E156-(E21*Seasonality!$C$62*E71+E73+E49*E156)-E111</f>
        <v/>
      </c>
      <c r="F216" s="50">
        <f>F156-(F21*Seasonality!$C$62*F71+F73+F49*F156)-F111</f>
        <v/>
      </c>
      <c r="G216" s="50">
        <f>G156-(G21*Seasonality!$C$62*G71+G73+G49*G156)-G111</f>
        <v/>
      </c>
      <c r="H216" s="50">
        <f>H156-(H21*Seasonality!$C$62*H71+H73+H49*H156)-H111</f>
        <v/>
      </c>
      <c r="I216" s="50">
        <f>I156-(I21*Seasonality!$C$62*I71+I73+I49*I156)-I111</f>
        <v/>
      </c>
      <c r="J216" s="50">
        <f>J156-(J21*Seasonality!$C$62*J71+J73+J49*J156)-J111</f>
        <v/>
      </c>
      <c r="K216" s="50">
        <f>K156-(K21*Seasonality!$C$62*K71+K73+K49*K156)-K111</f>
        <v/>
      </c>
      <c r="L216" s="50">
        <f>L156-(L21*Seasonality!$C$62*L71+L73+L49*L156)-L111</f>
        <v/>
      </c>
      <c r="M216" s="50">
        <f>M156-(M21*Seasonality!$C$62*M71+M73+M49*M156)-M111</f>
        <v/>
      </c>
      <c r="N216" s="50">
        <f>N156-(N21*Seasonality!$C$62*N71+N73+N49*N156)-N111</f>
        <v/>
      </c>
      <c r="O216" s="50">
        <f>O156-(O21*Seasonality!$C$62*O71+O73+O49*O156)-O111</f>
        <v/>
      </c>
      <c r="P216" s="50">
        <f>P156-(P21*Seasonality!$C$62*P71+P73+P49*P156)-P111</f>
        <v/>
      </c>
      <c r="Q216" s="50">
        <f>Q156-(Q21*Seasonality!$C$62*Q71+Q73+Q49*Q156)-Q111</f>
        <v/>
      </c>
      <c r="R216" s="50">
        <f>R156-(R21*Seasonality!$C$62*R71+R73+R49*R156)-R111</f>
        <v/>
      </c>
      <c r="S216" s="50">
        <f>S156-(S21*Seasonality!$C$62*S71+S73+S49*S156)-S111</f>
        <v/>
      </c>
      <c r="T216" s="50">
        <f>T156-(T21*Seasonality!$C$62*T71+T73+T49*T156)-T111</f>
        <v/>
      </c>
      <c r="U216" s="50">
        <f>U156-(U21*Seasonality!$C$62*U71+U73+U49*U156)-U111</f>
        <v/>
      </c>
      <c r="V216" s="50">
        <f>V156-(V21*Seasonality!$C$62*V71+V73+V49*V156)-V111</f>
        <v/>
      </c>
      <c r="W216" s="50">
        <f>W156-(W21*Seasonality!$C$62*W71+W73+W49*W156)-W111</f>
        <v/>
      </c>
      <c r="X216" s="50">
        <f>X156-(X21*Seasonality!$C$62*X71+X73+X49*X156)-X111</f>
        <v/>
      </c>
      <c r="Y216" s="50">
        <f>Y156-(Y21*Seasonality!$C$62*Y71+Y73+Y49*Y156)-Y111</f>
        <v/>
      </c>
      <c r="Z216" s="50">
        <f>Z156-(Z21*Seasonality!$C$62*Z71+Z73+Z49*Z156)-Z111</f>
        <v/>
      </c>
      <c r="AA216" s="50">
        <f>AA156-(AA21*Seasonality!$C$62*AA71+AA73+AA49*AA156)-AA111</f>
        <v/>
      </c>
      <c r="AB216" s="50">
        <f>AB156-(AB21*Seasonality!$C$62*AB71+AB73+AB49*AB156)-AB111</f>
        <v/>
      </c>
      <c r="AC216" s="50">
        <f>AC156-(AC21*Seasonality!$C$62*AC71+AC73+AC49*AC156)-AC111</f>
        <v/>
      </c>
      <c r="AD216" s="50">
        <f>AD156-(AD21*Seasonality!$C$62*AD71+AD73+AD49*AD156)-AD111</f>
        <v/>
      </c>
      <c r="AE216" s="50">
        <f>AE156-(AE21*Seasonality!$C$62*AE71+AE73+AE49*AE156)-AE111</f>
        <v/>
      </c>
      <c r="AF216" s="50">
        <f>AF156-(AF21*Seasonality!$C$62*AF71+AF73+AF49*AF156)-AF111</f>
        <v/>
      </c>
      <c r="AG216" s="50">
        <f>AG156-(AG21*Seasonality!$C$62*AG71+AG73+AG49*AG156)-AG111</f>
        <v/>
      </c>
      <c r="AH216" s="50">
        <f>AH156-(AH21*Seasonality!$C$62*AH71+AH73+AH49*AH156)-AH111</f>
        <v/>
      </c>
      <c r="AI216" s="50">
        <f>AI156-(AI21*Seasonality!$C$62*AI71+AI73+AI49*AI156)-AI111</f>
        <v/>
      </c>
      <c r="AJ216" s="50">
        <f>AJ156-(AJ21*Seasonality!$C$62*AJ71+AJ73+AJ49*AJ156)-AJ111</f>
        <v/>
      </c>
      <c r="AK216" s="50">
        <f>AK156-(AK21*Seasonality!$C$62*AK71+AK73+AK49*AK156)-AK111</f>
        <v/>
      </c>
      <c r="AL216" s="50">
        <f>AL156-(AL21*Seasonality!$C$62*AL71+AL73+AL49*AL156)-AL111</f>
        <v/>
      </c>
      <c r="AM216" s="50">
        <f>AM156-(AM21*Seasonality!$C$62*AM71+AM73+AM49*AM156)-AM111</f>
        <v/>
      </c>
      <c r="AN216" s="50">
        <f>AN156-(AN21*Seasonality!$C$62*AN71+AN73+AN49*AN156)-AN111</f>
        <v/>
      </c>
      <c r="AO216" s="50">
        <f>AO156-(AO21*Seasonality!$C$62*AO71+AO73+AO49*AO156)-AO111</f>
        <v/>
      </c>
      <c r="AP216" s="50">
        <f>AP156-(AP21*Seasonality!$C$62*AP71+AP73+AP49*AP156)-AP111</f>
        <v/>
      </c>
      <c r="AQ216" s="50">
        <f>AQ156-(AQ21*Seasonality!$C$62*AQ71+AQ73+AQ49*AQ156)-AQ111</f>
        <v/>
      </c>
      <c r="AR216" s="50">
        <f>AR156-(AR21*Seasonality!$C$62*AR71+AR73+AR49*AR156)-AR111</f>
        <v/>
      </c>
      <c r="AS216" s="50">
        <f>AS156-(AS21*Seasonality!$C$62*AS71+AS73+AS49*AS156)-AS111</f>
        <v/>
      </c>
      <c r="AT216" s="50">
        <f>AT156-(AT21*Seasonality!$C$62*AT71+AT73+AT49*AT156)-AT111</f>
        <v/>
      </c>
      <c r="AU216" s="50">
        <f>AU156-(AU21*Seasonality!$C$62*AU71+AU73+AU49*AU156)-AU111</f>
        <v/>
      </c>
      <c r="AV216" s="50">
        <f>AV156-(AV21*Seasonality!$C$62*AV71+AV73+AV49*AV156)-AV111</f>
        <v/>
      </c>
      <c r="AW216" s="50">
        <f>AW156-(AW21*Seasonality!$C$62*AW71+AW73+AW49*AW156)-AW111</f>
        <v/>
      </c>
      <c r="AX216" s="50">
        <f>AX156-(AX21*Seasonality!$C$62*AX71+AX73+AX49*AX156)-AX111</f>
        <v/>
      </c>
      <c r="AY216" s="50">
        <f>AY156-(AY21*Seasonality!$C$62*AY71+AY73+AY49*AY156)-AY111</f>
        <v/>
      </c>
      <c r="AZ216" s="50">
        <f>AZ156-(AZ21*Seasonality!$C$62*AZ71+AZ73+AZ49*AZ156)-AZ111</f>
        <v/>
      </c>
      <c r="BA216" s="50">
        <f>BA156-(BA21*Seasonality!$C$62*BA71+BA73+BA49*BA156)-BA111</f>
        <v/>
      </c>
      <c r="BB216" s="50">
        <f>BB156-(BB21*Seasonality!$C$62*BB71+BB73+BB49*BB156)-BB111</f>
        <v/>
      </c>
      <c r="BC216" s="50">
        <f>BC156-(BC21*Seasonality!$C$62*BC71+BC73+BC49*BC156)-BC111</f>
        <v/>
      </c>
      <c r="BD216" s="50">
        <f>BD156-(BD21*Seasonality!$C$62*BD71+BD73+BD49*BD156)-BD111</f>
        <v/>
      </c>
      <c r="BE216" s="50">
        <f>BE156-(BE21*Seasonality!$C$62*BE71+BE73+BE49*BE156)-BE111</f>
        <v/>
      </c>
    </row>
    <row r="217">
      <c r="B217" s="7" t="inlineStr">
        <is>
          <t>Contribution · month 27</t>
        </is>
      </c>
      <c r="C217" s="5" t="inlineStr">
        <is>
          <t>₹</t>
        </is>
      </c>
      <c r="D217" s="50">
        <f>D157-(D21*Seasonality!$C$63*D71+D73+D49*D157)-D111</f>
        <v/>
      </c>
      <c r="E217" s="50">
        <f>E157-(E21*Seasonality!$C$63*E71+E73+E49*E157)-E111</f>
        <v/>
      </c>
      <c r="F217" s="50">
        <f>F157-(F21*Seasonality!$C$63*F71+F73+F49*F157)-F111</f>
        <v/>
      </c>
      <c r="G217" s="50">
        <f>G157-(G21*Seasonality!$C$63*G71+G73+G49*G157)-G111</f>
        <v/>
      </c>
      <c r="H217" s="50">
        <f>H157-(H21*Seasonality!$C$63*H71+H73+H49*H157)-H111</f>
        <v/>
      </c>
      <c r="I217" s="50">
        <f>I157-(I21*Seasonality!$C$63*I71+I73+I49*I157)-I111</f>
        <v/>
      </c>
      <c r="J217" s="50">
        <f>J157-(J21*Seasonality!$C$63*J71+J73+J49*J157)-J111</f>
        <v/>
      </c>
      <c r="K217" s="50">
        <f>K157-(K21*Seasonality!$C$63*K71+K73+K49*K157)-K111</f>
        <v/>
      </c>
      <c r="L217" s="50">
        <f>L157-(L21*Seasonality!$C$63*L71+L73+L49*L157)-L111</f>
        <v/>
      </c>
      <c r="M217" s="50">
        <f>M157-(M21*Seasonality!$C$63*M71+M73+M49*M157)-M111</f>
        <v/>
      </c>
      <c r="N217" s="50">
        <f>N157-(N21*Seasonality!$C$63*N71+N73+N49*N157)-N111</f>
        <v/>
      </c>
      <c r="O217" s="50">
        <f>O157-(O21*Seasonality!$C$63*O71+O73+O49*O157)-O111</f>
        <v/>
      </c>
      <c r="P217" s="50">
        <f>P157-(P21*Seasonality!$C$63*P71+P73+P49*P157)-P111</f>
        <v/>
      </c>
      <c r="Q217" s="50">
        <f>Q157-(Q21*Seasonality!$C$63*Q71+Q73+Q49*Q157)-Q111</f>
        <v/>
      </c>
      <c r="R217" s="50">
        <f>R157-(R21*Seasonality!$C$63*R71+R73+R49*R157)-R111</f>
        <v/>
      </c>
      <c r="S217" s="50">
        <f>S157-(S21*Seasonality!$C$63*S71+S73+S49*S157)-S111</f>
        <v/>
      </c>
      <c r="T217" s="50">
        <f>T157-(T21*Seasonality!$C$63*T71+T73+T49*T157)-T111</f>
        <v/>
      </c>
      <c r="U217" s="50">
        <f>U157-(U21*Seasonality!$C$63*U71+U73+U49*U157)-U111</f>
        <v/>
      </c>
      <c r="V217" s="50">
        <f>V157-(V21*Seasonality!$C$63*V71+V73+V49*V157)-V111</f>
        <v/>
      </c>
      <c r="W217" s="50">
        <f>W157-(W21*Seasonality!$C$63*W71+W73+W49*W157)-W111</f>
        <v/>
      </c>
      <c r="X217" s="50">
        <f>X157-(X21*Seasonality!$C$63*X71+X73+X49*X157)-X111</f>
        <v/>
      </c>
      <c r="Y217" s="50">
        <f>Y157-(Y21*Seasonality!$C$63*Y71+Y73+Y49*Y157)-Y111</f>
        <v/>
      </c>
      <c r="Z217" s="50">
        <f>Z157-(Z21*Seasonality!$C$63*Z71+Z73+Z49*Z157)-Z111</f>
        <v/>
      </c>
      <c r="AA217" s="50">
        <f>AA157-(AA21*Seasonality!$C$63*AA71+AA73+AA49*AA157)-AA111</f>
        <v/>
      </c>
      <c r="AB217" s="50">
        <f>AB157-(AB21*Seasonality!$C$63*AB71+AB73+AB49*AB157)-AB111</f>
        <v/>
      </c>
      <c r="AC217" s="50">
        <f>AC157-(AC21*Seasonality!$C$63*AC71+AC73+AC49*AC157)-AC111</f>
        <v/>
      </c>
      <c r="AD217" s="50">
        <f>AD157-(AD21*Seasonality!$C$63*AD71+AD73+AD49*AD157)-AD111</f>
        <v/>
      </c>
      <c r="AE217" s="50">
        <f>AE157-(AE21*Seasonality!$C$63*AE71+AE73+AE49*AE157)-AE111</f>
        <v/>
      </c>
      <c r="AF217" s="50">
        <f>AF157-(AF21*Seasonality!$C$63*AF71+AF73+AF49*AF157)-AF111</f>
        <v/>
      </c>
      <c r="AG217" s="50">
        <f>AG157-(AG21*Seasonality!$C$63*AG71+AG73+AG49*AG157)-AG111</f>
        <v/>
      </c>
      <c r="AH217" s="50">
        <f>AH157-(AH21*Seasonality!$C$63*AH71+AH73+AH49*AH157)-AH111</f>
        <v/>
      </c>
      <c r="AI217" s="50">
        <f>AI157-(AI21*Seasonality!$C$63*AI71+AI73+AI49*AI157)-AI111</f>
        <v/>
      </c>
      <c r="AJ217" s="50">
        <f>AJ157-(AJ21*Seasonality!$C$63*AJ71+AJ73+AJ49*AJ157)-AJ111</f>
        <v/>
      </c>
      <c r="AK217" s="50">
        <f>AK157-(AK21*Seasonality!$C$63*AK71+AK73+AK49*AK157)-AK111</f>
        <v/>
      </c>
      <c r="AL217" s="50">
        <f>AL157-(AL21*Seasonality!$C$63*AL71+AL73+AL49*AL157)-AL111</f>
        <v/>
      </c>
      <c r="AM217" s="50">
        <f>AM157-(AM21*Seasonality!$C$63*AM71+AM73+AM49*AM157)-AM111</f>
        <v/>
      </c>
      <c r="AN217" s="50">
        <f>AN157-(AN21*Seasonality!$C$63*AN71+AN73+AN49*AN157)-AN111</f>
        <v/>
      </c>
      <c r="AO217" s="50">
        <f>AO157-(AO21*Seasonality!$C$63*AO71+AO73+AO49*AO157)-AO111</f>
        <v/>
      </c>
      <c r="AP217" s="50">
        <f>AP157-(AP21*Seasonality!$C$63*AP71+AP73+AP49*AP157)-AP111</f>
        <v/>
      </c>
      <c r="AQ217" s="50">
        <f>AQ157-(AQ21*Seasonality!$C$63*AQ71+AQ73+AQ49*AQ157)-AQ111</f>
        <v/>
      </c>
      <c r="AR217" s="50">
        <f>AR157-(AR21*Seasonality!$C$63*AR71+AR73+AR49*AR157)-AR111</f>
        <v/>
      </c>
      <c r="AS217" s="50">
        <f>AS157-(AS21*Seasonality!$C$63*AS71+AS73+AS49*AS157)-AS111</f>
        <v/>
      </c>
      <c r="AT217" s="50">
        <f>AT157-(AT21*Seasonality!$C$63*AT71+AT73+AT49*AT157)-AT111</f>
        <v/>
      </c>
      <c r="AU217" s="50">
        <f>AU157-(AU21*Seasonality!$C$63*AU71+AU73+AU49*AU157)-AU111</f>
        <v/>
      </c>
      <c r="AV217" s="50">
        <f>AV157-(AV21*Seasonality!$C$63*AV71+AV73+AV49*AV157)-AV111</f>
        <v/>
      </c>
      <c r="AW217" s="50">
        <f>AW157-(AW21*Seasonality!$C$63*AW71+AW73+AW49*AW157)-AW111</f>
        <v/>
      </c>
      <c r="AX217" s="50">
        <f>AX157-(AX21*Seasonality!$C$63*AX71+AX73+AX49*AX157)-AX111</f>
        <v/>
      </c>
      <c r="AY217" s="50">
        <f>AY157-(AY21*Seasonality!$C$63*AY71+AY73+AY49*AY157)-AY111</f>
        <v/>
      </c>
      <c r="AZ217" s="50">
        <f>AZ157-(AZ21*Seasonality!$C$63*AZ71+AZ73+AZ49*AZ157)-AZ111</f>
        <v/>
      </c>
      <c r="BA217" s="50">
        <f>BA157-(BA21*Seasonality!$C$63*BA71+BA73+BA49*BA157)-BA111</f>
        <v/>
      </c>
      <c r="BB217" s="50">
        <f>BB157-(BB21*Seasonality!$C$63*BB71+BB73+BB49*BB157)-BB111</f>
        <v/>
      </c>
      <c r="BC217" s="50">
        <f>BC157-(BC21*Seasonality!$C$63*BC71+BC73+BC49*BC157)-BC111</f>
        <v/>
      </c>
      <c r="BD217" s="50">
        <f>BD157-(BD21*Seasonality!$C$63*BD71+BD73+BD49*BD157)-BD111</f>
        <v/>
      </c>
      <c r="BE217" s="50">
        <f>BE157-(BE21*Seasonality!$C$63*BE71+BE73+BE49*BE157)-BE111</f>
        <v/>
      </c>
    </row>
    <row r="218">
      <c r="B218" s="7" t="inlineStr">
        <is>
          <t>Contribution · month 28</t>
        </is>
      </c>
      <c r="C218" s="5" t="inlineStr">
        <is>
          <t>₹</t>
        </is>
      </c>
      <c r="D218" s="50">
        <f>D158-(D21*Seasonality!$C$64*D71+D73+D49*D158)-D111</f>
        <v/>
      </c>
      <c r="E218" s="50">
        <f>E158-(E21*Seasonality!$C$64*E71+E73+E49*E158)-E111</f>
        <v/>
      </c>
      <c r="F218" s="50">
        <f>F158-(F21*Seasonality!$C$64*F71+F73+F49*F158)-F111</f>
        <v/>
      </c>
      <c r="G218" s="50">
        <f>G158-(G21*Seasonality!$C$64*G71+G73+G49*G158)-G111</f>
        <v/>
      </c>
      <c r="H218" s="50">
        <f>H158-(H21*Seasonality!$C$64*H71+H73+H49*H158)-H111</f>
        <v/>
      </c>
      <c r="I218" s="50">
        <f>I158-(I21*Seasonality!$C$64*I71+I73+I49*I158)-I111</f>
        <v/>
      </c>
      <c r="J218" s="50">
        <f>J158-(J21*Seasonality!$C$64*J71+J73+J49*J158)-J111</f>
        <v/>
      </c>
      <c r="K218" s="50">
        <f>K158-(K21*Seasonality!$C$64*K71+K73+K49*K158)-K111</f>
        <v/>
      </c>
      <c r="L218" s="50">
        <f>L158-(L21*Seasonality!$C$64*L71+L73+L49*L158)-L111</f>
        <v/>
      </c>
      <c r="M218" s="50">
        <f>M158-(M21*Seasonality!$C$64*M71+M73+M49*M158)-M111</f>
        <v/>
      </c>
      <c r="N218" s="50">
        <f>N158-(N21*Seasonality!$C$64*N71+N73+N49*N158)-N111</f>
        <v/>
      </c>
      <c r="O218" s="50">
        <f>O158-(O21*Seasonality!$C$64*O71+O73+O49*O158)-O111</f>
        <v/>
      </c>
      <c r="P218" s="50">
        <f>P158-(P21*Seasonality!$C$64*P71+P73+P49*P158)-P111</f>
        <v/>
      </c>
      <c r="Q218" s="50">
        <f>Q158-(Q21*Seasonality!$C$64*Q71+Q73+Q49*Q158)-Q111</f>
        <v/>
      </c>
      <c r="R218" s="50">
        <f>R158-(R21*Seasonality!$C$64*R71+R73+R49*R158)-R111</f>
        <v/>
      </c>
      <c r="S218" s="50">
        <f>S158-(S21*Seasonality!$C$64*S71+S73+S49*S158)-S111</f>
        <v/>
      </c>
      <c r="T218" s="50">
        <f>T158-(T21*Seasonality!$C$64*T71+T73+T49*T158)-T111</f>
        <v/>
      </c>
      <c r="U218" s="50">
        <f>U158-(U21*Seasonality!$C$64*U71+U73+U49*U158)-U111</f>
        <v/>
      </c>
      <c r="V218" s="50">
        <f>V158-(V21*Seasonality!$C$64*V71+V73+V49*V158)-V111</f>
        <v/>
      </c>
      <c r="W218" s="50">
        <f>W158-(W21*Seasonality!$C$64*W71+W73+W49*W158)-W111</f>
        <v/>
      </c>
      <c r="X218" s="50">
        <f>X158-(X21*Seasonality!$C$64*X71+X73+X49*X158)-X111</f>
        <v/>
      </c>
      <c r="Y218" s="50">
        <f>Y158-(Y21*Seasonality!$C$64*Y71+Y73+Y49*Y158)-Y111</f>
        <v/>
      </c>
      <c r="Z218" s="50">
        <f>Z158-(Z21*Seasonality!$C$64*Z71+Z73+Z49*Z158)-Z111</f>
        <v/>
      </c>
      <c r="AA218" s="50">
        <f>AA158-(AA21*Seasonality!$C$64*AA71+AA73+AA49*AA158)-AA111</f>
        <v/>
      </c>
      <c r="AB218" s="50">
        <f>AB158-(AB21*Seasonality!$C$64*AB71+AB73+AB49*AB158)-AB111</f>
        <v/>
      </c>
      <c r="AC218" s="50">
        <f>AC158-(AC21*Seasonality!$C$64*AC71+AC73+AC49*AC158)-AC111</f>
        <v/>
      </c>
      <c r="AD218" s="50">
        <f>AD158-(AD21*Seasonality!$C$64*AD71+AD73+AD49*AD158)-AD111</f>
        <v/>
      </c>
      <c r="AE218" s="50">
        <f>AE158-(AE21*Seasonality!$C$64*AE71+AE73+AE49*AE158)-AE111</f>
        <v/>
      </c>
      <c r="AF218" s="50">
        <f>AF158-(AF21*Seasonality!$C$64*AF71+AF73+AF49*AF158)-AF111</f>
        <v/>
      </c>
      <c r="AG218" s="50">
        <f>AG158-(AG21*Seasonality!$C$64*AG71+AG73+AG49*AG158)-AG111</f>
        <v/>
      </c>
      <c r="AH218" s="50">
        <f>AH158-(AH21*Seasonality!$C$64*AH71+AH73+AH49*AH158)-AH111</f>
        <v/>
      </c>
      <c r="AI218" s="50">
        <f>AI158-(AI21*Seasonality!$C$64*AI71+AI73+AI49*AI158)-AI111</f>
        <v/>
      </c>
      <c r="AJ218" s="50">
        <f>AJ158-(AJ21*Seasonality!$C$64*AJ71+AJ73+AJ49*AJ158)-AJ111</f>
        <v/>
      </c>
      <c r="AK218" s="50">
        <f>AK158-(AK21*Seasonality!$C$64*AK71+AK73+AK49*AK158)-AK111</f>
        <v/>
      </c>
      <c r="AL218" s="50">
        <f>AL158-(AL21*Seasonality!$C$64*AL71+AL73+AL49*AL158)-AL111</f>
        <v/>
      </c>
      <c r="AM218" s="50">
        <f>AM158-(AM21*Seasonality!$C$64*AM71+AM73+AM49*AM158)-AM111</f>
        <v/>
      </c>
      <c r="AN218" s="50">
        <f>AN158-(AN21*Seasonality!$C$64*AN71+AN73+AN49*AN158)-AN111</f>
        <v/>
      </c>
      <c r="AO218" s="50">
        <f>AO158-(AO21*Seasonality!$C$64*AO71+AO73+AO49*AO158)-AO111</f>
        <v/>
      </c>
      <c r="AP218" s="50">
        <f>AP158-(AP21*Seasonality!$C$64*AP71+AP73+AP49*AP158)-AP111</f>
        <v/>
      </c>
      <c r="AQ218" s="50">
        <f>AQ158-(AQ21*Seasonality!$C$64*AQ71+AQ73+AQ49*AQ158)-AQ111</f>
        <v/>
      </c>
      <c r="AR218" s="50">
        <f>AR158-(AR21*Seasonality!$C$64*AR71+AR73+AR49*AR158)-AR111</f>
        <v/>
      </c>
      <c r="AS218" s="50">
        <f>AS158-(AS21*Seasonality!$C$64*AS71+AS73+AS49*AS158)-AS111</f>
        <v/>
      </c>
      <c r="AT218" s="50">
        <f>AT158-(AT21*Seasonality!$C$64*AT71+AT73+AT49*AT158)-AT111</f>
        <v/>
      </c>
      <c r="AU218" s="50">
        <f>AU158-(AU21*Seasonality!$C$64*AU71+AU73+AU49*AU158)-AU111</f>
        <v/>
      </c>
      <c r="AV218" s="50">
        <f>AV158-(AV21*Seasonality!$C$64*AV71+AV73+AV49*AV158)-AV111</f>
        <v/>
      </c>
      <c r="AW218" s="50">
        <f>AW158-(AW21*Seasonality!$C$64*AW71+AW73+AW49*AW158)-AW111</f>
        <v/>
      </c>
      <c r="AX218" s="50">
        <f>AX158-(AX21*Seasonality!$C$64*AX71+AX73+AX49*AX158)-AX111</f>
        <v/>
      </c>
      <c r="AY218" s="50">
        <f>AY158-(AY21*Seasonality!$C$64*AY71+AY73+AY49*AY158)-AY111</f>
        <v/>
      </c>
      <c r="AZ218" s="50">
        <f>AZ158-(AZ21*Seasonality!$C$64*AZ71+AZ73+AZ49*AZ158)-AZ111</f>
        <v/>
      </c>
      <c r="BA218" s="50">
        <f>BA158-(BA21*Seasonality!$C$64*BA71+BA73+BA49*BA158)-BA111</f>
        <v/>
      </c>
      <c r="BB218" s="50">
        <f>BB158-(BB21*Seasonality!$C$64*BB71+BB73+BB49*BB158)-BB111</f>
        <v/>
      </c>
      <c r="BC218" s="50">
        <f>BC158-(BC21*Seasonality!$C$64*BC71+BC73+BC49*BC158)-BC111</f>
        <v/>
      </c>
      <c r="BD218" s="50">
        <f>BD158-(BD21*Seasonality!$C$64*BD71+BD73+BD49*BD158)-BD111</f>
        <v/>
      </c>
      <c r="BE218" s="50">
        <f>BE158-(BE21*Seasonality!$C$64*BE71+BE73+BE49*BE158)-BE111</f>
        <v/>
      </c>
    </row>
    <row r="219">
      <c r="B219" s="7" t="inlineStr">
        <is>
          <t>Contribution · month 29</t>
        </is>
      </c>
      <c r="C219" s="5" t="inlineStr">
        <is>
          <t>₹</t>
        </is>
      </c>
      <c r="D219" s="50">
        <f>D159-(D21*Seasonality!$C$65*D71+D73+D49*D159)-D111</f>
        <v/>
      </c>
      <c r="E219" s="50">
        <f>E159-(E21*Seasonality!$C$65*E71+E73+E49*E159)-E111</f>
        <v/>
      </c>
      <c r="F219" s="50">
        <f>F159-(F21*Seasonality!$C$65*F71+F73+F49*F159)-F111</f>
        <v/>
      </c>
      <c r="G219" s="50">
        <f>G159-(G21*Seasonality!$C$65*G71+G73+G49*G159)-G111</f>
        <v/>
      </c>
      <c r="H219" s="50">
        <f>H159-(H21*Seasonality!$C$65*H71+H73+H49*H159)-H111</f>
        <v/>
      </c>
      <c r="I219" s="50">
        <f>I159-(I21*Seasonality!$C$65*I71+I73+I49*I159)-I111</f>
        <v/>
      </c>
      <c r="J219" s="50">
        <f>J159-(J21*Seasonality!$C$65*J71+J73+J49*J159)-J111</f>
        <v/>
      </c>
      <c r="K219" s="50">
        <f>K159-(K21*Seasonality!$C$65*K71+K73+K49*K159)-K111</f>
        <v/>
      </c>
      <c r="L219" s="50">
        <f>L159-(L21*Seasonality!$C$65*L71+L73+L49*L159)-L111</f>
        <v/>
      </c>
      <c r="M219" s="50">
        <f>M159-(M21*Seasonality!$C$65*M71+M73+M49*M159)-M111</f>
        <v/>
      </c>
      <c r="N219" s="50">
        <f>N159-(N21*Seasonality!$C$65*N71+N73+N49*N159)-N111</f>
        <v/>
      </c>
      <c r="O219" s="50">
        <f>O159-(O21*Seasonality!$C$65*O71+O73+O49*O159)-O111</f>
        <v/>
      </c>
      <c r="P219" s="50">
        <f>P159-(P21*Seasonality!$C$65*P71+P73+P49*P159)-P111</f>
        <v/>
      </c>
      <c r="Q219" s="50">
        <f>Q159-(Q21*Seasonality!$C$65*Q71+Q73+Q49*Q159)-Q111</f>
        <v/>
      </c>
      <c r="R219" s="50">
        <f>R159-(R21*Seasonality!$C$65*R71+R73+R49*R159)-R111</f>
        <v/>
      </c>
      <c r="S219" s="50">
        <f>S159-(S21*Seasonality!$C$65*S71+S73+S49*S159)-S111</f>
        <v/>
      </c>
      <c r="T219" s="50">
        <f>T159-(T21*Seasonality!$C$65*T71+T73+T49*T159)-T111</f>
        <v/>
      </c>
      <c r="U219" s="50">
        <f>U159-(U21*Seasonality!$C$65*U71+U73+U49*U159)-U111</f>
        <v/>
      </c>
      <c r="V219" s="50">
        <f>V159-(V21*Seasonality!$C$65*V71+V73+V49*V159)-V111</f>
        <v/>
      </c>
      <c r="W219" s="50">
        <f>W159-(W21*Seasonality!$C$65*W71+W73+W49*W159)-W111</f>
        <v/>
      </c>
      <c r="X219" s="50">
        <f>X159-(X21*Seasonality!$C$65*X71+X73+X49*X159)-X111</f>
        <v/>
      </c>
      <c r="Y219" s="50">
        <f>Y159-(Y21*Seasonality!$C$65*Y71+Y73+Y49*Y159)-Y111</f>
        <v/>
      </c>
      <c r="Z219" s="50">
        <f>Z159-(Z21*Seasonality!$C$65*Z71+Z73+Z49*Z159)-Z111</f>
        <v/>
      </c>
      <c r="AA219" s="50">
        <f>AA159-(AA21*Seasonality!$C$65*AA71+AA73+AA49*AA159)-AA111</f>
        <v/>
      </c>
      <c r="AB219" s="50">
        <f>AB159-(AB21*Seasonality!$C$65*AB71+AB73+AB49*AB159)-AB111</f>
        <v/>
      </c>
      <c r="AC219" s="50">
        <f>AC159-(AC21*Seasonality!$C$65*AC71+AC73+AC49*AC159)-AC111</f>
        <v/>
      </c>
      <c r="AD219" s="50">
        <f>AD159-(AD21*Seasonality!$C$65*AD71+AD73+AD49*AD159)-AD111</f>
        <v/>
      </c>
      <c r="AE219" s="50">
        <f>AE159-(AE21*Seasonality!$C$65*AE71+AE73+AE49*AE159)-AE111</f>
        <v/>
      </c>
      <c r="AF219" s="50">
        <f>AF159-(AF21*Seasonality!$C$65*AF71+AF73+AF49*AF159)-AF111</f>
        <v/>
      </c>
      <c r="AG219" s="50">
        <f>AG159-(AG21*Seasonality!$C$65*AG71+AG73+AG49*AG159)-AG111</f>
        <v/>
      </c>
      <c r="AH219" s="50">
        <f>AH159-(AH21*Seasonality!$C$65*AH71+AH73+AH49*AH159)-AH111</f>
        <v/>
      </c>
      <c r="AI219" s="50">
        <f>AI159-(AI21*Seasonality!$C$65*AI71+AI73+AI49*AI159)-AI111</f>
        <v/>
      </c>
      <c r="AJ219" s="50">
        <f>AJ159-(AJ21*Seasonality!$C$65*AJ71+AJ73+AJ49*AJ159)-AJ111</f>
        <v/>
      </c>
      <c r="AK219" s="50">
        <f>AK159-(AK21*Seasonality!$C$65*AK71+AK73+AK49*AK159)-AK111</f>
        <v/>
      </c>
      <c r="AL219" s="50">
        <f>AL159-(AL21*Seasonality!$C$65*AL71+AL73+AL49*AL159)-AL111</f>
        <v/>
      </c>
      <c r="AM219" s="50">
        <f>AM159-(AM21*Seasonality!$C$65*AM71+AM73+AM49*AM159)-AM111</f>
        <v/>
      </c>
      <c r="AN219" s="50">
        <f>AN159-(AN21*Seasonality!$C$65*AN71+AN73+AN49*AN159)-AN111</f>
        <v/>
      </c>
      <c r="AO219" s="50">
        <f>AO159-(AO21*Seasonality!$C$65*AO71+AO73+AO49*AO159)-AO111</f>
        <v/>
      </c>
      <c r="AP219" s="50">
        <f>AP159-(AP21*Seasonality!$C$65*AP71+AP73+AP49*AP159)-AP111</f>
        <v/>
      </c>
      <c r="AQ219" s="50">
        <f>AQ159-(AQ21*Seasonality!$C$65*AQ71+AQ73+AQ49*AQ159)-AQ111</f>
        <v/>
      </c>
      <c r="AR219" s="50">
        <f>AR159-(AR21*Seasonality!$C$65*AR71+AR73+AR49*AR159)-AR111</f>
        <v/>
      </c>
      <c r="AS219" s="50">
        <f>AS159-(AS21*Seasonality!$C$65*AS71+AS73+AS49*AS159)-AS111</f>
        <v/>
      </c>
      <c r="AT219" s="50">
        <f>AT159-(AT21*Seasonality!$C$65*AT71+AT73+AT49*AT159)-AT111</f>
        <v/>
      </c>
      <c r="AU219" s="50">
        <f>AU159-(AU21*Seasonality!$C$65*AU71+AU73+AU49*AU159)-AU111</f>
        <v/>
      </c>
      <c r="AV219" s="50">
        <f>AV159-(AV21*Seasonality!$C$65*AV71+AV73+AV49*AV159)-AV111</f>
        <v/>
      </c>
      <c r="AW219" s="50">
        <f>AW159-(AW21*Seasonality!$C$65*AW71+AW73+AW49*AW159)-AW111</f>
        <v/>
      </c>
      <c r="AX219" s="50">
        <f>AX159-(AX21*Seasonality!$C$65*AX71+AX73+AX49*AX159)-AX111</f>
        <v/>
      </c>
      <c r="AY219" s="50">
        <f>AY159-(AY21*Seasonality!$C$65*AY71+AY73+AY49*AY159)-AY111</f>
        <v/>
      </c>
      <c r="AZ219" s="50">
        <f>AZ159-(AZ21*Seasonality!$C$65*AZ71+AZ73+AZ49*AZ159)-AZ111</f>
        <v/>
      </c>
      <c r="BA219" s="50">
        <f>BA159-(BA21*Seasonality!$C$65*BA71+BA73+BA49*BA159)-BA111</f>
        <v/>
      </c>
      <c r="BB219" s="50">
        <f>BB159-(BB21*Seasonality!$C$65*BB71+BB73+BB49*BB159)-BB111</f>
        <v/>
      </c>
      <c r="BC219" s="50">
        <f>BC159-(BC21*Seasonality!$C$65*BC71+BC73+BC49*BC159)-BC111</f>
        <v/>
      </c>
      <c r="BD219" s="50">
        <f>BD159-(BD21*Seasonality!$C$65*BD71+BD73+BD49*BD159)-BD111</f>
        <v/>
      </c>
      <c r="BE219" s="50">
        <f>BE159-(BE21*Seasonality!$C$65*BE71+BE73+BE49*BE159)-BE111</f>
        <v/>
      </c>
    </row>
    <row r="220">
      <c r="B220" s="7" t="inlineStr">
        <is>
          <t>Contribution · month 30</t>
        </is>
      </c>
      <c r="C220" s="5" t="inlineStr">
        <is>
          <t>₹</t>
        </is>
      </c>
      <c r="D220" s="50">
        <f>D160-(D21*Seasonality!$C$66*D71+D73+D49*D160)-D111</f>
        <v/>
      </c>
      <c r="E220" s="50">
        <f>E160-(E21*Seasonality!$C$66*E71+E73+E49*E160)-E111</f>
        <v/>
      </c>
      <c r="F220" s="50">
        <f>F160-(F21*Seasonality!$C$66*F71+F73+F49*F160)-F111</f>
        <v/>
      </c>
      <c r="G220" s="50">
        <f>G160-(G21*Seasonality!$C$66*G71+G73+G49*G160)-G111</f>
        <v/>
      </c>
      <c r="H220" s="50">
        <f>H160-(H21*Seasonality!$C$66*H71+H73+H49*H160)-H111</f>
        <v/>
      </c>
      <c r="I220" s="50">
        <f>I160-(I21*Seasonality!$C$66*I71+I73+I49*I160)-I111</f>
        <v/>
      </c>
      <c r="J220" s="50">
        <f>J160-(J21*Seasonality!$C$66*J71+J73+J49*J160)-J111</f>
        <v/>
      </c>
      <c r="K220" s="50">
        <f>K160-(K21*Seasonality!$C$66*K71+K73+K49*K160)-K111</f>
        <v/>
      </c>
      <c r="L220" s="50">
        <f>L160-(L21*Seasonality!$C$66*L71+L73+L49*L160)-L111</f>
        <v/>
      </c>
      <c r="M220" s="50">
        <f>M160-(M21*Seasonality!$C$66*M71+M73+M49*M160)-M111</f>
        <v/>
      </c>
      <c r="N220" s="50">
        <f>N160-(N21*Seasonality!$C$66*N71+N73+N49*N160)-N111</f>
        <v/>
      </c>
      <c r="O220" s="50">
        <f>O160-(O21*Seasonality!$C$66*O71+O73+O49*O160)-O111</f>
        <v/>
      </c>
      <c r="P220" s="50">
        <f>P160-(P21*Seasonality!$C$66*P71+P73+P49*P160)-P111</f>
        <v/>
      </c>
      <c r="Q220" s="50">
        <f>Q160-(Q21*Seasonality!$C$66*Q71+Q73+Q49*Q160)-Q111</f>
        <v/>
      </c>
      <c r="R220" s="50">
        <f>R160-(R21*Seasonality!$C$66*R71+R73+R49*R160)-R111</f>
        <v/>
      </c>
      <c r="S220" s="50">
        <f>S160-(S21*Seasonality!$C$66*S71+S73+S49*S160)-S111</f>
        <v/>
      </c>
      <c r="T220" s="50">
        <f>T160-(T21*Seasonality!$C$66*T71+T73+T49*T160)-T111</f>
        <v/>
      </c>
      <c r="U220" s="50">
        <f>U160-(U21*Seasonality!$C$66*U71+U73+U49*U160)-U111</f>
        <v/>
      </c>
      <c r="V220" s="50">
        <f>V160-(V21*Seasonality!$C$66*V71+V73+V49*V160)-V111</f>
        <v/>
      </c>
      <c r="W220" s="50">
        <f>W160-(W21*Seasonality!$C$66*W71+W73+W49*W160)-W111</f>
        <v/>
      </c>
      <c r="X220" s="50">
        <f>X160-(X21*Seasonality!$C$66*X71+X73+X49*X160)-X111</f>
        <v/>
      </c>
      <c r="Y220" s="50">
        <f>Y160-(Y21*Seasonality!$C$66*Y71+Y73+Y49*Y160)-Y111</f>
        <v/>
      </c>
      <c r="Z220" s="50">
        <f>Z160-(Z21*Seasonality!$C$66*Z71+Z73+Z49*Z160)-Z111</f>
        <v/>
      </c>
      <c r="AA220" s="50">
        <f>AA160-(AA21*Seasonality!$C$66*AA71+AA73+AA49*AA160)-AA111</f>
        <v/>
      </c>
      <c r="AB220" s="50">
        <f>AB160-(AB21*Seasonality!$C$66*AB71+AB73+AB49*AB160)-AB111</f>
        <v/>
      </c>
      <c r="AC220" s="50">
        <f>AC160-(AC21*Seasonality!$C$66*AC71+AC73+AC49*AC160)-AC111</f>
        <v/>
      </c>
      <c r="AD220" s="50">
        <f>AD160-(AD21*Seasonality!$C$66*AD71+AD73+AD49*AD160)-AD111</f>
        <v/>
      </c>
      <c r="AE220" s="50">
        <f>AE160-(AE21*Seasonality!$C$66*AE71+AE73+AE49*AE160)-AE111</f>
        <v/>
      </c>
      <c r="AF220" s="50">
        <f>AF160-(AF21*Seasonality!$C$66*AF71+AF73+AF49*AF160)-AF111</f>
        <v/>
      </c>
      <c r="AG220" s="50">
        <f>AG160-(AG21*Seasonality!$C$66*AG71+AG73+AG49*AG160)-AG111</f>
        <v/>
      </c>
      <c r="AH220" s="50">
        <f>AH160-(AH21*Seasonality!$C$66*AH71+AH73+AH49*AH160)-AH111</f>
        <v/>
      </c>
      <c r="AI220" s="50">
        <f>AI160-(AI21*Seasonality!$C$66*AI71+AI73+AI49*AI160)-AI111</f>
        <v/>
      </c>
      <c r="AJ220" s="50">
        <f>AJ160-(AJ21*Seasonality!$C$66*AJ71+AJ73+AJ49*AJ160)-AJ111</f>
        <v/>
      </c>
      <c r="AK220" s="50">
        <f>AK160-(AK21*Seasonality!$C$66*AK71+AK73+AK49*AK160)-AK111</f>
        <v/>
      </c>
      <c r="AL220" s="50">
        <f>AL160-(AL21*Seasonality!$C$66*AL71+AL73+AL49*AL160)-AL111</f>
        <v/>
      </c>
      <c r="AM220" s="50">
        <f>AM160-(AM21*Seasonality!$C$66*AM71+AM73+AM49*AM160)-AM111</f>
        <v/>
      </c>
      <c r="AN220" s="50">
        <f>AN160-(AN21*Seasonality!$C$66*AN71+AN73+AN49*AN160)-AN111</f>
        <v/>
      </c>
      <c r="AO220" s="50">
        <f>AO160-(AO21*Seasonality!$C$66*AO71+AO73+AO49*AO160)-AO111</f>
        <v/>
      </c>
      <c r="AP220" s="50">
        <f>AP160-(AP21*Seasonality!$C$66*AP71+AP73+AP49*AP160)-AP111</f>
        <v/>
      </c>
      <c r="AQ220" s="50">
        <f>AQ160-(AQ21*Seasonality!$C$66*AQ71+AQ73+AQ49*AQ160)-AQ111</f>
        <v/>
      </c>
      <c r="AR220" s="50">
        <f>AR160-(AR21*Seasonality!$C$66*AR71+AR73+AR49*AR160)-AR111</f>
        <v/>
      </c>
      <c r="AS220" s="50">
        <f>AS160-(AS21*Seasonality!$C$66*AS71+AS73+AS49*AS160)-AS111</f>
        <v/>
      </c>
      <c r="AT220" s="50">
        <f>AT160-(AT21*Seasonality!$C$66*AT71+AT73+AT49*AT160)-AT111</f>
        <v/>
      </c>
      <c r="AU220" s="50">
        <f>AU160-(AU21*Seasonality!$C$66*AU71+AU73+AU49*AU160)-AU111</f>
        <v/>
      </c>
      <c r="AV220" s="50">
        <f>AV160-(AV21*Seasonality!$C$66*AV71+AV73+AV49*AV160)-AV111</f>
        <v/>
      </c>
      <c r="AW220" s="50">
        <f>AW160-(AW21*Seasonality!$C$66*AW71+AW73+AW49*AW160)-AW111</f>
        <v/>
      </c>
      <c r="AX220" s="50">
        <f>AX160-(AX21*Seasonality!$C$66*AX71+AX73+AX49*AX160)-AX111</f>
        <v/>
      </c>
      <c r="AY220" s="50">
        <f>AY160-(AY21*Seasonality!$C$66*AY71+AY73+AY49*AY160)-AY111</f>
        <v/>
      </c>
      <c r="AZ220" s="50">
        <f>AZ160-(AZ21*Seasonality!$C$66*AZ71+AZ73+AZ49*AZ160)-AZ111</f>
        <v/>
      </c>
      <c r="BA220" s="50">
        <f>BA160-(BA21*Seasonality!$C$66*BA71+BA73+BA49*BA160)-BA111</f>
        <v/>
      </c>
      <c r="BB220" s="50">
        <f>BB160-(BB21*Seasonality!$C$66*BB71+BB73+BB49*BB160)-BB111</f>
        <v/>
      </c>
      <c r="BC220" s="50">
        <f>BC160-(BC21*Seasonality!$C$66*BC71+BC73+BC49*BC160)-BC111</f>
        <v/>
      </c>
      <c r="BD220" s="50">
        <f>BD160-(BD21*Seasonality!$C$66*BD71+BD73+BD49*BD160)-BD111</f>
        <v/>
      </c>
      <c r="BE220" s="50">
        <f>BE160-(BE21*Seasonality!$C$66*BE71+BE73+BE49*BE160)-BE111</f>
        <v/>
      </c>
    </row>
    <row r="221">
      <c r="B221" s="7" t="inlineStr">
        <is>
          <t>Contribution · month 31</t>
        </is>
      </c>
      <c r="C221" s="5" t="inlineStr">
        <is>
          <t>₹</t>
        </is>
      </c>
      <c r="D221" s="50">
        <f>D161-(D21*Seasonality!$C$67*D71+D73+D49*D161)-D111</f>
        <v/>
      </c>
      <c r="E221" s="50">
        <f>E161-(E21*Seasonality!$C$67*E71+E73+E49*E161)-E111</f>
        <v/>
      </c>
      <c r="F221" s="50">
        <f>F161-(F21*Seasonality!$C$67*F71+F73+F49*F161)-F111</f>
        <v/>
      </c>
      <c r="G221" s="50">
        <f>G161-(G21*Seasonality!$C$67*G71+G73+G49*G161)-G111</f>
        <v/>
      </c>
      <c r="H221" s="50">
        <f>H161-(H21*Seasonality!$C$67*H71+H73+H49*H161)-H111</f>
        <v/>
      </c>
      <c r="I221" s="50">
        <f>I161-(I21*Seasonality!$C$67*I71+I73+I49*I161)-I111</f>
        <v/>
      </c>
      <c r="J221" s="50">
        <f>J161-(J21*Seasonality!$C$67*J71+J73+J49*J161)-J111</f>
        <v/>
      </c>
      <c r="K221" s="50">
        <f>K161-(K21*Seasonality!$C$67*K71+K73+K49*K161)-K111</f>
        <v/>
      </c>
      <c r="L221" s="50">
        <f>L161-(L21*Seasonality!$C$67*L71+L73+L49*L161)-L111</f>
        <v/>
      </c>
      <c r="M221" s="50">
        <f>M161-(M21*Seasonality!$C$67*M71+M73+M49*M161)-M111</f>
        <v/>
      </c>
      <c r="N221" s="50">
        <f>N161-(N21*Seasonality!$C$67*N71+N73+N49*N161)-N111</f>
        <v/>
      </c>
      <c r="O221" s="50">
        <f>O161-(O21*Seasonality!$C$67*O71+O73+O49*O161)-O111</f>
        <v/>
      </c>
      <c r="P221" s="50">
        <f>P161-(P21*Seasonality!$C$67*P71+P73+P49*P161)-P111</f>
        <v/>
      </c>
      <c r="Q221" s="50">
        <f>Q161-(Q21*Seasonality!$C$67*Q71+Q73+Q49*Q161)-Q111</f>
        <v/>
      </c>
      <c r="R221" s="50">
        <f>R161-(R21*Seasonality!$C$67*R71+R73+R49*R161)-R111</f>
        <v/>
      </c>
      <c r="S221" s="50">
        <f>S161-(S21*Seasonality!$C$67*S71+S73+S49*S161)-S111</f>
        <v/>
      </c>
      <c r="T221" s="50">
        <f>T161-(T21*Seasonality!$C$67*T71+T73+T49*T161)-T111</f>
        <v/>
      </c>
      <c r="U221" s="50">
        <f>U161-(U21*Seasonality!$C$67*U71+U73+U49*U161)-U111</f>
        <v/>
      </c>
      <c r="V221" s="50">
        <f>V161-(V21*Seasonality!$C$67*V71+V73+V49*V161)-V111</f>
        <v/>
      </c>
      <c r="W221" s="50">
        <f>W161-(W21*Seasonality!$C$67*W71+W73+W49*W161)-W111</f>
        <v/>
      </c>
      <c r="X221" s="50">
        <f>X161-(X21*Seasonality!$C$67*X71+X73+X49*X161)-X111</f>
        <v/>
      </c>
      <c r="Y221" s="50">
        <f>Y161-(Y21*Seasonality!$C$67*Y71+Y73+Y49*Y161)-Y111</f>
        <v/>
      </c>
      <c r="Z221" s="50">
        <f>Z161-(Z21*Seasonality!$C$67*Z71+Z73+Z49*Z161)-Z111</f>
        <v/>
      </c>
      <c r="AA221" s="50">
        <f>AA161-(AA21*Seasonality!$C$67*AA71+AA73+AA49*AA161)-AA111</f>
        <v/>
      </c>
      <c r="AB221" s="50">
        <f>AB161-(AB21*Seasonality!$C$67*AB71+AB73+AB49*AB161)-AB111</f>
        <v/>
      </c>
      <c r="AC221" s="50">
        <f>AC161-(AC21*Seasonality!$C$67*AC71+AC73+AC49*AC161)-AC111</f>
        <v/>
      </c>
      <c r="AD221" s="50">
        <f>AD161-(AD21*Seasonality!$C$67*AD71+AD73+AD49*AD161)-AD111</f>
        <v/>
      </c>
      <c r="AE221" s="50">
        <f>AE161-(AE21*Seasonality!$C$67*AE71+AE73+AE49*AE161)-AE111</f>
        <v/>
      </c>
      <c r="AF221" s="50">
        <f>AF161-(AF21*Seasonality!$C$67*AF71+AF73+AF49*AF161)-AF111</f>
        <v/>
      </c>
      <c r="AG221" s="50">
        <f>AG161-(AG21*Seasonality!$C$67*AG71+AG73+AG49*AG161)-AG111</f>
        <v/>
      </c>
      <c r="AH221" s="50">
        <f>AH161-(AH21*Seasonality!$C$67*AH71+AH73+AH49*AH161)-AH111</f>
        <v/>
      </c>
      <c r="AI221" s="50">
        <f>AI161-(AI21*Seasonality!$C$67*AI71+AI73+AI49*AI161)-AI111</f>
        <v/>
      </c>
      <c r="AJ221" s="50">
        <f>AJ161-(AJ21*Seasonality!$C$67*AJ71+AJ73+AJ49*AJ161)-AJ111</f>
        <v/>
      </c>
      <c r="AK221" s="50">
        <f>AK161-(AK21*Seasonality!$C$67*AK71+AK73+AK49*AK161)-AK111</f>
        <v/>
      </c>
      <c r="AL221" s="50">
        <f>AL161-(AL21*Seasonality!$C$67*AL71+AL73+AL49*AL161)-AL111</f>
        <v/>
      </c>
      <c r="AM221" s="50">
        <f>AM161-(AM21*Seasonality!$C$67*AM71+AM73+AM49*AM161)-AM111</f>
        <v/>
      </c>
      <c r="AN221" s="50">
        <f>AN161-(AN21*Seasonality!$C$67*AN71+AN73+AN49*AN161)-AN111</f>
        <v/>
      </c>
      <c r="AO221" s="50">
        <f>AO161-(AO21*Seasonality!$C$67*AO71+AO73+AO49*AO161)-AO111</f>
        <v/>
      </c>
      <c r="AP221" s="50">
        <f>AP161-(AP21*Seasonality!$C$67*AP71+AP73+AP49*AP161)-AP111</f>
        <v/>
      </c>
      <c r="AQ221" s="50">
        <f>AQ161-(AQ21*Seasonality!$C$67*AQ71+AQ73+AQ49*AQ161)-AQ111</f>
        <v/>
      </c>
      <c r="AR221" s="50">
        <f>AR161-(AR21*Seasonality!$C$67*AR71+AR73+AR49*AR161)-AR111</f>
        <v/>
      </c>
      <c r="AS221" s="50">
        <f>AS161-(AS21*Seasonality!$C$67*AS71+AS73+AS49*AS161)-AS111</f>
        <v/>
      </c>
      <c r="AT221" s="50">
        <f>AT161-(AT21*Seasonality!$C$67*AT71+AT73+AT49*AT161)-AT111</f>
        <v/>
      </c>
      <c r="AU221" s="50">
        <f>AU161-(AU21*Seasonality!$C$67*AU71+AU73+AU49*AU161)-AU111</f>
        <v/>
      </c>
      <c r="AV221" s="50">
        <f>AV161-(AV21*Seasonality!$C$67*AV71+AV73+AV49*AV161)-AV111</f>
        <v/>
      </c>
      <c r="AW221" s="50">
        <f>AW161-(AW21*Seasonality!$C$67*AW71+AW73+AW49*AW161)-AW111</f>
        <v/>
      </c>
      <c r="AX221" s="50">
        <f>AX161-(AX21*Seasonality!$C$67*AX71+AX73+AX49*AX161)-AX111</f>
        <v/>
      </c>
      <c r="AY221" s="50">
        <f>AY161-(AY21*Seasonality!$C$67*AY71+AY73+AY49*AY161)-AY111</f>
        <v/>
      </c>
      <c r="AZ221" s="50">
        <f>AZ161-(AZ21*Seasonality!$C$67*AZ71+AZ73+AZ49*AZ161)-AZ111</f>
        <v/>
      </c>
      <c r="BA221" s="50">
        <f>BA161-(BA21*Seasonality!$C$67*BA71+BA73+BA49*BA161)-BA111</f>
        <v/>
      </c>
      <c r="BB221" s="50">
        <f>BB161-(BB21*Seasonality!$C$67*BB71+BB73+BB49*BB161)-BB111</f>
        <v/>
      </c>
      <c r="BC221" s="50">
        <f>BC161-(BC21*Seasonality!$C$67*BC71+BC73+BC49*BC161)-BC111</f>
        <v/>
      </c>
      <c r="BD221" s="50">
        <f>BD161-(BD21*Seasonality!$C$67*BD71+BD73+BD49*BD161)-BD111</f>
        <v/>
      </c>
      <c r="BE221" s="50">
        <f>BE161-(BE21*Seasonality!$C$67*BE71+BE73+BE49*BE161)-BE111</f>
        <v/>
      </c>
    </row>
    <row r="222">
      <c r="B222" s="7" t="inlineStr">
        <is>
          <t>Contribution · month 32</t>
        </is>
      </c>
      <c r="C222" s="5" t="inlineStr">
        <is>
          <t>₹</t>
        </is>
      </c>
      <c r="D222" s="50">
        <f>D162-(D21*Seasonality!$C$68*D71+D73+D49*D162)-D111</f>
        <v/>
      </c>
      <c r="E222" s="50">
        <f>E162-(E21*Seasonality!$C$68*E71+E73+E49*E162)-E111</f>
        <v/>
      </c>
      <c r="F222" s="50">
        <f>F162-(F21*Seasonality!$C$68*F71+F73+F49*F162)-F111</f>
        <v/>
      </c>
      <c r="G222" s="50">
        <f>G162-(G21*Seasonality!$C$68*G71+G73+G49*G162)-G111</f>
        <v/>
      </c>
      <c r="H222" s="50">
        <f>H162-(H21*Seasonality!$C$68*H71+H73+H49*H162)-H111</f>
        <v/>
      </c>
      <c r="I222" s="50">
        <f>I162-(I21*Seasonality!$C$68*I71+I73+I49*I162)-I111</f>
        <v/>
      </c>
      <c r="J222" s="50">
        <f>J162-(J21*Seasonality!$C$68*J71+J73+J49*J162)-J111</f>
        <v/>
      </c>
      <c r="K222" s="50">
        <f>K162-(K21*Seasonality!$C$68*K71+K73+K49*K162)-K111</f>
        <v/>
      </c>
      <c r="L222" s="50">
        <f>L162-(L21*Seasonality!$C$68*L71+L73+L49*L162)-L111</f>
        <v/>
      </c>
      <c r="M222" s="50">
        <f>M162-(M21*Seasonality!$C$68*M71+M73+M49*M162)-M111</f>
        <v/>
      </c>
      <c r="N222" s="50">
        <f>N162-(N21*Seasonality!$C$68*N71+N73+N49*N162)-N111</f>
        <v/>
      </c>
      <c r="O222" s="50">
        <f>O162-(O21*Seasonality!$C$68*O71+O73+O49*O162)-O111</f>
        <v/>
      </c>
      <c r="P222" s="50">
        <f>P162-(P21*Seasonality!$C$68*P71+P73+P49*P162)-P111</f>
        <v/>
      </c>
      <c r="Q222" s="50">
        <f>Q162-(Q21*Seasonality!$C$68*Q71+Q73+Q49*Q162)-Q111</f>
        <v/>
      </c>
      <c r="R222" s="50">
        <f>R162-(R21*Seasonality!$C$68*R71+R73+R49*R162)-R111</f>
        <v/>
      </c>
      <c r="S222" s="50">
        <f>S162-(S21*Seasonality!$C$68*S71+S73+S49*S162)-S111</f>
        <v/>
      </c>
      <c r="T222" s="50">
        <f>T162-(T21*Seasonality!$C$68*T71+T73+T49*T162)-T111</f>
        <v/>
      </c>
      <c r="U222" s="50">
        <f>U162-(U21*Seasonality!$C$68*U71+U73+U49*U162)-U111</f>
        <v/>
      </c>
      <c r="V222" s="50">
        <f>V162-(V21*Seasonality!$C$68*V71+V73+V49*V162)-V111</f>
        <v/>
      </c>
      <c r="W222" s="50">
        <f>W162-(W21*Seasonality!$C$68*W71+W73+W49*W162)-W111</f>
        <v/>
      </c>
      <c r="X222" s="50">
        <f>X162-(X21*Seasonality!$C$68*X71+X73+X49*X162)-X111</f>
        <v/>
      </c>
      <c r="Y222" s="50">
        <f>Y162-(Y21*Seasonality!$C$68*Y71+Y73+Y49*Y162)-Y111</f>
        <v/>
      </c>
      <c r="Z222" s="50">
        <f>Z162-(Z21*Seasonality!$C$68*Z71+Z73+Z49*Z162)-Z111</f>
        <v/>
      </c>
      <c r="AA222" s="50">
        <f>AA162-(AA21*Seasonality!$C$68*AA71+AA73+AA49*AA162)-AA111</f>
        <v/>
      </c>
      <c r="AB222" s="50">
        <f>AB162-(AB21*Seasonality!$C$68*AB71+AB73+AB49*AB162)-AB111</f>
        <v/>
      </c>
      <c r="AC222" s="50">
        <f>AC162-(AC21*Seasonality!$C$68*AC71+AC73+AC49*AC162)-AC111</f>
        <v/>
      </c>
      <c r="AD222" s="50">
        <f>AD162-(AD21*Seasonality!$C$68*AD71+AD73+AD49*AD162)-AD111</f>
        <v/>
      </c>
      <c r="AE222" s="50">
        <f>AE162-(AE21*Seasonality!$C$68*AE71+AE73+AE49*AE162)-AE111</f>
        <v/>
      </c>
      <c r="AF222" s="50">
        <f>AF162-(AF21*Seasonality!$C$68*AF71+AF73+AF49*AF162)-AF111</f>
        <v/>
      </c>
      <c r="AG222" s="50">
        <f>AG162-(AG21*Seasonality!$C$68*AG71+AG73+AG49*AG162)-AG111</f>
        <v/>
      </c>
      <c r="AH222" s="50">
        <f>AH162-(AH21*Seasonality!$C$68*AH71+AH73+AH49*AH162)-AH111</f>
        <v/>
      </c>
      <c r="AI222" s="50">
        <f>AI162-(AI21*Seasonality!$C$68*AI71+AI73+AI49*AI162)-AI111</f>
        <v/>
      </c>
      <c r="AJ222" s="50">
        <f>AJ162-(AJ21*Seasonality!$C$68*AJ71+AJ73+AJ49*AJ162)-AJ111</f>
        <v/>
      </c>
      <c r="AK222" s="50">
        <f>AK162-(AK21*Seasonality!$C$68*AK71+AK73+AK49*AK162)-AK111</f>
        <v/>
      </c>
      <c r="AL222" s="50">
        <f>AL162-(AL21*Seasonality!$C$68*AL71+AL73+AL49*AL162)-AL111</f>
        <v/>
      </c>
      <c r="AM222" s="50">
        <f>AM162-(AM21*Seasonality!$C$68*AM71+AM73+AM49*AM162)-AM111</f>
        <v/>
      </c>
      <c r="AN222" s="50">
        <f>AN162-(AN21*Seasonality!$C$68*AN71+AN73+AN49*AN162)-AN111</f>
        <v/>
      </c>
      <c r="AO222" s="50">
        <f>AO162-(AO21*Seasonality!$C$68*AO71+AO73+AO49*AO162)-AO111</f>
        <v/>
      </c>
      <c r="AP222" s="50">
        <f>AP162-(AP21*Seasonality!$C$68*AP71+AP73+AP49*AP162)-AP111</f>
        <v/>
      </c>
      <c r="AQ222" s="50">
        <f>AQ162-(AQ21*Seasonality!$C$68*AQ71+AQ73+AQ49*AQ162)-AQ111</f>
        <v/>
      </c>
      <c r="AR222" s="50">
        <f>AR162-(AR21*Seasonality!$C$68*AR71+AR73+AR49*AR162)-AR111</f>
        <v/>
      </c>
      <c r="AS222" s="50">
        <f>AS162-(AS21*Seasonality!$C$68*AS71+AS73+AS49*AS162)-AS111</f>
        <v/>
      </c>
      <c r="AT222" s="50">
        <f>AT162-(AT21*Seasonality!$C$68*AT71+AT73+AT49*AT162)-AT111</f>
        <v/>
      </c>
      <c r="AU222" s="50">
        <f>AU162-(AU21*Seasonality!$C$68*AU71+AU73+AU49*AU162)-AU111</f>
        <v/>
      </c>
      <c r="AV222" s="50">
        <f>AV162-(AV21*Seasonality!$C$68*AV71+AV73+AV49*AV162)-AV111</f>
        <v/>
      </c>
      <c r="AW222" s="50">
        <f>AW162-(AW21*Seasonality!$C$68*AW71+AW73+AW49*AW162)-AW111</f>
        <v/>
      </c>
      <c r="AX222" s="50">
        <f>AX162-(AX21*Seasonality!$C$68*AX71+AX73+AX49*AX162)-AX111</f>
        <v/>
      </c>
      <c r="AY222" s="50">
        <f>AY162-(AY21*Seasonality!$C$68*AY71+AY73+AY49*AY162)-AY111</f>
        <v/>
      </c>
      <c r="AZ222" s="50">
        <f>AZ162-(AZ21*Seasonality!$C$68*AZ71+AZ73+AZ49*AZ162)-AZ111</f>
        <v/>
      </c>
      <c r="BA222" s="50">
        <f>BA162-(BA21*Seasonality!$C$68*BA71+BA73+BA49*BA162)-BA111</f>
        <v/>
      </c>
      <c r="BB222" s="50">
        <f>BB162-(BB21*Seasonality!$C$68*BB71+BB73+BB49*BB162)-BB111</f>
        <v/>
      </c>
      <c r="BC222" s="50">
        <f>BC162-(BC21*Seasonality!$C$68*BC71+BC73+BC49*BC162)-BC111</f>
        <v/>
      </c>
      <c r="BD222" s="50">
        <f>BD162-(BD21*Seasonality!$C$68*BD71+BD73+BD49*BD162)-BD111</f>
        <v/>
      </c>
      <c r="BE222" s="50">
        <f>BE162-(BE21*Seasonality!$C$68*BE71+BE73+BE49*BE162)-BE111</f>
        <v/>
      </c>
    </row>
    <row r="223">
      <c r="B223" s="7" t="inlineStr">
        <is>
          <t>Contribution · month 33</t>
        </is>
      </c>
      <c r="C223" s="5" t="inlineStr">
        <is>
          <t>₹</t>
        </is>
      </c>
      <c r="D223" s="50">
        <f>D163-(D21*Seasonality!$C$69*D71+D73+D49*D163)-D111</f>
        <v/>
      </c>
      <c r="E223" s="50">
        <f>E163-(E21*Seasonality!$C$69*E71+E73+E49*E163)-E111</f>
        <v/>
      </c>
      <c r="F223" s="50">
        <f>F163-(F21*Seasonality!$C$69*F71+F73+F49*F163)-F111</f>
        <v/>
      </c>
      <c r="G223" s="50">
        <f>G163-(G21*Seasonality!$C$69*G71+G73+G49*G163)-G111</f>
        <v/>
      </c>
      <c r="H223" s="50">
        <f>H163-(H21*Seasonality!$C$69*H71+H73+H49*H163)-H111</f>
        <v/>
      </c>
      <c r="I223" s="50">
        <f>I163-(I21*Seasonality!$C$69*I71+I73+I49*I163)-I111</f>
        <v/>
      </c>
      <c r="J223" s="50">
        <f>J163-(J21*Seasonality!$C$69*J71+J73+J49*J163)-J111</f>
        <v/>
      </c>
      <c r="K223" s="50">
        <f>K163-(K21*Seasonality!$C$69*K71+K73+K49*K163)-K111</f>
        <v/>
      </c>
      <c r="L223" s="50">
        <f>L163-(L21*Seasonality!$C$69*L71+L73+L49*L163)-L111</f>
        <v/>
      </c>
      <c r="M223" s="50">
        <f>M163-(M21*Seasonality!$C$69*M71+M73+M49*M163)-M111</f>
        <v/>
      </c>
      <c r="N223" s="50">
        <f>N163-(N21*Seasonality!$C$69*N71+N73+N49*N163)-N111</f>
        <v/>
      </c>
      <c r="O223" s="50">
        <f>O163-(O21*Seasonality!$C$69*O71+O73+O49*O163)-O111</f>
        <v/>
      </c>
      <c r="P223" s="50">
        <f>P163-(P21*Seasonality!$C$69*P71+P73+P49*P163)-P111</f>
        <v/>
      </c>
      <c r="Q223" s="50">
        <f>Q163-(Q21*Seasonality!$C$69*Q71+Q73+Q49*Q163)-Q111</f>
        <v/>
      </c>
      <c r="R223" s="50">
        <f>R163-(R21*Seasonality!$C$69*R71+R73+R49*R163)-R111</f>
        <v/>
      </c>
      <c r="S223" s="50">
        <f>S163-(S21*Seasonality!$C$69*S71+S73+S49*S163)-S111</f>
        <v/>
      </c>
      <c r="T223" s="50">
        <f>T163-(T21*Seasonality!$C$69*T71+T73+T49*T163)-T111</f>
        <v/>
      </c>
      <c r="U223" s="50">
        <f>U163-(U21*Seasonality!$C$69*U71+U73+U49*U163)-U111</f>
        <v/>
      </c>
      <c r="V223" s="50">
        <f>V163-(V21*Seasonality!$C$69*V71+V73+V49*V163)-V111</f>
        <v/>
      </c>
      <c r="W223" s="50">
        <f>W163-(W21*Seasonality!$C$69*W71+W73+W49*W163)-W111</f>
        <v/>
      </c>
      <c r="X223" s="50">
        <f>X163-(X21*Seasonality!$C$69*X71+X73+X49*X163)-X111</f>
        <v/>
      </c>
      <c r="Y223" s="50">
        <f>Y163-(Y21*Seasonality!$C$69*Y71+Y73+Y49*Y163)-Y111</f>
        <v/>
      </c>
      <c r="Z223" s="50">
        <f>Z163-(Z21*Seasonality!$C$69*Z71+Z73+Z49*Z163)-Z111</f>
        <v/>
      </c>
      <c r="AA223" s="50">
        <f>AA163-(AA21*Seasonality!$C$69*AA71+AA73+AA49*AA163)-AA111</f>
        <v/>
      </c>
      <c r="AB223" s="50">
        <f>AB163-(AB21*Seasonality!$C$69*AB71+AB73+AB49*AB163)-AB111</f>
        <v/>
      </c>
      <c r="AC223" s="50">
        <f>AC163-(AC21*Seasonality!$C$69*AC71+AC73+AC49*AC163)-AC111</f>
        <v/>
      </c>
      <c r="AD223" s="50">
        <f>AD163-(AD21*Seasonality!$C$69*AD71+AD73+AD49*AD163)-AD111</f>
        <v/>
      </c>
      <c r="AE223" s="50">
        <f>AE163-(AE21*Seasonality!$C$69*AE71+AE73+AE49*AE163)-AE111</f>
        <v/>
      </c>
      <c r="AF223" s="50">
        <f>AF163-(AF21*Seasonality!$C$69*AF71+AF73+AF49*AF163)-AF111</f>
        <v/>
      </c>
      <c r="AG223" s="50">
        <f>AG163-(AG21*Seasonality!$C$69*AG71+AG73+AG49*AG163)-AG111</f>
        <v/>
      </c>
      <c r="AH223" s="50">
        <f>AH163-(AH21*Seasonality!$C$69*AH71+AH73+AH49*AH163)-AH111</f>
        <v/>
      </c>
      <c r="AI223" s="50">
        <f>AI163-(AI21*Seasonality!$C$69*AI71+AI73+AI49*AI163)-AI111</f>
        <v/>
      </c>
      <c r="AJ223" s="50">
        <f>AJ163-(AJ21*Seasonality!$C$69*AJ71+AJ73+AJ49*AJ163)-AJ111</f>
        <v/>
      </c>
      <c r="AK223" s="50">
        <f>AK163-(AK21*Seasonality!$C$69*AK71+AK73+AK49*AK163)-AK111</f>
        <v/>
      </c>
      <c r="AL223" s="50">
        <f>AL163-(AL21*Seasonality!$C$69*AL71+AL73+AL49*AL163)-AL111</f>
        <v/>
      </c>
      <c r="AM223" s="50">
        <f>AM163-(AM21*Seasonality!$C$69*AM71+AM73+AM49*AM163)-AM111</f>
        <v/>
      </c>
      <c r="AN223" s="50">
        <f>AN163-(AN21*Seasonality!$C$69*AN71+AN73+AN49*AN163)-AN111</f>
        <v/>
      </c>
      <c r="AO223" s="50">
        <f>AO163-(AO21*Seasonality!$C$69*AO71+AO73+AO49*AO163)-AO111</f>
        <v/>
      </c>
      <c r="AP223" s="50">
        <f>AP163-(AP21*Seasonality!$C$69*AP71+AP73+AP49*AP163)-AP111</f>
        <v/>
      </c>
      <c r="AQ223" s="50">
        <f>AQ163-(AQ21*Seasonality!$C$69*AQ71+AQ73+AQ49*AQ163)-AQ111</f>
        <v/>
      </c>
      <c r="AR223" s="50">
        <f>AR163-(AR21*Seasonality!$C$69*AR71+AR73+AR49*AR163)-AR111</f>
        <v/>
      </c>
      <c r="AS223" s="50">
        <f>AS163-(AS21*Seasonality!$C$69*AS71+AS73+AS49*AS163)-AS111</f>
        <v/>
      </c>
      <c r="AT223" s="50">
        <f>AT163-(AT21*Seasonality!$C$69*AT71+AT73+AT49*AT163)-AT111</f>
        <v/>
      </c>
      <c r="AU223" s="50">
        <f>AU163-(AU21*Seasonality!$C$69*AU71+AU73+AU49*AU163)-AU111</f>
        <v/>
      </c>
      <c r="AV223" s="50">
        <f>AV163-(AV21*Seasonality!$C$69*AV71+AV73+AV49*AV163)-AV111</f>
        <v/>
      </c>
      <c r="AW223" s="50">
        <f>AW163-(AW21*Seasonality!$C$69*AW71+AW73+AW49*AW163)-AW111</f>
        <v/>
      </c>
      <c r="AX223" s="50">
        <f>AX163-(AX21*Seasonality!$C$69*AX71+AX73+AX49*AX163)-AX111</f>
        <v/>
      </c>
      <c r="AY223" s="50">
        <f>AY163-(AY21*Seasonality!$C$69*AY71+AY73+AY49*AY163)-AY111</f>
        <v/>
      </c>
      <c r="AZ223" s="50">
        <f>AZ163-(AZ21*Seasonality!$C$69*AZ71+AZ73+AZ49*AZ163)-AZ111</f>
        <v/>
      </c>
      <c r="BA223" s="50">
        <f>BA163-(BA21*Seasonality!$C$69*BA71+BA73+BA49*BA163)-BA111</f>
        <v/>
      </c>
      <c r="BB223" s="50">
        <f>BB163-(BB21*Seasonality!$C$69*BB71+BB73+BB49*BB163)-BB111</f>
        <v/>
      </c>
      <c r="BC223" s="50">
        <f>BC163-(BC21*Seasonality!$C$69*BC71+BC73+BC49*BC163)-BC111</f>
        <v/>
      </c>
      <c r="BD223" s="50">
        <f>BD163-(BD21*Seasonality!$C$69*BD71+BD73+BD49*BD163)-BD111</f>
        <v/>
      </c>
      <c r="BE223" s="50">
        <f>BE163-(BE21*Seasonality!$C$69*BE71+BE73+BE49*BE163)-BE111</f>
        <v/>
      </c>
    </row>
    <row r="224">
      <c r="B224" s="7" t="inlineStr">
        <is>
          <t>Contribution · month 34</t>
        </is>
      </c>
      <c r="C224" s="5" t="inlineStr">
        <is>
          <t>₹</t>
        </is>
      </c>
      <c r="D224" s="50">
        <f>D164-(D21*Seasonality!$C$70*D71+D73+D49*D164)-D111</f>
        <v/>
      </c>
      <c r="E224" s="50">
        <f>E164-(E21*Seasonality!$C$70*E71+E73+E49*E164)-E111</f>
        <v/>
      </c>
      <c r="F224" s="50">
        <f>F164-(F21*Seasonality!$C$70*F71+F73+F49*F164)-F111</f>
        <v/>
      </c>
      <c r="G224" s="50">
        <f>G164-(G21*Seasonality!$C$70*G71+G73+G49*G164)-G111</f>
        <v/>
      </c>
      <c r="H224" s="50">
        <f>H164-(H21*Seasonality!$C$70*H71+H73+H49*H164)-H111</f>
        <v/>
      </c>
      <c r="I224" s="50">
        <f>I164-(I21*Seasonality!$C$70*I71+I73+I49*I164)-I111</f>
        <v/>
      </c>
      <c r="J224" s="50">
        <f>J164-(J21*Seasonality!$C$70*J71+J73+J49*J164)-J111</f>
        <v/>
      </c>
      <c r="K224" s="50">
        <f>K164-(K21*Seasonality!$C$70*K71+K73+K49*K164)-K111</f>
        <v/>
      </c>
      <c r="L224" s="50">
        <f>L164-(L21*Seasonality!$C$70*L71+L73+L49*L164)-L111</f>
        <v/>
      </c>
      <c r="M224" s="50">
        <f>M164-(M21*Seasonality!$C$70*M71+M73+M49*M164)-M111</f>
        <v/>
      </c>
      <c r="N224" s="50">
        <f>N164-(N21*Seasonality!$C$70*N71+N73+N49*N164)-N111</f>
        <v/>
      </c>
      <c r="O224" s="50">
        <f>O164-(O21*Seasonality!$C$70*O71+O73+O49*O164)-O111</f>
        <v/>
      </c>
      <c r="P224" s="50">
        <f>P164-(P21*Seasonality!$C$70*P71+P73+P49*P164)-P111</f>
        <v/>
      </c>
      <c r="Q224" s="50">
        <f>Q164-(Q21*Seasonality!$C$70*Q71+Q73+Q49*Q164)-Q111</f>
        <v/>
      </c>
      <c r="R224" s="50">
        <f>R164-(R21*Seasonality!$C$70*R71+R73+R49*R164)-R111</f>
        <v/>
      </c>
      <c r="S224" s="50">
        <f>S164-(S21*Seasonality!$C$70*S71+S73+S49*S164)-S111</f>
        <v/>
      </c>
      <c r="T224" s="50">
        <f>T164-(T21*Seasonality!$C$70*T71+T73+T49*T164)-T111</f>
        <v/>
      </c>
      <c r="U224" s="50">
        <f>U164-(U21*Seasonality!$C$70*U71+U73+U49*U164)-U111</f>
        <v/>
      </c>
      <c r="V224" s="50">
        <f>V164-(V21*Seasonality!$C$70*V71+V73+V49*V164)-V111</f>
        <v/>
      </c>
      <c r="W224" s="50">
        <f>W164-(W21*Seasonality!$C$70*W71+W73+W49*W164)-W111</f>
        <v/>
      </c>
      <c r="X224" s="50">
        <f>X164-(X21*Seasonality!$C$70*X71+X73+X49*X164)-X111</f>
        <v/>
      </c>
      <c r="Y224" s="50">
        <f>Y164-(Y21*Seasonality!$C$70*Y71+Y73+Y49*Y164)-Y111</f>
        <v/>
      </c>
      <c r="Z224" s="50">
        <f>Z164-(Z21*Seasonality!$C$70*Z71+Z73+Z49*Z164)-Z111</f>
        <v/>
      </c>
      <c r="AA224" s="50">
        <f>AA164-(AA21*Seasonality!$C$70*AA71+AA73+AA49*AA164)-AA111</f>
        <v/>
      </c>
      <c r="AB224" s="50">
        <f>AB164-(AB21*Seasonality!$C$70*AB71+AB73+AB49*AB164)-AB111</f>
        <v/>
      </c>
      <c r="AC224" s="50">
        <f>AC164-(AC21*Seasonality!$C$70*AC71+AC73+AC49*AC164)-AC111</f>
        <v/>
      </c>
      <c r="AD224" s="50">
        <f>AD164-(AD21*Seasonality!$C$70*AD71+AD73+AD49*AD164)-AD111</f>
        <v/>
      </c>
      <c r="AE224" s="50">
        <f>AE164-(AE21*Seasonality!$C$70*AE71+AE73+AE49*AE164)-AE111</f>
        <v/>
      </c>
      <c r="AF224" s="50">
        <f>AF164-(AF21*Seasonality!$C$70*AF71+AF73+AF49*AF164)-AF111</f>
        <v/>
      </c>
      <c r="AG224" s="50">
        <f>AG164-(AG21*Seasonality!$C$70*AG71+AG73+AG49*AG164)-AG111</f>
        <v/>
      </c>
      <c r="AH224" s="50">
        <f>AH164-(AH21*Seasonality!$C$70*AH71+AH73+AH49*AH164)-AH111</f>
        <v/>
      </c>
      <c r="AI224" s="50">
        <f>AI164-(AI21*Seasonality!$C$70*AI71+AI73+AI49*AI164)-AI111</f>
        <v/>
      </c>
      <c r="AJ224" s="50">
        <f>AJ164-(AJ21*Seasonality!$C$70*AJ71+AJ73+AJ49*AJ164)-AJ111</f>
        <v/>
      </c>
      <c r="AK224" s="50">
        <f>AK164-(AK21*Seasonality!$C$70*AK71+AK73+AK49*AK164)-AK111</f>
        <v/>
      </c>
      <c r="AL224" s="50">
        <f>AL164-(AL21*Seasonality!$C$70*AL71+AL73+AL49*AL164)-AL111</f>
        <v/>
      </c>
      <c r="AM224" s="50">
        <f>AM164-(AM21*Seasonality!$C$70*AM71+AM73+AM49*AM164)-AM111</f>
        <v/>
      </c>
      <c r="AN224" s="50">
        <f>AN164-(AN21*Seasonality!$C$70*AN71+AN73+AN49*AN164)-AN111</f>
        <v/>
      </c>
      <c r="AO224" s="50">
        <f>AO164-(AO21*Seasonality!$C$70*AO71+AO73+AO49*AO164)-AO111</f>
        <v/>
      </c>
      <c r="AP224" s="50">
        <f>AP164-(AP21*Seasonality!$C$70*AP71+AP73+AP49*AP164)-AP111</f>
        <v/>
      </c>
      <c r="AQ224" s="50">
        <f>AQ164-(AQ21*Seasonality!$C$70*AQ71+AQ73+AQ49*AQ164)-AQ111</f>
        <v/>
      </c>
      <c r="AR224" s="50">
        <f>AR164-(AR21*Seasonality!$C$70*AR71+AR73+AR49*AR164)-AR111</f>
        <v/>
      </c>
      <c r="AS224" s="50">
        <f>AS164-(AS21*Seasonality!$C$70*AS71+AS73+AS49*AS164)-AS111</f>
        <v/>
      </c>
      <c r="AT224" s="50">
        <f>AT164-(AT21*Seasonality!$C$70*AT71+AT73+AT49*AT164)-AT111</f>
        <v/>
      </c>
      <c r="AU224" s="50">
        <f>AU164-(AU21*Seasonality!$C$70*AU71+AU73+AU49*AU164)-AU111</f>
        <v/>
      </c>
      <c r="AV224" s="50">
        <f>AV164-(AV21*Seasonality!$C$70*AV71+AV73+AV49*AV164)-AV111</f>
        <v/>
      </c>
      <c r="AW224" s="50">
        <f>AW164-(AW21*Seasonality!$C$70*AW71+AW73+AW49*AW164)-AW111</f>
        <v/>
      </c>
      <c r="AX224" s="50">
        <f>AX164-(AX21*Seasonality!$C$70*AX71+AX73+AX49*AX164)-AX111</f>
        <v/>
      </c>
      <c r="AY224" s="50">
        <f>AY164-(AY21*Seasonality!$C$70*AY71+AY73+AY49*AY164)-AY111</f>
        <v/>
      </c>
      <c r="AZ224" s="50">
        <f>AZ164-(AZ21*Seasonality!$C$70*AZ71+AZ73+AZ49*AZ164)-AZ111</f>
        <v/>
      </c>
      <c r="BA224" s="50">
        <f>BA164-(BA21*Seasonality!$C$70*BA71+BA73+BA49*BA164)-BA111</f>
        <v/>
      </c>
      <c r="BB224" s="50">
        <f>BB164-(BB21*Seasonality!$C$70*BB71+BB73+BB49*BB164)-BB111</f>
        <v/>
      </c>
      <c r="BC224" s="50">
        <f>BC164-(BC21*Seasonality!$C$70*BC71+BC73+BC49*BC164)-BC111</f>
        <v/>
      </c>
      <c r="BD224" s="50">
        <f>BD164-(BD21*Seasonality!$C$70*BD71+BD73+BD49*BD164)-BD111</f>
        <v/>
      </c>
      <c r="BE224" s="50">
        <f>BE164-(BE21*Seasonality!$C$70*BE71+BE73+BE49*BE164)-BE111</f>
        <v/>
      </c>
    </row>
    <row r="225">
      <c r="B225" s="7" t="inlineStr">
        <is>
          <t>Contribution · month 35</t>
        </is>
      </c>
      <c r="C225" s="5" t="inlineStr">
        <is>
          <t>₹</t>
        </is>
      </c>
      <c r="D225" s="50">
        <f>D165-(D21*Seasonality!$C$71*D71+D73+D49*D165)-D111</f>
        <v/>
      </c>
      <c r="E225" s="50">
        <f>E165-(E21*Seasonality!$C$71*E71+E73+E49*E165)-E111</f>
        <v/>
      </c>
      <c r="F225" s="50">
        <f>F165-(F21*Seasonality!$C$71*F71+F73+F49*F165)-F111</f>
        <v/>
      </c>
      <c r="G225" s="50">
        <f>G165-(G21*Seasonality!$C$71*G71+G73+G49*G165)-G111</f>
        <v/>
      </c>
      <c r="H225" s="50">
        <f>H165-(H21*Seasonality!$C$71*H71+H73+H49*H165)-H111</f>
        <v/>
      </c>
      <c r="I225" s="50">
        <f>I165-(I21*Seasonality!$C$71*I71+I73+I49*I165)-I111</f>
        <v/>
      </c>
      <c r="J225" s="50">
        <f>J165-(J21*Seasonality!$C$71*J71+J73+J49*J165)-J111</f>
        <v/>
      </c>
      <c r="K225" s="50">
        <f>K165-(K21*Seasonality!$C$71*K71+K73+K49*K165)-K111</f>
        <v/>
      </c>
      <c r="L225" s="50">
        <f>L165-(L21*Seasonality!$C$71*L71+L73+L49*L165)-L111</f>
        <v/>
      </c>
      <c r="M225" s="50">
        <f>M165-(M21*Seasonality!$C$71*M71+M73+M49*M165)-M111</f>
        <v/>
      </c>
      <c r="N225" s="50">
        <f>N165-(N21*Seasonality!$C$71*N71+N73+N49*N165)-N111</f>
        <v/>
      </c>
      <c r="O225" s="50">
        <f>O165-(O21*Seasonality!$C$71*O71+O73+O49*O165)-O111</f>
        <v/>
      </c>
      <c r="P225" s="50">
        <f>P165-(P21*Seasonality!$C$71*P71+P73+P49*P165)-P111</f>
        <v/>
      </c>
      <c r="Q225" s="50">
        <f>Q165-(Q21*Seasonality!$C$71*Q71+Q73+Q49*Q165)-Q111</f>
        <v/>
      </c>
      <c r="R225" s="50">
        <f>R165-(R21*Seasonality!$C$71*R71+R73+R49*R165)-R111</f>
        <v/>
      </c>
      <c r="S225" s="50">
        <f>S165-(S21*Seasonality!$C$71*S71+S73+S49*S165)-S111</f>
        <v/>
      </c>
      <c r="T225" s="50">
        <f>T165-(T21*Seasonality!$C$71*T71+T73+T49*T165)-T111</f>
        <v/>
      </c>
      <c r="U225" s="50">
        <f>U165-(U21*Seasonality!$C$71*U71+U73+U49*U165)-U111</f>
        <v/>
      </c>
      <c r="V225" s="50">
        <f>V165-(V21*Seasonality!$C$71*V71+V73+V49*V165)-V111</f>
        <v/>
      </c>
      <c r="W225" s="50">
        <f>W165-(W21*Seasonality!$C$71*W71+W73+W49*W165)-W111</f>
        <v/>
      </c>
      <c r="X225" s="50">
        <f>X165-(X21*Seasonality!$C$71*X71+X73+X49*X165)-X111</f>
        <v/>
      </c>
      <c r="Y225" s="50">
        <f>Y165-(Y21*Seasonality!$C$71*Y71+Y73+Y49*Y165)-Y111</f>
        <v/>
      </c>
      <c r="Z225" s="50">
        <f>Z165-(Z21*Seasonality!$C$71*Z71+Z73+Z49*Z165)-Z111</f>
        <v/>
      </c>
      <c r="AA225" s="50">
        <f>AA165-(AA21*Seasonality!$C$71*AA71+AA73+AA49*AA165)-AA111</f>
        <v/>
      </c>
      <c r="AB225" s="50">
        <f>AB165-(AB21*Seasonality!$C$71*AB71+AB73+AB49*AB165)-AB111</f>
        <v/>
      </c>
      <c r="AC225" s="50">
        <f>AC165-(AC21*Seasonality!$C$71*AC71+AC73+AC49*AC165)-AC111</f>
        <v/>
      </c>
      <c r="AD225" s="50">
        <f>AD165-(AD21*Seasonality!$C$71*AD71+AD73+AD49*AD165)-AD111</f>
        <v/>
      </c>
      <c r="AE225" s="50">
        <f>AE165-(AE21*Seasonality!$C$71*AE71+AE73+AE49*AE165)-AE111</f>
        <v/>
      </c>
      <c r="AF225" s="50">
        <f>AF165-(AF21*Seasonality!$C$71*AF71+AF73+AF49*AF165)-AF111</f>
        <v/>
      </c>
      <c r="AG225" s="50">
        <f>AG165-(AG21*Seasonality!$C$71*AG71+AG73+AG49*AG165)-AG111</f>
        <v/>
      </c>
      <c r="AH225" s="50">
        <f>AH165-(AH21*Seasonality!$C$71*AH71+AH73+AH49*AH165)-AH111</f>
        <v/>
      </c>
      <c r="AI225" s="50">
        <f>AI165-(AI21*Seasonality!$C$71*AI71+AI73+AI49*AI165)-AI111</f>
        <v/>
      </c>
      <c r="AJ225" s="50">
        <f>AJ165-(AJ21*Seasonality!$C$71*AJ71+AJ73+AJ49*AJ165)-AJ111</f>
        <v/>
      </c>
      <c r="AK225" s="50">
        <f>AK165-(AK21*Seasonality!$C$71*AK71+AK73+AK49*AK165)-AK111</f>
        <v/>
      </c>
      <c r="AL225" s="50">
        <f>AL165-(AL21*Seasonality!$C$71*AL71+AL73+AL49*AL165)-AL111</f>
        <v/>
      </c>
      <c r="AM225" s="50">
        <f>AM165-(AM21*Seasonality!$C$71*AM71+AM73+AM49*AM165)-AM111</f>
        <v/>
      </c>
      <c r="AN225" s="50">
        <f>AN165-(AN21*Seasonality!$C$71*AN71+AN73+AN49*AN165)-AN111</f>
        <v/>
      </c>
      <c r="AO225" s="50">
        <f>AO165-(AO21*Seasonality!$C$71*AO71+AO73+AO49*AO165)-AO111</f>
        <v/>
      </c>
      <c r="AP225" s="50">
        <f>AP165-(AP21*Seasonality!$C$71*AP71+AP73+AP49*AP165)-AP111</f>
        <v/>
      </c>
      <c r="AQ225" s="50">
        <f>AQ165-(AQ21*Seasonality!$C$71*AQ71+AQ73+AQ49*AQ165)-AQ111</f>
        <v/>
      </c>
      <c r="AR225" s="50">
        <f>AR165-(AR21*Seasonality!$C$71*AR71+AR73+AR49*AR165)-AR111</f>
        <v/>
      </c>
      <c r="AS225" s="50">
        <f>AS165-(AS21*Seasonality!$C$71*AS71+AS73+AS49*AS165)-AS111</f>
        <v/>
      </c>
      <c r="AT225" s="50">
        <f>AT165-(AT21*Seasonality!$C$71*AT71+AT73+AT49*AT165)-AT111</f>
        <v/>
      </c>
      <c r="AU225" s="50">
        <f>AU165-(AU21*Seasonality!$C$71*AU71+AU73+AU49*AU165)-AU111</f>
        <v/>
      </c>
      <c r="AV225" s="50">
        <f>AV165-(AV21*Seasonality!$C$71*AV71+AV73+AV49*AV165)-AV111</f>
        <v/>
      </c>
      <c r="AW225" s="50">
        <f>AW165-(AW21*Seasonality!$C$71*AW71+AW73+AW49*AW165)-AW111</f>
        <v/>
      </c>
      <c r="AX225" s="50">
        <f>AX165-(AX21*Seasonality!$C$71*AX71+AX73+AX49*AX165)-AX111</f>
        <v/>
      </c>
      <c r="AY225" s="50">
        <f>AY165-(AY21*Seasonality!$C$71*AY71+AY73+AY49*AY165)-AY111</f>
        <v/>
      </c>
      <c r="AZ225" s="50">
        <f>AZ165-(AZ21*Seasonality!$C$71*AZ71+AZ73+AZ49*AZ165)-AZ111</f>
        <v/>
      </c>
      <c r="BA225" s="50">
        <f>BA165-(BA21*Seasonality!$C$71*BA71+BA73+BA49*BA165)-BA111</f>
        <v/>
      </c>
      <c r="BB225" s="50">
        <f>BB165-(BB21*Seasonality!$C$71*BB71+BB73+BB49*BB165)-BB111</f>
        <v/>
      </c>
      <c r="BC225" s="50">
        <f>BC165-(BC21*Seasonality!$C$71*BC71+BC73+BC49*BC165)-BC111</f>
        <v/>
      </c>
      <c r="BD225" s="50">
        <f>BD165-(BD21*Seasonality!$C$71*BD71+BD73+BD49*BD165)-BD111</f>
        <v/>
      </c>
      <c r="BE225" s="50">
        <f>BE165-(BE21*Seasonality!$C$71*BE71+BE73+BE49*BE165)-BE111</f>
        <v/>
      </c>
    </row>
    <row r="226">
      <c r="B226" s="7" t="inlineStr">
        <is>
          <t>Contribution · month 36</t>
        </is>
      </c>
      <c r="C226" s="5" t="inlineStr">
        <is>
          <t>₹</t>
        </is>
      </c>
      <c r="D226" s="50">
        <f>D166-(D21*Seasonality!$C$72*D71+D73+D49*D166)-D111</f>
        <v/>
      </c>
      <c r="E226" s="50">
        <f>E166-(E21*Seasonality!$C$72*E71+E73+E49*E166)-E111</f>
        <v/>
      </c>
      <c r="F226" s="50">
        <f>F166-(F21*Seasonality!$C$72*F71+F73+F49*F166)-F111</f>
        <v/>
      </c>
      <c r="G226" s="50">
        <f>G166-(G21*Seasonality!$C$72*G71+G73+G49*G166)-G111</f>
        <v/>
      </c>
      <c r="H226" s="50">
        <f>H166-(H21*Seasonality!$C$72*H71+H73+H49*H166)-H111</f>
        <v/>
      </c>
      <c r="I226" s="50">
        <f>I166-(I21*Seasonality!$C$72*I71+I73+I49*I166)-I111</f>
        <v/>
      </c>
      <c r="J226" s="50">
        <f>J166-(J21*Seasonality!$C$72*J71+J73+J49*J166)-J111</f>
        <v/>
      </c>
      <c r="K226" s="50">
        <f>K166-(K21*Seasonality!$C$72*K71+K73+K49*K166)-K111</f>
        <v/>
      </c>
      <c r="L226" s="50">
        <f>L166-(L21*Seasonality!$C$72*L71+L73+L49*L166)-L111</f>
        <v/>
      </c>
      <c r="M226" s="50">
        <f>M166-(M21*Seasonality!$C$72*M71+M73+M49*M166)-M111</f>
        <v/>
      </c>
      <c r="N226" s="50">
        <f>N166-(N21*Seasonality!$C$72*N71+N73+N49*N166)-N111</f>
        <v/>
      </c>
      <c r="O226" s="50">
        <f>O166-(O21*Seasonality!$C$72*O71+O73+O49*O166)-O111</f>
        <v/>
      </c>
      <c r="P226" s="50">
        <f>P166-(P21*Seasonality!$C$72*P71+P73+P49*P166)-P111</f>
        <v/>
      </c>
      <c r="Q226" s="50">
        <f>Q166-(Q21*Seasonality!$C$72*Q71+Q73+Q49*Q166)-Q111</f>
        <v/>
      </c>
      <c r="R226" s="50">
        <f>R166-(R21*Seasonality!$C$72*R71+R73+R49*R166)-R111</f>
        <v/>
      </c>
      <c r="S226" s="50">
        <f>S166-(S21*Seasonality!$C$72*S71+S73+S49*S166)-S111</f>
        <v/>
      </c>
      <c r="T226" s="50">
        <f>T166-(T21*Seasonality!$C$72*T71+T73+T49*T166)-T111</f>
        <v/>
      </c>
      <c r="U226" s="50">
        <f>U166-(U21*Seasonality!$C$72*U71+U73+U49*U166)-U111</f>
        <v/>
      </c>
      <c r="V226" s="50">
        <f>V166-(V21*Seasonality!$C$72*V71+V73+V49*V166)-V111</f>
        <v/>
      </c>
      <c r="W226" s="50">
        <f>W166-(W21*Seasonality!$C$72*W71+W73+W49*W166)-W111</f>
        <v/>
      </c>
      <c r="X226" s="50">
        <f>X166-(X21*Seasonality!$C$72*X71+X73+X49*X166)-X111</f>
        <v/>
      </c>
      <c r="Y226" s="50">
        <f>Y166-(Y21*Seasonality!$C$72*Y71+Y73+Y49*Y166)-Y111</f>
        <v/>
      </c>
      <c r="Z226" s="50">
        <f>Z166-(Z21*Seasonality!$C$72*Z71+Z73+Z49*Z166)-Z111</f>
        <v/>
      </c>
      <c r="AA226" s="50">
        <f>AA166-(AA21*Seasonality!$C$72*AA71+AA73+AA49*AA166)-AA111</f>
        <v/>
      </c>
      <c r="AB226" s="50">
        <f>AB166-(AB21*Seasonality!$C$72*AB71+AB73+AB49*AB166)-AB111</f>
        <v/>
      </c>
      <c r="AC226" s="50">
        <f>AC166-(AC21*Seasonality!$C$72*AC71+AC73+AC49*AC166)-AC111</f>
        <v/>
      </c>
      <c r="AD226" s="50">
        <f>AD166-(AD21*Seasonality!$C$72*AD71+AD73+AD49*AD166)-AD111</f>
        <v/>
      </c>
      <c r="AE226" s="50">
        <f>AE166-(AE21*Seasonality!$C$72*AE71+AE73+AE49*AE166)-AE111</f>
        <v/>
      </c>
      <c r="AF226" s="50">
        <f>AF166-(AF21*Seasonality!$C$72*AF71+AF73+AF49*AF166)-AF111</f>
        <v/>
      </c>
      <c r="AG226" s="50">
        <f>AG166-(AG21*Seasonality!$C$72*AG71+AG73+AG49*AG166)-AG111</f>
        <v/>
      </c>
      <c r="AH226" s="50">
        <f>AH166-(AH21*Seasonality!$C$72*AH71+AH73+AH49*AH166)-AH111</f>
        <v/>
      </c>
      <c r="AI226" s="50">
        <f>AI166-(AI21*Seasonality!$C$72*AI71+AI73+AI49*AI166)-AI111</f>
        <v/>
      </c>
      <c r="AJ226" s="50">
        <f>AJ166-(AJ21*Seasonality!$C$72*AJ71+AJ73+AJ49*AJ166)-AJ111</f>
        <v/>
      </c>
      <c r="AK226" s="50">
        <f>AK166-(AK21*Seasonality!$C$72*AK71+AK73+AK49*AK166)-AK111</f>
        <v/>
      </c>
      <c r="AL226" s="50">
        <f>AL166-(AL21*Seasonality!$C$72*AL71+AL73+AL49*AL166)-AL111</f>
        <v/>
      </c>
      <c r="AM226" s="50">
        <f>AM166-(AM21*Seasonality!$C$72*AM71+AM73+AM49*AM166)-AM111</f>
        <v/>
      </c>
      <c r="AN226" s="50">
        <f>AN166-(AN21*Seasonality!$C$72*AN71+AN73+AN49*AN166)-AN111</f>
        <v/>
      </c>
      <c r="AO226" s="50">
        <f>AO166-(AO21*Seasonality!$C$72*AO71+AO73+AO49*AO166)-AO111</f>
        <v/>
      </c>
      <c r="AP226" s="50">
        <f>AP166-(AP21*Seasonality!$C$72*AP71+AP73+AP49*AP166)-AP111</f>
        <v/>
      </c>
      <c r="AQ226" s="50">
        <f>AQ166-(AQ21*Seasonality!$C$72*AQ71+AQ73+AQ49*AQ166)-AQ111</f>
        <v/>
      </c>
      <c r="AR226" s="50">
        <f>AR166-(AR21*Seasonality!$C$72*AR71+AR73+AR49*AR166)-AR111</f>
        <v/>
      </c>
      <c r="AS226" s="50">
        <f>AS166-(AS21*Seasonality!$C$72*AS71+AS73+AS49*AS166)-AS111</f>
        <v/>
      </c>
      <c r="AT226" s="50">
        <f>AT166-(AT21*Seasonality!$C$72*AT71+AT73+AT49*AT166)-AT111</f>
        <v/>
      </c>
      <c r="AU226" s="50">
        <f>AU166-(AU21*Seasonality!$C$72*AU71+AU73+AU49*AU166)-AU111</f>
        <v/>
      </c>
      <c r="AV226" s="50">
        <f>AV166-(AV21*Seasonality!$C$72*AV71+AV73+AV49*AV166)-AV111</f>
        <v/>
      </c>
      <c r="AW226" s="50">
        <f>AW166-(AW21*Seasonality!$C$72*AW71+AW73+AW49*AW166)-AW111</f>
        <v/>
      </c>
      <c r="AX226" s="50">
        <f>AX166-(AX21*Seasonality!$C$72*AX71+AX73+AX49*AX166)-AX111</f>
        <v/>
      </c>
      <c r="AY226" s="50">
        <f>AY166-(AY21*Seasonality!$C$72*AY71+AY73+AY49*AY166)-AY111</f>
        <v/>
      </c>
      <c r="AZ226" s="50">
        <f>AZ166-(AZ21*Seasonality!$C$72*AZ71+AZ73+AZ49*AZ166)-AZ111</f>
        <v/>
      </c>
      <c r="BA226" s="50">
        <f>BA166-(BA21*Seasonality!$C$72*BA71+BA73+BA49*BA166)-BA111</f>
        <v/>
      </c>
      <c r="BB226" s="50">
        <f>BB166-(BB21*Seasonality!$C$72*BB71+BB73+BB49*BB166)-BB111</f>
        <v/>
      </c>
      <c r="BC226" s="50">
        <f>BC166-(BC21*Seasonality!$C$72*BC71+BC73+BC49*BC166)-BC111</f>
        <v/>
      </c>
      <c r="BD226" s="50">
        <f>BD166-(BD21*Seasonality!$C$72*BD71+BD73+BD49*BD166)-BD111</f>
        <v/>
      </c>
      <c r="BE226" s="50">
        <f>BE166-(BE21*Seasonality!$C$72*BE71+BE73+BE49*BE166)-BE111</f>
        <v/>
      </c>
    </row>
    <row r="227">
      <c r="B227" s="7" t="inlineStr">
        <is>
          <t>Contribution · month 37</t>
        </is>
      </c>
      <c r="C227" s="5" t="inlineStr">
        <is>
          <t>₹</t>
        </is>
      </c>
      <c r="D227" s="50">
        <f>D167-(D21*Seasonality!$C$73*D71+D73+D49*D167)-D111</f>
        <v/>
      </c>
      <c r="E227" s="50">
        <f>E167-(E21*Seasonality!$C$73*E71+E73+E49*E167)-E111</f>
        <v/>
      </c>
      <c r="F227" s="50">
        <f>F167-(F21*Seasonality!$C$73*F71+F73+F49*F167)-F111</f>
        <v/>
      </c>
      <c r="G227" s="50">
        <f>G167-(G21*Seasonality!$C$73*G71+G73+G49*G167)-G111</f>
        <v/>
      </c>
      <c r="H227" s="50">
        <f>H167-(H21*Seasonality!$C$73*H71+H73+H49*H167)-H111</f>
        <v/>
      </c>
      <c r="I227" s="50">
        <f>I167-(I21*Seasonality!$C$73*I71+I73+I49*I167)-I111</f>
        <v/>
      </c>
      <c r="J227" s="50">
        <f>J167-(J21*Seasonality!$C$73*J71+J73+J49*J167)-J111</f>
        <v/>
      </c>
      <c r="K227" s="50">
        <f>K167-(K21*Seasonality!$C$73*K71+K73+K49*K167)-K111</f>
        <v/>
      </c>
      <c r="L227" s="50">
        <f>L167-(L21*Seasonality!$C$73*L71+L73+L49*L167)-L111</f>
        <v/>
      </c>
      <c r="M227" s="50">
        <f>M167-(M21*Seasonality!$C$73*M71+M73+M49*M167)-M111</f>
        <v/>
      </c>
      <c r="N227" s="50">
        <f>N167-(N21*Seasonality!$C$73*N71+N73+N49*N167)-N111</f>
        <v/>
      </c>
      <c r="O227" s="50">
        <f>O167-(O21*Seasonality!$C$73*O71+O73+O49*O167)-O111</f>
        <v/>
      </c>
      <c r="P227" s="50">
        <f>P167-(P21*Seasonality!$C$73*P71+P73+P49*P167)-P111</f>
        <v/>
      </c>
      <c r="Q227" s="50">
        <f>Q167-(Q21*Seasonality!$C$73*Q71+Q73+Q49*Q167)-Q111</f>
        <v/>
      </c>
      <c r="R227" s="50">
        <f>R167-(R21*Seasonality!$C$73*R71+R73+R49*R167)-R111</f>
        <v/>
      </c>
      <c r="S227" s="50">
        <f>S167-(S21*Seasonality!$C$73*S71+S73+S49*S167)-S111</f>
        <v/>
      </c>
      <c r="T227" s="50">
        <f>T167-(T21*Seasonality!$C$73*T71+T73+T49*T167)-T111</f>
        <v/>
      </c>
      <c r="U227" s="50">
        <f>U167-(U21*Seasonality!$C$73*U71+U73+U49*U167)-U111</f>
        <v/>
      </c>
      <c r="V227" s="50">
        <f>V167-(V21*Seasonality!$C$73*V71+V73+V49*V167)-V111</f>
        <v/>
      </c>
      <c r="W227" s="50">
        <f>W167-(W21*Seasonality!$C$73*W71+W73+W49*W167)-W111</f>
        <v/>
      </c>
      <c r="X227" s="50">
        <f>X167-(X21*Seasonality!$C$73*X71+X73+X49*X167)-X111</f>
        <v/>
      </c>
      <c r="Y227" s="50">
        <f>Y167-(Y21*Seasonality!$C$73*Y71+Y73+Y49*Y167)-Y111</f>
        <v/>
      </c>
      <c r="Z227" s="50">
        <f>Z167-(Z21*Seasonality!$C$73*Z71+Z73+Z49*Z167)-Z111</f>
        <v/>
      </c>
      <c r="AA227" s="50">
        <f>AA167-(AA21*Seasonality!$C$73*AA71+AA73+AA49*AA167)-AA111</f>
        <v/>
      </c>
      <c r="AB227" s="50">
        <f>AB167-(AB21*Seasonality!$C$73*AB71+AB73+AB49*AB167)-AB111</f>
        <v/>
      </c>
      <c r="AC227" s="50">
        <f>AC167-(AC21*Seasonality!$C$73*AC71+AC73+AC49*AC167)-AC111</f>
        <v/>
      </c>
      <c r="AD227" s="50">
        <f>AD167-(AD21*Seasonality!$C$73*AD71+AD73+AD49*AD167)-AD111</f>
        <v/>
      </c>
      <c r="AE227" s="50">
        <f>AE167-(AE21*Seasonality!$C$73*AE71+AE73+AE49*AE167)-AE111</f>
        <v/>
      </c>
      <c r="AF227" s="50">
        <f>AF167-(AF21*Seasonality!$C$73*AF71+AF73+AF49*AF167)-AF111</f>
        <v/>
      </c>
      <c r="AG227" s="50">
        <f>AG167-(AG21*Seasonality!$C$73*AG71+AG73+AG49*AG167)-AG111</f>
        <v/>
      </c>
      <c r="AH227" s="50">
        <f>AH167-(AH21*Seasonality!$C$73*AH71+AH73+AH49*AH167)-AH111</f>
        <v/>
      </c>
      <c r="AI227" s="50">
        <f>AI167-(AI21*Seasonality!$C$73*AI71+AI73+AI49*AI167)-AI111</f>
        <v/>
      </c>
      <c r="AJ227" s="50">
        <f>AJ167-(AJ21*Seasonality!$C$73*AJ71+AJ73+AJ49*AJ167)-AJ111</f>
        <v/>
      </c>
      <c r="AK227" s="50">
        <f>AK167-(AK21*Seasonality!$C$73*AK71+AK73+AK49*AK167)-AK111</f>
        <v/>
      </c>
      <c r="AL227" s="50">
        <f>AL167-(AL21*Seasonality!$C$73*AL71+AL73+AL49*AL167)-AL111</f>
        <v/>
      </c>
      <c r="AM227" s="50">
        <f>AM167-(AM21*Seasonality!$C$73*AM71+AM73+AM49*AM167)-AM111</f>
        <v/>
      </c>
      <c r="AN227" s="50">
        <f>AN167-(AN21*Seasonality!$C$73*AN71+AN73+AN49*AN167)-AN111</f>
        <v/>
      </c>
      <c r="AO227" s="50">
        <f>AO167-(AO21*Seasonality!$C$73*AO71+AO73+AO49*AO167)-AO111</f>
        <v/>
      </c>
      <c r="AP227" s="50">
        <f>AP167-(AP21*Seasonality!$C$73*AP71+AP73+AP49*AP167)-AP111</f>
        <v/>
      </c>
      <c r="AQ227" s="50">
        <f>AQ167-(AQ21*Seasonality!$C$73*AQ71+AQ73+AQ49*AQ167)-AQ111</f>
        <v/>
      </c>
      <c r="AR227" s="50">
        <f>AR167-(AR21*Seasonality!$C$73*AR71+AR73+AR49*AR167)-AR111</f>
        <v/>
      </c>
      <c r="AS227" s="50">
        <f>AS167-(AS21*Seasonality!$C$73*AS71+AS73+AS49*AS167)-AS111</f>
        <v/>
      </c>
      <c r="AT227" s="50">
        <f>AT167-(AT21*Seasonality!$C$73*AT71+AT73+AT49*AT167)-AT111</f>
        <v/>
      </c>
      <c r="AU227" s="50">
        <f>AU167-(AU21*Seasonality!$C$73*AU71+AU73+AU49*AU167)-AU111</f>
        <v/>
      </c>
      <c r="AV227" s="50">
        <f>AV167-(AV21*Seasonality!$C$73*AV71+AV73+AV49*AV167)-AV111</f>
        <v/>
      </c>
      <c r="AW227" s="50">
        <f>AW167-(AW21*Seasonality!$C$73*AW71+AW73+AW49*AW167)-AW111</f>
        <v/>
      </c>
      <c r="AX227" s="50">
        <f>AX167-(AX21*Seasonality!$C$73*AX71+AX73+AX49*AX167)-AX111</f>
        <v/>
      </c>
      <c r="AY227" s="50">
        <f>AY167-(AY21*Seasonality!$C$73*AY71+AY73+AY49*AY167)-AY111</f>
        <v/>
      </c>
      <c r="AZ227" s="50">
        <f>AZ167-(AZ21*Seasonality!$C$73*AZ71+AZ73+AZ49*AZ167)-AZ111</f>
        <v/>
      </c>
      <c r="BA227" s="50">
        <f>BA167-(BA21*Seasonality!$C$73*BA71+BA73+BA49*BA167)-BA111</f>
        <v/>
      </c>
      <c r="BB227" s="50">
        <f>BB167-(BB21*Seasonality!$C$73*BB71+BB73+BB49*BB167)-BB111</f>
        <v/>
      </c>
      <c r="BC227" s="50">
        <f>BC167-(BC21*Seasonality!$C$73*BC71+BC73+BC49*BC167)-BC111</f>
        <v/>
      </c>
      <c r="BD227" s="50">
        <f>BD167-(BD21*Seasonality!$C$73*BD71+BD73+BD49*BD167)-BD111</f>
        <v/>
      </c>
      <c r="BE227" s="50">
        <f>BE167-(BE21*Seasonality!$C$73*BE71+BE73+BE49*BE167)-BE111</f>
        <v/>
      </c>
    </row>
    <row r="228">
      <c r="B228" s="7" t="inlineStr">
        <is>
          <t>Contribution · month 38</t>
        </is>
      </c>
      <c r="C228" s="5" t="inlineStr">
        <is>
          <t>₹</t>
        </is>
      </c>
      <c r="D228" s="50">
        <f>D168-(D21*Seasonality!$C$74*D71+D73+D49*D168)-D111</f>
        <v/>
      </c>
      <c r="E228" s="50">
        <f>E168-(E21*Seasonality!$C$74*E71+E73+E49*E168)-E111</f>
        <v/>
      </c>
      <c r="F228" s="50">
        <f>F168-(F21*Seasonality!$C$74*F71+F73+F49*F168)-F111</f>
        <v/>
      </c>
      <c r="G228" s="50">
        <f>G168-(G21*Seasonality!$C$74*G71+G73+G49*G168)-G111</f>
        <v/>
      </c>
      <c r="H228" s="50">
        <f>H168-(H21*Seasonality!$C$74*H71+H73+H49*H168)-H111</f>
        <v/>
      </c>
      <c r="I228" s="50">
        <f>I168-(I21*Seasonality!$C$74*I71+I73+I49*I168)-I111</f>
        <v/>
      </c>
      <c r="J228" s="50">
        <f>J168-(J21*Seasonality!$C$74*J71+J73+J49*J168)-J111</f>
        <v/>
      </c>
      <c r="K228" s="50">
        <f>K168-(K21*Seasonality!$C$74*K71+K73+K49*K168)-K111</f>
        <v/>
      </c>
      <c r="L228" s="50">
        <f>L168-(L21*Seasonality!$C$74*L71+L73+L49*L168)-L111</f>
        <v/>
      </c>
      <c r="M228" s="50">
        <f>M168-(M21*Seasonality!$C$74*M71+M73+M49*M168)-M111</f>
        <v/>
      </c>
      <c r="N228" s="50">
        <f>N168-(N21*Seasonality!$C$74*N71+N73+N49*N168)-N111</f>
        <v/>
      </c>
      <c r="O228" s="50">
        <f>O168-(O21*Seasonality!$C$74*O71+O73+O49*O168)-O111</f>
        <v/>
      </c>
      <c r="P228" s="50">
        <f>P168-(P21*Seasonality!$C$74*P71+P73+P49*P168)-P111</f>
        <v/>
      </c>
      <c r="Q228" s="50">
        <f>Q168-(Q21*Seasonality!$C$74*Q71+Q73+Q49*Q168)-Q111</f>
        <v/>
      </c>
      <c r="R228" s="50">
        <f>R168-(R21*Seasonality!$C$74*R71+R73+R49*R168)-R111</f>
        <v/>
      </c>
      <c r="S228" s="50">
        <f>S168-(S21*Seasonality!$C$74*S71+S73+S49*S168)-S111</f>
        <v/>
      </c>
      <c r="T228" s="50">
        <f>T168-(T21*Seasonality!$C$74*T71+T73+T49*T168)-T111</f>
        <v/>
      </c>
      <c r="U228" s="50">
        <f>U168-(U21*Seasonality!$C$74*U71+U73+U49*U168)-U111</f>
        <v/>
      </c>
      <c r="V228" s="50">
        <f>V168-(V21*Seasonality!$C$74*V71+V73+V49*V168)-V111</f>
        <v/>
      </c>
      <c r="W228" s="50">
        <f>W168-(W21*Seasonality!$C$74*W71+W73+W49*W168)-W111</f>
        <v/>
      </c>
      <c r="X228" s="50">
        <f>X168-(X21*Seasonality!$C$74*X71+X73+X49*X168)-X111</f>
        <v/>
      </c>
      <c r="Y228" s="50">
        <f>Y168-(Y21*Seasonality!$C$74*Y71+Y73+Y49*Y168)-Y111</f>
        <v/>
      </c>
      <c r="Z228" s="50">
        <f>Z168-(Z21*Seasonality!$C$74*Z71+Z73+Z49*Z168)-Z111</f>
        <v/>
      </c>
      <c r="AA228" s="50">
        <f>AA168-(AA21*Seasonality!$C$74*AA71+AA73+AA49*AA168)-AA111</f>
        <v/>
      </c>
      <c r="AB228" s="50">
        <f>AB168-(AB21*Seasonality!$C$74*AB71+AB73+AB49*AB168)-AB111</f>
        <v/>
      </c>
      <c r="AC228" s="50">
        <f>AC168-(AC21*Seasonality!$C$74*AC71+AC73+AC49*AC168)-AC111</f>
        <v/>
      </c>
      <c r="AD228" s="50">
        <f>AD168-(AD21*Seasonality!$C$74*AD71+AD73+AD49*AD168)-AD111</f>
        <v/>
      </c>
      <c r="AE228" s="50">
        <f>AE168-(AE21*Seasonality!$C$74*AE71+AE73+AE49*AE168)-AE111</f>
        <v/>
      </c>
      <c r="AF228" s="50">
        <f>AF168-(AF21*Seasonality!$C$74*AF71+AF73+AF49*AF168)-AF111</f>
        <v/>
      </c>
      <c r="AG228" s="50">
        <f>AG168-(AG21*Seasonality!$C$74*AG71+AG73+AG49*AG168)-AG111</f>
        <v/>
      </c>
      <c r="AH228" s="50">
        <f>AH168-(AH21*Seasonality!$C$74*AH71+AH73+AH49*AH168)-AH111</f>
        <v/>
      </c>
      <c r="AI228" s="50">
        <f>AI168-(AI21*Seasonality!$C$74*AI71+AI73+AI49*AI168)-AI111</f>
        <v/>
      </c>
      <c r="AJ228" s="50">
        <f>AJ168-(AJ21*Seasonality!$C$74*AJ71+AJ73+AJ49*AJ168)-AJ111</f>
        <v/>
      </c>
      <c r="AK228" s="50">
        <f>AK168-(AK21*Seasonality!$C$74*AK71+AK73+AK49*AK168)-AK111</f>
        <v/>
      </c>
      <c r="AL228" s="50">
        <f>AL168-(AL21*Seasonality!$C$74*AL71+AL73+AL49*AL168)-AL111</f>
        <v/>
      </c>
      <c r="AM228" s="50">
        <f>AM168-(AM21*Seasonality!$C$74*AM71+AM73+AM49*AM168)-AM111</f>
        <v/>
      </c>
      <c r="AN228" s="50">
        <f>AN168-(AN21*Seasonality!$C$74*AN71+AN73+AN49*AN168)-AN111</f>
        <v/>
      </c>
      <c r="AO228" s="50">
        <f>AO168-(AO21*Seasonality!$C$74*AO71+AO73+AO49*AO168)-AO111</f>
        <v/>
      </c>
      <c r="AP228" s="50">
        <f>AP168-(AP21*Seasonality!$C$74*AP71+AP73+AP49*AP168)-AP111</f>
        <v/>
      </c>
      <c r="AQ228" s="50">
        <f>AQ168-(AQ21*Seasonality!$C$74*AQ71+AQ73+AQ49*AQ168)-AQ111</f>
        <v/>
      </c>
      <c r="AR228" s="50">
        <f>AR168-(AR21*Seasonality!$C$74*AR71+AR73+AR49*AR168)-AR111</f>
        <v/>
      </c>
      <c r="AS228" s="50">
        <f>AS168-(AS21*Seasonality!$C$74*AS71+AS73+AS49*AS168)-AS111</f>
        <v/>
      </c>
      <c r="AT228" s="50">
        <f>AT168-(AT21*Seasonality!$C$74*AT71+AT73+AT49*AT168)-AT111</f>
        <v/>
      </c>
      <c r="AU228" s="50">
        <f>AU168-(AU21*Seasonality!$C$74*AU71+AU73+AU49*AU168)-AU111</f>
        <v/>
      </c>
      <c r="AV228" s="50">
        <f>AV168-(AV21*Seasonality!$C$74*AV71+AV73+AV49*AV168)-AV111</f>
        <v/>
      </c>
      <c r="AW228" s="50">
        <f>AW168-(AW21*Seasonality!$C$74*AW71+AW73+AW49*AW168)-AW111</f>
        <v/>
      </c>
      <c r="AX228" s="50">
        <f>AX168-(AX21*Seasonality!$C$74*AX71+AX73+AX49*AX168)-AX111</f>
        <v/>
      </c>
      <c r="AY228" s="50">
        <f>AY168-(AY21*Seasonality!$C$74*AY71+AY73+AY49*AY168)-AY111</f>
        <v/>
      </c>
      <c r="AZ228" s="50">
        <f>AZ168-(AZ21*Seasonality!$C$74*AZ71+AZ73+AZ49*AZ168)-AZ111</f>
        <v/>
      </c>
      <c r="BA228" s="50">
        <f>BA168-(BA21*Seasonality!$C$74*BA71+BA73+BA49*BA168)-BA111</f>
        <v/>
      </c>
      <c r="BB228" s="50">
        <f>BB168-(BB21*Seasonality!$C$74*BB71+BB73+BB49*BB168)-BB111</f>
        <v/>
      </c>
      <c r="BC228" s="50">
        <f>BC168-(BC21*Seasonality!$C$74*BC71+BC73+BC49*BC168)-BC111</f>
        <v/>
      </c>
      <c r="BD228" s="50">
        <f>BD168-(BD21*Seasonality!$C$74*BD71+BD73+BD49*BD168)-BD111</f>
        <v/>
      </c>
      <c r="BE228" s="50">
        <f>BE168-(BE21*Seasonality!$C$74*BE71+BE73+BE49*BE168)-BE111</f>
        <v/>
      </c>
    </row>
    <row r="229">
      <c r="B229" s="7" t="inlineStr">
        <is>
          <t>Contribution · month 39</t>
        </is>
      </c>
      <c r="C229" s="5" t="inlineStr">
        <is>
          <t>₹</t>
        </is>
      </c>
      <c r="D229" s="50">
        <f>D169-(D21*Seasonality!$C$75*D71+D73+D49*D169)-D111</f>
        <v/>
      </c>
      <c r="E229" s="50">
        <f>E169-(E21*Seasonality!$C$75*E71+E73+E49*E169)-E111</f>
        <v/>
      </c>
      <c r="F229" s="50">
        <f>F169-(F21*Seasonality!$C$75*F71+F73+F49*F169)-F111</f>
        <v/>
      </c>
      <c r="G229" s="50">
        <f>G169-(G21*Seasonality!$C$75*G71+G73+G49*G169)-G111</f>
        <v/>
      </c>
      <c r="H229" s="50">
        <f>H169-(H21*Seasonality!$C$75*H71+H73+H49*H169)-H111</f>
        <v/>
      </c>
      <c r="I229" s="50">
        <f>I169-(I21*Seasonality!$C$75*I71+I73+I49*I169)-I111</f>
        <v/>
      </c>
      <c r="J229" s="50">
        <f>J169-(J21*Seasonality!$C$75*J71+J73+J49*J169)-J111</f>
        <v/>
      </c>
      <c r="K229" s="50">
        <f>K169-(K21*Seasonality!$C$75*K71+K73+K49*K169)-K111</f>
        <v/>
      </c>
      <c r="L229" s="50">
        <f>L169-(L21*Seasonality!$C$75*L71+L73+L49*L169)-L111</f>
        <v/>
      </c>
      <c r="M229" s="50">
        <f>M169-(M21*Seasonality!$C$75*M71+M73+M49*M169)-M111</f>
        <v/>
      </c>
      <c r="N229" s="50">
        <f>N169-(N21*Seasonality!$C$75*N71+N73+N49*N169)-N111</f>
        <v/>
      </c>
      <c r="O229" s="50">
        <f>O169-(O21*Seasonality!$C$75*O71+O73+O49*O169)-O111</f>
        <v/>
      </c>
      <c r="P229" s="50">
        <f>P169-(P21*Seasonality!$C$75*P71+P73+P49*P169)-P111</f>
        <v/>
      </c>
      <c r="Q229" s="50">
        <f>Q169-(Q21*Seasonality!$C$75*Q71+Q73+Q49*Q169)-Q111</f>
        <v/>
      </c>
      <c r="R229" s="50">
        <f>R169-(R21*Seasonality!$C$75*R71+R73+R49*R169)-R111</f>
        <v/>
      </c>
      <c r="S229" s="50">
        <f>S169-(S21*Seasonality!$C$75*S71+S73+S49*S169)-S111</f>
        <v/>
      </c>
      <c r="T229" s="50">
        <f>T169-(T21*Seasonality!$C$75*T71+T73+T49*T169)-T111</f>
        <v/>
      </c>
      <c r="U229" s="50">
        <f>U169-(U21*Seasonality!$C$75*U71+U73+U49*U169)-U111</f>
        <v/>
      </c>
      <c r="V229" s="50">
        <f>V169-(V21*Seasonality!$C$75*V71+V73+V49*V169)-V111</f>
        <v/>
      </c>
      <c r="W229" s="50">
        <f>W169-(W21*Seasonality!$C$75*W71+W73+W49*W169)-W111</f>
        <v/>
      </c>
      <c r="X229" s="50">
        <f>X169-(X21*Seasonality!$C$75*X71+X73+X49*X169)-X111</f>
        <v/>
      </c>
      <c r="Y229" s="50">
        <f>Y169-(Y21*Seasonality!$C$75*Y71+Y73+Y49*Y169)-Y111</f>
        <v/>
      </c>
      <c r="Z229" s="50">
        <f>Z169-(Z21*Seasonality!$C$75*Z71+Z73+Z49*Z169)-Z111</f>
        <v/>
      </c>
      <c r="AA229" s="50">
        <f>AA169-(AA21*Seasonality!$C$75*AA71+AA73+AA49*AA169)-AA111</f>
        <v/>
      </c>
      <c r="AB229" s="50">
        <f>AB169-(AB21*Seasonality!$C$75*AB71+AB73+AB49*AB169)-AB111</f>
        <v/>
      </c>
      <c r="AC229" s="50">
        <f>AC169-(AC21*Seasonality!$C$75*AC71+AC73+AC49*AC169)-AC111</f>
        <v/>
      </c>
      <c r="AD229" s="50">
        <f>AD169-(AD21*Seasonality!$C$75*AD71+AD73+AD49*AD169)-AD111</f>
        <v/>
      </c>
      <c r="AE229" s="50">
        <f>AE169-(AE21*Seasonality!$C$75*AE71+AE73+AE49*AE169)-AE111</f>
        <v/>
      </c>
      <c r="AF229" s="50">
        <f>AF169-(AF21*Seasonality!$C$75*AF71+AF73+AF49*AF169)-AF111</f>
        <v/>
      </c>
      <c r="AG229" s="50">
        <f>AG169-(AG21*Seasonality!$C$75*AG71+AG73+AG49*AG169)-AG111</f>
        <v/>
      </c>
      <c r="AH229" s="50">
        <f>AH169-(AH21*Seasonality!$C$75*AH71+AH73+AH49*AH169)-AH111</f>
        <v/>
      </c>
      <c r="AI229" s="50">
        <f>AI169-(AI21*Seasonality!$C$75*AI71+AI73+AI49*AI169)-AI111</f>
        <v/>
      </c>
      <c r="AJ229" s="50">
        <f>AJ169-(AJ21*Seasonality!$C$75*AJ71+AJ73+AJ49*AJ169)-AJ111</f>
        <v/>
      </c>
      <c r="AK229" s="50">
        <f>AK169-(AK21*Seasonality!$C$75*AK71+AK73+AK49*AK169)-AK111</f>
        <v/>
      </c>
      <c r="AL229" s="50">
        <f>AL169-(AL21*Seasonality!$C$75*AL71+AL73+AL49*AL169)-AL111</f>
        <v/>
      </c>
      <c r="AM229" s="50">
        <f>AM169-(AM21*Seasonality!$C$75*AM71+AM73+AM49*AM169)-AM111</f>
        <v/>
      </c>
      <c r="AN229" s="50">
        <f>AN169-(AN21*Seasonality!$C$75*AN71+AN73+AN49*AN169)-AN111</f>
        <v/>
      </c>
      <c r="AO229" s="50">
        <f>AO169-(AO21*Seasonality!$C$75*AO71+AO73+AO49*AO169)-AO111</f>
        <v/>
      </c>
      <c r="AP229" s="50">
        <f>AP169-(AP21*Seasonality!$C$75*AP71+AP73+AP49*AP169)-AP111</f>
        <v/>
      </c>
      <c r="AQ229" s="50">
        <f>AQ169-(AQ21*Seasonality!$C$75*AQ71+AQ73+AQ49*AQ169)-AQ111</f>
        <v/>
      </c>
      <c r="AR229" s="50">
        <f>AR169-(AR21*Seasonality!$C$75*AR71+AR73+AR49*AR169)-AR111</f>
        <v/>
      </c>
      <c r="AS229" s="50">
        <f>AS169-(AS21*Seasonality!$C$75*AS71+AS73+AS49*AS169)-AS111</f>
        <v/>
      </c>
      <c r="AT229" s="50">
        <f>AT169-(AT21*Seasonality!$C$75*AT71+AT73+AT49*AT169)-AT111</f>
        <v/>
      </c>
      <c r="AU229" s="50">
        <f>AU169-(AU21*Seasonality!$C$75*AU71+AU73+AU49*AU169)-AU111</f>
        <v/>
      </c>
      <c r="AV229" s="50">
        <f>AV169-(AV21*Seasonality!$C$75*AV71+AV73+AV49*AV169)-AV111</f>
        <v/>
      </c>
      <c r="AW229" s="50">
        <f>AW169-(AW21*Seasonality!$C$75*AW71+AW73+AW49*AW169)-AW111</f>
        <v/>
      </c>
      <c r="AX229" s="50">
        <f>AX169-(AX21*Seasonality!$C$75*AX71+AX73+AX49*AX169)-AX111</f>
        <v/>
      </c>
      <c r="AY229" s="50">
        <f>AY169-(AY21*Seasonality!$C$75*AY71+AY73+AY49*AY169)-AY111</f>
        <v/>
      </c>
      <c r="AZ229" s="50">
        <f>AZ169-(AZ21*Seasonality!$C$75*AZ71+AZ73+AZ49*AZ169)-AZ111</f>
        <v/>
      </c>
      <c r="BA229" s="50">
        <f>BA169-(BA21*Seasonality!$C$75*BA71+BA73+BA49*BA169)-BA111</f>
        <v/>
      </c>
      <c r="BB229" s="50">
        <f>BB169-(BB21*Seasonality!$C$75*BB71+BB73+BB49*BB169)-BB111</f>
        <v/>
      </c>
      <c r="BC229" s="50">
        <f>BC169-(BC21*Seasonality!$C$75*BC71+BC73+BC49*BC169)-BC111</f>
        <v/>
      </c>
      <c r="BD229" s="50">
        <f>BD169-(BD21*Seasonality!$C$75*BD71+BD73+BD49*BD169)-BD111</f>
        <v/>
      </c>
      <c r="BE229" s="50">
        <f>BE169-(BE21*Seasonality!$C$75*BE71+BE73+BE49*BE169)-BE111</f>
        <v/>
      </c>
    </row>
    <row r="230">
      <c r="B230" s="7" t="inlineStr">
        <is>
          <t>Contribution · month 40</t>
        </is>
      </c>
      <c r="C230" s="5" t="inlineStr">
        <is>
          <t>₹</t>
        </is>
      </c>
      <c r="D230" s="50">
        <f>D170-(D21*Seasonality!$C$76*D71+D73+D49*D170)-D111</f>
        <v/>
      </c>
      <c r="E230" s="50">
        <f>E170-(E21*Seasonality!$C$76*E71+E73+E49*E170)-E111</f>
        <v/>
      </c>
      <c r="F230" s="50">
        <f>F170-(F21*Seasonality!$C$76*F71+F73+F49*F170)-F111</f>
        <v/>
      </c>
      <c r="G230" s="50">
        <f>G170-(G21*Seasonality!$C$76*G71+G73+G49*G170)-G111</f>
        <v/>
      </c>
      <c r="H230" s="50">
        <f>H170-(H21*Seasonality!$C$76*H71+H73+H49*H170)-H111</f>
        <v/>
      </c>
      <c r="I230" s="50">
        <f>I170-(I21*Seasonality!$C$76*I71+I73+I49*I170)-I111</f>
        <v/>
      </c>
      <c r="J230" s="50">
        <f>J170-(J21*Seasonality!$C$76*J71+J73+J49*J170)-J111</f>
        <v/>
      </c>
      <c r="K230" s="50">
        <f>K170-(K21*Seasonality!$C$76*K71+K73+K49*K170)-K111</f>
        <v/>
      </c>
      <c r="L230" s="50">
        <f>L170-(L21*Seasonality!$C$76*L71+L73+L49*L170)-L111</f>
        <v/>
      </c>
      <c r="M230" s="50">
        <f>M170-(M21*Seasonality!$C$76*M71+M73+M49*M170)-M111</f>
        <v/>
      </c>
      <c r="N230" s="50">
        <f>N170-(N21*Seasonality!$C$76*N71+N73+N49*N170)-N111</f>
        <v/>
      </c>
      <c r="O230" s="50">
        <f>O170-(O21*Seasonality!$C$76*O71+O73+O49*O170)-O111</f>
        <v/>
      </c>
      <c r="P230" s="50">
        <f>P170-(P21*Seasonality!$C$76*P71+P73+P49*P170)-P111</f>
        <v/>
      </c>
      <c r="Q230" s="50">
        <f>Q170-(Q21*Seasonality!$C$76*Q71+Q73+Q49*Q170)-Q111</f>
        <v/>
      </c>
      <c r="R230" s="50">
        <f>R170-(R21*Seasonality!$C$76*R71+R73+R49*R170)-R111</f>
        <v/>
      </c>
      <c r="S230" s="50">
        <f>S170-(S21*Seasonality!$C$76*S71+S73+S49*S170)-S111</f>
        <v/>
      </c>
      <c r="T230" s="50">
        <f>T170-(T21*Seasonality!$C$76*T71+T73+T49*T170)-T111</f>
        <v/>
      </c>
      <c r="U230" s="50">
        <f>U170-(U21*Seasonality!$C$76*U71+U73+U49*U170)-U111</f>
        <v/>
      </c>
      <c r="V230" s="50">
        <f>V170-(V21*Seasonality!$C$76*V71+V73+V49*V170)-V111</f>
        <v/>
      </c>
      <c r="W230" s="50">
        <f>W170-(W21*Seasonality!$C$76*W71+W73+W49*W170)-W111</f>
        <v/>
      </c>
      <c r="X230" s="50">
        <f>X170-(X21*Seasonality!$C$76*X71+X73+X49*X170)-X111</f>
        <v/>
      </c>
      <c r="Y230" s="50">
        <f>Y170-(Y21*Seasonality!$C$76*Y71+Y73+Y49*Y170)-Y111</f>
        <v/>
      </c>
      <c r="Z230" s="50">
        <f>Z170-(Z21*Seasonality!$C$76*Z71+Z73+Z49*Z170)-Z111</f>
        <v/>
      </c>
      <c r="AA230" s="50">
        <f>AA170-(AA21*Seasonality!$C$76*AA71+AA73+AA49*AA170)-AA111</f>
        <v/>
      </c>
      <c r="AB230" s="50">
        <f>AB170-(AB21*Seasonality!$C$76*AB71+AB73+AB49*AB170)-AB111</f>
        <v/>
      </c>
      <c r="AC230" s="50">
        <f>AC170-(AC21*Seasonality!$C$76*AC71+AC73+AC49*AC170)-AC111</f>
        <v/>
      </c>
      <c r="AD230" s="50">
        <f>AD170-(AD21*Seasonality!$C$76*AD71+AD73+AD49*AD170)-AD111</f>
        <v/>
      </c>
      <c r="AE230" s="50">
        <f>AE170-(AE21*Seasonality!$C$76*AE71+AE73+AE49*AE170)-AE111</f>
        <v/>
      </c>
      <c r="AF230" s="50">
        <f>AF170-(AF21*Seasonality!$C$76*AF71+AF73+AF49*AF170)-AF111</f>
        <v/>
      </c>
      <c r="AG230" s="50">
        <f>AG170-(AG21*Seasonality!$C$76*AG71+AG73+AG49*AG170)-AG111</f>
        <v/>
      </c>
      <c r="AH230" s="50">
        <f>AH170-(AH21*Seasonality!$C$76*AH71+AH73+AH49*AH170)-AH111</f>
        <v/>
      </c>
      <c r="AI230" s="50">
        <f>AI170-(AI21*Seasonality!$C$76*AI71+AI73+AI49*AI170)-AI111</f>
        <v/>
      </c>
      <c r="AJ230" s="50">
        <f>AJ170-(AJ21*Seasonality!$C$76*AJ71+AJ73+AJ49*AJ170)-AJ111</f>
        <v/>
      </c>
      <c r="AK230" s="50">
        <f>AK170-(AK21*Seasonality!$C$76*AK71+AK73+AK49*AK170)-AK111</f>
        <v/>
      </c>
      <c r="AL230" s="50">
        <f>AL170-(AL21*Seasonality!$C$76*AL71+AL73+AL49*AL170)-AL111</f>
        <v/>
      </c>
      <c r="AM230" s="50">
        <f>AM170-(AM21*Seasonality!$C$76*AM71+AM73+AM49*AM170)-AM111</f>
        <v/>
      </c>
      <c r="AN230" s="50">
        <f>AN170-(AN21*Seasonality!$C$76*AN71+AN73+AN49*AN170)-AN111</f>
        <v/>
      </c>
      <c r="AO230" s="50">
        <f>AO170-(AO21*Seasonality!$C$76*AO71+AO73+AO49*AO170)-AO111</f>
        <v/>
      </c>
      <c r="AP230" s="50">
        <f>AP170-(AP21*Seasonality!$C$76*AP71+AP73+AP49*AP170)-AP111</f>
        <v/>
      </c>
      <c r="AQ230" s="50">
        <f>AQ170-(AQ21*Seasonality!$C$76*AQ71+AQ73+AQ49*AQ170)-AQ111</f>
        <v/>
      </c>
      <c r="AR230" s="50">
        <f>AR170-(AR21*Seasonality!$C$76*AR71+AR73+AR49*AR170)-AR111</f>
        <v/>
      </c>
      <c r="AS230" s="50">
        <f>AS170-(AS21*Seasonality!$C$76*AS71+AS73+AS49*AS170)-AS111</f>
        <v/>
      </c>
      <c r="AT230" s="50">
        <f>AT170-(AT21*Seasonality!$C$76*AT71+AT73+AT49*AT170)-AT111</f>
        <v/>
      </c>
      <c r="AU230" s="50">
        <f>AU170-(AU21*Seasonality!$C$76*AU71+AU73+AU49*AU170)-AU111</f>
        <v/>
      </c>
      <c r="AV230" s="50">
        <f>AV170-(AV21*Seasonality!$C$76*AV71+AV73+AV49*AV170)-AV111</f>
        <v/>
      </c>
      <c r="AW230" s="50">
        <f>AW170-(AW21*Seasonality!$C$76*AW71+AW73+AW49*AW170)-AW111</f>
        <v/>
      </c>
      <c r="AX230" s="50">
        <f>AX170-(AX21*Seasonality!$C$76*AX71+AX73+AX49*AX170)-AX111</f>
        <v/>
      </c>
      <c r="AY230" s="50">
        <f>AY170-(AY21*Seasonality!$C$76*AY71+AY73+AY49*AY170)-AY111</f>
        <v/>
      </c>
      <c r="AZ230" s="50">
        <f>AZ170-(AZ21*Seasonality!$C$76*AZ71+AZ73+AZ49*AZ170)-AZ111</f>
        <v/>
      </c>
      <c r="BA230" s="50">
        <f>BA170-(BA21*Seasonality!$C$76*BA71+BA73+BA49*BA170)-BA111</f>
        <v/>
      </c>
      <c r="BB230" s="50">
        <f>BB170-(BB21*Seasonality!$C$76*BB71+BB73+BB49*BB170)-BB111</f>
        <v/>
      </c>
      <c r="BC230" s="50">
        <f>BC170-(BC21*Seasonality!$C$76*BC71+BC73+BC49*BC170)-BC111</f>
        <v/>
      </c>
      <c r="BD230" s="50">
        <f>BD170-(BD21*Seasonality!$C$76*BD71+BD73+BD49*BD170)-BD111</f>
        <v/>
      </c>
      <c r="BE230" s="50">
        <f>BE170-(BE21*Seasonality!$C$76*BE71+BE73+BE49*BE170)-BE111</f>
        <v/>
      </c>
    </row>
    <row r="231">
      <c r="B231" s="7" t="inlineStr">
        <is>
          <t>Contribution · month 41</t>
        </is>
      </c>
      <c r="C231" s="5" t="inlineStr">
        <is>
          <t>₹</t>
        </is>
      </c>
      <c r="D231" s="50">
        <f>D171-(D21*Seasonality!$C$77*D71+D73+D49*D171)-D111</f>
        <v/>
      </c>
      <c r="E231" s="50">
        <f>E171-(E21*Seasonality!$C$77*E71+E73+E49*E171)-E111</f>
        <v/>
      </c>
      <c r="F231" s="50">
        <f>F171-(F21*Seasonality!$C$77*F71+F73+F49*F171)-F111</f>
        <v/>
      </c>
      <c r="G231" s="50">
        <f>G171-(G21*Seasonality!$C$77*G71+G73+G49*G171)-G111</f>
        <v/>
      </c>
      <c r="H231" s="50">
        <f>H171-(H21*Seasonality!$C$77*H71+H73+H49*H171)-H111</f>
        <v/>
      </c>
      <c r="I231" s="50">
        <f>I171-(I21*Seasonality!$C$77*I71+I73+I49*I171)-I111</f>
        <v/>
      </c>
      <c r="J231" s="50">
        <f>J171-(J21*Seasonality!$C$77*J71+J73+J49*J171)-J111</f>
        <v/>
      </c>
      <c r="K231" s="50">
        <f>K171-(K21*Seasonality!$C$77*K71+K73+K49*K171)-K111</f>
        <v/>
      </c>
      <c r="L231" s="50">
        <f>L171-(L21*Seasonality!$C$77*L71+L73+L49*L171)-L111</f>
        <v/>
      </c>
      <c r="M231" s="50">
        <f>M171-(M21*Seasonality!$C$77*M71+M73+M49*M171)-M111</f>
        <v/>
      </c>
      <c r="N231" s="50">
        <f>N171-(N21*Seasonality!$C$77*N71+N73+N49*N171)-N111</f>
        <v/>
      </c>
      <c r="O231" s="50">
        <f>O171-(O21*Seasonality!$C$77*O71+O73+O49*O171)-O111</f>
        <v/>
      </c>
      <c r="P231" s="50">
        <f>P171-(P21*Seasonality!$C$77*P71+P73+P49*P171)-P111</f>
        <v/>
      </c>
      <c r="Q231" s="50">
        <f>Q171-(Q21*Seasonality!$C$77*Q71+Q73+Q49*Q171)-Q111</f>
        <v/>
      </c>
      <c r="R231" s="50">
        <f>R171-(R21*Seasonality!$C$77*R71+R73+R49*R171)-R111</f>
        <v/>
      </c>
      <c r="S231" s="50">
        <f>S171-(S21*Seasonality!$C$77*S71+S73+S49*S171)-S111</f>
        <v/>
      </c>
      <c r="T231" s="50">
        <f>T171-(T21*Seasonality!$C$77*T71+T73+T49*T171)-T111</f>
        <v/>
      </c>
      <c r="U231" s="50">
        <f>U171-(U21*Seasonality!$C$77*U71+U73+U49*U171)-U111</f>
        <v/>
      </c>
      <c r="V231" s="50">
        <f>V171-(V21*Seasonality!$C$77*V71+V73+V49*V171)-V111</f>
        <v/>
      </c>
      <c r="W231" s="50">
        <f>W171-(W21*Seasonality!$C$77*W71+W73+W49*W171)-W111</f>
        <v/>
      </c>
      <c r="X231" s="50">
        <f>X171-(X21*Seasonality!$C$77*X71+X73+X49*X171)-X111</f>
        <v/>
      </c>
      <c r="Y231" s="50">
        <f>Y171-(Y21*Seasonality!$C$77*Y71+Y73+Y49*Y171)-Y111</f>
        <v/>
      </c>
      <c r="Z231" s="50">
        <f>Z171-(Z21*Seasonality!$C$77*Z71+Z73+Z49*Z171)-Z111</f>
        <v/>
      </c>
      <c r="AA231" s="50">
        <f>AA171-(AA21*Seasonality!$C$77*AA71+AA73+AA49*AA171)-AA111</f>
        <v/>
      </c>
      <c r="AB231" s="50">
        <f>AB171-(AB21*Seasonality!$C$77*AB71+AB73+AB49*AB171)-AB111</f>
        <v/>
      </c>
      <c r="AC231" s="50">
        <f>AC171-(AC21*Seasonality!$C$77*AC71+AC73+AC49*AC171)-AC111</f>
        <v/>
      </c>
      <c r="AD231" s="50">
        <f>AD171-(AD21*Seasonality!$C$77*AD71+AD73+AD49*AD171)-AD111</f>
        <v/>
      </c>
      <c r="AE231" s="50">
        <f>AE171-(AE21*Seasonality!$C$77*AE71+AE73+AE49*AE171)-AE111</f>
        <v/>
      </c>
      <c r="AF231" s="50">
        <f>AF171-(AF21*Seasonality!$C$77*AF71+AF73+AF49*AF171)-AF111</f>
        <v/>
      </c>
      <c r="AG231" s="50">
        <f>AG171-(AG21*Seasonality!$C$77*AG71+AG73+AG49*AG171)-AG111</f>
        <v/>
      </c>
      <c r="AH231" s="50">
        <f>AH171-(AH21*Seasonality!$C$77*AH71+AH73+AH49*AH171)-AH111</f>
        <v/>
      </c>
      <c r="AI231" s="50">
        <f>AI171-(AI21*Seasonality!$C$77*AI71+AI73+AI49*AI171)-AI111</f>
        <v/>
      </c>
      <c r="AJ231" s="50">
        <f>AJ171-(AJ21*Seasonality!$C$77*AJ71+AJ73+AJ49*AJ171)-AJ111</f>
        <v/>
      </c>
      <c r="AK231" s="50">
        <f>AK171-(AK21*Seasonality!$C$77*AK71+AK73+AK49*AK171)-AK111</f>
        <v/>
      </c>
      <c r="AL231" s="50">
        <f>AL171-(AL21*Seasonality!$C$77*AL71+AL73+AL49*AL171)-AL111</f>
        <v/>
      </c>
      <c r="AM231" s="50">
        <f>AM171-(AM21*Seasonality!$C$77*AM71+AM73+AM49*AM171)-AM111</f>
        <v/>
      </c>
      <c r="AN231" s="50">
        <f>AN171-(AN21*Seasonality!$C$77*AN71+AN73+AN49*AN171)-AN111</f>
        <v/>
      </c>
      <c r="AO231" s="50">
        <f>AO171-(AO21*Seasonality!$C$77*AO71+AO73+AO49*AO171)-AO111</f>
        <v/>
      </c>
      <c r="AP231" s="50">
        <f>AP171-(AP21*Seasonality!$C$77*AP71+AP73+AP49*AP171)-AP111</f>
        <v/>
      </c>
      <c r="AQ231" s="50">
        <f>AQ171-(AQ21*Seasonality!$C$77*AQ71+AQ73+AQ49*AQ171)-AQ111</f>
        <v/>
      </c>
      <c r="AR231" s="50">
        <f>AR171-(AR21*Seasonality!$C$77*AR71+AR73+AR49*AR171)-AR111</f>
        <v/>
      </c>
      <c r="AS231" s="50">
        <f>AS171-(AS21*Seasonality!$C$77*AS71+AS73+AS49*AS171)-AS111</f>
        <v/>
      </c>
      <c r="AT231" s="50">
        <f>AT171-(AT21*Seasonality!$C$77*AT71+AT73+AT49*AT171)-AT111</f>
        <v/>
      </c>
      <c r="AU231" s="50">
        <f>AU171-(AU21*Seasonality!$C$77*AU71+AU73+AU49*AU171)-AU111</f>
        <v/>
      </c>
      <c r="AV231" s="50">
        <f>AV171-(AV21*Seasonality!$C$77*AV71+AV73+AV49*AV171)-AV111</f>
        <v/>
      </c>
      <c r="AW231" s="50">
        <f>AW171-(AW21*Seasonality!$C$77*AW71+AW73+AW49*AW171)-AW111</f>
        <v/>
      </c>
      <c r="AX231" s="50">
        <f>AX171-(AX21*Seasonality!$C$77*AX71+AX73+AX49*AX171)-AX111</f>
        <v/>
      </c>
      <c r="AY231" s="50">
        <f>AY171-(AY21*Seasonality!$C$77*AY71+AY73+AY49*AY171)-AY111</f>
        <v/>
      </c>
      <c r="AZ231" s="50">
        <f>AZ171-(AZ21*Seasonality!$C$77*AZ71+AZ73+AZ49*AZ171)-AZ111</f>
        <v/>
      </c>
      <c r="BA231" s="50">
        <f>BA171-(BA21*Seasonality!$C$77*BA71+BA73+BA49*BA171)-BA111</f>
        <v/>
      </c>
      <c r="BB231" s="50">
        <f>BB171-(BB21*Seasonality!$C$77*BB71+BB73+BB49*BB171)-BB111</f>
        <v/>
      </c>
      <c r="BC231" s="50">
        <f>BC171-(BC21*Seasonality!$C$77*BC71+BC73+BC49*BC171)-BC111</f>
        <v/>
      </c>
      <c r="BD231" s="50">
        <f>BD171-(BD21*Seasonality!$C$77*BD71+BD73+BD49*BD171)-BD111</f>
        <v/>
      </c>
      <c r="BE231" s="50">
        <f>BE171-(BE21*Seasonality!$C$77*BE71+BE73+BE49*BE171)-BE111</f>
        <v/>
      </c>
    </row>
    <row r="232">
      <c r="B232" s="7" t="inlineStr">
        <is>
          <t>Contribution · month 42</t>
        </is>
      </c>
      <c r="C232" s="5" t="inlineStr">
        <is>
          <t>₹</t>
        </is>
      </c>
      <c r="D232" s="50">
        <f>D172-(D21*Seasonality!$C$78*D71+D73+D49*D172)-D111</f>
        <v/>
      </c>
      <c r="E232" s="50">
        <f>E172-(E21*Seasonality!$C$78*E71+E73+E49*E172)-E111</f>
        <v/>
      </c>
      <c r="F232" s="50">
        <f>F172-(F21*Seasonality!$C$78*F71+F73+F49*F172)-F111</f>
        <v/>
      </c>
      <c r="G232" s="50">
        <f>G172-(G21*Seasonality!$C$78*G71+G73+G49*G172)-G111</f>
        <v/>
      </c>
      <c r="H232" s="50">
        <f>H172-(H21*Seasonality!$C$78*H71+H73+H49*H172)-H111</f>
        <v/>
      </c>
      <c r="I232" s="50">
        <f>I172-(I21*Seasonality!$C$78*I71+I73+I49*I172)-I111</f>
        <v/>
      </c>
      <c r="J232" s="50">
        <f>J172-(J21*Seasonality!$C$78*J71+J73+J49*J172)-J111</f>
        <v/>
      </c>
      <c r="K232" s="50">
        <f>K172-(K21*Seasonality!$C$78*K71+K73+K49*K172)-K111</f>
        <v/>
      </c>
      <c r="L232" s="50">
        <f>L172-(L21*Seasonality!$C$78*L71+L73+L49*L172)-L111</f>
        <v/>
      </c>
      <c r="M232" s="50">
        <f>M172-(M21*Seasonality!$C$78*M71+M73+M49*M172)-M111</f>
        <v/>
      </c>
      <c r="N232" s="50">
        <f>N172-(N21*Seasonality!$C$78*N71+N73+N49*N172)-N111</f>
        <v/>
      </c>
      <c r="O232" s="50">
        <f>O172-(O21*Seasonality!$C$78*O71+O73+O49*O172)-O111</f>
        <v/>
      </c>
      <c r="P232" s="50">
        <f>P172-(P21*Seasonality!$C$78*P71+P73+P49*P172)-P111</f>
        <v/>
      </c>
      <c r="Q232" s="50">
        <f>Q172-(Q21*Seasonality!$C$78*Q71+Q73+Q49*Q172)-Q111</f>
        <v/>
      </c>
      <c r="R232" s="50">
        <f>R172-(R21*Seasonality!$C$78*R71+R73+R49*R172)-R111</f>
        <v/>
      </c>
      <c r="S232" s="50">
        <f>S172-(S21*Seasonality!$C$78*S71+S73+S49*S172)-S111</f>
        <v/>
      </c>
      <c r="T232" s="50">
        <f>T172-(T21*Seasonality!$C$78*T71+T73+T49*T172)-T111</f>
        <v/>
      </c>
      <c r="U232" s="50">
        <f>U172-(U21*Seasonality!$C$78*U71+U73+U49*U172)-U111</f>
        <v/>
      </c>
      <c r="V232" s="50">
        <f>V172-(V21*Seasonality!$C$78*V71+V73+V49*V172)-V111</f>
        <v/>
      </c>
      <c r="W232" s="50">
        <f>W172-(W21*Seasonality!$C$78*W71+W73+W49*W172)-W111</f>
        <v/>
      </c>
      <c r="X232" s="50">
        <f>X172-(X21*Seasonality!$C$78*X71+X73+X49*X172)-X111</f>
        <v/>
      </c>
      <c r="Y232" s="50">
        <f>Y172-(Y21*Seasonality!$C$78*Y71+Y73+Y49*Y172)-Y111</f>
        <v/>
      </c>
      <c r="Z232" s="50">
        <f>Z172-(Z21*Seasonality!$C$78*Z71+Z73+Z49*Z172)-Z111</f>
        <v/>
      </c>
      <c r="AA232" s="50">
        <f>AA172-(AA21*Seasonality!$C$78*AA71+AA73+AA49*AA172)-AA111</f>
        <v/>
      </c>
      <c r="AB232" s="50">
        <f>AB172-(AB21*Seasonality!$C$78*AB71+AB73+AB49*AB172)-AB111</f>
        <v/>
      </c>
      <c r="AC232" s="50">
        <f>AC172-(AC21*Seasonality!$C$78*AC71+AC73+AC49*AC172)-AC111</f>
        <v/>
      </c>
      <c r="AD232" s="50">
        <f>AD172-(AD21*Seasonality!$C$78*AD71+AD73+AD49*AD172)-AD111</f>
        <v/>
      </c>
      <c r="AE232" s="50">
        <f>AE172-(AE21*Seasonality!$C$78*AE71+AE73+AE49*AE172)-AE111</f>
        <v/>
      </c>
      <c r="AF232" s="50">
        <f>AF172-(AF21*Seasonality!$C$78*AF71+AF73+AF49*AF172)-AF111</f>
        <v/>
      </c>
      <c r="AG232" s="50">
        <f>AG172-(AG21*Seasonality!$C$78*AG71+AG73+AG49*AG172)-AG111</f>
        <v/>
      </c>
      <c r="AH232" s="50">
        <f>AH172-(AH21*Seasonality!$C$78*AH71+AH73+AH49*AH172)-AH111</f>
        <v/>
      </c>
      <c r="AI232" s="50">
        <f>AI172-(AI21*Seasonality!$C$78*AI71+AI73+AI49*AI172)-AI111</f>
        <v/>
      </c>
      <c r="AJ232" s="50">
        <f>AJ172-(AJ21*Seasonality!$C$78*AJ71+AJ73+AJ49*AJ172)-AJ111</f>
        <v/>
      </c>
      <c r="AK232" s="50">
        <f>AK172-(AK21*Seasonality!$C$78*AK71+AK73+AK49*AK172)-AK111</f>
        <v/>
      </c>
      <c r="AL232" s="50">
        <f>AL172-(AL21*Seasonality!$C$78*AL71+AL73+AL49*AL172)-AL111</f>
        <v/>
      </c>
      <c r="AM232" s="50">
        <f>AM172-(AM21*Seasonality!$C$78*AM71+AM73+AM49*AM172)-AM111</f>
        <v/>
      </c>
      <c r="AN232" s="50">
        <f>AN172-(AN21*Seasonality!$C$78*AN71+AN73+AN49*AN172)-AN111</f>
        <v/>
      </c>
      <c r="AO232" s="50">
        <f>AO172-(AO21*Seasonality!$C$78*AO71+AO73+AO49*AO172)-AO111</f>
        <v/>
      </c>
      <c r="AP232" s="50">
        <f>AP172-(AP21*Seasonality!$C$78*AP71+AP73+AP49*AP172)-AP111</f>
        <v/>
      </c>
      <c r="AQ232" s="50">
        <f>AQ172-(AQ21*Seasonality!$C$78*AQ71+AQ73+AQ49*AQ172)-AQ111</f>
        <v/>
      </c>
      <c r="AR232" s="50">
        <f>AR172-(AR21*Seasonality!$C$78*AR71+AR73+AR49*AR172)-AR111</f>
        <v/>
      </c>
      <c r="AS232" s="50">
        <f>AS172-(AS21*Seasonality!$C$78*AS71+AS73+AS49*AS172)-AS111</f>
        <v/>
      </c>
      <c r="AT232" s="50">
        <f>AT172-(AT21*Seasonality!$C$78*AT71+AT73+AT49*AT172)-AT111</f>
        <v/>
      </c>
      <c r="AU232" s="50">
        <f>AU172-(AU21*Seasonality!$C$78*AU71+AU73+AU49*AU172)-AU111</f>
        <v/>
      </c>
      <c r="AV232" s="50">
        <f>AV172-(AV21*Seasonality!$C$78*AV71+AV73+AV49*AV172)-AV111</f>
        <v/>
      </c>
      <c r="AW232" s="50">
        <f>AW172-(AW21*Seasonality!$C$78*AW71+AW73+AW49*AW172)-AW111</f>
        <v/>
      </c>
      <c r="AX232" s="50">
        <f>AX172-(AX21*Seasonality!$C$78*AX71+AX73+AX49*AX172)-AX111</f>
        <v/>
      </c>
      <c r="AY232" s="50">
        <f>AY172-(AY21*Seasonality!$C$78*AY71+AY73+AY49*AY172)-AY111</f>
        <v/>
      </c>
      <c r="AZ232" s="50">
        <f>AZ172-(AZ21*Seasonality!$C$78*AZ71+AZ73+AZ49*AZ172)-AZ111</f>
        <v/>
      </c>
      <c r="BA232" s="50">
        <f>BA172-(BA21*Seasonality!$C$78*BA71+BA73+BA49*BA172)-BA111</f>
        <v/>
      </c>
      <c r="BB232" s="50">
        <f>BB172-(BB21*Seasonality!$C$78*BB71+BB73+BB49*BB172)-BB111</f>
        <v/>
      </c>
      <c r="BC232" s="50">
        <f>BC172-(BC21*Seasonality!$C$78*BC71+BC73+BC49*BC172)-BC111</f>
        <v/>
      </c>
      <c r="BD232" s="50">
        <f>BD172-(BD21*Seasonality!$C$78*BD71+BD73+BD49*BD172)-BD111</f>
        <v/>
      </c>
      <c r="BE232" s="50">
        <f>BE172-(BE21*Seasonality!$C$78*BE71+BE73+BE49*BE172)-BE111</f>
        <v/>
      </c>
    </row>
    <row r="233">
      <c r="B233" s="7" t="inlineStr">
        <is>
          <t>Contribution · month 43</t>
        </is>
      </c>
      <c r="C233" s="5" t="inlineStr">
        <is>
          <t>₹</t>
        </is>
      </c>
      <c r="D233" s="50">
        <f>D173-(D21*Seasonality!$C$79*D71+D73+D49*D173)-D111</f>
        <v/>
      </c>
      <c r="E233" s="50">
        <f>E173-(E21*Seasonality!$C$79*E71+E73+E49*E173)-E111</f>
        <v/>
      </c>
      <c r="F233" s="50">
        <f>F173-(F21*Seasonality!$C$79*F71+F73+F49*F173)-F111</f>
        <v/>
      </c>
      <c r="G233" s="50">
        <f>G173-(G21*Seasonality!$C$79*G71+G73+G49*G173)-G111</f>
        <v/>
      </c>
      <c r="H233" s="50">
        <f>H173-(H21*Seasonality!$C$79*H71+H73+H49*H173)-H111</f>
        <v/>
      </c>
      <c r="I233" s="50">
        <f>I173-(I21*Seasonality!$C$79*I71+I73+I49*I173)-I111</f>
        <v/>
      </c>
      <c r="J233" s="50">
        <f>J173-(J21*Seasonality!$C$79*J71+J73+J49*J173)-J111</f>
        <v/>
      </c>
      <c r="K233" s="50">
        <f>K173-(K21*Seasonality!$C$79*K71+K73+K49*K173)-K111</f>
        <v/>
      </c>
      <c r="L233" s="50">
        <f>L173-(L21*Seasonality!$C$79*L71+L73+L49*L173)-L111</f>
        <v/>
      </c>
      <c r="M233" s="50">
        <f>M173-(M21*Seasonality!$C$79*M71+M73+M49*M173)-M111</f>
        <v/>
      </c>
      <c r="N233" s="50">
        <f>N173-(N21*Seasonality!$C$79*N71+N73+N49*N173)-N111</f>
        <v/>
      </c>
      <c r="O233" s="50">
        <f>O173-(O21*Seasonality!$C$79*O71+O73+O49*O173)-O111</f>
        <v/>
      </c>
      <c r="P233" s="50">
        <f>P173-(P21*Seasonality!$C$79*P71+P73+P49*P173)-P111</f>
        <v/>
      </c>
      <c r="Q233" s="50">
        <f>Q173-(Q21*Seasonality!$C$79*Q71+Q73+Q49*Q173)-Q111</f>
        <v/>
      </c>
      <c r="R233" s="50">
        <f>R173-(R21*Seasonality!$C$79*R71+R73+R49*R173)-R111</f>
        <v/>
      </c>
      <c r="S233" s="50">
        <f>S173-(S21*Seasonality!$C$79*S71+S73+S49*S173)-S111</f>
        <v/>
      </c>
      <c r="T233" s="50">
        <f>T173-(T21*Seasonality!$C$79*T71+T73+T49*T173)-T111</f>
        <v/>
      </c>
      <c r="U233" s="50">
        <f>U173-(U21*Seasonality!$C$79*U71+U73+U49*U173)-U111</f>
        <v/>
      </c>
      <c r="V233" s="50">
        <f>V173-(V21*Seasonality!$C$79*V71+V73+V49*V173)-V111</f>
        <v/>
      </c>
      <c r="W233" s="50">
        <f>W173-(W21*Seasonality!$C$79*W71+W73+W49*W173)-W111</f>
        <v/>
      </c>
      <c r="X233" s="50">
        <f>X173-(X21*Seasonality!$C$79*X71+X73+X49*X173)-X111</f>
        <v/>
      </c>
      <c r="Y233" s="50">
        <f>Y173-(Y21*Seasonality!$C$79*Y71+Y73+Y49*Y173)-Y111</f>
        <v/>
      </c>
      <c r="Z233" s="50">
        <f>Z173-(Z21*Seasonality!$C$79*Z71+Z73+Z49*Z173)-Z111</f>
        <v/>
      </c>
      <c r="AA233" s="50">
        <f>AA173-(AA21*Seasonality!$C$79*AA71+AA73+AA49*AA173)-AA111</f>
        <v/>
      </c>
      <c r="AB233" s="50">
        <f>AB173-(AB21*Seasonality!$C$79*AB71+AB73+AB49*AB173)-AB111</f>
        <v/>
      </c>
      <c r="AC233" s="50">
        <f>AC173-(AC21*Seasonality!$C$79*AC71+AC73+AC49*AC173)-AC111</f>
        <v/>
      </c>
      <c r="AD233" s="50">
        <f>AD173-(AD21*Seasonality!$C$79*AD71+AD73+AD49*AD173)-AD111</f>
        <v/>
      </c>
      <c r="AE233" s="50">
        <f>AE173-(AE21*Seasonality!$C$79*AE71+AE73+AE49*AE173)-AE111</f>
        <v/>
      </c>
      <c r="AF233" s="50">
        <f>AF173-(AF21*Seasonality!$C$79*AF71+AF73+AF49*AF173)-AF111</f>
        <v/>
      </c>
      <c r="AG233" s="50">
        <f>AG173-(AG21*Seasonality!$C$79*AG71+AG73+AG49*AG173)-AG111</f>
        <v/>
      </c>
      <c r="AH233" s="50">
        <f>AH173-(AH21*Seasonality!$C$79*AH71+AH73+AH49*AH173)-AH111</f>
        <v/>
      </c>
      <c r="AI233" s="50">
        <f>AI173-(AI21*Seasonality!$C$79*AI71+AI73+AI49*AI173)-AI111</f>
        <v/>
      </c>
      <c r="AJ233" s="50">
        <f>AJ173-(AJ21*Seasonality!$C$79*AJ71+AJ73+AJ49*AJ173)-AJ111</f>
        <v/>
      </c>
      <c r="AK233" s="50">
        <f>AK173-(AK21*Seasonality!$C$79*AK71+AK73+AK49*AK173)-AK111</f>
        <v/>
      </c>
      <c r="AL233" s="50">
        <f>AL173-(AL21*Seasonality!$C$79*AL71+AL73+AL49*AL173)-AL111</f>
        <v/>
      </c>
      <c r="AM233" s="50">
        <f>AM173-(AM21*Seasonality!$C$79*AM71+AM73+AM49*AM173)-AM111</f>
        <v/>
      </c>
      <c r="AN233" s="50">
        <f>AN173-(AN21*Seasonality!$C$79*AN71+AN73+AN49*AN173)-AN111</f>
        <v/>
      </c>
      <c r="AO233" s="50">
        <f>AO173-(AO21*Seasonality!$C$79*AO71+AO73+AO49*AO173)-AO111</f>
        <v/>
      </c>
      <c r="AP233" s="50">
        <f>AP173-(AP21*Seasonality!$C$79*AP71+AP73+AP49*AP173)-AP111</f>
        <v/>
      </c>
      <c r="AQ233" s="50">
        <f>AQ173-(AQ21*Seasonality!$C$79*AQ71+AQ73+AQ49*AQ173)-AQ111</f>
        <v/>
      </c>
      <c r="AR233" s="50">
        <f>AR173-(AR21*Seasonality!$C$79*AR71+AR73+AR49*AR173)-AR111</f>
        <v/>
      </c>
      <c r="AS233" s="50">
        <f>AS173-(AS21*Seasonality!$C$79*AS71+AS73+AS49*AS173)-AS111</f>
        <v/>
      </c>
      <c r="AT233" s="50">
        <f>AT173-(AT21*Seasonality!$C$79*AT71+AT73+AT49*AT173)-AT111</f>
        <v/>
      </c>
      <c r="AU233" s="50">
        <f>AU173-(AU21*Seasonality!$C$79*AU71+AU73+AU49*AU173)-AU111</f>
        <v/>
      </c>
      <c r="AV233" s="50">
        <f>AV173-(AV21*Seasonality!$C$79*AV71+AV73+AV49*AV173)-AV111</f>
        <v/>
      </c>
      <c r="AW233" s="50">
        <f>AW173-(AW21*Seasonality!$C$79*AW71+AW73+AW49*AW173)-AW111</f>
        <v/>
      </c>
      <c r="AX233" s="50">
        <f>AX173-(AX21*Seasonality!$C$79*AX71+AX73+AX49*AX173)-AX111</f>
        <v/>
      </c>
      <c r="AY233" s="50">
        <f>AY173-(AY21*Seasonality!$C$79*AY71+AY73+AY49*AY173)-AY111</f>
        <v/>
      </c>
      <c r="AZ233" s="50">
        <f>AZ173-(AZ21*Seasonality!$C$79*AZ71+AZ73+AZ49*AZ173)-AZ111</f>
        <v/>
      </c>
      <c r="BA233" s="50">
        <f>BA173-(BA21*Seasonality!$C$79*BA71+BA73+BA49*BA173)-BA111</f>
        <v/>
      </c>
      <c r="BB233" s="50">
        <f>BB173-(BB21*Seasonality!$C$79*BB71+BB73+BB49*BB173)-BB111</f>
        <v/>
      </c>
      <c r="BC233" s="50">
        <f>BC173-(BC21*Seasonality!$C$79*BC71+BC73+BC49*BC173)-BC111</f>
        <v/>
      </c>
      <c r="BD233" s="50">
        <f>BD173-(BD21*Seasonality!$C$79*BD71+BD73+BD49*BD173)-BD111</f>
        <v/>
      </c>
      <c r="BE233" s="50">
        <f>BE173-(BE21*Seasonality!$C$79*BE71+BE73+BE49*BE173)-BE111</f>
        <v/>
      </c>
    </row>
    <row r="234">
      <c r="B234" s="7" t="inlineStr">
        <is>
          <t>Contribution · month 44</t>
        </is>
      </c>
      <c r="C234" s="5" t="inlineStr">
        <is>
          <t>₹</t>
        </is>
      </c>
      <c r="D234" s="50">
        <f>D174-(D21*Seasonality!$C$80*D71+D73+D49*D174)-D111</f>
        <v/>
      </c>
      <c r="E234" s="50">
        <f>E174-(E21*Seasonality!$C$80*E71+E73+E49*E174)-E111</f>
        <v/>
      </c>
      <c r="F234" s="50">
        <f>F174-(F21*Seasonality!$C$80*F71+F73+F49*F174)-F111</f>
        <v/>
      </c>
      <c r="G234" s="50">
        <f>G174-(G21*Seasonality!$C$80*G71+G73+G49*G174)-G111</f>
        <v/>
      </c>
      <c r="H234" s="50">
        <f>H174-(H21*Seasonality!$C$80*H71+H73+H49*H174)-H111</f>
        <v/>
      </c>
      <c r="I234" s="50">
        <f>I174-(I21*Seasonality!$C$80*I71+I73+I49*I174)-I111</f>
        <v/>
      </c>
      <c r="J234" s="50">
        <f>J174-(J21*Seasonality!$C$80*J71+J73+J49*J174)-J111</f>
        <v/>
      </c>
      <c r="K234" s="50">
        <f>K174-(K21*Seasonality!$C$80*K71+K73+K49*K174)-K111</f>
        <v/>
      </c>
      <c r="L234" s="50">
        <f>L174-(L21*Seasonality!$C$80*L71+L73+L49*L174)-L111</f>
        <v/>
      </c>
      <c r="M234" s="50">
        <f>M174-(M21*Seasonality!$C$80*M71+M73+M49*M174)-M111</f>
        <v/>
      </c>
      <c r="N234" s="50">
        <f>N174-(N21*Seasonality!$C$80*N71+N73+N49*N174)-N111</f>
        <v/>
      </c>
      <c r="O234" s="50">
        <f>O174-(O21*Seasonality!$C$80*O71+O73+O49*O174)-O111</f>
        <v/>
      </c>
      <c r="P234" s="50">
        <f>P174-(P21*Seasonality!$C$80*P71+P73+P49*P174)-P111</f>
        <v/>
      </c>
      <c r="Q234" s="50">
        <f>Q174-(Q21*Seasonality!$C$80*Q71+Q73+Q49*Q174)-Q111</f>
        <v/>
      </c>
      <c r="R234" s="50">
        <f>R174-(R21*Seasonality!$C$80*R71+R73+R49*R174)-R111</f>
        <v/>
      </c>
      <c r="S234" s="50">
        <f>S174-(S21*Seasonality!$C$80*S71+S73+S49*S174)-S111</f>
        <v/>
      </c>
      <c r="T234" s="50">
        <f>T174-(T21*Seasonality!$C$80*T71+T73+T49*T174)-T111</f>
        <v/>
      </c>
      <c r="U234" s="50">
        <f>U174-(U21*Seasonality!$C$80*U71+U73+U49*U174)-U111</f>
        <v/>
      </c>
      <c r="V234" s="50">
        <f>V174-(V21*Seasonality!$C$80*V71+V73+V49*V174)-V111</f>
        <v/>
      </c>
      <c r="W234" s="50">
        <f>W174-(W21*Seasonality!$C$80*W71+W73+W49*W174)-W111</f>
        <v/>
      </c>
      <c r="X234" s="50">
        <f>X174-(X21*Seasonality!$C$80*X71+X73+X49*X174)-X111</f>
        <v/>
      </c>
      <c r="Y234" s="50">
        <f>Y174-(Y21*Seasonality!$C$80*Y71+Y73+Y49*Y174)-Y111</f>
        <v/>
      </c>
      <c r="Z234" s="50">
        <f>Z174-(Z21*Seasonality!$C$80*Z71+Z73+Z49*Z174)-Z111</f>
        <v/>
      </c>
      <c r="AA234" s="50">
        <f>AA174-(AA21*Seasonality!$C$80*AA71+AA73+AA49*AA174)-AA111</f>
        <v/>
      </c>
      <c r="AB234" s="50">
        <f>AB174-(AB21*Seasonality!$C$80*AB71+AB73+AB49*AB174)-AB111</f>
        <v/>
      </c>
      <c r="AC234" s="50">
        <f>AC174-(AC21*Seasonality!$C$80*AC71+AC73+AC49*AC174)-AC111</f>
        <v/>
      </c>
      <c r="AD234" s="50">
        <f>AD174-(AD21*Seasonality!$C$80*AD71+AD73+AD49*AD174)-AD111</f>
        <v/>
      </c>
      <c r="AE234" s="50">
        <f>AE174-(AE21*Seasonality!$C$80*AE71+AE73+AE49*AE174)-AE111</f>
        <v/>
      </c>
      <c r="AF234" s="50">
        <f>AF174-(AF21*Seasonality!$C$80*AF71+AF73+AF49*AF174)-AF111</f>
        <v/>
      </c>
      <c r="AG234" s="50">
        <f>AG174-(AG21*Seasonality!$C$80*AG71+AG73+AG49*AG174)-AG111</f>
        <v/>
      </c>
      <c r="AH234" s="50">
        <f>AH174-(AH21*Seasonality!$C$80*AH71+AH73+AH49*AH174)-AH111</f>
        <v/>
      </c>
      <c r="AI234" s="50">
        <f>AI174-(AI21*Seasonality!$C$80*AI71+AI73+AI49*AI174)-AI111</f>
        <v/>
      </c>
      <c r="AJ234" s="50">
        <f>AJ174-(AJ21*Seasonality!$C$80*AJ71+AJ73+AJ49*AJ174)-AJ111</f>
        <v/>
      </c>
      <c r="AK234" s="50">
        <f>AK174-(AK21*Seasonality!$C$80*AK71+AK73+AK49*AK174)-AK111</f>
        <v/>
      </c>
      <c r="AL234" s="50">
        <f>AL174-(AL21*Seasonality!$C$80*AL71+AL73+AL49*AL174)-AL111</f>
        <v/>
      </c>
      <c r="AM234" s="50">
        <f>AM174-(AM21*Seasonality!$C$80*AM71+AM73+AM49*AM174)-AM111</f>
        <v/>
      </c>
      <c r="AN234" s="50">
        <f>AN174-(AN21*Seasonality!$C$80*AN71+AN73+AN49*AN174)-AN111</f>
        <v/>
      </c>
      <c r="AO234" s="50">
        <f>AO174-(AO21*Seasonality!$C$80*AO71+AO73+AO49*AO174)-AO111</f>
        <v/>
      </c>
      <c r="AP234" s="50">
        <f>AP174-(AP21*Seasonality!$C$80*AP71+AP73+AP49*AP174)-AP111</f>
        <v/>
      </c>
      <c r="AQ234" s="50">
        <f>AQ174-(AQ21*Seasonality!$C$80*AQ71+AQ73+AQ49*AQ174)-AQ111</f>
        <v/>
      </c>
      <c r="AR234" s="50">
        <f>AR174-(AR21*Seasonality!$C$80*AR71+AR73+AR49*AR174)-AR111</f>
        <v/>
      </c>
      <c r="AS234" s="50">
        <f>AS174-(AS21*Seasonality!$C$80*AS71+AS73+AS49*AS174)-AS111</f>
        <v/>
      </c>
      <c r="AT234" s="50">
        <f>AT174-(AT21*Seasonality!$C$80*AT71+AT73+AT49*AT174)-AT111</f>
        <v/>
      </c>
      <c r="AU234" s="50">
        <f>AU174-(AU21*Seasonality!$C$80*AU71+AU73+AU49*AU174)-AU111</f>
        <v/>
      </c>
      <c r="AV234" s="50">
        <f>AV174-(AV21*Seasonality!$C$80*AV71+AV73+AV49*AV174)-AV111</f>
        <v/>
      </c>
      <c r="AW234" s="50">
        <f>AW174-(AW21*Seasonality!$C$80*AW71+AW73+AW49*AW174)-AW111</f>
        <v/>
      </c>
      <c r="AX234" s="50">
        <f>AX174-(AX21*Seasonality!$C$80*AX71+AX73+AX49*AX174)-AX111</f>
        <v/>
      </c>
      <c r="AY234" s="50">
        <f>AY174-(AY21*Seasonality!$C$80*AY71+AY73+AY49*AY174)-AY111</f>
        <v/>
      </c>
      <c r="AZ234" s="50">
        <f>AZ174-(AZ21*Seasonality!$C$80*AZ71+AZ73+AZ49*AZ174)-AZ111</f>
        <v/>
      </c>
      <c r="BA234" s="50">
        <f>BA174-(BA21*Seasonality!$C$80*BA71+BA73+BA49*BA174)-BA111</f>
        <v/>
      </c>
      <c r="BB234" s="50">
        <f>BB174-(BB21*Seasonality!$C$80*BB71+BB73+BB49*BB174)-BB111</f>
        <v/>
      </c>
      <c r="BC234" s="50">
        <f>BC174-(BC21*Seasonality!$C$80*BC71+BC73+BC49*BC174)-BC111</f>
        <v/>
      </c>
      <c r="BD234" s="50">
        <f>BD174-(BD21*Seasonality!$C$80*BD71+BD73+BD49*BD174)-BD111</f>
        <v/>
      </c>
      <c r="BE234" s="50">
        <f>BE174-(BE21*Seasonality!$C$80*BE71+BE73+BE49*BE174)-BE111</f>
        <v/>
      </c>
    </row>
    <row r="235">
      <c r="B235" s="7" t="inlineStr">
        <is>
          <t>Contribution · month 45</t>
        </is>
      </c>
      <c r="C235" s="5" t="inlineStr">
        <is>
          <t>₹</t>
        </is>
      </c>
      <c r="D235" s="50">
        <f>D175-(D21*Seasonality!$C$81*D71+D73+D49*D175)-D111</f>
        <v/>
      </c>
      <c r="E235" s="50">
        <f>E175-(E21*Seasonality!$C$81*E71+E73+E49*E175)-E111</f>
        <v/>
      </c>
      <c r="F235" s="50">
        <f>F175-(F21*Seasonality!$C$81*F71+F73+F49*F175)-F111</f>
        <v/>
      </c>
      <c r="G235" s="50">
        <f>G175-(G21*Seasonality!$C$81*G71+G73+G49*G175)-G111</f>
        <v/>
      </c>
      <c r="H235" s="50">
        <f>H175-(H21*Seasonality!$C$81*H71+H73+H49*H175)-H111</f>
        <v/>
      </c>
      <c r="I235" s="50">
        <f>I175-(I21*Seasonality!$C$81*I71+I73+I49*I175)-I111</f>
        <v/>
      </c>
      <c r="J235" s="50">
        <f>J175-(J21*Seasonality!$C$81*J71+J73+J49*J175)-J111</f>
        <v/>
      </c>
      <c r="K235" s="50">
        <f>K175-(K21*Seasonality!$C$81*K71+K73+K49*K175)-K111</f>
        <v/>
      </c>
      <c r="L235" s="50">
        <f>L175-(L21*Seasonality!$C$81*L71+L73+L49*L175)-L111</f>
        <v/>
      </c>
      <c r="M235" s="50">
        <f>M175-(M21*Seasonality!$C$81*M71+M73+M49*M175)-M111</f>
        <v/>
      </c>
      <c r="N235" s="50">
        <f>N175-(N21*Seasonality!$C$81*N71+N73+N49*N175)-N111</f>
        <v/>
      </c>
      <c r="O235" s="50">
        <f>O175-(O21*Seasonality!$C$81*O71+O73+O49*O175)-O111</f>
        <v/>
      </c>
      <c r="P235" s="50">
        <f>P175-(P21*Seasonality!$C$81*P71+P73+P49*P175)-P111</f>
        <v/>
      </c>
      <c r="Q235" s="50">
        <f>Q175-(Q21*Seasonality!$C$81*Q71+Q73+Q49*Q175)-Q111</f>
        <v/>
      </c>
      <c r="R235" s="50">
        <f>R175-(R21*Seasonality!$C$81*R71+R73+R49*R175)-R111</f>
        <v/>
      </c>
      <c r="S235" s="50">
        <f>S175-(S21*Seasonality!$C$81*S71+S73+S49*S175)-S111</f>
        <v/>
      </c>
      <c r="T235" s="50">
        <f>T175-(T21*Seasonality!$C$81*T71+T73+T49*T175)-T111</f>
        <v/>
      </c>
      <c r="U235" s="50">
        <f>U175-(U21*Seasonality!$C$81*U71+U73+U49*U175)-U111</f>
        <v/>
      </c>
      <c r="V235" s="50">
        <f>V175-(V21*Seasonality!$C$81*V71+V73+V49*V175)-V111</f>
        <v/>
      </c>
      <c r="W235" s="50">
        <f>W175-(W21*Seasonality!$C$81*W71+W73+W49*W175)-W111</f>
        <v/>
      </c>
      <c r="X235" s="50">
        <f>X175-(X21*Seasonality!$C$81*X71+X73+X49*X175)-X111</f>
        <v/>
      </c>
      <c r="Y235" s="50">
        <f>Y175-(Y21*Seasonality!$C$81*Y71+Y73+Y49*Y175)-Y111</f>
        <v/>
      </c>
      <c r="Z235" s="50">
        <f>Z175-(Z21*Seasonality!$C$81*Z71+Z73+Z49*Z175)-Z111</f>
        <v/>
      </c>
      <c r="AA235" s="50">
        <f>AA175-(AA21*Seasonality!$C$81*AA71+AA73+AA49*AA175)-AA111</f>
        <v/>
      </c>
      <c r="AB235" s="50">
        <f>AB175-(AB21*Seasonality!$C$81*AB71+AB73+AB49*AB175)-AB111</f>
        <v/>
      </c>
      <c r="AC235" s="50">
        <f>AC175-(AC21*Seasonality!$C$81*AC71+AC73+AC49*AC175)-AC111</f>
        <v/>
      </c>
      <c r="AD235" s="50">
        <f>AD175-(AD21*Seasonality!$C$81*AD71+AD73+AD49*AD175)-AD111</f>
        <v/>
      </c>
      <c r="AE235" s="50">
        <f>AE175-(AE21*Seasonality!$C$81*AE71+AE73+AE49*AE175)-AE111</f>
        <v/>
      </c>
      <c r="AF235" s="50">
        <f>AF175-(AF21*Seasonality!$C$81*AF71+AF73+AF49*AF175)-AF111</f>
        <v/>
      </c>
      <c r="AG235" s="50">
        <f>AG175-(AG21*Seasonality!$C$81*AG71+AG73+AG49*AG175)-AG111</f>
        <v/>
      </c>
      <c r="AH235" s="50">
        <f>AH175-(AH21*Seasonality!$C$81*AH71+AH73+AH49*AH175)-AH111</f>
        <v/>
      </c>
      <c r="AI235" s="50">
        <f>AI175-(AI21*Seasonality!$C$81*AI71+AI73+AI49*AI175)-AI111</f>
        <v/>
      </c>
      <c r="AJ235" s="50">
        <f>AJ175-(AJ21*Seasonality!$C$81*AJ71+AJ73+AJ49*AJ175)-AJ111</f>
        <v/>
      </c>
      <c r="AK235" s="50">
        <f>AK175-(AK21*Seasonality!$C$81*AK71+AK73+AK49*AK175)-AK111</f>
        <v/>
      </c>
      <c r="AL235" s="50">
        <f>AL175-(AL21*Seasonality!$C$81*AL71+AL73+AL49*AL175)-AL111</f>
        <v/>
      </c>
      <c r="AM235" s="50">
        <f>AM175-(AM21*Seasonality!$C$81*AM71+AM73+AM49*AM175)-AM111</f>
        <v/>
      </c>
      <c r="AN235" s="50">
        <f>AN175-(AN21*Seasonality!$C$81*AN71+AN73+AN49*AN175)-AN111</f>
        <v/>
      </c>
      <c r="AO235" s="50">
        <f>AO175-(AO21*Seasonality!$C$81*AO71+AO73+AO49*AO175)-AO111</f>
        <v/>
      </c>
      <c r="AP235" s="50">
        <f>AP175-(AP21*Seasonality!$C$81*AP71+AP73+AP49*AP175)-AP111</f>
        <v/>
      </c>
      <c r="AQ235" s="50">
        <f>AQ175-(AQ21*Seasonality!$C$81*AQ71+AQ73+AQ49*AQ175)-AQ111</f>
        <v/>
      </c>
      <c r="AR235" s="50">
        <f>AR175-(AR21*Seasonality!$C$81*AR71+AR73+AR49*AR175)-AR111</f>
        <v/>
      </c>
      <c r="AS235" s="50">
        <f>AS175-(AS21*Seasonality!$C$81*AS71+AS73+AS49*AS175)-AS111</f>
        <v/>
      </c>
      <c r="AT235" s="50">
        <f>AT175-(AT21*Seasonality!$C$81*AT71+AT73+AT49*AT175)-AT111</f>
        <v/>
      </c>
      <c r="AU235" s="50">
        <f>AU175-(AU21*Seasonality!$C$81*AU71+AU73+AU49*AU175)-AU111</f>
        <v/>
      </c>
      <c r="AV235" s="50">
        <f>AV175-(AV21*Seasonality!$C$81*AV71+AV73+AV49*AV175)-AV111</f>
        <v/>
      </c>
      <c r="AW235" s="50">
        <f>AW175-(AW21*Seasonality!$C$81*AW71+AW73+AW49*AW175)-AW111</f>
        <v/>
      </c>
      <c r="AX235" s="50">
        <f>AX175-(AX21*Seasonality!$C$81*AX71+AX73+AX49*AX175)-AX111</f>
        <v/>
      </c>
      <c r="AY235" s="50">
        <f>AY175-(AY21*Seasonality!$C$81*AY71+AY73+AY49*AY175)-AY111</f>
        <v/>
      </c>
      <c r="AZ235" s="50">
        <f>AZ175-(AZ21*Seasonality!$C$81*AZ71+AZ73+AZ49*AZ175)-AZ111</f>
        <v/>
      </c>
      <c r="BA235" s="50">
        <f>BA175-(BA21*Seasonality!$C$81*BA71+BA73+BA49*BA175)-BA111</f>
        <v/>
      </c>
      <c r="BB235" s="50">
        <f>BB175-(BB21*Seasonality!$C$81*BB71+BB73+BB49*BB175)-BB111</f>
        <v/>
      </c>
      <c r="BC235" s="50">
        <f>BC175-(BC21*Seasonality!$C$81*BC71+BC73+BC49*BC175)-BC111</f>
        <v/>
      </c>
      <c r="BD235" s="50">
        <f>BD175-(BD21*Seasonality!$C$81*BD71+BD73+BD49*BD175)-BD111</f>
        <v/>
      </c>
      <c r="BE235" s="50">
        <f>BE175-(BE21*Seasonality!$C$81*BE71+BE73+BE49*BE175)-BE111</f>
        <v/>
      </c>
    </row>
    <row r="236">
      <c r="B236" s="7" t="inlineStr">
        <is>
          <t>Contribution · month 46</t>
        </is>
      </c>
      <c r="C236" s="5" t="inlineStr">
        <is>
          <t>₹</t>
        </is>
      </c>
      <c r="D236" s="50">
        <f>D176-(D21*Seasonality!$C$82*D71+D73+D49*D176)-D111</f>
        <v/>
      </c>
      <c r="E236" s="50">
        <f>E176-(E21*Seasonality!$C$82*E71+E73+E49*E176)-E111</f>
        <v/>
      </c>
      <c r="F236" s="50">
        <f>F176-(F21*Seasonality!$C$82*F71+F73+F49*F176)-F111</f>
        <v/>
      </c>
      <c r="G236" s="50">
        <f>G176-(G21*Seasonality!$C$82*G71+G73+G49*G176)-G111</f>
        <v/>
      </c>
      <c r="H236" s="50">
        <f>H176-(H21*Seasonality!$C$82*H71+H73+H49*H176)-H111</f>
        <v/>
      </c>
      <c r="I236" s="50">
        <f>I176-(I21*Seasonality!$C$82*I71+I73+I49*I176)-I111</f>
        <v/>
      </c>
      <c r="J236" s="50">
        <f>J176-(J21*Seasonality!$C$82*J71+J73+J49*J176)-J111</f>
        <v/>
      </c>
      <c r="K236" s="50">
        <f>K176-(K21*Seasonality!$C$82*K71+K73+K49*K176)-K111</f>
        <v/>
      </c>
      <c r="L236" s="50">
        <f>L176-(L21*Seasonality!$C$82*L71+L73+L49*L176)-L111</f>
        <v/>
      </c>
      <c r="M236" s="50">
        <f>M176-(M21*Seasonality!$C$82*M71+M73+M49*M176)-M111</f>
        <v/>
      </c>
      <c r="N236" s="50">
        <f>N176-(N21*Seasonality!$C$82*N71+N73+N49*N176)-N111</f>
        <v/>
      </c>
      <c r="O236" s="50">
        <f>O176-(O21*Seasonality!$C$82*O71+O73+O49*O176)-O111</f>
        <v/>
      </c>
      <c r="P236" s="50">
        <f>P176-(P21*Seasonality!$C$82*P71+P73+P49*P176)-P111</f>
        <v/>
      </c>
      <c r="Q236" s="50">
        <f>Q176-(Q21*Seasonality!$C$82*Q71+Q73+Q49*Q176)-Q111</f>
        <v/>
      </c>
      <c r="R236" s="50">
        <f>R176-(R21*Seasonality!$C$82*R71+R73+R49*R176)-R111</f>
        <v/>
      </c>
      <c r="S236" s="50">
        <f>S176-(S21*Seasonality!$C$82*S71+S73+S49*S176)-S111</f>
        <v/>
      </c>
      <c r="T236" s="50">
        <f>T176-(T21*Seasonality!$C$82*T71+T73+T49*T176)-T111</f>
        <v/>
      </c>
      <c r="U236" s="50">
        <f>U176-(U21*Seasonality!$C$82*U71+U73+U49*U176)-U111</f>
        <v/>
      </c>
      <c r="V236" s="50">
        <f>V176-(V21*Seasonality!$C$82*V71+V73+V49*V176)-V111</f>
        <v/>
      </c>
      <c r="W236" s="50">
        <f>W176-(W21*Seasonality!$C$82*W71+W73+W49*W176)-W111</f>
        <v/>
      </c>
      <c r="X236" s="50">
        <f>X176-(X21*Seasonality!$C$82*X71+X73+X49*X176)-X111</f>
        <v/>
      </c>
      <c r="Y236" s="50">
        <f>Y176-(Y21*Seasonality!$C$82*Y71+Y73+Y49*Y176)-Y111</f>
        <v/>
      </c>
      <c r="Z236" s="50">
        <f>Z176-(Z21*Seasonality!$C$82*Z71+Z73+Z49*Z176)-Z111</f>
        <v/>
      </c>
      <c r="AA236" s="50">
        <f>AA176-(AA21*Seasonality!$C$82*AA71+AA73+AA49*AA176)-AA111</f>
        <v/>
      </c>
      <c r="AB236" s="50">
        <f>AB176-(AB21*Seasonality!$C$82*AB71+AB73+AB49*AB176)-AB111</f>
        <v/>
      </c>
      <c r="AC236" s="50">
        <f>AC176-(AC21*Seasonality!$C$82*AC71+AC73+AC49*AC176)-AC111</f>
        <v/>
      </c>
      <c r="AD236" s="50">
        <f>AD176-(AD21*Seasonality!$C$82*AD71+AD73+AD49*AD176)-AD111</f>
        <v/>
      </c>
      <c r="AE236" s="50">
        <f>AE176-(AE21*Seasonality!$C$82*AE71+AE73+AE49*AE176)-AE111</f>
        <v/>
      </c>
      <c r="AF236" s="50">
        <f>AF176-(AF21*Seasonality!$C$82*AF71+AF73+AF49*AF176)-AF111</f>
        <v/>
      </c>
      <c r="AG236" s="50">
        <f>AG176-(AG21*Seasonality!$C$82*AG71+AG73+AG49*AG176)-AG111</f>
        <v/>
      </c>
      <c r="AH236" s="50">
        <f>AH176-(AH21*Seasonality!$C$82*AH71+AH73+AH49*AH176)-AH111</f>
        <v/>
      </c>
      <c r="AI236" s="50">
        <f>AI176-(AI21*Seasonality!$C$82*AI71+AI73+AI49*AI176)-AI111</f>
        <v/>
      </c>
      <c r="AJ236" s="50">
        <f>AJ176-(AJ21*Seasonality!$C$82*AJ71+AJ73+AJ49*AJ176)-AJ111</f>
        <v/>
      </c>
      <c r="AK236" s="50">
        <f>AK176-(AK21*Seasonality!$C$82*AK71+AK73+AK49*AK176)-AK111</f>
        <v/>
      </c>
      <c r="AL236" s="50">
        <f>AL176-(AL21*Seasonality!$C$82*AL71+AL73+AL49*AL176)-AL111</f>
        <v/>
      </c>
      <c r="AM236" s="50">
        <f>AM176-(AM21*Seasonality!$C$82*AM71+AM73+AM49*AM176)-AM111</f>
        <v/>
      </c>
      <c r="AN236" s="50">
        <f>AN176-(AN21*Seasonality!$C$82*AN71+AN73+AN49*AN176)-AN111</f>
        <v/>
      </c>
      <c r="AO236" s="50">
        <f>AO176-(AO21*Seasonality!$C$82*AO71+AO73+AO49*AO176)-AO111</f>
        <v/>
      </c>
      <c r="AP236" s="50">
        <f>AP176-(AP21*Seasonality!$C$82*AP71+AP73+AP49*AP176)-AP111</f>
        <v/>
      </c>
      <c r="AQ236" s="50">
        <f>AQ176-(AQ21*Seasonality!$C$82*AQ71+AQ73+AQ49*AQ176)-AQ111</f>
        <v/>
      </c>
      <c r="AR236" s="50">
        <f>AR176-(AR21*Seasonality!$C$82*AR71+AR73+AR49*AR176)-AR111</f>
        <v/>
      </c>
      <c r="AS236" s="50">
        <f>AS176-(AS21*Seasonality!$C$82*AS71+AS73+AS49*AS176)-AS111</f>
        <v/>
      </c>
      <c r="AT236" s="50">
        <f>AT176-(AT21*Seasonality!$C$82*AT71+AT73+AT49*AT176)-AT111</f>
        <v/>
      </c>
      <c r="AU236" s="50">
        <f>AU176-(AU21*Seasonality!$C$82*AU71+AU73+AU49*AU176)-AU111</f>
        <v/>
      </c>
      <c r="AV236" s="50">
        <f>AV176-(AV21*Seasonality!$C$82*AV71+AV73+AV49*AV176)-AV111</f>
        <v/>
      </c>
      <c r="AW236" s="50">
        <f>AW176-(AW21*Seasonality!$C$82*AW71+AW73+AW49*AW176)-AW111</f>
        <v/>
      </c>
      <c r="AX236" s="50">
        <f>AX176-(AX21*Seasonality!$C$82*AX71+AX73+AX49*AX176)-AX111</f>
        <v/>
      </c>
      <c r="AY236" s="50">
        <f>AY176-(AY21*Seasonality!$C$82*AY71+AY73+AY49*AY176)-AY111</f>
        <v/>
      </c>
      <c r="AZ236" s="50">
        <f>AZ176-(AZ21*Seasonality!$C$82*AZ71+AZ73+AZ49*AZ176)-AZ111</f>
        <v/>
      </c>
      <c r="BA236" s="50">
        <f>BA176-(BA21*Seasonality!$C$82*BA71+BA73+BA49*BA176)-BA111</f>
        <v/>
      </c>
      <c r="BB236" s="50">
        <f>BB176-(BB21*Seasonality!$C$82*BB71+BB73+BB49*BB176)-BB111</f>
        <v/>
      </c>
      <c r="BC236" s="50">
        <f>BC176-(BC21*Seasonality!$C$82*BC71+BC73+BC49*BC176)-BC111</f>
        <v/>
      </c>
      <c r="BD236" s="50">
        <f>BD176-(BD21*Seasonality!$C$82*BD71+BD73+BD49*BD176)-BD111</f>
        <v/>
      </c>
      <c r="BE236" s="50">
        <f>BE176-(BE21*Seasonality!$C$82*BE71+BE73+BE49*BE176)-BE111</f>
        <v/>
      </c>
    </row>
    <row r="237">
      <c r="B237" s="7" t="inlineStr">
        <is>
          <t>Contribution · month 47</t>
        </is>
      </c>
      <c r="C237" s="5" t="inlineStr">
        <is>
          <t>₹</t>
        </is>
      </c>
      <c r="D237" s="50">
        <f>D177-(D21*Seasonality!$C$83*D71+D73+D49*D177)-D111</f>
        <v/>
      </c>
      <c r="E237" s="50">
        <f>E177-(E21*Seasonality!$C$83*E71+E73+E49*E177)-E111</f>
        <v/>
      </c>
      <c r="F237" s="50">
        <f>F177-(F21*Seasonality!$C$83*F71+F73+F49*F177)-F111</f>
        <v/>
      </c>
      <c r="G237" s="50">
        <f>G177-(G21*Seasonality!$C$83*G71+G73+G49*G177)-G111</f>
        <v/>
      </c>
      <c r="H237" s="50">
        <f>H177-(H21*Seasonality!$C$83*H71+H73+H49*H177)-H111</f>
        <v/>
      </c>
      <c r="I237" s="50">
        <f>I177-(I21*Seasonality!$C$83*I71+I73+I49*I177)-I111</f>
        <v/>
      </c>
      <c r="J237" s="50">
        <f>J177-(J21*Seasonality!$C$83*J71+J73+J49*J177)-J111</f>
        <v/>
      </c>
      <c r="K237" s="50">
        <f>K177-(K21*Seasonality!$C$83*K71+K73+K49*K177)-K111</f>
        <v/>
      </c>
      <c r="L237" s="50">
        <f>L177-(L21*Seasonality!$C$83*L71+L73+L49*L177)-L111</f>
        <v/>
      </c>
      <c r="M237" s="50">
        <f>M177-(M21*Seasonality!$C$83*M71+M73+M49*M177)-M111</f>
        <v/>
      </c>
      <c r="N237" s="50">
        <f>N177-(N21*Seasonality!$C$83*N71+N73+N49*N177)-N111</f>
        <v/>
      </c>
      <c r="O237" s="50">
        <f>O177-(O21*Seasonality!$C$83*O71+O73+O49*O177)-O111</f>
        <v/>
      </c>
      <c r="P237" s="50">
        <f>P177-(P21*Seasonality!$C$83*P71+P73+P49*P177)-P111</f>
        <v/>
      </c>
      <c r="Q237" s="50">
        <f>Q177-(Q21*Seasonality!$C$83*Q71+Q73+Q49*Q177)-Q111</f>
        <v/>
      </c>
      <c r="R237" s="50">
        <f>R177-(R21*Seasonality!$C$83*R71+R73+R49*R177)-R111</f>
        <v/>
      </c>
      <c r="S237" s="50">
        <f>S177-(S21*Seasonality!$C$83*S71+S73+S49*S177)-S111</f>
        <v/>
      </c>
      <c r="T237" s="50">
        <f>T177-(T21*Seasonality!$C$83*T71+T73+T49*T177)-T111</f>
        <v/>
      </c>
      <c r="U237" s="50">
        <f>U177-(U21*Seasonality!$C$83*U71+U73+U49*U177)-U111</f>
        <v/>
      </c>
      <c r="V237" s="50">
        <f>V177-(V21*Seasonality!$C$83*V71+V73+V49*V177)-V111</f>
        <v/>
      </c>
      <c r="W237" s="50">
        <f>W177-(W21*Seasonality!$C$83*W71+W73+W49*W177)-W111</f>
        <v/>
      </c>
      <c r="X237" s="50">
        <f>X177-(X21*Seasonality!$C$83*X71+X73+X49*X177)-X111</f>
        <v/>
      </c>
      <c r="Y237" s="50">
        <f>Y177-(Y21*Seasonality!$C$83*Y71+Y73+Y49*Y177)-Y111</f>
        <v/>
      </c>
      <c r="Z237" s="50">
        <f>Z177-(Z21*Seasonality!$C$83*Z71+Z73+Z49*Z177)-Z111</f>
        <v/>
      </c>
      <c r="AA237" s="50">
        <f>AA177-(AA21*Seasonality!$C$83*AA71+AA73+AA49*AA177)-AA111</f>
        <v/>
      </c>
      <c r="AB237" s="50">
        <f>AB177-(AB21*Seasonality!$C$83*AB71+AB73+AB49*AB177)-AB111</f>
        <v/>
      </c>
      <c r="AC237" s="50">
        <f>AC177-(AC21*Seasonality!$C$83*AC71+AC73+AC49*AC177)-AC111</f>
        <v/>
      </c>
      <c r="AD237" s="50">
        <f>AD177-(AD21*Seasonality!$C$83*AD71+AD73+AD49*AD177)-AD111</f>
        <v/>
      </c>
      <c r="AE237" s="50">
        <f>AE177-(AE21*Seasonality!$C$83*AE71+AE73+AE49*AE177)-AE111</f>
        <v/>
      </c>
      <c r="AF237" s="50">
        <f>AF177-(AF21*Seasonality!$C$83*AF71+AF73+AF49*AF177)-AF111</f>
        <v/>
      </c>
      <c r="AG237" s="50">
        <f>AG177-(AG21*Seasonality!$C$83*AG71+AG73+AG49*AG177)-AG111</f>
        <v/>
      </c>
      <c r="AH237" s="50">
        <f>AH177-(AH21*Seasonality!$C$83*AH71+AH73+AH49*AH177)-AH111</f>
        <v/>
      </c>
      <c r="AI237" s="50">
        <f>AI177-(AI21*Seasonality!$C$83*AI71+AI73+AI49*AI177)-AI111</f>
        <v/>
      </c>
      <c r="AJ237" s="50">
        <f>AJ177-(AJ21*Seasonality!$C$83*AJ71+AJ73+AJ49*AJ177)-AJ111</f>
        <v/>
      </c>
      <c r="AK237" s="50">
        <f>AK177-(AK21*Seasonality!$C$83*AK71+AK73+AK49*AK177)-AK111</f>
        <v/>
      </c>
      <c r="AL237" s="50">
        <f>AL177-(AL21*Seasonality!$C$83*AL71+AL73+AL49*AL177)-AL111</f>
        <v/>
      </c>
      <c r="AM237" s="50">
        <f>AM177-(AM21*Seasonality!$C$83*AM71+AM73+AM49*AM177)-AM111</f>
        <v/>
      </c>
      <c r="AN237" s="50">
        <f>AN177-(AN21*Seasonality!$C$83*AN71+AN73+AN49*AN177)-AN111</f>
        <v/>
      </c>
      <c r="AO237" s="50">
        <f>AO177-(AO21*Seasonality!$C$83*AO71+AO73+AO49*AO177)-AO111</f>
        <v/>
      </c>
      <c r="AP237" s="50">
        <f>AP177-(AP21*Seasonality!$C$83*AP71+AP73+AP49*AP177)-AP111</f>
        <v/>
      </c>
      <c r="AQ237" s="50">
        <f>AQ177-(AQ21*Seasonality!$C$83*AQ71+AQ73+AQ49*AQ177)-AQ111</f>
        <v/>
      </c>
      <c r="AR237" s="50">
        <f>AR177-(AR21*Seasonality!$C$83*AR71+AR73+AR49*AR177)-AR111</f>
        <v/>
      </c>
      <c r="AS237" s="50">
        <f>AS177-(AS21*Seasonality!$C$83*AS71+AS73+AS49*AS177)-AS111</f>
        <v/>
      </c>
      <c r="AT237" s="50">
        <f>AT177-(AT21*Seasonality!$C$83*AT71+AT73+AT49*AT177)-AT111</f>
        <v/>
      </c>
      <c r="AU237" s="50">
        <f>AU177-(AU21*Seasonality!$C$83*AU71+AU73+AU49*AU177)-AU111</f>
        <v/>
      </c>
      <c r="AV237" s="50">
        <f>AV177-(AV21*Seasonality!$C$83*AV71+AV73+AV49*AV177)-AV111</f>
        <v/>
      </c>
      <c r="AW237" s="50">
        <f>AW177-(AW21*Seasonality!$C$83*AW71+AW73+AW49*AW177)-AW111</f>
        <v/>
      </c>
      <c r="AX237" s="50">
        <f>AX177-(AX21*Seasonality!$C$83*AX71+AX73+AX49*AX177)-AX111</f>
        <v/>
      </c>
      <c r="AY237" s="50">
        <f>AY177-(AY21*Seasonality!$C$83*AY71+AY73+AY49*AY177)-AY111</f>
        <v/>
      </c>
      <c r="AZ237" s="50">
        <f>AZ177-(AZ21*Seasonality!$C$83*AZ71+AZ73+AZ49*AZ177)-AZ111</f>
        <v/>
      </c>
      <c r="BA237" s="50">
        <f>BA177-(BA21*Seasonality!$C$83*BA71+BA73+BA49*BA177)-BA111</f>
        <v/>
      </c>
      <c r="BB237" s="50">
        <f>BB177-(BB21*Seasonality!$C$83*BB71+BB73+BB49*BB177)-BB111</f>
        <v/>
      </c>
      <c r="BC237" s="50">
        <f>BC177-(BC21*Seasonality!$C$83*BC71+BC73+BC49*BC177)-BC111</f>
        <v/>
      </c>
      <c r="BD237" s="50">
        <f>BD177-(BD21*Seasonality!$C$83*BD71+BD73+BD49*BD177)-BD111</f>
        <v/>
      </c>
      <c r="BE237" s="50">
        <f>BE177-(BE21*Seasonality!$C$83*BE71+BE73+BE49*BE177)-BE111</f>
        <v/>
      </c>
    </row>
    <row r="238">
      <c r="B238" s="7" t="inlineStr">
        <is>
          <t>Contribution · month 48</t>
        </is>
      </c>
      <c r="C238" s="5" t="inlineStr">
        <is>
          <t>₹</t>
        </is>
      </c>
      <c r="D238" s="50">
        <f>D178-(D21*Seasonality!$C$84*D71+D73+D49*D178)-D111</f>
        <v/>
      </c>
      <c r="E238" s="50">
        <f>E178-(E21*Seasonality!$C$84*E71+E73+E49*E178)-E111</f>
        <v/>
      </c>
      <c r="F238" s="50">
        <f>F178-(F21*Seasonality!$C$84*F71+F73+F49*F178)-F111</f>
        <v/>
      </c>
      <c r="G238" s="50">
        <f>G178-(G21*Seasonality!$C$84*G71+G73+G49*G178)-G111</f>
        <v/>
      </c>
      <c r="H238" s="50">
        <f>H178-(H21*Seasonality!$C$84*H71+H73+H49*H178)-H111</f>
        <v/>
      </c>
      <c r="I238" s="50">
        <f>I178-(I21*Seasonality!$C$84*I71+I73+I49*I178)-I111</f>
        <v/>
      </c>
      <c r="J238" s="50">
        <f>J178-(J21*Seasonality!$C$84*J71+J73+J49*J178)-J111</f>
        <v/>
      </c>
      <c r="K238" s="50">
        <f>K178-(K21*Seasonality!$C$84*K71+K73+K49*K178)-K111</f>
        <v/>
      </c>
      <c r="L238" s="50">
        <f>L178-(L21*Seasonality!$C$84*L71+L73+L49*L178)-L111</f>
        <v/>
      </c>
      <c r="M238" s="50">
        <f>M178-(M21*Seasonality!$C$84*M71+M73+M49*M178)-M111</f>
        <v/>
      </c>
      <c r="N238" s="50">
        <f>N178-(N21*Seasonality!$C$84*N71+N73+N49*N178)-N111</f>
        <v/>
      </c>
      <c r="O238" s="50">
        <f>O178-(O21*Seasonality!$C$84*O71+O73+O49*O178)-O111</f>
        <v/>
      </c>
      <c r="P238" s="50">
        <f>P178-(P21*Seasonality!$C$84*P71+P73+P49*P178)-P111</f>
        <v/>
      </c>
      <c r="Q238" s="50">
        <f>Q178-(Q21*Seasonality!$C$84*Q71+Q73+Q49*Q178)-Q111</f>
        <v/>
      </c>
      <c r="R238" s="50">
        <f>R178-(R21*Seasonality!$C$84*R71+R73+R49*R178)-R111</f>
        <v/>
      </c>
      <c r="S238" s="50">
        <f>S178-(S21*Seasonality!$C$84*S71+S73+S49*S178)-S111</f>
        <v/>
      </c>
      <c r="T238" s="50">
        <f>T178-(T21*Seasonality!$C$84*T71+T73+T49*T178)-T111</f>
        <v/>
      </c>
      <c r="U238" s="50">
        <f>U178-(U21*Seasonality!$C$84*U71+U73+U49*U178)-U111</f>
        <v/>
      </c>
      <c r="V238" s="50">
        <f>V178-(V21*Seasonality!$C$84*V71+V73+V49*V178)-V111</f>
        <v/>
      </c>
      <c r="W238" s="50">
        <f>W178-(W21*Seasonality!$C$84*W71+W73+W49*W178)-W111</f>
        <v/>
      </c>
      <c r="X238" s="50">
        <f>X178-(X21*Seasonality!$C$84*X71+X73+X49*X178)-X111</f>
        <v/>
      </c>
      <c r="Y238" s="50">
        <f>Y178-(Y21*Seasonality!$C$84*Y71+Y73+Y49*Y178)-Y111</f>
        <v/>
      </c>
      <c r="Z238" s="50">
        <f>Z178-(Z21*Seasonality!$C$84*Z71+Z73+Z49*Z178)-Z111</f>
        <v/>
      </c>
      <c r="AA238" s="50">
        <f>AA178-(AA21*Seasonality!$C$84*AA71+AA73+AA49*AA178)-AA111</f>
        <v/>
      </c>
      <c r="AB238" s="50">
        <f>AB178-(AB21*Seasonality!$C$84*AB71+AB73+AB49*AB178)-AB111</f>
        <v/>
      </c>
      <c r="AC238" s="50">
        <f>AC178-(AC21*Seasonality!$C$84*AC71+AC73+AC49*AC178)-AC111</f>
        <v/>
      </c>
      <c r="AD238" s="50">
        <f>AD178-(AD21*Seasonality!$C$84*AD71+AD73+AD49*AD178)-AD111</f>
        <v/>
      </c>
      <c r="AE238" s="50">
        <f>AE178-(AE21*Seasonality!$C$84*AE71+AE73+AE49*AE178)-AE111</f>
        <v/>
      </c>
      <c r="AF238" s="50">
        <f>AF178-(AF21*Seasonality!$C$84*AF71+AF73+AF49*AF178)-AF111</f>
        <v/>
      </c>
      <c r="AG238" s="50">
        <f>AG178-(AG21*Seasonality!$C$84*AG71+AG73+AG49*AG178)-AG111</f>
        <v/>
      </c>
      <c r="AH238" s="50">
        <f>AH178-(AH21*Seasonality!$C$84*AH71+AH73+AH49*AH178)-AH111</f>
        <v/>
      </c>
      <c r="AI238" s="50">
        <f>AI178-(AI21*Seasonality!$C$84*AI71+AI73+AI49*AI178)-AI111</f>
        <v/>
      </c>
      <c r="AJ238" s="50">
        <f>AJ178-(AJ21*Seasonality!$C$84*AJ71+AJ73+AJ49*AJ178)-AJ111</f>
        <v/>
      </c>
      <c r="AK238" s="50">
        <f>AK178-(AK21*Seasonality!$C$84*AK71+AK73+AK49*AK178)-AK111</f>
        <v/>
      </c>
      <c r="AL238" s="50">
        <f>AL178-(AL21*Seasonality!$C$84*AL71+AL73+AL49*AL178)-AL111</f>
        <v/>
      </c>
      <c r="AM238" s="50">
        <f>AM178-(AM21*Seasonality!$C$84*AM71+AM73+AM49*AM178)-AM111</f>
        <v/>
      </c>
      <c r="AN238" s="50">
        <f>AN178-(AN21*Seasonality!$C$84*AN71+AN73+AN49*AN178)-AN111</f>
        <v/>
      </c>
      <c r="AO238" s="50">
        <f>AO178-(AO21*Seasonality!$C$84*AO71+AO73+AO49*AO178)-AO111</f>
        <v/>
      </c>
      <c r="AP238" s="50">
        <f>AP178-(AP21*Seasonality!$C$84*AP71+AP73+AP49*AP178)-AP111</f>
        <v/>
      </c>
      <c r="AQ238" s="50">
        <f>AQ178-(AQ21*Seasonality!$C$84*AQ71+AQ73+AQ49*AQ178)-AQ111</f>
        <v/>
      </c>
      <c r="AR238" s="50">
        <f>AR178-(AR21*Seasonality!$C$84*AR71+AR73+AR49*AR178)-AR111</f>
        <v/>
      </c>
      <c r="AS238" s="50">
        <f>AS178-(AS21*Seasonality!$C$84*AS71+AS73+AS49*AS178)-AS111</f>
        <v/>
      </c>
      <c r="AT238" s="50">
        <f>AT178-(AT21*Seasonality!$C$84*AT71+AT73+AT49*AT178)-AT111</f>
        <v/>
      </c>
      <c r="AU238" s="50">
        <f>AU178-(AU21*Seasonality!$C$84*AU71+AU73+AU49*AU178)-AU111</f>
        <v/>
      </c>
      <c r="AV238" s="50">
        <f>AV178-(AV21*Seasonality!$C$84*AV71+AV73+AV49*AV178)-AV111</f>
        <v/>
      </c>
      <c r="AW238" s="50">
        <f>AW178-(AW21*Seasonality!$C$84*AW71+AW73+AW49*AW178)-AW111</f>
        <v/>
      </c>
      <c r="AX238" s="50">
        <f>AX178-(AX21*Seasonality!$C$84*AX71+AX73+AX49*AX178)-AX111</f>
        <v/>
      </c>
      <c r="AY238" s="50">
        <f>AY178-(AY21*Seasonality!$C$84*AY71+AY73+AY49*AY178)-AY111</f>
        <v/>
      </c>
      <c r="AZ238" s="50">
        <f>AZ178-(AZ21*Seasonality!$C$84*AZ71+AZ73+AZ49*AZ178)-AZ111</f>
        <v/>
      </c>
      <c r="BA238" s="50">
        <f>BA178-(BA21*Seasonality!$C$84*BA71+BA73+BA49*BA178)-BA111</f>
        <v/>
      </c>
      <c r="BB238" s="50">
        <f>BB178-(BB21*Seasonality!$C$84*BB71+BB73+BB49*BB178)-BB111</f>
        <v/>
      </c>
      <c r="BC238" s="50">
        <f>BC178-(BC21*Seasonality!$C$84*BC71+BC73+BC49*BC178)-BC111</f>
        <v/>
      </c>
      <c r="BD238" s="50">
        <f>BD178-(BD21*Seasonality!$C$84*BD71+BD73+BD49*BD178)-BD111</f>
        <v/>
      </c>
      <c r="BE238" s="50">
        <f>BE178-(BE21*Seasonality!$C$84*BE71+BE73+BE49*BE178)-BE111</f>
        <v/>
      </c>
    </row>
    <row r="239">
      <c r="B239" s="7" t="inlineStr">
        <is>
          <t>Contribution · month 49</t>
        </is>
      </c>
      <c r="C239" s="5" t="inlineStr">
        <is>
          <t>₹</t>
        </is>
      </c>
      <c r="D239" s="50">
        <f>D179-(D21*Seasonality!$C$85*D71+D73+D49*D179)-D111</f>
        <v/>
      </c>
      <c r="E239" s="50">
        <f>E179-(E21*Seasonality!$C$85*E71+E73+E49*E179)-E111</f>
        <v/>
      </c>
      <c r="F239" s="50">
        <f>F179-(F21*Seasonality!$C$85*F71+F73+F49*F179)-F111</f>
        <v/>
      </c>
      <c r="G239" s="50">
        <f>G179-(G21*Seasonality!$C$85*G71+G73+G49*G179)-G111</f>
        <v/>
      </c>
      <c r="H239" s="50">
        <f>H179-(H21*Seasonality!$C$85*H71+H73+H49*H179)-H111</f>
        <v/>
      </c>
      <c r="I239" s="50">
        <f>I179-(I21*Seasonality!$C$85*I71+I73+I49*I179)-I111</f>
        <v/>
      </c>
      <c r="J239" s="50">
        <f>J179-(J21*Seasonality!$C$85*J71+J73+J49*J179)-J111</f>
        <v/>
      </c>
      <c r="K239" s="50">
        <f>K179-(K21*Seasonality!$C$85*K71+K73+K49*K179)-K111</f>
        <v/>
      </c>
      <c r="L239" s="50">
        <f>L179-(L21*Seasonality!$C$85*L71+L73+L49*L179)-L111</f>
        <v/>
      </c>
      <c r="M239" s="50">
        <f>M179-(M21*Seasonality!$C$85*M71+M73+M49*M179)-M111</f>
        <v/>
      </c>
      <c r="N239" s="50">
        <f>N179-(N21*Seasonality!$C$85*N71+N73+N49*N179)-N111</f>
        <v/>
      </c>
      <c r="O239" s="50">
        <f>O179-(O21*Seasonality!$C$85*O71+O73+O49*O179)-O111</f>
        <v/>
      </c>
      <c r="P239" s="50">
        <f>P179-(P21*Seasonality!$C$85*P71+P73+P49*P179)-P111</f>
        <v/>
      </c>
      <c r="Q239" s="50">
        <f>Q179-(Q21*Seasonality!$C$85*Q71+Q73+Q49*Q179)-Q111</f>
        <v/>
      </c>
      <c r="R239" s="50">
        <f>R179-(R21*Seasonality!$C$85*R71+R73+R49*R179)-R111</f>
        <v/>
      </c>
      <c r="S239" s="50">
        <f>S179-(S21*Seasonality!$C$85*S71+S73+S49*S179)-S111</f>
        <v/>
      </c>
      <c r="T239" s="50">
        <f>T179-(T21*Seasonality!$C$85*T71+T73+T49*T179)-T111</f>
        <v/>
      </c>
      <c r="U239" s="50">
        <f>U179-(U21*Seasonality!$C$85*U71+U73+U49*U179)-U111</f>
        <v/>
      </c>
      <c r="V239" s="50">
        <f>V179-(V21*Seasonality!$C$85*V71+V73+V49*V179)-V111</f>
        <v/>
      </c>
      <c r="W239" s="50">
        <f>W179-(W21*Seasonality!$C$85*W71+W73+W49*W179)-W111</f>
        <v/>
      </c>
      <c r="X239" s="50">
        <f>X179-(X21*Seasonality!$C$85*X71+X73+X49*X179)-X111</f>
        <v/>
      </c>
      <c r="Y239" s="50">
        <f>Y179-(Y21*Seasonality!$C$85*Y71+Y73+Y49*Y179)-Y111</f>
        <v/>
      </c>
      <c r="Z239" s="50">
        <f>Z179-(Z21*Seasonality!$C$85*Z71+Z73+Z49*Z179)-Z111</f>
        <v/>
      </c>
      <c r="AA239" s="50">
        <f>AA179-(AA21*Seasonality!$C$85*AA71+AA73+AA49*AA179)-AA111</f>
        <v/>
      </c>
      <c r="AB239" s="50">
        <f>AB179-(AB21*Seasonality!$C$85*AB71+AB73+AB49*AB179)-AB111</f>
        <v/>
      </c>
      <c r="AC239" s="50">
        <f>AC179-(AC21*Seasonality!$C$85*AC71+AC73+AC49*AC179)-AC111</f>
        <v/>
      </c>
      <c r="AD239" s="50">
        <f>AD179-(AD21*Seasonality!$C$85*AD71+AD73+AD49*AD179)-AD111</f>
        <v/>
      </c>
      <c r="AE239" s="50">
        <f>AE179-(AE21*Seasonality!$C$85*AE71+AE73+AE49*AE179)-AE111</f>
        <v/>
      </c>
      <c r="AF239" s="50">
        <f>AF179-(AF21*Seasonality!$C$85*AF71+AF73+AF49*AF179)-AF111</f>
        <v/>
      </c>
      <c r="AG239" s="50">
        <f>AG179-(AG21*Seasonality!$C$85*AG71+AG73+AG49*AG179)-AG111</f>
        <v/>
      </c>
      <c r="AH239" s="50">
        <f>AH179-(AH21*Seasonality!$C$85*AH71+AH73+AH49*AH179)-AH111</f>
        <v/>
      </c>
      <c r="AI239" s="50">
        <f>AI179-(AI21*Seasonality!$C$85*AI71+AI73+AI49*AI179)-AI111</f>
        <v/>
      </c>
      <c r="AJ239" s="50">
        <f>AJ179-(AJ21*Seasonality!$C$85*AJ71+AJ73+AJ49*AJ179)-AJ111</f>
        <v/>
      </c>
      <c r="AK239" s="50">
        <f>AK179-(AK21*Seasonality!$C$85*AK71+AK73+AK49*AK179)-AK111</f>
        <v/>
      </c>
      <c r="AL239" s="50">
        <f>AL179-(AL21*Seasonality!$C$85*AL71+AL73+AL49*AL179)-AL111</f>
        <v/>
      </c>
      <c r="AM239" s="50">
        <f>AM179-(AM21*Seasonality!$C$85*AM71+AM73+AM49*AM179)-AM111</f>
        <v/>
      </c>
      <c r="AN239" s="50">
        <f>AN179-(AN21*Seasonality!$C$85*AN71+AN73+AN49*AN179)-AN111</f>
        <v/>
      </c>
      <c r="AO239" s="50">
        <f>AO179-(AO21*Seasonality!$C$85*AO71+AO73+AO49*AO179)-AO111</f>
        <v/>
      </c>
      <c r="AP239" s="50">
        <f>AP179-(AP21*Seasonality!$C$85*AP71+AP73+AP49*AP179)-AP111</f>
        <v/>
      </c>
      <c r="AQ239" s="50">
        <f>AQ179-(AQ21*Seasonality!$C$85*AQ71+AQ73+AQ49*AQ179)-AQ111</f>
        <v/>
      </c>
      <c r="AR239" s="50">
        <f>AR179-(AR21*Seasonality!$C$85*AR71+AR73+AR49*AR179)-AR111</f>
        <v/>
      </c>
      <c r="AS239" s="50">
        <f>AS179-(AS21*Seasonality!$C$85*AS71+AS73+AS49*AS179)-AS111</f>
        <v/>
      </c>
      <c r="AT239" s="50">
        <f>AT179-(AT21*Seasonality!$C$85*AT71+AT73+AT49*AT179)-AT111</f>
        <v/>
      </c>
      <c r="AU239" s="50">
        <f>AU179-(AU21*Seasonality!$C$85*AU71+AU73+AU49*AU179)-AU111</f>
        <v/>
      </c>
      <c r="AV239" s="50">
        <f>AV179-(AV21*Seasonality!$C$85*AV71+AV73+AV49*AV179)-AV111</f>
        <v/>
      </c>
      <c r="AW239" s="50">
        <f>AW179-(AW21*Seasonality!$C$85*AW71+AW73+AW49*AW179)-AW111</f>
        <v/>
      </c>
      <c r="AX239" s="50">
        <f>AX179-(AX21*Seasonality!$C$85*AX71+AX73+AX49*AX179)-AX111</f>
        <v/>
      </c>
      <c r="AY239" s="50">
        <f>AY179-(AY21*Seasonality!$C$85*AY71+AY73+AY49*AY179)-AY111</f>
        <v/>
      </c>
      <c r="AZ239" s="50">
        <f>AZ179-(AZ21*Seasonality!$C$85*AZ71+AZ73+AZ49*AZ179)-AZ111</f>
        <v/>
      </c>
      <c r="BA239" s="50">
        <f>BA179-(BA21*Seasonality!$C$85*BA71+BA73+BA49*BA179)-BA111</f>
        <v/>
      </c>
      <c r="BB239" s="50">
        <f>BB179-(BB21*Seasonality!$C$85*BB71+BB73+BB49*BB179)-BB111</f>
        <v/>
      </c>
      <c r="BC239" s="50">
        <f>BC179-(BC21*Seasonality!$C$85*BC71+BC73+BC49*BC179)-BC111</f>
        <v/>
      </c>
      <c r="BD239" s="50">
        <f>BD179-(BD21*Seasonality!$C$85*BD71+BD73+BD49*BD179)-BD111</f>
        <v/>
      </c>
      <c r="BE239" s="50">
        <f>BE179-(BE21*Seasonality!$C$85*BE71+BE73+BE49*BE179)-BE111</f>
        <v/>
      </c>
    </row>
    <row r="240">
      <c r="B240" s="7" t="inlineStr">
        <is>
          <t>Contribution · month 50</t>
        </is>
      </c>
      <c r="C240" s="5" t="inlineStr">
        <is>
          <t>₹</t>
        </is>
      </c>
      <c r="D240" s="50">
        <f>D180-(D21*Seasonality!$C$86*D71+D73+D49*D180)-D111</f>
        <v/>
      </c>
      <c r="E240" s="50">
        <f>E180-(E21*Seasonality!$C$86*E71+E73+E49*E180)-E111</f>
        <v/>
      </c>
      <c r="F240" s="50">
        <f>F180-(F21*Seasonality!$C$86*F71+F73+F49*F180)-F111</f>
        <v/>
      </c>
      <c r="G240" s="50">
        <f>G180-(G21*Seasonality!$C$86*G71+G73+G49*G180)-G111</f>
        <v/>
      </c>
      <c r="H240" s="50">
        <f>H180-(H21*Seasonality!$C$86*H71+H73+H49*H180)-H111</f>
        <v/>
      </c>
      <c r="I240" s="50">
        <f>I180-(I21*Seasonality!$C$86*I71+I73+I49*I180)-I111</f>
        <v/>
      </c>
      <c r="J240" s="50">
        <f>J180-(J21*Seasonality!$C$86*J71+J73+J49*J180)-J111</f>
        <v/>
      </c>
      <c r="K240" s="50">
        <f>K180-(K21*Seasonality!$C$86*K71+K73+K49*K180)-K111</f>
        <v/>
      </c>
      <c r="L240" s="50">
        <f>L180-(L21*Seasonality!$C$86*L71+L73+L49*L180)-L111</f>
        <v/>
      </c>
      <c r="M240" s="50">
        <f>M180-(M21*Seasonality!$C$86*M71+M73+M49*M180)-M111</f>
        <v/>
      </c>
      <c r="N240" s="50">
        <f>N180-(N21*Seasonality!$C$86*N71+N73+N49*N180)-N111</f>
        <v/>
      </c>
      <c r="O240" s="50">
        <f>O180-(O21*Seasonality!$C$86*O71+O73+O49*O180)-O111</f>
        <v/>
      </c>
      <c r="P240" s="50">
        <f>P180-(P21*Seasonality!$C$86*P71+P73+P49*P180)-P111</f>
        <v/>
      </c>
      <c r="Q240" s="50">
        <f>Q180-(Q21*Seasonality!$C$86*Q71+Q73+Q49*Q180)-Q111</f>
        <v/>
      </c>
      <c r="R240" s="50">
        <f>R180-(R21*Seasonality!$C$86*R71+R73+R49*R180)-R111</f>
        <v/>
      </c>
      <c r="S240" s="50">
        <f>S180-(S21*Seasonality!$C$86*S71+S73+S49*S180)-S111</f>
        <v/>
      </c>
      <c r="T240" s="50">
        <f>T180-(T21*Seasonality!$C$86*T71+T73+T49*T180)-T111</f>
        <v/>
      </c>
      <c r="U240" s="50">
        <f>U180-(U21*Seasonality!$C$86*U71+U73+U49*U180)-U111</f>
        <v/>
      </c>
      <c r="V240" s="50">
        <f>V180-(V21*Seasonality!$C$86*V71+V73+V49*V180)-V111</f>
        <v/>
      </c>
      <c r="W240" s="50">
        <f>W180-(W21*Seasonality!$C$86*W71+W73+W49*W180)-W111</f>
        <v/>
      </c>
      <c r="X240" s="50">
        <f>X180-(X21*Seasonality!$C$86*X71+X73+X49*X180)-X111</f>
        <v/>
      </c>
      <c r="Y240" s="50">
        <f>Y180-(Y21*Seasonality!$C$86*Y71+Y73+Y49*Y180)-Y111</f>
        <v/>
      </c>
      <c r="Z240" s="50">
        <f>Z180-(Z21*Seasonality!$C$86*Z71+Z73+Z49*Z180)-Z111</f>
        <v/>
      </c>
      <c r="AA240" s="50">
        <f>AA180-(AA21*Seasonality!$C$86*AA71+AA73+AA49*AA180)-AA111</f>
        <v/>
      </c>
      <c r="AB240" s="50">
        <f>AB180-(AB21*Seasonality!$C$86*AB71+AB73+AB49*AB180)-AB111</f>
        <v/>
      </c>
      <c r="AC240" s="50">
        <f>AC180-(AC21*Seasonality!$C$86*AC71+AC73+AC49*AC180)-AC111</f>
        <v/>
      </c>
      <c r="AD240" s="50">
        <f>AD180-(AD21*Seasonality!$C$86*AD71+AD73+AD49*AD180)-AD111</f>
        <v/>
      </c>
      <c r="AE240" s="50">
        <f>AE180-(AE21*Seasonality!$C$86*AE71+AE73+AE49*AE180)-AE111</f>
        <v/>
      </c>
      <c r="AF240" s="50">
        <f>AF180-(AF21*Seasonality!$C$86*AF71+AF73+AF49*AF180)-AF111</f>
        <v/>
      </c>
      <c r="AG240" s="50">
        <f>AG180-(AG21*Seasonality!$C$86*AG71+AG73+AG49*AG180)-AG111</f>
        <v/>
      </c>
      <c r="AH240" s="50">
        <f>AH180-(AH21*Seasonality!$C$86*AH71+AH73+AH49*AH180)-AH111</f>
        <v/>
      </c>
      <c r="AI240" s="50">
        <f>AI180-(AI21*Seasonality!$C$86*AI71+AI73+AI49*AI180)-AI111</f>
        <v/>
      </c>
      <c r="AJ240" s="50">
        <f>AJ180-(AJ21*Seasonality!$C$86*AJ71+AJ73+AJ49*AJ180)-AJ111</f>
        <v/>
      </c>
      <c r="AK240" s="50">
        <f>AK180-(AK21*Seasonality!$C$86*AK71+AK73+AK49*AK180)-AK111</f>
        <v/>
      </c>
      <c r="AL240" s="50">
        <f>AL180-(AL21*Seasonality!$C$86*AL71+AL73+AL49*AL180)-AL111</f>
        <v/>
      </c>
      <c r="AM240" s="50">
        <f>AM180-(AM21*Seasonality!$C$86*AM71+AM73+AM49*AM180)-AM111</f>
        <v/>
      </c>
      <c r="AN240" s="50">
        <f>AN180-(AN21*Seasonality!$C$86*AN71+AN73+AN49*AN180)-AN111</f>
        <v/>
      </c>
      <c r="AO240" s="50">
        <f>AO180-(AO21*Seasonality!$C$86*AO71+AO73+AO49*AO180)-AO111</f>
        <v/>
      </c>
      <c r="AP240" s="50">
        <f>AP180-(AP21*Seasonality!$C$86*AP71+AP73+AP49*AP180)-AP111</f>
        <v/>
      </c>
      <c r="AQ240" s="50">
        <f>AQ180-(AQ21*Seasonality!$C$86*AQ71+AQ73+AQ49*AQ180)-AQ111</f>
        <v/>
      </c>
      <c r="AR240" s="50">
        <f>AR180-(AR21*Seasonality!$C$86*AR71+AR73+AR49*AR180)-AR111</f>
        <v/>
      </c>
      <c r="AS240" s="50">
        <f>AS180-(AS21*Seasonality!$C$86*AS71+AS73+AS49*AS180)-AS111</f>
        <v/>
      </c>
      <c r="AT240" s="50">
        <f>AT180-(AT21*Seasonality!$C$86*AT71+AT73+AT49*AT180)-AT111</f>
        <v/>
      </c>
      <c r="AU240" s="50">
        <f>AU180-(AU21*Seasonality!$C$86*AU71+AU73+AU49*AU180)-AU111</f>
        <v/>
      </c>
      <c r="AV240" s="50">
        <f>AV180-(AV21*Seasonality!$C$86*AV71+AV73+AV49*AV180)-AV111</f>
        <v/>
      </c>
      <c r="AW240" s="50">
        <f>AW180-(AW21*Seasonality!$C$86*AW71+AW73+AW49*AW180)-AW111</f>
        <v/>
      </c>
      <c r="AX240" s="50">
        <f>AX180-(AX21*Seasonality!$C$86*AX71+AX73+AX49*AX180)-AX111</f>
        <v/>
      </c>
      <c r="AY240" s="50">
        <f>AY180-(AY21*Seasonality!$C$86*AY71+AY73+AY49*AY180)-AY111</f>
        <v/>
      </c>
      <c r="AZ240" s="50">
        <f>AZ180-(AZ21*Seasonality!$C$86*AZ71+AZ73+AZ49*AZ180)-AZ111</f>
        <v/>
      </c>
      <c r="BA240" s="50">
        <f>BA180-(BA21*Seasonality!$C$86*BA71+BA73+BA49*BA180)-BA111</f>
        <v/>
      </c>
      <c r="BB240" s="50">
        <f>BB180-(BB21*Seasonality!$C$86*BB71+BB73+BB49*BB180)-BB111</f>
        <v/>
      </c>
      <c r="BC240" s="50">
        <f>BC180-(BC21*Seasonality!$C$86*BC71+BC73+BC49*BC180)-BC111</f>
        <v/>
      </c>
      <c r="BD240" s="50">
        <f>BD180-(BD21*Seasonality!$C$86*BD71+BD73+BD49*BD180)-BD111</f>
        <v/>
      </c>
      <c r="BE240" s="50">
        <f>BE180-(BE21*Seasonality!$C$86*BE71+BE73+BE49*BE180)-BE111</f>
        <v/>
      </c>
    </row>
    <row r="241">
      <c r="B241" s="7" t="inlineStr">
        <is>
          <t>Contribution · month 51</t>
        </is>
      </c>
      <c r="C241" s="5" t="inlineStr">
        <is>
          <t>₹</t>
        </is>
      </c>
      <c r="D241" s="50">
        <f>D181-(D21*Seasonality!$C$87*D71+D73+D49*D181)-D111</f>
        <v/>
      </c>
      <c r="E241" s="50">
        <f>E181-(E21*Seasonality!$C$87*E71+E73+E49*E181)-E111</f>
        <v/>
      </c>
      <c r="F241" s="50">
        <f>F181-(F21*Seasonality!$C$87*F71+F73+F49*F181)-F111</f>
        <v/>
      </c>
      <c r="G241" s="50">
        <f>G181-(G21*Seasonality!$C$87*G71+G73+G49*G181)-G111</f>
        <v/>
      </c>
      <c r="H241" s="50">
        <f>H181-(H21*Seasonality!$C$87*H71+H73+H49*H181)-H111</f>
        <v/>
      </c>
      <c r="I241" s="50">
        <f>I181-(I21*Seasonality!$C$87*I71+I73+I49*I181)-I111</f>
        <v/>
      </c>
      <c r="J241" s="50">
        <f>J181-(J21*Seasonality!$C$87*J71+J73+J49*J181)-J111</f>
        <v/>
      </c>
      <c r="K241" s="50">
        <f>K181-(K21*Seasonality!$C$87*K71+K73+K49*K181)-K111</f>
        <v/>
      </c>
      <c r="L241" s="50">
        <f>L181-(L21*Seasonality!$C$87*L71+L73+L49*L181)-L111</f>
        <v/>
      </c>
      <c r="M241" s="50">
        <f>M181-(M21*Seasonality!$C$87*M71+M73+M49*M181)-M111</f>
        <v/>
      </c>
      <c r="N241" s="50">
        <f>N181-(N21*Seasonality!$C$87*N71+N73+N49*N181)-N111</f>
        <v/>
      </c>
      <c r="O241" s="50">
        <f>O181-(O21*Seasonality!$C$87*O71+O73+O49*O181)-O111</f>
        <v/>
      </c>
      <c r="P241" s="50">
        <f>P181-(P21*Seasonality!$C$87*P71+P73+P49*P181)-P111</f>
        <v/>
      </c>
      <c r="Q241" s="50">
        <f>Q181-(Q21*Seasonality!$C$87*Q71+Q73+Q49*Q181)-Q111</f>
        <v/>
      </c>
      <c r="R241" s="50">
        <f>R181-(R21*Seasonality!$C$87*R71+R73+R49*R181)-R111</f>
        <v/>
      </c>
      <c r="S241" s="50">
        <f>S181-(S21*Seasonality!$C$87*S71+S73+S49*S181)-S111</f>
        <v/>
      </c>
      <c r="T241" s="50">
        <f>T181-(T21*Seasonality!$C$87*T71+T73+T49*T181)-T111</f>
        <v/>
      </c>
      <c r="U241" s="50">
        <f>U181-(U21*Seasonality!$C$87*U71+U73+U49*U181)-U111</f>
        <v/>
      </c>
      <c r="V241" s="50">
        <f>V181-(V21*Seasonality!$C$87*V71+V73+V49*V181)-V111</f>
        <v/>
      </c>
      <c r="W241" s="50">
        <f>W181-(W21*Seasonality!$C$87*W71+W73+W49*W181)-W111</f>
        <v/>
      </c>
      <c r="X241" s="50">
        <f>X181-(X21*Seasonality!$C$87*X71+X73+X49*X181)-X111</f>
        <v/>
      </c>
      <c r="Y241" s="50">
        <f>Y181-(Y21*Seasonality!$C$87*Y71+Y73+Y49*Y181)-Y111</f>
        <v/>
      </c>
      <c r="Z241" s="50">
        <f>Z181-(Z21*Seasonality!$C$87*Z71+Z73+Z49*Z181)-Z111</f>
        <v/>
      </c>
      <c r="AA241" s="50">
        <f>AA181-(AA21*Seasonality!$C$87*AA71+AA73+AA49*AA181)-AA111</f>
        <v/>
      </c>
      <c r="AB241" s="50">
        <f>AB181-(AB21*Seasonality!$C$87*AB71+AB73+AB49*AB181)-AB111</f>
        <v/>
      </c>
      <c r="AC241" s="50">
        <f>AC181-(AC21*Seasonality!$C$87*AC71+AC73+AC49*AC181)-AC111</f>
        <v/>
      </c>
      <c r="AD241" s="50">
        <f>AD181-(AD21*Seasonality!$C$87*AD71+AD73+AD49*AD181)-AD111</f>
        <v/>
      </c>
      <c r="AE241" s="50">
        <f>AE181-(AE21*Seasonality!$C$87*AE71+AE73+AE49*AE181)-AE111</f>
        <v/>
      </c>
      <c r="AF241" s="50">
        <f>AF181-(AF21*Seasonality!$C$87*AF71+AF73+AF49*AF181)-AF111</f>
        <v/>
      </c>
      <c r="AG241" s="50">
        <f>AG181-(AG21*Seasonality!$C$87*AG71+AG73+AG49*AG181)-AG111</f>
        <v/>
      </c>
      <c r="AH241" s="50">
        <f>AH181-(AH21*Seasonality!$C$87*AH71+AH73+AH49*AH181)-AH111</f>
        <v/>
      </c>
      <c r="AI241" s="50">
        <f>AI181-(AI21*Seasonality!$C$87*AI71+AI73+AI49*AI181)-AI111</f>
        <v/>
      </c>
      <c r="AJ241" s="50">
        <f>AJ181-(AJ21*Seasonality!$C$87*AJ71+AJ73+AJ49*AJ181)-AJ111</f>
        <v/>
      </c>
      <c r="AK241" s="50">
        <f>AK181-(AK21*Seasonality!$C$87*AK71+AK73+AK49*AK181)-AK111</f>
        <v/>
      </c>
      <c r="AL241" s="50">
        <f>AL181-(AL21*Seasonality!$C$87*AL71+AL73+AL49*AL181)-AL111</f>
        <v/>
      </c>
      <c r="AM241" s="50">
        <f>AM181-(AM21*Seasonality!$C$87*AM71+AM73+AM49*AM181)-AM111</f>
        <v/>
      </c>
      <c r="AN241" s="50">
        <f>AN181-(AN21*Seasonality!$C$87*AN71+AN73+AN49*AN181)-AN111</f>
        <v/>
      </c>
      <c r="AO241" s="50">
        <f>AO181-(AO21*Seasonality!$C$87*AO71+AO73+AO49*AO181)-AO111</f>
        <v/>
      </c>
      <c r="AP241" s="50">
        <f>AP181-(AP21*Seasonality!$C$87*AP71+AP73+AP49*AP181)-AP111</f>
        <v/>
      </c>
      <c r="AQ241" s="50">
        <f>AQ181-(AQ21*Seasonality!$C$87*AQ71+AQ73+AQ49*AQ181)-AQ111</f>
        <v/>
      </c>
      <c r="AR241" s="50">
        <f>AR181-(AR21*Seasonality!$C$87*AR71+AR73+AR49*AR181)-AR111</f>
        <v/>
      </c>
      <c r="AS241" s="50">
        <f>AS181-(AS21*Seasonality!$C$87*AS71+AS73+AS49*AS181)-AS111</f>
        <v/>
      </c>
      <c r="AT241" s="50">
        <f>AT181-(AT21*Seasonality!$C$87*AT71+AT73+AT49*AT181)-AT111</f>
        <v/>
      </c>
      <c r="AU241" s="50">
        <f>AU181-(AU21*Seasonality!$C$87*AU71+AU73+AU49*AU181)-AU111</f>
        <v/>
      </c>
      <c r="AV241" s="50">
        <f>AV181-(AV21*Seasonality!$C$87*AV71+AV73+AV49*AV181)-AV111</f>
        <v/>
      </c>
      <c r="AW241" s="50">
        <f>AW181-(AW21*Seasonality!$C$87*AW71+AW73+AW49*AW181)-AW111</f>
        <v/>
      </c>
      <c r="AX241" s="50">
        <f>AX181-(AX21*Seasonality!$C$87*AX71+AX73+AX49*AX181)-AX111</f>
        <v/>
      </c>
      <c r="AY241" s="50">
        <f>AY181-(AY21*Seasonality!$C$87*AY71+AY73+AY49*AY181)-AY111</f>
        <v/>
      </c>
      <c r="AZ241" s="50">
        <f>AZ181-(AZ21*Seasonality!$C$87*AZ71+AZ73+AZ49*AZ181)-AZ111</f>
        <v/>
      </c>
      <c r="BA241" s="50">
        <f>BA181-(BA21*Seasonality!$C$87*BA71+BA73+BA49*BA181)-BA111</f>
        <v/>
      </c>
      <c r="BB241" s="50">
        <f>BB181-(BB21*Seasonality!$C$87*BB71+BB73+BB49*BB181)-BB111</f>
        <v/>
      </c>
      <c r="BC241" s="50">
        <f>BC181-(BC21*Seasonality!$C$87*BC71+BC73+BC49*BC181)-BC111</f>
        <v/>
      </c>
      <c r="BD241" s="50">
        <f>BD181-(BD21*Seasonality!$C$87*BD71+BD73+BD49*BD181)-BD111</f>
        <v/>
      </c>
      <c r="BE241" s="50">
        <f>BE181-(BE21*Seasonality!$C$87*BE71+BE73+BE49*BE181)-BE111</f>
        <v/>
      </c>
    </row>
    <row r="242">
      <c r="B242" s="7" t="inlineStr">
        <is>
          <t>Contribution · month 52</t>
        </is>
      </c>
      <c r="C242" s="5" t="inlineStr">
        <is>
          <t>₹</t>
        </is>
      </c>
      <c r="D242" s="50">
        <f>D182-(D21*Seasonality!$C$88*D71+D73+D49*D182)-D111</f>
        <v/>
      </c>
      <c r="E242" s="50">
        <f>E182-(E21*Seasonality!$C$88*E71+E73+E49*E182)-E111</f>
        <v/>
      </c>
      <c r="F242" s="50">
        <f>F182-(F21*Seasonality!$C$88*F71+F73+F49*F182)-F111</f>
        <v/>
      </c>
      <c r="G242" s="50">
        <f>G182-(G21*Seasonality!$C$88*G71+G73+G49*G182)-G111</f>
        <v/>
      </c>
      <c r="H242" s="50">
        <f>H182-(H21*Seasonality!$C$88*H71+H73+H49*H182)-H111</f>
        <v/>
      </c>
      <c r="I242" s="50">
        <f>I182-(I21*Seasonality!$C$88*I71+I73+I49*I182)-I111</f>
        <v/>
      </c>
      <c r="J242" s="50">
        <f>J182-(J21*Seasonality!$C$88*J71+J73+J49*J182)-J111</f>
        <v/>
      </c>
      <c r="K242" s="50">
        <f>K182-(K21*Seasonality!$C$88*K71+K73+K49*K182)-K111</f>
        <v/>
      </c>
      <c r="L242" s="50">
        <f>L182-(L21*Seasonality!$C$88*L71+L73+L49*L182)-L111</f>
        <v/>
      </c>
      <c r="M242" s="50">
        <f>M182-(M21*Seasonality!$C$88*M71+M73+M49*M182)-M111</f>
        <v/>
      </c>
      <c r="N242" s="50">
        <f>N182-(N21*Seasonality!$C$88*N71+N73+N49*N182)-N111</f>
        <v/>
      </c>
      <c r="O242" s="50">
        <f>O182-(O21*Seasonality!$C$88*O71+O73+O49*O182)-O111</f>
        <v/>
      </c>
      <c r="P242" s="50">
        <f>P182-(P21*Seasonality!$C$88*P71+P73+P49*P182)-P111</f>
        <v/>
      </c>
      <c r="Q242" s="50">
        <f>Q182-(Q21*Seasonality!$C$88*Q71+Q73+Q49*Q182)-Q111</f>
        <v/>
      </c>
      <c r="R242" s="50">
        <f>R182-(R21*Seasonality!$C$88*R71+R73+R49*R182)-R111</f>
        <v/>
      </c>
      <c r="S242" s="50">
        <f>S182-(S21*Seasonality!$C$88*S71+S73+S49*S182)-S111</f>
        <v/>
      </c>
      <c r="T242" s="50">
        <f>T182-(T21*Seasonality!$C$88*T71+T73+T49*T182)-T111</f>
        <v/>
      </c>
      <c r="U242" s="50">
        <f>U182-(U21*Seasonality!$C$88*U71+U73+U49*U182)-U111</f>
        <v/>
      </c>
      <c r="V242" s="50">
        <f>V182-(V21*Seasonality!$C$88*V71+V73+V49*V182)-V111</f>
        <v/>
      </c>
      <c r="W242" s="50">
        <f>W182-(W21*Seasonality!$C$88*W71+W73+W49*W182)-W111</f>
        <v/>
      </c>
      <c r="X242" s="50">
        <f>X182-(X21*Seasonality!$C$88*X71+X73+X49*X182)-X111</f>
        <v/>
      </c>
      <c r="Y242" s="50">
        <f>Y182-(Y21*Seasonality!$C$88*Y71+Y73+Y49*Y182)-Y111</f>
        <v/>
      </c>
      <c r="Z242" s="50">
        <f>Z182-(Z21*Seasonality!$C$88*Z71+Z73+Z49*Z182)-Z111</f>
        <v/>
      </c>
      <c r="AA242" s="50">
        <f>AA182-(AA21*Seasonality!$C$88*AA71+AA73+AA49*AA182)-AA111</f>
        <v/>
      </c>
      <c r="AB242" s="50">
        <f>AB182-(AB21*Seasonality!$C$88*AB71+AB73+AB49*AB182)-AB111</f>
        <v/>
      </c>
      <c r="AC242" s="50">
        <f>AC182-(AC21*Seasonality!$C$88*AC71+AC73+AC49*AC182)-AC111</f>
        <v/>
      </c>
      <c r="AD242" s="50">
        <f>AD182-(AD21*Seasonality!$C$88*AD71+AD73+AD49*AD182)-AD111</f>
        <v/>
      </c>
      <c r="AE242" s="50">
        <f>AE182-(AE21*Seasonality!$C$88*AE71+AE73+AE49*AE182)-AE111</f>
        <v/>
      </c>
      <c r="AF242" s="50">
        <f>AF182-(AF21*Seasonality!$C$88*AF71+AF73+AF49*AF182)-AF111</f>
        <v/>
      </c>
      <c r="AG242" s="50">
        <f>AG182-(AG21*Seasonality!$C$88*AG71+AG73+AG49*AG182)-AG111</f>
        <v/>
      </c>
      <c r="AH242" s="50">
        <f>AH182-(AH21*Seasonality!$C$88*AH71+AH73+AH49*AH182)-AH111</f>
        <v/>
      </c>
      <c r="AI242" s="50">
        <f>AI182-(AI21*Seasonality!$C$88*AI71+AI73+AI49*AI182)-AI111</f>
        <v/>
      </c>
      <c r="AJ242" s="50">
        <f>AJ182-(AJ21*Seasonality!$C$88*AJ71+AJ73+AJ49*AJ182)-AJ111</f>
        <v/>
      </c>
      <c r="AK242" s="50">
        <f>AK182-(AK21*Seasonality!$C$88*AK71+AK73+AK49*AK182)-AK111</f>
        <v/>
      </c>
      <c r="AL242" s="50">
        <f>AL182-(AL21*Seasonality!$C$88*AL71+AL73+AL49*AL182)-AL111</f>
        <v/>
      </c>
      <c r="AM242" s="50">
        <f>AM182-(AM21*Seasonality!$C$88*AM71+AM73+AM49*AM182)-AM111</f>
        <v/>
      </c>
      <c r="AN242" s="50">
        <f>AN182-(AN21*Seasonality!$C$88*AN71+AN73+AN49*AN182)-AN111</f>
        <v/>
      </c>
      <c r="AO242" s="50">
        <f>AO182-(AO21*Seasonality!$C$88*AO71+AO73+AO49*AO182)-AO111</f>
        <v/>
      </c>
      <c r="AP242" s="50">
        <f>AP182-(AP21*Seasonality!$C$88*AP71+AP73+AP49*AP182)-AP111</f>
        <v/>
      </c>
      <c r="AQ242" s="50">
        <f>AQ182-(AQ21*Seasonality!$C$88*AQ71+AQ73+AQ49*AQ182)-AQ111</f>
        <v/>
      </c>
      <c r="AR242" s="50">
        <f>AR182-(AR21*Seasonality!$C$88*AR71+AR73+AR49*AR182)-AR111</f>
        <v/>
      </c>
      <c r="AS242" s="50">
        <f>AS182-(AS21*Seasonality!$C$88*AS71+AS73+AS49*AS182)-AS111</f>
        <v/>
      </c>
      <c r="AT242" s="50">
        <f>AT182-(AT21*Seasonality!$C$88*AT71+AT73+AT49*AT182)-AT111</f>
        <v/>
      </c>
      <c r="AU242" s="50">
        <f>AU182-(AU21*Seasonality!$C$88*AU71+AU73+AU49*AU182)-AU111</f>
        <v/>
      </c>
      <c r="AV242" s="50">
        <f>AV182-(AV21*Seasonality!$C$88*AV71+AV73+AV49*AV182)-AV111</f>
        <v/>
      </c>
      <c r="AW242" s="50">
        <f>AW182-(AW21*Seasonality!$C$88*AW71+AW73+AW49*AW182)-AW111</f>
        <v/>
      </c>
      <c r="AX242" s="50">
        <f>AX182-(AX21*Seasonality!$C$88*AX71+AX73+AX49*AX182)-AX111</f>
        <v/>
      </c>
      <c r="AY242" s="50">
        <f>AY182-(AY21*Seasonality!$C$88*AY71+AY73+AY49*AY182)-AY111</f>
        <v/>
      </c>
      <c r="AZ242" s="50">
        <f>AZ182-(AZ21*Seasonality!$C$88*AZ71+AZ73+AZ49*AZ182)-AZ111</f>
        <v/>
      </c>
      <c r="BA242" s="50">
        <f>BA182-(BA21*Seasonality!$C$88*BA71+BA73+BA49*BA182)-BA111</f>
        <v/>
      </c>
      <c r="BB242" s="50">
        <f>BB182-(BB21*Seasonality!$C$88*BB71+BB73+BB49*BB182)-BB111</f>
        <v/>
      </c>
      <c r="BC242" s="50">
        <f>BC182-(BC21*Seasonality!$C$88*BC71+BC73+BC49*BC182)-BC111</f>
        <v/>
      </c>
      <c r="BD242" s="50">
        <f>BD182-(BD21*Seasonality!$C$88*BD71+BD73+BD49*BD182)-BD111</f>
        <v/>
      </c>
      <c r="BE242" s="50">
        <f>BE182-(BE21*Seasonality!$C$88*BE71+BE73+BE49*BE182)-BE111</f>
        <v/>
      </c>
    </row>
    <row r="243">
      <c r="B243" s="7" t="inlineStr">
        <is>
          <t>Contribution · month 53</t>
        </is>
      </c>
      <c r="C243" s="5" t="inlineStr">
        <is>
          <t>₹</t>
        </is>
      </c>
      <c r="D243" s="50">
        <f>D183-(D21*Seasonality!$C$89*D71+D73+D49*D183)-D111</f>
        <v/>
      </c>
      <c r="E243" s="50">
        <f>E183-(E21*Seasonality!$C$89*E71+E73+E49*E183)-E111</f>
        <v/>
      </c>
      <c r="F243" s="50">
        <f>F183-(F21*Seasonality!$C$89*F71+F73+F49*F183)-F111</f>
        <v/>
      </c>
      <c r="G243" s="50">
        <f>G183-(G21*Seasonality!$C$89*G71+G73+G49*G183)-G111</f>
        <v/>
      </c>
      <c r="H243" s="50">
        <f>H183-(H21*Seasonality!$C$89*H71+H73+H49*H183)-H111</f>
        <v/>
      </c>
      <c r="I243" s="50">
        <f>I183-(I21*Seasonality!$C$89*I71+I73+I49*I183)-I111</f>
        <v/>
      </c>
      <c r="J243" s="50">
        <f>J183-(J21*Seasonality!$C$89*J71+J73+J49*J183)-J111</f>
        <v/>
      </c>
      <c r="K243" s="50">
        <f>K183-(K21*Seasonality!$C$89*K71+K73+K49*K183)-K111</f>
        <v/>
      </c>
      <c r="L243" s="50">
        <f>L183-(L21*Seasonality!$C$89*L71+L73+L49*L183)-L111</f>
        <v/>
      </c>
      <c r="M243" s="50">
        <f>M183-(M21*Seasonality!$C$89*M71+M73+M49*M183)-M111</f>
        <v/>
      </c>
      <c r="N243" s="50">
        <f>N183-(N21*Seasonality!$C$89*N71+N73+N49*N183)-N111</f>
        <v/>
      </c>
      <c r="O243" s="50">
        <f>O183-(O21*Seasonality!$C$89*O71+O73+O49*O183)-O111</f>
        <v/>
      </c>
      <c r="P243" s="50">
        <f>P183-(P21*Seasonality!$C$89*P71+P73+P49*P183)-P111</f>
        <v/>
      </c>
      <c r="Q243" s="50">
        <f>Q183-(Q21*Seasonality!$C$89*Q71+Q73+Q49*Q183)-Q111</f>
        <v/>
      </c>
      <c r="R243" s="50">
        <f>R183-(R21*Seasonality!$C$89*R71+R73+R49*R183)-R111</f>
        <v/>
      </c>
      <c r="S243" s="50">
        <f>S183-(S21*Seasonality!$C$89*S71+S73+S49*S183)-S111</f>
        <v/>
      </c>
      <c r="T243" s="50">
        <f>T183-(T21*Seasonality!$C$89*T71+T73+T49*T183)-T111</f>
        <v/>
      </c>
      <c r="U243" s="50">
        <f>U183-(U21*Seasonality!$C$89*U71+U73+U49*U183)-U111</f>
        <v/>
      </c>
      <c r="V243" s="50">
        <f>V183-(V21*Seasonality!$C$89*V71+V73+V49*V183)-V111</f>
        <v/>
      </c>
      <c r="W243" s="50">
        <f>W183-(W21*Seasonality!$C$89*W71+W73+W49*W183)-W111</f>
        <v/>
      </c>
      <c r="X243" s="50">
        <f>X183-(X21*Seasonality!$C$89*X71+X73+X49*X183)-X111</f>
        <v/>
      </c>
      <c r="Y243" s="50">
        <f>Y183-(Y21*Seasonality!$C$89*Y71+Y73+Y49*Y183)-Y111</f>
        <v/>
      </c>
      <c r="Z243" s="50">
        <f>Z183-(Z21*Seasonality!$C$89*Z71+Z73+Z49*Z183)-Z111</f>
        <v/>
      </c>
      <c r="AA243" s="50">
        <f>AA183-(AA21*Seasonality!$C$89*AA71+AA73+AA49*AA183)-AA111</f>
        <v/>
      </c>
      <c r="AB243" s="50">
        <f>AB183-(AB21*Seasonality!$C$89*AB71+AB73+AB49*AB183)-AB111</f>
        <v/>
      </c>
      <c r="AC243" s="50">
        <f>AC183-(AC21*Seasonality!$C$89*AC71+AC73+AC49*AC183)-AC111</f>
        <v/>
      </c>
      <c r="AD243" s="50">
        <f>AD183-(AD21*Seasonality!$C$89*AD71+AD73+AD49*AD183)-AD111</f>
        <v/>
      </c>
      <c r="AE243" s="50">
        <f>AE183-(AE21*Seasonality!$C$89*AE71+AE73+AE49*AE183)-AE111</f>
        <v/>
      </c>
      <c r="AF243" s="50">
        <f>AF183-(AF21*Seasonality!$C$89*AF71+AF73+AF49*AF183)-AF111</f>
        <v/>
      </c>
      <c r="AG243" s="50">
        <f>AG183-(AG21*Seasonality!$C$89*AG71+AG73+AG49*AG183)-AG111</f>
        <v/>
      </c>
      <c r="AH243" s="50">
        <f>AH183-(AH21*Seasonality!$C$89*AH71+AH73+AH49*AH183)-AH111</f>
        <v/>
      </c>
      <c r="AI243" s="50">
        <f>AI183-(AI21*Seasonality!$C$89*AI71+AI73+AI49*AI183)-AI111</f>
        <v/>
      </c>
      <c r="AJ243" s="50">
        <f>AJ183-(AJ21*Seasonality!$C$89*AJ71+AJ73+AJ49*AJ183)-AJ111</f>
        <v/>
      </c>
      <c r="AK243" s="50">
        <f>AK183-(AK21*Seasonality!$C$89*AK71+AK73+AK49*AK183)-AK111</f>
        <v/>
      </c>
      <c r="AL243" s="50">
        <f>AL183-(AL21*Seasonality!$C$89*AL71+AL73+AL49*AL183)-AL111</f>
        <v/>
      </c>
      <c r="AM243" s="50">
        <f>AM183-(AM21*Seasonality!$C$89*AM71+AM73+AM49*AM183)-AM111</f>
        <v/>
      </c>
      <c r="AN243" s="50">
        <f>AN183-(AN21*Seasonality!$C$89*AN71+AN73+AN49*AN183)-AN111</f>
        <v/>
      </c>
      <c r="AO243" s="50">
        <f>AO183-(AO21*Seasonality!$C$89*AO71+AO73+AO49*AO183)-AO111</f>
        <v/>
      </c>
      <c r="AP243" s="50">
        <f>AP183-(AP21*Seasonality!$C$89*AP71+AP73+AP49*AP183)-AP111</f>
        <v/>
      </c>
      <c r="AQ243" s="50">
        <f>AQ183-(AQ21*Seasonality!$C$89*AQ71+AQ73+AQ49*AQ183)-AQ111</f>
        <v/>
      </c>
      <c r="AR243" s="50">
        <f>AR183-(AR21*Seasonality!$C$89*AR71+AR73+AR49*AR183)-AR111</f>
        <v/>
      </c>
      <c r="AS243" s="50">
        <f>AS183-(AS21*Seasonality!$C$89*AS71+AS73+AS49*AS183)-AS111</f>
        <v/>
      </c>
      <c r="AT243" s="50">
        <f>AT183-(AT21*Seasonality!$C$89*AT71+AT73+AT49*AT183)-AT111</f>
        <v/>
      </c>
      <c r="AU243" s="50">
        <f>AU183-(AU21*Seasonality!$C$89*AU71+AU73+AU49*AU183)-AU111</f>
        <v/>
      </c>
      <c r="AV243" s="50">
        <f>AV183-(AV21*Seasonality!$C$89*AV71+AV73+AV49*AV183)-AV111</f>
        <v/>
      </c>
      <c r="AW243" s="50">
        <f>AW183-(AW21*Seasonality!$C$89*AW71+AW73+AW49*AW183)-AW111</f>
        <v/>
      </c>
      <c r="AX243" s="50">
        <f>AX183-(AX21*Seasonality!$C$89*AX71+AX73+AX49*AX183)-AX111</f>
        <v/>
      </c>
      <c r="AY243" s="50">
        <f>AY183-(AY21*Seasonality!$C$89*AY71+AY73+AY49*AY183)-AY111</f>
        <v/>
      </c>
      <c r="AZ243" s="50">
        <f>AZ183-(AZ21*Seasonality!$C$89*AZ71+AZ73+AZ49*AZ183)-AZ111</f>
        <v/>
      </c>
      <c r="BA243" s="50">
        <f>BA183-(BA21*Seasonality!$C$89*BA71+BA73+BA49*BA183)-BA111</f>
        <v/>
      </c>
      <c r="BB243" s="50">
        <f>BB183-(BB21*Seasonality!$C$89*BB71+BB73+BB49*BB183)-BB111</f>
        <v/>
      </c>
      <c r="BC243" s="50">
        <f>BC183-(BC21*Seasonality!$C$89*BC71+BC73+BC49*BC183)-BC111</f>
        <v/>
      </c>
      <c r="BD243" s="50">
        <f>BD183-(BD21*Seasonality!$C$89*BD71+BD73+BD49*BD183)-BD111</f>
        <v/>
      </c>
      <c r="BE243" s="50">
        <f>BE183-(BE21*Seasonality!$C$89*BE71+BE73+BE49*BE183)-BE111</f>
        <v/>
      </c>
    </row>
    <row r="244">
      <c r="B244" s="7" t="inlineStr">
        <is>
          <t>Contribution · month 54</t>
        </is>
      </c>
      <c r="C244" s="5" t="inlineStr">
        <is>
          <t>₹</t>
        </is>
      </c>
      <c r="D244" s="50">
        <f>D184-(D21*Seasonality!$C$90*D71+D73+D49*D184)-D111</f>
        <v/>
      </c>
      <c r="E244" s="50">
        <f>E184-(E21*Seasonality!$C$90*E71+E73+E49*E184)-E111</f>
        <v/>
      </c>
      <c r="F244" s="50">
        <f>F184-(F21*Seasonality!$C$90*F71+F73+F49*F184)-F111</f>
        <v/>
      </c>
      <c r="G244" s="50">
        <f>G184-(G21*Seasonality!$C$90*G71+G73+G49*G184)-G111</f>
        <v/>
      </c>
      <c r="H244" s="50">
        <f>H184-(H21*Seasonality!$C$90*H71+H73+H49*H184)-H111</f>
        <v/>
      </c>
      <c r="I244" s="50">
        <f>I184-(I21*Seasonality!$C$90*I71+I73+I49*I184)-I111</f>
        <v/>
      </c>
      <c r="J244" s="50">
        <f>J184-(J21*Seasonality!$C$90*J71+J73+J49*J184)-J111</f>
        <v/>
      </c>
      <c r="K244" s="50">
        <f>K184-(K21*Seasonality!$C$90*K71+K73+K49*K184)-K111</f>
        <v/>
      </c>
      <c r="L244" s="50">
        <f>L184-(L21*Seasonality!$C$90*L71+L73+L49*L184)-L111</f>
        <v/>
      </c>
      <c r="M244" s="50">
        <f>M184-(M21*Seasonality!$C$90*M71+M73+M49*M184)-M111</f>
        <v/>
      </c>
      <c r="N244" s="50">
        <f>N184-(N21*Seasonality!$C$90*N71+N73+N49*N184)-N111</f>
        <v/>
      </c>
      <c r="O244" s="50">
        <f>O184-(O21*Seasonality!$C$90*O71+O73+O49*O184)-O111</f>
        <v/>
      </c>
      <c r="P244" s="50">
        <f>P184-(P21*Seasonality!$C$90*P71+P73+P49*P184)-P111</f>
        <v/>
      </c>
      <c r="Q244" s="50">
        <f>Q184-(Q21*Seasonality!$C$90*Q71+Q73+Q49*Q184)-Q111</f>
        <v/>
      </c>
      <c r="R244" s="50">
        <f>R184-(R21*Seasonality!$C$90*R71+R73+R49*R184)-R111</f>
        <v/>
      </c>
      <c r="S244" s="50">
        <f>S184-(S21*Seasonality!$C$90*S71+S73+S49*S184)-S111</f>
        <v/>
      </c>
      <c r="T244" s="50">
        <f>T184-(T21*Seasonality!$C$90*T71+T73+T49*T184)-T111</f>
        <v/>
      </c>
      <c r="U244" s="50">
        <f>U184-(U21*Seasonality!$C$90*U71+U73+U49*U184)-U111</f>
        <v/>
      </c>
      <c r="V244" s="50">
        <f>V184-(V21*Seasonality!$C$90*V71+V73+V49*V184)-V111</f>
        <v/>
      </c>
      <c r="W244" s="50">
        <f>W184-(W21*Seasonality!$C$90*W71+W73+W49*W184)-W111</f>
        <v/>
      </c>
      <c r="X244" s="50">
        <f>X184-(X21*Seasonality!$C$90*X71+X73+X49*X184)-X111</f>
        <v/>
      </c>
      <c r="Y244" s="50">
        <f>Y184-(Y21*Seasonality!$C$90*Y71+Y73+Y49*Y184)-Y111</f>
        <v/>
      </c>
      <c r="Z244" s="50">
        <f>Z184-(Z21*Seasonality!$C$90*Z71+Z73+Z49*Z184)-Z111</f>
        <v/>
      </c>
      <c r="AA244" s="50">
        <f>AA184-(AA21*Seasonality!$C$90*AA71+AA73+AA49*AA184)-AA111</f>
        <v/>
      </c>
      <c r="AB244" s="50">
        <f>AB184-(AB21*Seasonality!$C$90*AB71+AB73+AB49*AB184)-AB111</f>
        <v/>
      </c>
      <c r="AC244" s="50">
        <f>AC184-(AC21*Seasonality!$C$90*AC71+AC73+AC49*AC184)-AC111</f>
        <v/>
      </c>
      <c r="AD244" s="50">
        <f>AD184-(AD21*Seasonality!$C$90*AD71+AD73+AD49*AD184)-AD111</f>
        <v/>
      </c>
      <c r="AE244" s="50">
        <f>AE184-(AE21*Seasonality!$C$90*AE71+AE73+AE49*AE184)-AE111</f>
        <v/>
      </c>
      <c r="AF244" s="50">
        <f>AF184-(AF21*Seasonality!$C$90*AF71+AF73+AF49*AF184)-AF111</f>
        <v/>
      </c>
      <c r="AG244" s="50">
        <f>AG184-(AG21*Seasonality!$C$90*AG71+AG73+AG49*AG184)-AG111</f>
        <v/>
      </c>
      <c r="AH244" s="50">
        <f>AH184-(AH21*Seasonality!$C$90*AH71+AH73+AH49*AH184)-AH111</f>
        <v/>
      </c>
      <c r="AI244" s="50">
        <f>AI184-(AI21*Seasonality!$C$90*AI71+AI73+AI49*AI184)-AI111</f>
        <v/>
      </c>
      <c r="AJ244" s="50">
        <f>AJ184-(AJ21*Seasonality!$C$90*AJ71+AJ73+AJ49*AJ184)-AJ111</f>
        <v/>
      </c>
      <c r="AK244" s="50">
        <f>AK184-(AK21*Seasonality!$C$90*AK71+AK73+AK49*AK184)-AK111</f>
        <v/>
      </c>
      <c r="AL244" s="50">
        <f>AL184-(AL21*Seasonality!$C$90*AL71+AL73+AL49*AL184)-AL111</f>
        <v/>
      </c>
      <c r="AM244" s="50">
        <f>AM184-(AM21*Seasonality!$C$90*AM71+AM73+AM49*AM184)-AM111</f>
        <v/>
      </c>
      <c r="AN244" s="50">
        <f>AN184-(AN21*Seasonality!$C$90*AN71+AN73+AN49*AN184)-AN111</f>
        <v/>
      </c>
      <c r="AO244" s="50">
        <f>AO184-(AO21*Seasonality!$C$90*AO71+AO73+AO49*AO184)-AO111</f>
        <v/>
      </c>
      <c r="AP244" s="50">
        <f>AP184-(AP21*Seasonality!$C$90*AP71+AP73+AP49*AP184)-AP111</f>
        <v/>
      </c>
      <c r="AQ244" s="50">
        <f>AQ184-(AQ21*Seasonality!$C$90*AQ71+AQ73+AQ49*AQ184)-AQ111</f>
        <v/>
      </c>
      <c r="AR244" s="50">
        <f>AR184-(AR21*Seasonality!$C$90*AR71+AR73+AR49*AR184)-AR111</f>
        <v/>
      </c>
      <c r="AS244" s="50">
        <f>AS184-(AS21*Seasonality!$C$90*AS71+AS73+AS49*AS184)-AS111</f>
        <v/>
      </c>
      <c r="AT244" s="50">
        <f>AT184-(AT21*Seasonality!$C$90*AT71+AT73+AT49*AT184)-AT111</f>
        <v/>
      </c>
      <c r="AU244" s="50">
        <f>AU184-(AU21*Seasonality!$C$90*AU71+AU73+AU49*AU184)-AU111</f>
        <v/>
      </c>
      <c r="AV244" s="50">
        <f>AV184-(AV21*Seasonality!$C$90*AV71+AV73+AV49*AV184)-AV111</f>
        <v/>
      </c>
      <c r="AW244" s="50">
        <f>AW184-(AW21*Seasonality!$C$90*AW71+AW73+AW49*AW184)-AW111</f>
        <v/>
      </c>
      <c r="AX244" s="50">
        <f>AX184-(AX21*Seasonality!$C$90*AX71+AX73+AX49*AX184)-AX111</f>
        <v/>
      </c>
      <c r="AY244" s="50">
        <f>AY184-(AY21*Seasonality!$C$90*AY71+AY73+AY49*AY184)-AY111</f>
        <v/>
      </c>
      <c r="AZ244" s="50">
        <f>AZ184-(AZ21*Seasonality!$C$90*AZ71+AZ73+AZ49*AZ184)-AZ111</f>
        <v/>
      </c>
      <c r="BA244" s="50">
        <f>BA184-(BA21*Seasonality!$C$90*BA71+BA73+BA49*BA184)-BA111</f>
        <v/>
      </c>
      <c r="BB244" s="50">
        <f>BB184-(BB21*Seasonality!$C$90*BB71+BB73+BB49*BB184)-BB111</f>
        <v/>
      </c>
      <c r="BC244" s="50">
        <f>BC184-(BC21*Seasonality!$C$90*BC71+BC73+BC49*BC184)-BC111</f>
        <v/>
      </c>
      <c r="BD244" s="50">
        <f>BD184-(BD21*Seasonality!$C$90*BD71+BD73+BD49*BD184)-BD111</f>
        <v/>
      </c>
      <c r="BE244" s="50">
        <f>BE184-(BE21*Seasonality!$C$90*BE71+BE73+BE49*BE184)-BE111</f>
        <v/>
      </c>
    </row>
    <row r="245">
      <c r="B245" s="7" t="inlineStr">
        <is>
          <t>Contribution · month 55</t>
        </is>
      </c>
      <c r="C245" s="5" t="inlineStr">
        <is>
          <t>₹</t>
        </is>
      </c>
      <c r="D245" s="50">
        <f>D185-(D21*Seasonality!$C$91*D71+D73+D49*D185)-D111</f>
        <v/>
      </c>
      <c r="E245" s="50">
        <f>E185-(E21*Seasonality!$C$91*E71+E73+E49*E185)-E111</f>
        <v/>
      </c>
      <c r="F245" s="50">
        <f>F185-(F21*Seasonality!$C$91*F71+F73+F49*F185)-F111</f>
        <v/>
      </c>
      <c r="G245" s="50">
        <f>G185-(G21*Seasonality!$C$91*G71+G73+G49*G185)-G111</f>
        <v/>
      </c>
      <c r="H245" s="50">
        <f>H185-(H21*Seasonality!$C$91*H71+H73+H49*H185)-H111</f>
        <v/>
      </c>
      <c r="I245" s="50">
        <f>I185-(I21*Seasonality!$C$91*I71+I73+I49*I185)-I111</f>
        <v/>
      </c>
      <c r="J245" s="50">
        <f>J185-(J21*Seasonality!$C$91*J71+J73+J49*J185)-J111</f>
        <v/>
      </c>
      <c r="K245" s="50">
        <f>K185-(K21*Seasonality!$C$91*K71+K73+K49*K185)-K111</f>
        <v/>
      </c>
      <c r="L245" s="50">
        <f>L185-(L21*Seasonality!$C$91*L71+L73+L49*L185)-L111</f>
        <v/>
      </c>
      <c r="M245" s="50">
        <f>M185-(M21*Seasonality!$C$91*M71+M73+M49*M185)-M111</f>
        <v/>
      </c>
      <c r="N245" s="50">
        <f>N185-(N21*Seasonality!$C$91*N71+N73+N49*N185)-N111</f>
        <v/>
      </c>
      <c r="O245" s="50">
        <f>O185-(O21*Seasonality!$C$91*O71+O73+O49*O185)-O111</f>
        <v/>
      </c>
      <c r="P245" s="50">
        <f>P185-(P21*Seasonality!$C$91*P71+P73+P49*P185)-P111</f>
        <v/>
      </c>
      <c r="Q245" s="50">
        <f>Q185-(Q21*Seasonality!$C$91*Q71+Q73+Q49*Q185)-Q111</f>
        <v/>
      </c>
      <c r="R245" s="50">
        <f>R185-(R21*Seasonality!$C$91*R71+R73+R49*R185)-R111</f>
        <v/>
      </c>
      <c r="S245" s="50">
        <f>S185-(S21*Seasonality!$C$91*S71+S73+S49*S185)-S111</f>
        <v/>
      </c>
      <c r="T245" s="50">
        <f>T185-(T21*Seasonality!$C$91*T71+T73+T49*T185)-T111</f>
        <v/>
      </c>
      <c r="U245" s="50">
        <f>U185-(U21*Seasonality!$C$91*U71+U73+U49*U185)-U111</f>
        <v/>
      </c>
      <c r="V245" s="50">
        <f>V185-(V21*Seasonality!$C$91*V71+V73+V49*V185)-V111</f>
        <v/>
      </c>
      <c r="W245" s="50">
        <f>W185-(W21*Seasonality!$C$91*W71+W73+W49*W185)-W111</f>
        <v/>
      </c>
      <c r="X245" s="50">
        <f>X185-(X21*Seasonality!$C$91*X71+X73+X49*X185)-X111</f>
        <v/>
      </c>
      <c r="Y245" s="50">
        <f>Y185-(Y21*Seasonality!$C$91*Y71+Y73+Y49*Y185)-Y111</f>
        <v/>
      </c>
      <c r="Z245" s="50">
        <f>Z185-(Z21*Seasonality!$C$91*Z71+Z73+Z49*Z185)-Z111</f>
        <v/>
      </c>
      <c r="AA245" s="50">
        <f>AA185-(AA21*Seasonality!$C$91*AA71+AA73+AA49*AA185)-AA111</f>
        <v/>
      </c>
      <c r="AB245" s="50">
        <f>AB185-(AB21*Seasonality!$C$91*AB71+AB73+AB49*AB185)-AB111</f>
        <v/>
      </c>
      <c r="AC245" s="50">
        <f>AC185-(AC21*Seasonality!$C$91*AC71+AC73+AC49*AC185)-AC111</f>
        <v/>
      </c>
      <c r="AD245" s="50">
        <f>AD185-(AD21*Seasonality!$C$91*AD71+AD73+AD49*AD185)-AD111</f>
        <v/>
      </c>
      <c r="AE245" s="50">
        <f>AE185-(AE21*Seasonality!$C$91*AE71+AE73+AE49*AE185)-AE111</f>
        <v/>
      </c>
      <c r="AF245" s="50">
        <f>AF185-(AF21*Seasonality!$C$91*AF71+AF73+AF49*AF185)-AF111</f>
        <v/>
      </c>
      <c r="AG245" s="50">
        <f>AG185-(AG21*Seasonality!$C$91*AG71+AG73+AG49*AG185)-AG111</f>
        <v/>
      </c>
      <c r="AH245" s="50">
        <f>AH185-(AH21*Seasonality!$C$91*AH71+AH73+AH49*AH185)-AH111</f>
        <v/>
      </c>
      <c r="AI245" s="50">
        <f>AI185-(AI21*Seasonality!$C$91*AI71+AI73+AI49*AI185)-AI111</f>
        <v/>
      </c>
      <c r="AJ245" s="50">
        <f>AJ185-(AJ21*Seasonality!$C$91*AJ71+AJ73+AJ49*AJ185)-AJ111</f>
        <v/>
      </c>
      <c r="AK245" s="50">
        <f>AK185-(AK21*Seasonality!$C$91*AK71+AK73+AK49*AK185)-AK111</f>
        <v/>
      </c>
      <c r="AL245" s="50">
        <f>AL185-(AL21*Seasonality!$C$91*AL71+AL73+AL49*AL185)-AL111</f>
        <v/>
      </c>
      <c r="AM245" s="50">
        <f>AM185-(AM21*Seasonality!$C$91*AM71+AM73+AM49*AM185)-AM111</f>
        <v/>
      </c>
      <c r="AN245" s="50">
        <f>AN185-(AN21*Seasonality!$C$91*AN71+AN73+AN49*AN185)-AN111</f>
        <v/>
      </c>
      <c r="AO245" s="50">
        <f>AO185-(AO21*Seasonality!$C$91*AO71+AO73+AO49*AO185)-AO111</f>
        <v/>
      </c>
      <c r="AP245" s="50">
        <f>AP185-(AP21*Seasonality!$C$91*AP71+AP73+AP49*AP185)-AP111</f>
        <v/>
      </c>
      <c r="AQ245" s="50">
        <f>AQ185-(AQ21*Seasonality!$C$91*AQ71+AQ73+AQ49*AQ185)-AQ111</f>
        <v/>
      </c>
      <c r="AR245" s="50">
        <f>AR185-(AR21*Seasonality!$C$91*AR71+AR73+AR49*AR185)-AR111</f>
        <v/>
      </c>
      <c r="AS245" s="50">
        <f>AS185-(AS21*Seasonality!$C$91*AS71+AS73+AS49*AS185)-AS111</f>
        <v/>
      </c>
      <c r="AT245" s="50">
        <f>AT185-(AT21*Seasonality!$C$91*AT71+AT73+AT49*AT185)-AT111</f>
        <v/>
      </c>
      <c r="AU245" s="50">
        <f>AU185-(AU21*Seasonality!$C$91*AU71+AU73+AU49*AU185)-AU111</f>
        <v/>
      </c>
      <c r="AV245" s="50">
        <f>AV185-(AV21*Seasonality!$C$91*AV71+AV73+AV49*AV185)-AV111</f>
        <v/>
      </c>
      <c r="AW245" s="50">
        <f>AW185-(AW21*Seasonality!$C$91*AW71+AW73+AW49*AW185)-AW111</f>
        <v/>
      </c>
      <c r="AX245" s="50">
        <f>AX185-(AX21*Seasonality!$C$91*AX71+AX73+AX49*AX185)-AX111</f>
        <v/>
      </c>
      <c r="AY245" s="50">
        <f>AY185-(AY21*Seasonality!$C$91*AY71+AY73+AY49*AY185)-AY111</f>
        <v/>
      </c>
      <c r="AZ245" s="50">
        <f>AZ185-(AZ21*Seasonality!$C$91*AZ71+AZ73+AZ49*AZ185)-AZ111</f>
        <v/>
      </c>
      <c r="BA245" s="50">
        <f>BA185-(BA21*Seasonality!$C$91*BA71+BA73+BA49*BA185)-BA111</f>
        <v/>
      </c>
      <c r="BB245" s="50">
        <f>BB185-(BB21*Seasonality!$C$91*BB71+BB73+BB49*BB185)-BB111</f>
        <v/>
      </c>
      <c r="BC245" s="50">
        <f>BC185-(BC21*Seasonality!$C$91*BC71+BC73+BC49*BC185)-BC111</f>
        <v/>
      </c>
      <c r="BD245" s="50">
        <f>BD185-(BD21*Seasonality!$C$91*BD71+BD73+BD49*BD185)-BD111</f>
        <v/>
      </c>
      <c r="BE245" s="50">
        <f>BE185-(BE21*Seasonality!$C$91*BE71+BE73+BE49*BE185)-BE111</f>
        <v/>
      </c>
    </row>
    <row r="246">
      <c r="B246" s="7" t="inlineStr">
        <is>
          <t>Contribution · month 56</t>
        </is>
      </c>
      <c r="C246" s="5" t="inlineStr">
        <is>
          <t>₹</t>
        </is>
      </c>
      <c r="D246" s="50">
        <f>D186-(D21*Seasonality!$C$92*D71+D73+D49*D186)-D111</f>
        <v/>
      </c>
      <c r="E246" s="50">
        <f>E186-(E21*Seasonality!$C$92*E71+E73+E49*E186)-E111</f>
        <v/>
      </c>
      <c r="F246" s="50">
        <f>F186-(F21*Seasonality!$C$92*F71+F73+F49*F186)-F111</f>
        <v/>
      </c>
      <c r="G246" s="50">
        <f>G186-(G21*Seasonality!$C$92*G71+G73+G49*G186)-G111</f>
        <v/>
      </c>
      <c r="H246" s="50">
        <f>H186-(H21*Seasonality!$C$92*H71+H73+H49*H186)-H111</f>
        <v/>
      </c>
      <c r="I246" s="50">
        <f>I186-(I21*Seasonality!$C$92*I71+I73+I49*I186)-I111</f>
        <v/>
      </c>
      <c r="J246" s="50">
        <f>J186-(J21*Seasonality!$C$92*J71+J73+J49*J186)-J111</f>
        <v/>
      </c>
      <c r="K246" s="50">
        <f>K186-(K21*Seasonality!$C$92*K71+K73+K49*K186)-K111</f>
        <v/>
      </c>
      <c r="L246" s="50">
        <f>L186-(L21*Seasonality!$C$92*L71+L73+L49*L186)-L111</f>
        <v/>
      </c>
      <c r="M246" s="50">
        <f>M186-(M21*Seasonality!$C$92*M71+M73+M49*M186)-M111</f>
        <v/>
      </c>
      <c r="N246" s="50">
        <f>N186-(N21*Seasonality!$C$92*N71+N73+N49*N186)-N111</f>
        <v/>
      </c>
      <c r="O246" s="50">
        <f>O186-(O21*Seasonality!$C$92*O71+O73+O49*O186)-O111</f>
        <v/>
      </c>
      <c r="P246" s="50">
        <f>P186-(P21*Seasonality!$C$92*P71+P73+P49*P186)-P111</f>
        <v/>
      </c>
      <c r="Q246" s="50">
        <f>Q186-(Q21*Seasonality!$C$92*Q71+Q73+Q49*Q186)-Q111</f>
        <v/>
      </c>
      <c r="R246" s="50">
        <f>R186-(R21*Seasonality!$C$92*R71+R73+R49*R186)-R111</f>
        <v/>
      </c>
      <c r="S246" s="50">
        <f>S186-(S21*Seasonality!$C$92*S71+S73+S49*S186)-S111</f>
        <v/>
      </c>
      <c r="T246" s="50">
        <f>T186-(T21*Seasonality!$C$92*T71+T73+T49*T186)-T111</f>
        <v/>
      </c>
      <c r="U246" s="50">
        <f>U186-(U21*Seasonality!$C$92*U71+U73+U49*U186)-U111</f>
        <v/>
      </c>
      <c r="V246" s="50">
        <f>V186-(V21*Seasonality!$C$92*V71+V73+V49*V186)-V111</f>
        <v/>
      </c>
      <c r="W246" s="50">
        <f>W186-(W21*Seasonality!$C$92*W71+W73+W49*W186)-W111</f>
        <v/>
      </c>
      <c r="X246" s="50">
        <f>X186-(X21*Seasonality!$C$92*X71+X73+X49*X186)-X111</f>
        <v/>
      </c>
      <c r="Y246" s="50">
        <f>Y186-(Y21*Seasonality!$C$92*Y71+Y73+Y49*Y186)-Y111</f>
        <v/>
      </c>
      <c r="Z246" s="50">
        <f>Z186-(Z21*Seasonality!$C$92*Z71+Z73+Z49*Z186)-Z111</f>
        <v/>
      </c>
      <c r="AA246" s="50">
        <f>AA186-(AA21*Seasonality!$C$92*AA71+AA73+AA49*AA186)-AA111</f>
        <v/>
      </c>
      <c r="AB246" s="50">
        <f>AB186-(AB21*Seasonality!$C$92*AB71+AB73+AB49*AB186)-AB111</f>
        <v/>
      </c>
      <c r="AC246" s="50">
        <f>AC186-(AC21*Seasonality!$C$92*AC71+AC73+AC49*AC186)-AC111</f>
        <v/>
      </c>
      <c r="AD246" s="50">
        <f>AD186-(AD21*Seasonality!$C$92*AD71+AD73+AD49*AD186)-AD111</f>
        <v/>
      </c>
      <c r="AE246" s="50">
        <f>AE186-(AE21*Seasonality!$C$92*AE71+AE73+AE49*AE186)-AE111</f>
        <v/>
      </c>
      <c r="AF246" s="50">
        <f>AF186-(AF21*Seasonality!$C$92*AF71+AF73+AF49*AF186)-AF111</f>
        <v/>
      </c>
      <c r="AG246" s="50">
        <f>AG186-(AG21*Seasonality!$C$92*AG71+AG73+AG49*AG186)-AG111</f>
        <v/>
      </c>
      <c r="AH246" s="50">
        <f>AH186-(AH21*Seasonality!$C$92*AH71+AH73+AH49*AH186)-AH111</f>
        <v/>
      </c>
      <c r="AI246" s="50">
        <f>AI186-(AI21*Seasonality!$C$92*AI71+AI73+AI49*AI186)-AI111</f>
        <v/>
      </c>
      <c r="AJ246" s="50">
        <f>AJ186-(AJ21*Seasonality!$C$92*AJ71+AJ73+AJ49*AJ186)-AJ111</f>
        <v/>
      </c>
      <c r="AK246" s="50">
        <f>AK186-(AK21*Seasonality!$C$92*AK71+AK73+AK49*AK186)-AK111</f>
        <v/>
      </c>
      <c r="AL246" s="50">
        <f>AL186-(AL21*Seasonality!$C$92*AL71+AL73+AL49*AL186)-AL111</f>
        <v/>
      </c>
      <c r="AM246" s="50">
        <f>AM186-(AM21*Seasonality!$C$92*AM71+AM73+AM49*AM186)-AM111</f>
        <v/>
      </c>
      <c r="AN246" s="50">
        <f>AN186-(AN21*Seasonality!$C$92*AN71+AN73+AN49*AN186)-AN111</f>
        <v/>
      </c>
      <c r="AO246" s="50">
        <f>AO186-(AO21*Seasonality!$C$92*AO71+AO73+AO49*AO186)-AO111</f>
        <v/>
      </c>
      <c r="AP246" s="50">
        <f>AP186-(AP21*Seasonality!$C$92*AP71+AP73+AP49*AP186)-AP111</f>
        <v/>
      </c>
      <c r="AQ246" s="50">
        <f>AQ186-(AQ21*Seasonality!$C$92*AQ71+AQ73+AQ49*AQ186)-AQ111</f>
        <v/>
      </c>
      <c r="AR246" s="50">
        <f>AR186-(AR21*Seasonality!$C$92*AR71+AR73+AR49*AR186)-AR111</f>
        <v/>
      </c>
      <c r="AS246" s="50">
        <f>AS186-(AS21*Seasonality!$C$92*AS71+AS73+AS49*AS186)-AS111</f>
        <v/>
      </c>
      <c r="AT246" s="50">
        <f>AT186-(AT21*Seasonality!$C$92*AT71+AT73+AT49*AT186)-AT111</f>
        <v/>
      </c>
      <c r="AU246" s="50">
        <f>AU186-(AU21*Seasonality!$C$92*AU71+AU73+AU49*AU186)-AU111</f>
        <v/>
      </c>
      <c r="AV246" s="50">
        <f>AV186-(AV21*Seasonality!$C$92*AV71+AV73+AV49*AV186)-AV111</f>
        <v/>
      </c>
      <c r="AW246" s="50">
        <f>AW186-(AW21*Seasonality!$C$92*AW71+AW73+AW49*AW186)-AW111</f>
        <v/>
      </c>
      <c r="AX246" s="50">
        <f>AX186-(AX21*Seasonality!$C$92*AX71+AX73+AX49*AX186)-AX111</f>
        <v/>
      </c>
      <c r="AY246" s="50">
        <f>AY186-(AY21*Seasonality!$C$92*AY71+AY73+AY49*AY186)-AY111</f>
        <v/>
      </c>
      <c r="AZ246" s="50">
        <f>AZ186-(AZ21*Seasonality!$C$92*AZ71+AZ73+AZ49*AZ186)-AZ111</f>
        <v/>
      </c>
      <c r="BA246" s="50">
        <f>BA186-(BA21*Seasonality!$C$92*BA71+BA73+BA49*BA186)-BA111</f>
        <v/>
      </c>
      <c r="BB246" s="50">
        <f>BB186-(BB21*Seasonality!$C$92*BB71+BB73+BB49*BB186)-BB111</f>
        <v/>
      </c>
      <c r="BC246" s="50">
        <f>BC186-(BC21*Seasonality!$C$92*BC71+BC73+BC49*BC186)-BC111</f>
        <v/>
      </c>
      <c r="BD246" s="50">
        <f>BD186-(BD21*Seasonality!$C$92*BD71+BD73+BD49*BD186)-BD111</f>
        <v/>
      </c>
      <c r="BE246" s="50">
        <f>BE186-(BE21*Seasonality!$C$92*BE71+BE73+BE49*BE186)-BE111</f>
        <v/>
      </c>
    </row>
    <row r="247">
      <c r="B247" s="7" t="inlineStr">
        <is>
          <t>Contribution · month 57</t>
        </is>
      </c>
      <c r="C247" s="5" t="inlineStr">
        <is>
          <t>₹</t>
        </is>
      </c>
      <c r="D247" s="50">
        <f>D187-(D21*Seasonality!$C$93*D71+D73+D49*D187)-D111</f>
        <v/>
      </c>
      <c r="E247" s="50">
        <f>E187-(E21*Seasonality!$C$93*E71+E73+E49*E187)-E111</f>
        <v/>
      </c>
      <c r="F247" s="50">
        <f>F187-(F21*Seasonality!$C$93*F71+F73+F49*F187)-F111</f>
        <v/>
      </c>
      <c r="G247" s="50">
        <f>G187-(G21*Seasonality!$C$93*G71+G73+G49*G187)-G111</f>
        <v/>
      </c>
      <c r="H247" s="50">
        <f>H187-(H21*Seasonality!$C$93*H71+H73+H49*H187)-H111</f>
        <v/>
      </c>
      <c r="I247" s="50">
        <f>I187-(I21*Seasonality!$C$93*I71+I73+I49*I187)-I111</f>
        <v/>
      </c>
      <c r="J247" s="50">
        <f>J187-(J21*Seasonality!$C$93*J71+J73+J49*J187)-J111</f>
        <v/>
      </c>
      <c r="K247" s="50">
        <f>K187-(K21*Seasonality!$C$93*K71+K73+K49*K187)-K111</f>
        <v/>
      </c>
      <c r="L247" s="50">
        <f>L187-(L21*Seasonality!$C$93*L71+L73+L49*L187)-L111</f>
        <v/>
      </c>
      <c r="M247" s="50">
        <f>M187-(M21*Seasonality!$C$93*M71+M73+M49*M187)-M111</f>
        <v/>
      </c>
      <c r="N247" s="50">
        <f>N187-(N21*Seasonality!$C$93*N71+N73+N49*N187)-N111</f>
        <v/>
      </c>
      <c r="O247" s="50">
        <f>O187-(O21*Seasonality!$C$93*O71+O73+O49*O187)-O111</f>
        <v/>
      </c>
      <c r="P247" s="50">
        <f>P187-(P21*Seasonality!$C$93*P71+P73+P49*P187)-P111</f>
        <v/>
      </c>
      <c r="Q247" s="50">
        <f>Q187-(Q21*Seasonality!$C$93*Q71+Q73+Q49*Q187)-Q111</f>
        <v/>
      </c>
      <c r="R247" s="50">
        <f>R187-(R21*Seasonality!$C$93*R71+R73+R49*R187)-R111</f>
        <v/>
      </c>
      <c r="S247" s="50">
        <f>S187-(S21*Seasonality!$C$93*S71+S73+S49*S187)-S111</f>
        <v/>
      </c>
      <c r="T247" s="50">
        <f>T187-(T21*Seasonality!$C$93*T71+T73+T49*T187)-T111</f>
        <v/>
      </c>
      <c r="U247" s="50">
        <f>U187-(U21*Seasonality!$C$93*U71+U73+U49*U187)-U111</f>
        <v/>
      </c>
      <c r="V247" s="50">
        <f>V187-(V21*Seasonality!$C$93*V71+V73+V49*V187)-V111</f>
        <v/>
      </c>
      <c r="W247" s="50">
        <f>W187-(W21*Seasonality!$C$93*W71+W73+W49*W187)-W111</f>
        <v/>
      </c>
      <c r="X247" s="50">
        <f>X187-(X21*Seasonality!$C$93*X71+X73+X49*X187)-X111</f>
        <v/>
      </c>
      <c r="Y247" s="50">
        <f>Y187-(Y21*Seasonality!$C$93*Y71+Y73+Y49*Y187)-Y111</f>
        <v/>
      </c>
      <c r="Z247" s="50">
        <f>Z187-(Z21*Seasonality!$C$93*Z71+Z73+Z49*Z187)-Z111</f>
        <v/>
      </c>
      <c r="AA247" s="50">
        <f>AA187-(AA21*Seasonality!$C$93*AA71+AA73+AA49*AA187)-AA111</f>
        <v/>
      </c>
      <c r="AB247" s="50">
        <f>AB187-(AB21*Seasonality!$C$93*AB71+AB73+AB49*AB187)-AB111</f>
        <v/>
      </c>
      <c r="AC247" s="50">
        <f>AC187-(AC21*Seasonality!$C$93*AC71+AC73+AC49*AC187)-AC111</f>
        <v/>
      </c>
      <c r="AD247" s="50">
        <f>AD187-(AD21*Seasonality!$C$93*AD71+AD73+AD49*AD187)-AD111</f>
        <v/>
      </c>
      <c r="AE247" s="50">
        <f>AE187-(AE21*Seasonality!$C$93*AE71+AE73+AE49*AE187)-AE111</f>
        <v/>
      </c>
      <c r="AF247" s="50">
        <f>AF187-(AF21*Seasonality!$C$93*AF71+AF73+AF49*AF187)-AF111</f>
        <v/>
      </c>
      <c r="AG247" s="50">
        <f>AG187-(AG21*Seasonality!$C$93*AG71+AG73+AG49*AG187)-AG111</f>
        <v/>
      </c>
      <c r="AH247" s="50">
        <f>AH187-(AH21*Seasonality!$C$93*AH71+AH73+AH49*AH187)-AH111</f>
        <v/>
      </c>
      <c r="AI247" s="50">
        <f>AI187-(AI21*Seasonality!$C$93*AI71+AI73+AI49*AI187)-AI111</f>
        <v/>
      </c>
      <c r="AJ247" s="50">
        <f>AJ187-(AJ21*Seasonality!$C$93*AJ71+AJ73+AJ49*AJ187)-AJ111</f>
        <v/>
      </c>
      <c r="AK247" s="50">
        <f>AK187-(AK21*Seasonality!$C$93*AK71+AK73+AK49*AK187)-AK111</f>
        <v/>
      </c>
      <c r="AL247" s="50">
        <f>AL187-(AL21*Seasonality!$C$93*AL71+AL73+AL49*AL187)-AL111</f>
        <v/>
      </c>
      <c r="AM247" s="50">
        <f>AM187-(AM21*Seasonality!$C$93*AM71+AM73+AM49*AM187)-AM111</f>
        <v/>
      </c>
      <c r="AN247" s="50">
        <f>AN187-(AN21*Seasonality!$C$93*AN71+AN73+AN49*AN187)-AN111</f>
        <v/>
      </c>
      <c r="AO247" s="50">
        <f>AO187-(AO21*Seasonality!$C$93*AO71+AO73+AO49*AO187)-AO111</f>
        <v/>
      </c>
      <c r="AP247" s="50">
        <f>AP187-(AP21*Seasonality!$C$93*AP71+AP73+AP49*AP187)-AP111</f>
        <v/>
      </c>
      <c r="AQ247" s="50">
        <f>AQ187-(AQ21*Seasonality!$C$93*AQ71+AQ73+AQ49*AQ187)-AQ111</f>
        <v/>
      </c>
      <c r="AR247" s="50">
        <f>AR187-(AR21*Seasonality!$C$93*AR71+AR73+AR49*AR187)-AR111</f>
        <v/>
      </c>
      <c r="AS247" s="50">
        <f>AS187-(AS21*Seasonality!$C$93*AS71+AS73+AS49*AS187)-AS111</f>
        <v/>
      </c>
      <c r="AT247" s="50">
        <f>AT187-(AT21*Seasonality!$C$93*AT71+AT73+AT49*AT187)-AT111</f>
        <v/>
      </c>
      <c r="AU247" s="50">
        <f>AU187-(AU21*Seasonality!$C$93*AU71+AU73+AU49*AU187)-AU111</f>
        <v/>
      </c>
      <c r="AV247" s="50">
        <f>AV187-(AV21*Seasonality!$C$93*AV71+AV73+AV49*AV187)-AV111</f>
        <v/>
      </c>
      <c r="AW247" s="50">
        <f>AW187-(AW21*Seasonality!$C$93*AW71+AW73+AW49*AW187)-AW111</f>
        <v/>
      </c>
      <c r="AX247" s="50">
        <f>AX187-(AX21*Seasonality!$C$93*AX71+AX73+AX49*AX187)-AX111</f>
        <v/>
      </c>
      <c r="AY247" s="50">
        <f>AY187-(AY21*Seasonality!$C$93*AY71+AY73+AY49*AY187)-AY111</f>
        <v/>
      </c>
      <c r="AZ247" s="50">
        <f>AZ187-(AZ21*Seasonality!$C$93*AZ71+AZ73+AZ49*AZ187)-AZ111</f>
        <v/>
      </c>
      <c r="BA247" s="50">
        <f>BA187-(BA21*Seasonality!$C$93*BA71+BA73+BA49*BA187)-BA111</f>
        <v/>
      </c>
      <c r="BB247" s="50">
        <f>BB187-(BB21*Seasonality!$C$93*BB71+BB73+BB49*BB187)-BB111</f>
        <v/>
      </c>
      <c r="BC247" s="50">
        <f>BC187-(BC21*Seasonality!$C$93*BC71+BC73+BC49*BC187)-BC111</f>
        <v/>
      </c>
      <c r="BD247" s="50">
        <f>BD187-(BD21*Seasonality!$C$93*BD71+BD73+BD49*BD187)-BD111</f>
        <v/>
      </c>
      <c r="BE247" s="50">
        <f>BE187-(BE21*Seasonality!$C$93*BE71+BE73+BE49*BE187)-BE111</f>
        <v/>
      </c>
    </row>
    <row r="248">
      <c r="B248" s="7" t="inlineStr">
        <is>
          <t>Contribution · month 58</t>
        </is>
      </c>
      <c r="C248" s="5" t="inlineStr">
        <is>
          <t>₹</t>
        </is>
      </c>
      <c r="D248" s="50">
        <f>D188-(D21*Seasonality!$C$94*D71+D73+D49*D188)-D111</f>
        <v/>
      </c>
      <c r="E248" s="50">
        <f>E188-(E21*Seasonality!$C$94*E71+E73+E49*E188)-E111</f>
        <v/>
      </c>
      <c r="F248" s="50">
        <f>F188-(F21*Seasonality!$C$94*F71+F73+F49*F188)-F111</f>
        <v/>
      </c>
      <c r="G248" s="50">
        <f>G188-(G21*Seasonality!$C$94*G71+G73+G49*G188)-G111</f>
        <v/>
      </c>
      <c r="H248" s="50">
        <f>H188-(H21*Seasonality!$C$94*H71+H73+H49*H188)-H111</f>
        <v/>
      </c>
      <c r="I248" s="50">
        <f>I188-(I21*Seasonality!$C$94*I71+I73+I49*I188)-I111</f>
        <v/>
      </c>
      <c r="J248" s="50">
        <f>J188-(J21*Seasonality!$C$94*J71+J73+J49*J188)-J111</f>
        <v/>
      </c>
      <c r="K248" s="50">
        <f>K188-(K21*Seasonality!$C$94*K71+K73+K49*K188)-K111</f>
        <v/>
      </c>
      <c r="L248" s="50">
        <f>L188-(L21*Seasonality!$C$94*L71+L73+L49*L188)-L111</f>
        <v/>
      </c>
      <c r="M248" s="50">
        <f>M188-(M21*Seasonality!$C$94*M71+M73+M49*M188)-M111</f>
        <v/>
      </c>
      <c r="N248" s="50">
        <f>N188-(N21*Seasonality!$C$94*N71+N73+N49*N188)-N111</f>
        <v/>
      </c>
      <c r="O248" s="50">
        <f>O188-(O21*Seasonality!$C$94*O71+O73+O49*O188)-O111</f>
        <v/>
      </c>
      <c r="P248" s="50">
        <f>P188-(P21*Seasonality!$C$94*P71+P73+P49*P188)-P111</f>
        <v/>
      </c>
      <c r="Q248" s="50">
        <f>Q188-(Q21*Seasonality!$C$94*Q71+Q73+Q49*Q188)-Q111</f>
        <v/>
      </c>
      <c r="R248" s="50">
        <f>R188-(R21*Seasonality!$C$94*R71+R73+R49*R188)-R111</f>
        <v/>
      </c>
      <c r="S248" s="50">
        <f>S188-(S21*Seasonality!$C$94*S71+S73+S49*S188)-S111</f>
        <v/>
      </c>
      <c r="T248" s="50">
        <f>T188-(T21*Seasonality!$C$94*T71+T73+T49*T188)-T111</f>
        <v/>
      </c>
      <c r="U248" s="50">
        <f>U188-(U21*Seasonality!$C$94*U71+U73+U49*U188)-U111</f>
        <v/>
      </c>
      <c r="V248" s="50">
        <f>V188-(V21*Seasonality!$C$94*V71+V73+V49*V188)-V111</f>
        <v/>
      </c>
      <c r="W248" s="50">
        <f>W188-(W21*Seasonality!$C$94*W71+W73+W49*W188)-W111</f>
        <v/>
      </c>
      <c r="X248" s="50">
        <f>X188-(X21*Seasonality!$C$94*X71+X73+X49*X188)-X111</f>
        <v/>
      </c>
      <c r="Y248" s="50">
        <f>Y188-(Y21*Seasonality!$C$94*Y71+Y73+Y49*Y188)-Y111</f>
        <v/>
      </c>
      <c r="Z248" s="50">
        <f>Z188-(Z21*Seasonality!$C$94*Z71+Z73+Z49*Z188)-Z111</f>
        <v/>
      </c>
      <c r="AA248" s="50">
        <f>AA188-(AA21*Seasonality!$C$94*AA71+AA73+AA49*AA188)-AA111</f>
        <v/>
      </c>
      <c r="AB248" s="50">
        <f>AB188-(AB21*Seasonality!$C$94*AB71+AB73+AB49*AB188)-AB111</f>
        <v/>
      </c>
      <c r="AC248" s="50">
        <f>AC188-(AC21*Seasonality!$C$94*AC71+AC73+AC49*AC188)-AC111</f>
        <v/>
      </c>
      <c r="AD248" s="50">
        <f>AD188-(AD21*Seasonality!$C$94*AD71+AD73+AD49*AD188)-AD111</f>
        <v/>
      </c>
      <c r="AE248" s="50">
        <f>AE188-(AE21*Seasonality!$C$94*AE71+AE73+AE49*AE188)-AE111</f>
        <v/>
      </c>
      <c r="AF248" s="50">
        <f>AF188-(AF21*Seasonality!$C$94*AF71+AF73+AF49*AF188)-AF111</f>
        <v/>
      </c>
      <c r="AG248" s="50">
        <f>AG188-(AG21*Seasonality!$C$94*AG71+AG73+AG49*AG188)-AG111</f>
        <v/>
      </c>
      <c r="AH248" s="50">
        <f>AH188-(AH21*Seasonality!$C$94*AH71+AH73+AH49*AH188)-AH111</f>
        <v/>
      </c>
      <c r="AI248" s="50">
        <f>AI188-(AI21*Seasonality!$C$94*AI71+AI73+AI49*AI188)-AI111</f>
        <v/>
      </c>
      <c r="AJ248" s="50">
        <f>AJ188-(AJ21*Seasonality!$C$94*AJ71+AJ73+AJ49*AJ188)-AJ111</f>
        <v/>
      </c>
      <c r="AK248" s="50">
        <f>AK188-(AK21*Seasonality!$C$94*AK71+AK73+AK49*AK188)-AK111</f>
        <v/>
      </c>
      <c r="AL248" s="50">
        <f>AL188-(AL21*Seasonality!$C$94*AL71+AL73+AL49*AL188)-AL111</f>
        <v/>
      </c>
      <c r="AM248" s="50">
        <f>AM188-(AM21*Seasonality!$C$94*AM71+AM73+AM49*AM188)-AM111</f>
        <v/>
      </c>
      <c r="AN248" s="50">
        <f>AN188-(AN21*Seasonality!$C$94*AN71+AN73+AN49*AN188)-AN111</f>
        <v/>
      </c>
      <c r="AO248" s="50">
        <f>AO188-(AO21*Seasonality!$C$94*AO71+AO73+AO49*AO188)-AO111</f>
        <v/>
      </c>
      <c r="AP248" s="50">
        <f>AP188-(AP21*Seasonality!$C$94*AP71+AP73+AP49*AP188)-AP111</f>
        <v/>
      </c>
      <c r="AQ248" s="50">
        <f>AQ188-(AQ21*Seasonality!$C$94*AQ71+AQ73+AQ49*AQ188)-AQ111</f>
        <v/>
      </c>
      <c r="AR248" s="50">
        <f>AR188-(AR21*Seasonality!$C$94*AR71+AR73+AR49*AR188)-AR111</f>
        <v/>
      </c>
      <c r="AS248" s="50">
        <f>AS188-(AS21*Seasonality!$C$94*AS71+AS73+AS49*AS188)-AS111</f>
        <v/>
      </c>
      <c r="AT248" s="50">
        <f>AT188-(AT21*Seasonality!$C$94*AT71+AT73+AT49*AT188)-AT111</f>
        <v/>
      </c>
      <c r="AU248" s="50">
        <f>AU188-(AU21*Seasonality!$C$94*AU71+AU73+AU49*AU188)-AU111</f>
        <v/>
      </c>
      <c r="AV248" s="50">
        <f>AV188-(AV21*Seasonality!$C$94*AV71+AV73+AV49*AV188)-AV111</f>
        <v/>
      </c>
      <c r="AW248" s="50">
        <f>AW188-(AW21*Seasonality!$C$94*AW71+AW73+AW49*AW188)-AW111</f>
        <v/>
      </c>
      <c r="AX248" s="50">
        <f>AX188-(AX21*Seasonality!$C$94*AX71+AX73+AX49*AX188)-AX111</f>
        <v/>
      </c>
      <c r="AY248" s="50">
        <f>AY188-(AY21*Seasonality!$C$94*AY71+AY73+AY49*AY188)-AY111</f>
        <v/>
      </c>
      <c r="AZ248" s="50">
        <f>AZ188-(AZ21*Seasonality!$C$94*AZ71+AZ73+AZ49*AZ188)-AZ111</f>
        <v/>
      </c>
      <c r="BA248" s="50">
        <f>BA188-(BA21*Seasonality!$C$94*BA71+BA73+BA49*BA188)-BA111</f>
        <v/>
      </c>
      <c r="BB248" s="50">
        <f>BB188-(BB21*Seasonality!$C$94*BB71+BB73+BB49*BB188)-BB111</f>
        <v/>
      </c>
      <c r="BC248" s="50">
        <f>BC188-(BC21*Seasonality!$C$94*BC71+BC73+BC49*BC188)-BC111</f>
        <v/>
      </c>
      <c r="BD248" s="50">
        <f>BD188-(BD21*Seasonality!$C$94*BD71+BD73+BD49*BD188)-BD111</f>
        <v/>
      </c>
      <c r="BE248" s="50">
        <f>BE188-(BE21*Seasonality!$C$94*BE71+BE73+BE49*BE188)-BE111</f>
        <v/>
      </c>
    </row>
    <row r="249">
      <c r="B249" s="7" t="inlineStr">
        <is>
          <t>Contribution · month 59</t>
        </is>
      </c>
      <c r="C249" s="5" t="inlineStr">
        <is>
          <t>₹</t>
        </is>
      </c>
      <c r="D249" s="50">
        <f>D189-(D21*Seasonality!$C$95*D71+D73+D49*D189)-D111</f>
        <v/>
      </c>
      <c r="E249" s="50">
        <f>E189-(E21*Seasonality!$C$95*E71+E73+E49*E189)-E111</f>
        <v/>
      </c>
      <c r="F249" s="50">
        <f>F189-(F21*Seasonality!$C$95*F71+F73+F49*F189)-F111</f>
        <v/>
      </c>
      <c r="G249" s="50">
        <f>G189-(G21*Seasonality!$C$95*G71+G73+G49*G189)-G111</f>
        <v/>
      </c>
      <c r="H249" s="50">
        <f>H189-(H21*Seasonality!$C$95*H71+H73+H49*H189)-H111</f>
        <v/>
      </c>
      <c r="I249" s="50">
        <f>I189-(I21*Seasonality!$C$95*I71+I73+I49*I189)-I111</f>
        <v/>
      </c>
      <c r="J249" s="50">
        <f>J189-(J21*Seasonality!$C$95*J71+J73+J49*J189)-J111</f>
        <v/>
      </c>
      <c r="K249" s="50">
        <f>K189-(K21*Seasonality!$C$95*K71+K73+K49*K189)-K111</f>
        <v/>
      </c>
      <c r="L249" s="50">
        <f>L189-(L21*Seasonality!$C$95*L71+L73+L49*L189)-L111</f>
        <v/>
      </c>
      <c r="M249" s="50">
        <f>M189-(M21*Seasonality!$C$95*M71+M73+M49*M189)-M111</f>
        <v/>
      </c>
      <c r="N249" s="50">
        <f>N189-(N21*Seasonality!$C$95*N71+N73+N49*N189)-N111</f>
        <v/>
      </c>
      <c r="O249" s="50">
        <f>O189-(O21*Seasonality!$C$95*O71+O73+O49*O189)-O111</f>
        <v/>
      </c>
      <c r="P249" s="50">
        <f>P189-(P21*Seasonality!$C$95*P71+P73+P49*P189)-P111</f>
        <v/>
      </c>
      <c r="Q249" s="50">
        <f>Q189-(Q21*Seasonality!$C$95*Q71+Q73+Q49*Q189)-Q111</f>
        <v/>
      </c>
      <c r="R249" s="50">
        <f>R189-(R21*Seasonality!$C$95*R71+R73+R49*R189)-R111</f>
        <v/>
      </c>
      <c r="S249" s="50">
        <f>S189-(S21*Seasonality!$C$95*S71+S73+S49*S189)-S111</f>
        <v/>
      </c>
      <c r="T249" s="50">
        <f>T189-(T21*Seasonality!$C$95*T71+T73+T49*T189)-T111</f>
        <v/>
      </c>
      <c r="U249" s="50">
        <f>U189-(U21*Seasonality!$C$95*U71+U73+U49*U189)-U111</f>
        <v/>
      </c>
      <c r="V249" s="50">
        <f>V189-(V21*Seasonality!$C$95*V71+V73+V49*V189)-V111</f>
        <v/>
      </c>
      <c r="W249" s="50">
        <f>W189-(W21*Seasonality!$C$95*W71+W73+W49*W189)-W111</f>
        <v/>
      </c>
      <c r="X249" s="50">
        <f>X189-(X21*Seasonality!$C$95*X71+X73+X49*X189)-X111</f>
        <v/>
      </c>
      <c r="Y249" s="50">
        <f>Y189-(Y21*Seasonality!$C$95*Y71+Y73+Y49*Y189)-Y111</f>
        <v/>
      </c>
      <c r="Z249" s="50">
        <f>Z189-(Z21*Seasonality!$C$95*Z71+Z73+Z49*Z189)-Z111</f>
        <v/>
      </c>
      <c r="AA249" s="50">
        <f>AA189-(AA21*Seasonality!$C$95*AA71+AA73+AA49*AA189)-AA111</f>
        <v/>
      </c>
      <c r="AB249" s="50">
        <f>AB189-(AB21*Seasonality!$C$95*AB71+AB73+AB49*AB189)-AB111</f>
        <v/>
      </c>
      <c r="AC249" s="50">
        <f>AC189-(AC21*Seasonality!$C$95*AC71+AC73+AC49*AC189)-AC111</f>
        <v/>
      </c>
      <c r="AD249" s="50">
        <f>AD189-(AD21*Seasonality!$C$95*AD71+AD73+AD49*AD189)-AD111</f>
        <v/>
      </c>
      <c r="AE249" s="50">
        <f>AE189-(AE21*Seasonality!$C$95*AE71+AE73+AE49*AE189)-AE111</f>
        <v/>
      </c>
      <c r="AF249" s="50">
        <f>AF189-(AF21*Seasonality!$C$95*AF71+AF73+AF49*AF189)-AF111</f>
        <v/>
      </c>
      <c r="AG249" s="50">
        <f>AG189-(AG21*Seasonality!$C$95*AG71+AG73+AG49*AG189)-AG111</f>
        <v/>
      </c>
      <c r="AH249" s="50">
        <f>AH189-(AH21*Seasonality!$C$95*AH71+AH73+AH49*AH189)-AH111</f>
        <v/>
      </c>
      <c r="AI249" s="50">
        <f>AI189-(AI21*Seasonality!$C$95*AI71+AI73+AI49*AI189)-AI111</f>
        <v/>
      </c>
      <c r="AJ249" s="50">
        <f>AJ189-(AJ21*Seasonality!$C$95*AJ71+AJ73+AJ49*AJ189)-AJ111</f>
        <v/>
      </c>
      <c r="AK249" s="50">
        <f>AK189-(AK21*Seasonality!$C$95*AK71+AK73+AK49*AK189)-AK111</f>
        <v/>
      </c>
      <c r="AL249" s="50">
        <f>AL189-(AL21*Seasonality!$C$95*AL71+AL73+AL49*AL189)-AL111</f>
        <v/>
      </c>
      <c r="AM249" s="50">
        <f>AM189-(AM21*Seasonality!$C$95*AM71+AM73+AM49*AM189)-AM111</f>
        <v/>
      </c>
      <c r="AN249" s="50">
        <f>AN189-(AN21*Seasonality!$C$95*AN71+AN73+AN49*AN189)-AN111</f>
        <v/>
      </c>
      <c r="AO249" s="50">
        <f>AO189-(AO21*Seasonality!$C$95*AO71+AO73+AO49*AO189)-AO111</f>
        <v/>
      </c>
      <c r="AP249" s="50">
        <f>AP189-(AP21*Seasonality!$C$95*AP71+AP73+AP49*AP189)-AP111</f>
        <v/>
      </c>
      <c r="AQ249" s="50">
        <f>AQ189-(AQ21*Seasonality!$C$95*AQ71+AQ73+AQ49*AQ189)-AQ111</f>
        <v/>
      </c>
      <c r="AR249" s="50">
        <f>AR189-(AR21*Seasonality!$C$95*AR71+AR73+AR49*AR189)-AR111</f>
        <v/>
      </c>
      <c r="AS249" s="50">
        <f>AS189-(AS21*Seasonality!$C$95*AS71+AS73+AS49*AS189)-AS111</f>
        <v/>
      </c>
      <c r="AT249" s="50">
        <f>AT189-(AT21*Seasonality!$C$95*AT71+AT73+AT49*AT189)-AT111</f>
        <v/>
      </c>
      <c r="AU249" s="50">
        <f>AU189-(AU21*Seasonality!$C$95*AU71+AU73+AU49*AU189)-AU111</f>
        <v/>
      </c>
      <c r="AV249" s="50">
        <f>AV189-(AV21*Seasonality!$C$95*AV71+AV73+AV49*AV189)-AV111</f>
        <v/>
      </c>
      <c r="AW249" s="50">
        <f>AW189-(AW21*Seasonality!$C$95*AW71+AW73+AW49*AW189)-AW111</f>
        <v/>
      </c>
      <c r="AX249" s="50">
        <f>AX189-(AX21*Seasonality!$C$95*AX71+AX73+AX49*AX189)-AX111</f>
        <v/>
      </c>
      <c r="AY249" s="50">
        <f>AY189-(AY21*Seasonality!$C$95*AY71+AY73+AY49*AY189)-AY111</f>
        <v/>
      </c>
      <c r="AZ249" s="50">
        <f>AZ189-(AZ21*Seasonality!$C$95*AZ71+AZ73+AZ49*AZ189)-AZ111</f>
        <v/>
      </c>
      <c r="BA249" s="50">
        <f>BA189-(BA21*Seasonality!$C$95*BA71+BA73+BA49*BA189)-BA111</f>
        <v/>
      </c>
      <c r="BB249" s="50">
        <f>BB189-(BB21*Seasonality!$C$95*BB71+BB73+BB49*BB189)-BB111</f>
        <v/>
      </c>
      <c r="BC249" s="50">
        <f>BC189-(BC21*Seasonality!$C$95*BC71+BC73+BC49*BC189)-BC111</f>
        <v/>
      </c>
      <c r="BD249" s="50">
        <f>BD189-(BD21*Seasonality!$C$95*BD71+BD73+BD49*BD189)-BD111</f>
        <v/>
      </c>
      <c r="BE249" s="50">
        <f>BE189-(BE21*Seasonality!$C$95*BE71+BE73+BE49*BE189)-BE111</f>
        <v/>
      </c>
    </row>
    <row r="250">
      <c r="B250" s="7" t="inlineStr">
        <is>
          <t>Contribution · month 60</t>
        </is>
      </c>
      <c r="C250" s="5" t="inlineStr">
        <is>
          <t>₹</t>
        </is>
      </c>
      <c r="D250" s="50">
        <f>D190-(D21*Seasonality!$C$96*D71+D73+D49*D190)-D111</f>
        <v/>
      </c>
      <c r="E250" s="50">
        <f>E190-(E21*Seasonality!$C$96*E71+E73+E49*E190)-E111</f>
        <v/>
      </c>
      <c r="F250" s="50">
        <f>F190-(F21*Seasonality!$C$96*F71+F73+F49*F190)-F111</f>
        <v/>
      </c>
      <c r="G250" s="50">
        <f>G190-(G21*Seasonality!$C$96*G71+G73+G49*G190)-G111</f>
        <v/>
      </c>
      <c r="H250" s="50">
        <f>H190-(H21*Seasonality!$C$96*H71+H73+H49*H190)-H111</f>
        <v/>
      </c>
      <c r="I250" s="50">
        <f>I190-(I21*Seasonality!$C$96*I71+I73+I49*I190)-I111</f>
        <v/>
      </c>
      <c r="J250" s="50">
        <f>J190-(J21*Seasonality!$C$96*J71+J73+J49*J190)-J111</f>
        <v/>
      </c>
      <c r="K250" s="50">
        <f>K190-(K21*Seasonality!$C$96*K71+K73+K49*K190)-K111</f>
        <v/>
      </c>
      <c r="L250" s="50">
        <f>L190-(L21*Seasonality!$C$96*L71+L73+L49*L190)-L111</f>
        <v/>
      </c>
      <c r="M250" s="50">
        <f>M190-(M21*Seasonality!$C$96*M71+M73+M49*M190)-M111</f>
        <v/>
      </c>
      <c r="N250" s="50">
        <f>N190-(N21*Seasonality!$C$96*N71+N73+N49*N190)-N111</f>
        <v/>
      </c>
      <c r="O250" s="50">
        <f>O190-(O21*Seasonality!$C$96*O71+O73+O49*O190)-O111</f>
        <v/>
      </c>
      <c r="P250" s="50">
        <f>P190-(P21*Seasonality!$C$96*P71+P73+P49*P190)-P111</f>
        <v/>
      </c>
      <c r="Q250" s="50">
        <f>Q190-(Q21*Seasonality!$C$96*Q71+Q73+Q49*Q190)-Q111</f>
        <v/>
      </c>
      <c r="R250" s="50">
        <f>R190-(R21*Seasonality!$C$96*R71+R73+R49*R190)-R111</f>
        <v/>
      </c>
      <c r="S250" s="50">
        <f>S190-(S21*Seasonality!$C$96*S71+S73+S49*S190)-S111</f>
        <v/>
      </c>
      <c r="T250" s="50">
        <f>T190-(T21*Seasonality!$C$96*T71+T73+T49*T190)-T111</f>
        <v/>
      </c>
      <c r="U250" s="50">
        <f>U190-(U21*Seasonality!$C$96*U71+U73+U49*U190)-U111</f>
        <v/>
      </c>
      <c r="V250" s="50">
        <f>V190-(V21*Seasonality!$C$96*V71+V73+V49*V190)-V111</f>
        <v/>
      </c>
      <c r="W250" s="50">
        <f>W190-(W21*Seasonality!$C$96*W71+W73+W49*W190)-W111</f>
        <v/>
      </c>
      <c r="X250" s="50">
        <f>X190-(X21*Seasonality!$C$96*X71+X73+X49*X190)-X111</f>
        <v/>
      </c>
      <c r="Y250" s="50">
        <f>Y190-(Y21*Seasonality!$C$96*Y71+Y73+Y49*Y190)-Y111</f>
        <v/>
      </c>
      <c r="Z250" s="50">
        <f>Z190-(Z21*Seasonality!$C$96*Z71+Z73+Z49*Z190)-Z111</f>
        <v/>
      </c>
      <c r="AA250" s="50">
        <f>AA190-(AA21*Seasonality!$C$96*AA71+AA73+AA49*AA190)-AA111</f>
        <v/>
      </c>
      <c r="AB250" s="50">
        <f>AB190-(AB21*Seasonality!$C$96*AB71+AB73+AB49*AB190)-AB111</f>
        <v/>
      </c>
      <c r="AC250" s="50">
        <f>AC190-(AC21*Seasonality!$C$96*AC71+AC73+AC49*AC190)-AC111</f>
        <v/>
      </c>
      <c r="AD250" s="50">
        <f>AD190-(AD21*Seasonality!$C$96*AD71+AD73+AD49*AD190)-AD111</f>
        <v/>
      </c>
      <c r="AE250" s="50">
        <f>AE190-(AE21*Seasonality!$C$96*AE71+AE73+AE49*AE190)-AE111</f>
        <v/>
      </c>
      <c r="AF250" s="50">
        <f>AF190-(AF21*Seasonality!$C$96*AF71+AF73+AF49*AF190)-AF111</f>
        <v/>
      </c>
      <c r="AG250" s="50">
        <f>AG190-(AG21*Seasonality!$C$96*AG71+AG73+AG49*AG190)-AG111</f>
        <v/>
      </c>
      <c r="AH250" s="50">
        <f>AH190-(AH21*Seasonality!$C$96*AH71+AH73+AH49*AH190)-AH111</f>
        <v/>
      </c>
      <c r="AI250" s="50">
        <f>AI190-(AI21*Seasonality!$C$96*AI71+AI73+AI49*AI190)-AI111</f>
        <v/>
      </c>
      <c r="AJ250" s="50">
        <f>AJ190-(AJ21*Seasonality!$C$96*AJ71+AJ73+AJ49*AJ190)-AJ111</f>
        <v/>
      </c>
      <c r="AK250" s="50">
        <f>AK190-(AK21*Seasonality!$C$96*AK71+AK73+AK49*AK190)-AK111</f>
        <v/>
      </c>
      <c r="AL250" s="50">
        <f>AL190-(AL21*Seasonality!$C$96*AL71+AL73+AL49*AL190)-AL111</f>
        <v/>
      </c>
      <c r="AM250" s="50">
        <f>AM190-(AM21*Seasonality!$C$96*AM71+AM73+AM49*AM190)-AM111</f>
        <v/>
      </c>
      <c r="AN250" s="50">
        <f>AN190-(AN21*Seasonality!$C$96*AN71+AN73+AN49*AN190)-AN111</f>
        <v/>
      </c>
      <c r="AO250" s="50">
        <f>AO190-(AO21*Seasonality!$C$96*AO71+AO73+AO49*AO190)-AO111</f>
        <v/>
      </c>
      <c r="AP250" s="50">
        <f>AP190-(AP21*Seasonality!$C$96*AP71+AP73+AP49*AP190)-AP111</f>
        <v/>
      </c>
      <c r="AQ250" s="50">
        <f>AQ190-(AQ21*Seasonality!$C$96*AQ71+AQ73+AQ49*AQ190)-AQ111</f>
        <v/>
      </c>
      <c r="AR250" s="50">
        <f>AR190-(AR21*Seasonality!$C$96*AR71+AR73+AR49*AR190)-AR111</f>
        <v/>
      </c>
      <c r="AS250" s="50">
        <f>AS190-(AS21*Seasonality!$C$96*AS71+AS73+AS49*AS190)-AS111</f>
        <v/>
      </c>
      <c r="AT250" s="50">
        <f>AT190-(AT21*Seasonality!$C$96*AT71+AT73+AT49*AT190)-AT111</f>
        <v/>
      </c>
      <c r="AU250" s="50">
        <f>AU190-(AU21*Seasonality!$C$96*AU71+AU73+AU49*AU190)-AU111</f>
        <v/>
      </c>
      <c r="AV250" s="50">
        <f>AV190-(AV21*Seasonality!$C$96*AV71+AV73+AV49*AV190)-AV111</f>
        <v/>
      </c>
      <c r="AW250" s="50">
        <f>AW190-(AW21*Seasonality!$C$96*AW71+AW73+AW49*AW190)-AW111</f>
        <v/>
      </c>
      <c r="AX250" s="50">
        <f>AX190-(AX21*Seasonality!$C$96*AX71+AX73+AX49*AX190)-AX111</f>
        <v/>
      </c>
      <c r="AY250" s="50">
        <f>AY190-(AY21*Seasonality!$C$96*AY71+AY73+AY49*AY190)-AY111</f>
        <v/>
      </c>
      <c r="AZ250" s="50">
        <f>AZ190-(AZ21*Seasonality!$C$96*AZ71+AZ73+AZ49*AZ190)-AZ111</f>
        <v/>
      </c>
      <c r="BA250" s="50">
        <f>BA190-(BA21*Seasonality!$C$96*BA71+BA73+BA49*BA190)-BA111</f>
        <v/>
      </c>
      <c r="BB250" s="50">
        <f>BB190-(BB21*Seasonality!$C$96*BB71+BB73+BB49*BB190)-BB111</f>
        <v/>
      </c>
      <c r="BC250" s="50">
        <f>BC190-(BC21*Seasonality!$C$96*BC71+BC73+BC49*BC190)-BC111</f>
        <v/>
      </c>
      <c r="BD250" s="50">
        <f>BD190-(BD21*Seasonality!$C$96*BD71+BD73+BD49*BD190)-BD111</f>
        <v/>
      </c>
      <c r="BE250" s="50">
        <f>BE190-(BE21*Seasonality!$C$96*BE71+BE73+BE49*BE190)-BE111</f>
        <v/>
      </c>
    </row>
    <row r="251">
      <c r="B251" s="7" t="inlineStr">
        <is>
          <t>Share of institutes still paying · month 1</t>
        </is>
      </c>
      <c r="C251" s="5" t="inlineStr">
        <is>
          <t>%</t>
        </is>
      </c>
      <c r="D251" s="39">
        <f>1</f>
        <v/>
      </c>
      <c r="E251" s="39">
        <f>1</f>
        <v/>
      </c>
      <c r="F251" s="39">
        <f>1</f>
        <v/>
      </c>
      <c r="G251" s="39">
        <f>1</f>
        <v/>
      </c>
      <c r="H251" s="39">
        <f>1</f>
        <v/>
      </c>
      <c r="I251" s="39">
        <f>1</f>
        <v/>
      </c>
      <c r="J251" s="39">
        <f>1</f>
        <v/>
      </c>
      <c r="K251" s="39">
        <f>1</f>
        <v/>
      </c>
      <c r="L251" s="39">
        <f>1</f>
        <v/>
      </c>
      <c r="M251" s="39">
        <f>1</f>
        <v/>
      </c>
      <c r="N251" s="39">
        <f>1</f>
        <v/>
      </c>
      <c r="O251" s="39">
        <f>1</f>
        <v/>
      </c>
      <c r="P251" s="39">
        <f>1</f>
        <v/>
      </c>
      <c r="Q251" s="39">
        <f>1</f>
        <v/>
      </c>
      <c r="R251" s="39">
        <f>1</f>
        <v/>
      </c>
      <c r="S251" s="39">
        <f>1</f>
        <v/>
      </c>
      <c r="T251" s="39">
        <f>1</f>
        <v/>
      </c>
      <c r="U251" s="39">
        <f>1</f>
        <v/>
      </c>
      <c r="V251" s="39">
        <f>1</f>
        <v/>
      </c>
      <c r="W251" s="39">
        <f>1</f>
        <v/>
      </c>
      <c r="X251" s="39">
        <f>1</f>
        <v/>
      </c>
      <c r="Y251" s="39">
        <f>1</f>
        <v/>
      </c>
      <c r="Z251" s="39">
        <f>1</f>
        <v/>
      </c>
      <c r="AA251" s="39">
        <f>1</f>
        <v/>
      </c>
      <c r="AB251" s="39">
        <f>1</f>
        <v/>
      </c>
      <c r="AC251" s="39">
        <f>1</f>
        <v/>
      </c>
      <c r="AD251" s="39">
        <f>1</f>
        <v/>
      </c>
      <c r="AE251" s="39">
        <f>1</f>
        <v/>
      </c>
      <c r="AF251" s="39">
        <f>1</f>
        <v/>
      </c>
      <c r="AG251" s="39">
        <f>1</f>
        <v/>
      </c>
      <c r="AH251" s="39">
        <f>1</f>
        <v/>
      </c>
      <c r="AI251" s="39">
        <f>1</f>
        <v/>
      </c>
      <c r="AJ251" s="39">
        <f>1</f>
        <v/>
      </c>
      <c r="AK251" s="39">
        <f>1</f>
        <v/>
      </c>
      <c r="AL251" s="39">
        <f>1</f>
        <v/>
      </c>
      <c r="AM251" s="39">
        <f>1</f>
        <v/>
      </c>
      <c r="AN251" s="39">
        <f>1</f>
        <v/>
      </c>
      <c r="AO251" s="39">
        <f>1</f>
        <v/>
      </c>
      <c r="AP251" s="39">
        <f>1</f>
        <v/>
      </c>
      <c r="AQ251" s="39">
        <f>1</f>
        <v/>
      </c>
      <c r="AR251" s="39">
        <f>1</f>
        <v/>
      </c>
      <c r="AS251" s="39">
        <f>1</f>
        <v/>
      </c>
      <c r="AT251" s="39">
        <f>1</f>
        <v/>
      </c>
      <c r="AU251" s="39">
        <f>1</f>
        <v/>
      </c>
      <c r="AV251" s="39">
        <f>1</f>
        <v/>
      </c>
      <c r="AW251" s="39">
        <f>1</f>
        <v/>
      </c>
      <c r="AX251" s="39">
        <f>1</f>
        <v/>
      </c>
      <c r="AY251" s="39">
        <f>1</f>
        <v/>
      </c>
      <c r="AZ251" s="39">
        <f>1</f>
        <v/>
      </c>
      <c r="BA251" s="39">
        <f>1</f>
        <v/>
      </c>
      <c r="BB251" s="39">
        <f>1</f>
        <v/>
      </c>
      <c r="BC251" s="39">
        <f>1</f>
        <v/>
      </c>
      <c r="BD251" s="39">
        <f>1</f>
        <v/>
      </c>
      <c r="BE251" s="39">
        <f>1</f>
        <v/>
      </c>
    </row>
    <row r="252">
      <c r="B252" s="7" t="inlineStr">
        <is>
          <t>Share of institutes still paying · month 2</t>
        </is>
      </c>
      <c r="C252" s="5" t="inlineStr">
        <is>
          <t>%</t>
        </is>
      </c>
      <c r="D252" s="39">
        <f>D251*(1-D119)*(1-IF(1&gt;=D64,Seasonality!$D$37*D120,0))</f>
        <v/>
      </c>
      <c r="E252" s="39">
        <f>E251*(1-E119)*(1-IF(1&gt;=E64,Seasonality!$D$37*E120,0))</f>
        <v/>
      </c>
      <c r="F252" s="39">
        <f>F251*(1-F119)*(1-IF(1&gt;=F64,Seasonality!$D$37*F120,0))</f>
        <v/>
      </c>
      <c r="G252" s="39">
        <f>G251*(1-G119)*(1-IF(1&gt;=G64,Seasonality!$D$37*G120,0))</f>
        <v/>
      </c>
      <c r="H252" s="39">
        <f>H251*(1-H119)*(1-IF(1&gt;=H64,Seasonality!$D$37*H120,0))</f>
        <v/>
      </c>
      <c r="I252" s="39">
        <f>I251*(1-I119)*(1-IF(1&gt;=I64,Seasonality!$D$37*I120,0))</f>
        <v/>
      </c>
      <c r="J252" s="39">
        <f>J251*(1-J119)*(1-IF(1&gt;=J64,Seasonality!$D$37*J120,0))</f>
        <v/>
      </c>
      <c r="K252" s="39">
        <f>K251*(1-K119)*(1-IF(1&gt;=K64,Seasonality!$D$37*K120,0))</f>
        <v/>
      </c>
      <c r="L252" s="39">
        <f>L251*(1-L119)*(1-IF(1&gt;=L64,Seasonality!$D$37*L120,0))</f>
        <v/>
      </c>
      <c r="M252" s="39">
        <f>M251*(1-M119)*(1-IF(1&gt;=M64,Seasonality!$D$37*M120,0))</f>
        <v/>
      </c>
      <c r="N252" s="39">
        <f>N251*(1-N119)*(1-IF(1&gt;=N64,Seasonality!$D$37*N120,0))</f>
        <v/>
      </c>
      <c r="O252" s="39">
        <f>O251*(1-O119)*(1-IF(1&gt;=O64,Seasonality!$D$37*O120,0))</f>
        <v/>
      </c>
      <c r="P252" s="39">
        <f>P251*(1-P119)*(1-IF(1&gt;=P64,Seasonality!$D$37*P120,0))</f>
        <v/>
      </c>
      <c r="Q252" s="39">
        <f>Q251*(1-Q119)*(1-IF(1&gt;=Q64,Seasonality!$D$37*Q120,0))</f>
        <v/>
      </c>
      <c r="R252" s="39">
        <f>R251*(1-R119)*(1-IF(1&gt;=R64,Seasonality!$D$37*R120,0))</f>
        <v/>
      </c>
      <c r="S252" s="39">
        <f>S251*(1-S119)*(1-IF(1&gt;=S64,Seasonality!$D$37*S120,0))</f>
        <v/>
      </c>
      <c r="T252" s="39">
        <f>T251*(1-T119)*(1-IF(1&gt;=T64,Seasonality!$D$37*T120,0))</f>
        <v/>
      </c>
      <c r="U252" s="39">
        <f>U251*(1-U119)*(1-IF(1&gt;=U64,Seasonality!$D$37*U120,0))</f>
        <v/>
      </c>
      <c r="V252" s="39">
        <f>V251*(1-V119)*(1-IF(1&gt;=V64,Seasonality!$D$37*V120,0))</f>
        <v/>
      </c>
      <c r="W252" s="39">
        <f>W251*(1-W119)*(1-IF(1&gt;=W64,Seasonality!$D$37*W120,0))</f>
        <v/>
      </c>
      <c r="X252" s="39">
        <f>X251*(1-X119)*(1-IF(1&gt;=X64,Seasonality!$D$37*X120,0))</f>
        <v/>
      </c>
      <c r="Y252" s="39">
        <f>Y251*(1-Y119)*(1-IF(1&gt;=Y64,Seasonality!$D$37*Y120,0))</f>
        <v/>
      </c>
      <c r="Z252" s="39">
        <f>Z251*(1-Z119)*(1-IF(1&gt;=Z64,Seasonality!$D$37*Z120,0))</f>
        <v/>
      </c>
      <c r="AA252" s="39">
        <f>AA251*(1-AA119)*(1-IF(1&gt;=AA64,Seasonality!$D$37*AA120,0))</f>
        <v/>
      </c>
      <c r="AB252" s="39">
        <f>AB251*(1-AB119)*(1-IF(1&gt;=AB64,Seasonality!$D$37*AB120,0))</f>
        <v/>
      </c>
      <c r="AC252" s="39">
        <f>AC251*(1-AC119)*(1-IF(1&gt;=AC64,Seasonality!$D$37*AC120,0))</f>
        <v/>
      </c>
      <c r="AD252" s="39">
        <f>AD251*(1-AD119)*(1-IF(1&gt;=AD64,Seasonality!$D$37*AD120,0))</f>
        <v/>
      </c>
      <c r="AE252" s="39">
        <f>AE251*(1-AE119)*(1-IF(1&gt;=AE64,Seasonality!$D$37*AE120,0))</f>
        <v/>
      </c>
      <c r="AF252" s="39">
        <f>AF251*(1-AF119)*(1-IF(1&gt;=AF64,Seasonality!$D$37*AF120,0))</f>
        <v/>
      </c>
      <c r="AG252" s="39">
        <f>AG251*(1-AG119)*(1-IF(1&gt;=AG64,Seasonality!$D$37*AG120,0))</f>
        <v/>
      </c>
      <c r="AH252" s="39">
        <f>AH251*(1-AH119)*(1-IF(1&gt;=AH64,Seasonality!$D$37*AH120,0))</f>
        <v/>
      </c>
      <c r="AI252" s="39">
        <f>AI251*(1-AI119)*(1-IF(1&gt;=AI64,Seasonality!$D$37*AI120,0))</f>
        <v/>
      </c>
      <c r="AJ252" s="39">
        <f>AJ251*(1-AJ119)*(1-IF(1&gt;=AJ64,Seasonality!$D$37*AJ120,0))</f>
        <v/>
      </c>
      <c r="AK252" s="39">
        <f>AK251*(1-AK119)*(1-IF(1&gt;=AK64,Seasonality!$D$37*AK120,0))</f>
        <v/>
      </c>
      <c r="AL252" s="39">
        <f>AL251*(1-AL119)*(1-IF(1&gt;=AL64,Seasonality!$D$37*AL120,0))</f>
        <v/>
      </c>
      <c r="AM252" s="39">
        <f>AM251*(1-AM119)*(1-IF(1&gt;=AM64,Seasonality!$D$37*AM120,0))</f>
        <v/>
      </c>
      <c r="AN252" s="39">
        <f>AN251*(1-AN119)*(1-IF(1&gt;=AN64,Seasonality!$D$37*AN120,0))</f>
        <v/>
      </c>
      <c r="AO252" s="39">
        <f>AO251*(1-AO119)*(1-IF(1&gt;=AO64,Seasonality!$D$37*AO120,0))</f>
        <v/>
      </c>
      <c r="AP252" s="39">
        <f>AP251*(1-AP119)*(1-IF(1&gt;=AP64,Seasonality!$D$37*AP120,0))</f>
        <v/>
      </c>
      <c r="AQ252" s="39">
        <f>AQ251*(1-AQ119)*(1-IF(1&gt;=AQ64,Seasonality!$D$37*AQ120,0))</f>
        <v/>
      </c>
      <c r="AR252" s="39">
        <f>AR251*(1-AR119)*(1-IF(1&gt;=AR64,Seasonality!$D$37*AR120,0))</f>
        <v/>
      </c>
      <c r="AS252" s="39">
        <f>AS251*(1-AS119)*(1-IF(1&gt;=AS64,Seasonality!$D$37*AS120,0))</f>
        <v/>
      </c>
      <c r="AT252" s="39">
        <f>AT251*(1-AT119)*(1-IF(1&gt;=AT64,Seasonality!$D$37*AT120,0))</f>
        <v/>
      </c>
      <c r="AU252" s="39">
        <f>AU251*(1-AU119)*(1-IF(1&gt;=AU64,Seasonality!$D$37*AU120,0))</f>
        <v/>
      </c>
      <c r="AV252" s="39">
        <f>AV251*(1-AV119)*(1-IF(1&gt;=AV64,Seasonality!$D$37*AV120,0))</f>
        <v/>
      </c>
      <c r="AW252" s="39">
        <f>AW251*(1-AW119)*(1-IF(1&gt;=AW64,Seasonality!$D$37*AW120,0))</f>
        <v/>
      </c>
      <c r="AX252" s="39">
        <f>AX251*(1-AX119)*(1-IF(1&gt;=AX64,Seasonality!$D$37*AX120,0))</f>
        <v/>
      </c>
      <c r="AY252" s="39">
        <f>AY251*(1-AY119)*(1-IF(1&gt;=AY64,Seasonality!$D$37*AY120,0))</f>
        <v/>
      </c>
      <c r="AZ252" s="39">
        <f>AZ251*(1-AZ119)*(1-IF(1&gt;=AZ64,Seasonality!$D$37*AZ120,0))</f>
        <v/>
      </c>
      <c r="BA252" s="39">
        <f>BA251*(1-BA119)*(1-IF(1&gt;=BA64,Seasonality!$D$37*BA120,0))</f>
        <v/>
      </c>
      <c r="BB252" s="39">
        <f>BB251*(1-BB119)*(1-IF(1&gt;=BB64,Seasonality!$D$37*BB120,0))</f>
        <v/>
      </c>
      <c r="BC252" s="39">
        <f>BC251*(1-BC119)*(1-IF(1&gt;=BC64,Seasonality!$D$37*BC120,0))</f>
        <v/>
      </c>
      <c r="BD252" s="39">
        <f>BD251*(1-BD119)*(1-IF(1&gt;=BD64,Seasonality!$D$37*BD120,0))</f>
        <v/>
      </c>
      <c r="BE252" s="39">
        <f>BE251*(1-BE119)*(1-IF(1&gt;=BE64,Seasonality!$D$37*BE120,0))</f>
        <v/>
      </c>
    </row>
    <row r="253">
      <c r="B253" s="7" t="inlineStr">
        <is>
          <t>Share of institutes still paying · month 3</t>
        </is>
      </c>
      <c r="C253" s="5" t="inlineStr">
        <is>
          <t>%</t>
        </is>
      </c>
      <c r="D253" s="39">
        <f>D252*(1-D119)*(1-IF(2&gt;=D64,Seasonality!$D$38*D120,0))</f>
        <v/>
      </c>
      <c r="E253" s="39">
        <f>E252*(1-E119)*(1-IF(2&gt;=E64,Seasonality!$D$38*E120,0))</f>
        <v/>
      </c>
      <c r="F253" s="39">
        <f>F252*(1-F119)*(1-IF(2&gt;=F64,Seasonality!$D$38*F120,0))</f>
        <v/>
      </c>
      <c r="G253" s="39">
        <f>G252*(1-G119)*(1-IF(2&gt;=G64,Seasonality!$D$38*G120,0))</f>
        <v/>
      </c>
      <c r="H253" s="39">
        <f>H252*(1-H119)*(1-IF(2&gt;=H64,Seasonality!$D$38*H120,0))</f>
        <v/>
      </c>
      <c r="I253" s="39">
        <f>I252*(1-I119)*(1-IF(2&gt;=I64,Seasonality!$D$38*I120,0))</f>
        <v/>
      </c>
      <c r="J253" s="39">
        <f>J252*(1-J119)*(1-IF(2&gt;=J64,Seasonality!$D$38*J120,0))</f>
        <v/>
      </c>
      <c r="K253" s="39">
        <f>K252*(1-K119)*(1-IF(2&gt;=K64,Seasonality!$D$38*K120,0))</f>
        <v/>
      </c>
      <c r="L253" s="39">
        <f>L252*(1-L119)*(1-IF(2&gt;=L64,Seasonality!$D$38*L120,0))</f>
        <v/>
      </c>
      <c r="M253" s="39">
        <f>M252*(1-M119)*(1-IF(2&gt;=M64,Seasonality!$D$38*M120,0))</f>
        <v/>
      </c>
      <c r="N253" s="39">
        <f>N252*(1-N119)*(1-IF(2&gt;=N64,Seasonality!$D$38*N120,0))</f>
        <v/>
      </c>
      <c r="O253" s="39">
        <f>O252*(1-O119)*(1-IF(2&gt;=O64,Seasonality!$D$38*O120,0))</f>
        <v/>
      </c>
      <c r="P253" s="39">
        <f>P252*(1-P119)*(1-IF(2&gt;=P64,Seasonality!$D$38*P120,0))</f>
        <v/>
      </c>
      <c r="Q253" s="39">
        <f>Q252*(1-Q119)*(1-IF(2&gt;=Q64,Seasonality!$D$38*Q120,0))</f>
        <v/>
      </c>
      <c r="R253" s="39">
        <f>R252*(1-R119)*(1-IF(2&gt;=R64,Seasonality!$D$38*R120,0))</f>
        <v/>
      </c>
      <c r="S253" s="39">
        <f>S252*(1-S119)*(1-IF(2&gt;=S64,Seasonality!$D$38*S120,0))</f>
        <v/>
      </c>
      <c r="T253" s="39">
        <f>T252*(1-T119)*(1-IF(2&gt;=T64,Seasonality!$D$38*T120,0))</f>
        <v/>
      </c>
      <c r="U253" s="39">
        <f>U252*(1-U119)*(1-IF(2&gt;=U64,Seasonality!$D$38*U120,0))</f>
        <v/>
      </c>
      <c r="V253" s="39">
        <f>V252*(1-V119)*(1-IF(2&gt;=V64,Seasonality!$D$38*V120,0))</f>
        <v/>
      </c>
      <c r="W253" s="39">
        <f>W252*(1-W119)*(1-IF(2&gt;=W64,Seasonality!$D$38*W120,0))</f>
        <v/>
      </c>
      <c r="X253" s="39">
        <f>X252*(1-X119)*(1-IF(2&gt;=X64,Seasonality!$D$38*X120,0))</f>
        <v/>
      </c>
      <c r="Y253" s="39">
        <f>Y252*(1-Y119)*(1-IF(2&gt;=Y64,Seasonality!$D$38*Y120,0))</f>
        <v/>
      </c>
      <c r="Z253" s="39">
        <f>Z252*(1-Z119)*(1-IF(2&gt;=Z64,Seasonality!$D$38*Z120,0))</f>
        <v/>
      </c>
      <c r="AA253" s="39">
        <f>AA252*(1-AA119)*(1-IF(2&gt;=AA64,Seasonality!$D$38*AA120,0))</f>
        <v/>
      </c>
      <c r="AB253" s="39">
        <f>AB252*(1-AB119)*(1-IF(2&gt;=AB64,Seasonality!$D$38*AB120,0))</f>
        <v/>
      </c>
      <c r="AC253" s="39">
        <f>AC252*(1-AC119)*(1-IF(2&gt;=AC64,Seasonality!$D$38*AC120,0))</f>
        <v/>
      </c>
      <c r="AD253" s="39">
        <f>AD252*(1-AD119)*(1-IF(2&gt;=AD64,Seasonality!$D$38*AD120,0))</f>
        <v/>
      </c>
      <c r="AE253" s="39">
        <f>AE252*(1-AE119)*(1-IF(2&gt;=AE64,Seasonality!$D$38*AE120,0))</f>
        <v/>
      </c>
      <c r="AF253" s="39">
        <f>AF252*(1-AF119)*(1-IF(2&gt;=AF64,Seasonality!$D$38*AF120,0))</f>
        <v/>
      </c>
      <c r="AG253" s="39">
        <f>AG252*(1-AG119)*(1-IF(2&gt;=AG64,Seasonality!$D$38*AG120,0))</f>
        <v/>
      </c>
      <c r="AH253" s="39">
        <f>AH252*(1-AH119)*(1-IF(2&gt;=AH64,Seasonality!$D$38*AH120,0))</f>
        <v/>
      </c>
      <c r="AI253" s="39">
        <f>AI252*(1-AI119)*(1-IF(2&gt;=AI64,Seasonality!$D$38*AI120,0))</f>
        <v/>
      </c>
      <c r="AJ253" s="39">
        <f>AJ252*(1-AJ119)*(1-IF(2&gt;=AJ64,Seasonality!$D$38*AJ120,0))</f>
        <v/>
      </c>
      <c r="AK253" s="39">
        <f>AK252*(1-AK119)*(1-IF(2&gt;=AK64,Seasonality!$D$38*AK120,0))</f>
        <v/>
      </c>
      <c r="AL253" s="39">
        <f>AL252*(1-AL119)*(1-IF(2&gt;=AL64,Seasonality!$D$38*AL120,0))</f>
        <v/>
      </c>
      <c r="AM253" s="39">
        <f>AM252*(1-AM119)*(1-IF(2&gt;=AM64,Seasonality!$D$38*AM120,0))</f>
        <v/>
      </c>
      <c r="AN253" s="39">
        <f>AN252*(1-AN119)*(1-IF(2&gt;=AN64,Seasonality!$D$38*AN120,0))</f>
        <v/>
      </c>
      <c r="AO253" s="39">
        <f>AO252*(1-AO119)*(1-IF(2&gt;=AO64,Seasonality!$D$38*AO120,0))</f>
        <v/>
      </c>
      <c r="AP253" s="39">
        <f>AP252*(1-AP119)*(1-IF(2&gt;=AP64,Seasonality!$D$38*AP120,0))</f>
        <v/>
      </c>
      <c r="AQ253" s="39">
        <f>AQ252*(1-AQ119)*(1-IF(2&gt;=AQ64,Seasonality!$D$38*AQ120,0))</f>
        <v/>
      </c>
      <c r="AR253" s="39">
        <f>AR252*(1-AR119)*(1-IF(2&gt;=AR64,Seasonality!$D$38*AR120,0))</f>
        <v/>
      </c>
      <c r="AS253" s="39">
        <f>AS252*(1-AS119)*(1-IF(2&gt;=AS64,Seasonality!$D$38*AS120,0))</f>
        <v/>
      </c>
      <c r="AT253" s="39">
        <f>AT252*(1-AT119)*(1-IF(2&gt;=AT64,Seasonality!$D$38*AT120,0))</f>
        <v/>
      </c>
      <c r="AU253" s="39">
        <f>AU252*(1-AU119)*(1-IF(2&gt;=AU64,Seasonality!$D$38*AU120,0))</f>
        <v/>
      </c>
      <c r="AV253" s="39">
        <f>AV252*(1-AV119)*(1-IF(2&gt;=AV64,Seasonality!$D$38*AV120,0))</f>
        <v/>
      </c>
      <c r="AW253" s="39">
        <f>AW252*(1-AW119)*(1-IF(2&gt;=AW64,Seasonality!$D$38*AW120,0))</f>
        <v/>
      </c>
      <c r="AX253" s="39">
        <f>AX252*(1-AX119)*(1-IF(2&gt;=AX64,Seasonality!$D$38*AX120,0))</f>
        <v/>
      </c>
      <c r="AY253" s="39">
        <f>AY252*(1-AY119)*(1-IF(2&gt;=AY64,Seasonality!$D$38*AY120,0))</f>
        <v/>
      </c>
      <c r="AZ253" s="39">
        <f>AZ252*(1-AZ119)*(1-IF(2&gt;=AZ64,Seasonality!$D$38*AZ120,0))</f>
        <v/>
      </c>
      <c r="BA253" s="39">
        <f>BA252*(1-BA119)*(1-IF(2&gt;=BA64,Seasonality!$D$38*BA120,0))</f>
        <v/>
      </c>
      <c r="BB253" s="39">
        <f>BB252*(1-BB119)*(1-IF(2&gt;=BB64,Seasonality!$D$38*BB120,0))</f>
        <v/>
      </c>
      <c r="BC253" s="39">
        <f>BC252*(1-BC119)*(1-IF(2&gt;=BC64,Seasonality!$D$38*BC120,0))</f>
        <v/>
      </c>
      <c r="BD253" s="39">
        <f>BD252*(1-BD119)*(1-IF(2&gt;=BD64,Seasonality!$D$38*BD120,0))</f>
        <v/>
      </c>
      <c r="BE253" s="39">
        <f>BE252*(1-BE119)*(1-IF(2&gt;=BE64,Seasonality!$D$38*BE120,0))</f>
        <v/>
      </c>
    </row>
    <row r="254">
      <c r="B254" s="7" t="inlineStr">
        <is>
          <t>Share of institutes still paying · month 4</t>
        </is>
      </c>
      <c r="C254" s="5" t="inlineStr">
        <is>
          <t>%</t>
        </is>
      </c>
      <c r="D254" s="39">
        <f>D253*(1-D119)*(1-IF(3&gt;=D64,Seasonality!$D$39*D120,0))</f>
        <v/>
      </c>
      <c r="E254" s="39">
        <f>E253*(1-E119)*(1-IF(3&gt;=E64,Seasonality!$D$39*E120,0))</f>
        <v/>
      </c>
      <c r="F254" s="39">
        <f>F253*(1-F119)*(1-IF(3&gt;=F64,Seasonality!$D$39*F120,0))</f>
        <v/>
      </c>
      <c r="G254" s="39">
        <f>G253*(1-G119)*(1-IF(3&gt;=G64,Seasonality!$D$39*G120,0))</f>
        <v/>
      </c>
      <c r="H254" s="39">
        <f>H253*(1-H119)*(1-IF(3&gt;=H64,Seasonality!$D$39*H120,0))</f>
        <v/>
      </c>
      <c r="I254" s="39">
        <f>I253*(1-I119)*(1-IF(3&gt;=I64,Seasonality!$D$39*I120,0))</f>
        <v/>
      </c>
      <c r="J254" s="39">
        <f>J253*(1-J119)*(1-IF(3&gt;=J64,Seasonality!$D$39*J120,0))</f>
        <v/>
      </c>
      <c r="K254" s="39">
        <f>K253*(1-K119)*(1-IF(3&gt;=K64,Seasonality!$D$39*K120,0))</f>
        <v/>
      </c>
      <c r="L254" s="39">
        <f>L253*(1-L119)*(1-IF(3&gt;=L64,Seasonality!$D$39*L120,0))</f>
        <v/>
      </c>
      <c r="M254" s="39">
        <f>M253*(1-M119)*(1-IF(3&gt;=M64,Seasonality!$D$39*M120,0))</f>
        <v/>
      </c>
      <c r="N254" s="39">
        <f>N253*(1-N119)*(1-IF(3&gt;=N64,Seasonality!$D$39*N120,0))</f>
        <v/>
      </c>
      <c r="O254" s="39">
        <f>O253*(1-O119)*(1-IF(3&gt;=O64,Seasonality!$D$39*O120,0))</f>
        <v/>
      </c>
      <c r="P254" s="39">
        <f>P253*(1-P119)*(1-IF(3&gt;=P64,Seasonality!$D$39*P120,0))</f>
        <v/>
      </c>
      <c r="Q254" s="39">
        <f>Q253*(1-Q119)*(1-IF(3&gt;=Q64,Seasonality!$D$39*Q120,0))</f>
        <v/>
      </c>
      <c r="R254" s="39">
        <f>R253*(1-R119)*(1-IF(3&gt;=R64,Seasonality!$D$39*R120,0))</f>
        <v/>
      </c>
      <c r="S254" s="39">
        <f>S253*(1-S119)*(1-IF(3&gt;=S64,Seasonality!$D$39*S120,0))</f>
        <v/>
      </c>
      <c r="T254" s="39">
        <f>T253*(1-T119)*(1-IF(3&gt;=T64,Seasonality!$D$39*T120,0))</f>
        <v/>
      </c>
      <c r="U254" s="39">
        <f>U253*(1-U119)*(1-IF(3&gt;=U64,Seasonality!$D$39*U120,0))</f>
        <v/>
      </c>
      <c r="V254" s="39">
        <f>V253*(1-V119)*(1-IF(3&gt;=V64,Seasonality!$D$39*V120,0))</f>
        <v/>
      </c>
      <c r="W254" s="39">
        <f>W253*(1-W119)*(1-IF(3&gt;=W64,Seasonality!$D$39*W120,0))</f>
        <v/>
      </c>
      <c r="X254" s="39">
        <f>X253*(1-X119)*(1-IF(3&gt;=X64,Seasonality!$D$39*X120,0))</f>
        <v/>
      </c>
      <c r="Y254" s="39">
        <f>Y253*(1-Y119)*(1-IF(3&gt;=Y64,Seasonality!$D$39*Y120,0))</f>
        <v/>
      </c>
      <c r="Z254" s="39">
        <f>Z253*(1-Z119)*(1-IF(3&gt;=Z64,Seasonality!$D$39*Z120,0))</f>
        <v/>
      </c>
      <c r="AA254" s="39">
        <f>AA253*(1-AA119)*(1-IF(3&gt;=AA64,Seasonality!$D$39*AA120,0))</f>
        <v/>
      </c>
      <c r="AB254" s="39">
        <f>AB253*(1-AB119)*(1-IF(3&gt;=AB64,Seasonality!$D$39*AB120,0))</f>
        <v/>
      </c>
      <c r="AC254" s="39">
        <f>AC253*(1-AC119)*(1-IF(3&gt;=AC64,Seasonality!$D$39*AC120,0))</f>
        <v/>
      </c>
      <c r="AD254" s="39">
        <f>AD253*(1-AD119)*(1-IF(3&gt;=AD64,Seasonality!$D$39*AD120,0))</f>
        <v/>
      </c>
      <c r="AE254" s="39">
        <f>AE253*(1-AE119)*(1-IF(3&gt;=AE64,Seasonality!$D$39*AE120,0))</f>
        <v/>
      </c>
      <c r="AF254" s="39">
        <f>AF253*(1-AF119)*(1-IF(3&gt;=AF64,Seasonality!$D$39*AF120,0))</f>
        <v/>
      </c>
      <c r="AG254" s="39">
        <f>AG253*(1-AG119)*(1-IF(3&gt;=AG64,Seasonality!$D$39*AG120,0))</f>
        <v/>
      </c>
      <c r="AH254" s="39">
        <f>AH253*(1-AH119)*(1-IF(3&gt;=AH64,Seasonality!$D$39*AH120,0))</f>
        <v/>
      </c>
      <c r="AI254" s="39">
        <f>AI253*(1-AI119)*(1-IF(3&gt;=AI64,Seasonality!$D$39*AI120,0))</f>
        <v/>
      </c>
      <c r="AJ254" s="39">
        <f>AJ253*(1-AJ119)*(1-IF(3&gt;=AJ64,Seasonality!$D$39*AJ120,0))</f>
        <v/>
      </c>
      <c r="AK254" s="39">
        <f>AK253*(1-AK119)*(1-IF(3&gt;=AK64,Seasonality!$D$39*AK120,0))</f>
        <v/>
      </c>
      <c r="AL254" s="39">
        <f>AL253*(1-AL119)*(1-IF(3&gt;=AL64,Seasonality!$D$39*AL120,0))</f>
        <v/>
      </c>
      <c r="AM254" s="39">
        <f>AM253*(1-AM119)*(1-IF(3&gt;=AM64,Seasonality!$D$39*AM120,0))</f>
        <v/>
      </c>
      <c r="AN254" s="39">
        <f>AN253*(1-AN119)*(1-IF(3&gt;=AN64,Seasonality!$D$39*AN120,0))</f>
        <v/>
      </c>
      <c r="AO254" s="39">
        <f>AO253*(1-AO119)*(1-IF(3&gt;=AO64,Seasonality!$D$39*AO120,0))</f>
        <v/>
      </c>
      <c r="AP254" s="39">
        <f>AP253*(1-AP119)*(1-IF(3&gt;=AP64,Seasonality!$D$39*AP120,0))</f>
        <v/>
      </c>
      <c r="AQ254" s="39">
        <f>AQ253*(1-AQ119)*(1-IF(3&gt;=AQ64,Seasonality!$D$39*AQ120,0))</f>
        <v/>
      </c>
      <c r="AR254" s="39">
        <f>AR253*(1-AR119)*(1-IF(3&gt;=AR64,Seasonality!$D$39*AR120,0))</f>
        <v/>
      </c>
      <c r="AS254" s="39">
        <f>AS253*(1-AS119)*(1-IF(3&gt;=AS64,Seasonality!$D$39*AS120,0))</f>
        <v/>
      </c>
      <c r="AT254" s="39">
        <f>AT253*(1-AT119)*(1-IF(3&gt;=AT64,Seasonality!$D$39*AT120,0))</f>
        <v/>
      </c>
      <c r="AU254" s="39">
        <f>AU253*(1-AU119)*(1-IF(3&gt;=AU64,Seasonality!$D$39*AU120,0))</f>
        <v/>
      </c>
      <c r="AV254" s="39">
        <f>AV253*(1-AV119)*(1-IF(3&gt;=AV64,Seasonality!$D$39*AV120,0))</f>
        <v/>
      </c>
      <c r="AW254" s="39">
        <f>AW253*(1-AW119)*(1-IF(3&gt;=AW64,Seasonality!$D$39*AW120,0))</f>
        <v/>
      </c>
      <c r="AX254" s="39">
        <f>AX253*(1-AX119)*(1-IF(3&gt;=AX64,Seasonality!$D$39*AX120,0))</f>
        <v/>
      </c>
      <c r="AY254" s="39">
        <f>AY253*(1-AY119)*(1-IF(3&gt;=AY64,Seasonality!$D$39*AY120,0))</f>
        <v/>
      </c>
      <c r="AZ254" s="39">
        <f>AZ253*(1-AZ119)*(1-IF(3&gt;=AZ64,Seasonality!$D$39*AZ120,0))</f>
        <v/>
      </c>
      <c r="BA254" s="39">
        <f>BA253*(1-BA119)*(1-IF(3&gt;=BA64,Seasonality!$D$39*BA120,0))</f>
        <v/>
      </c>
      <c r="BB254" s="39">
        <f>BB253*(1-BB119)*(1-IF(3&gt;=BB64,Seasonality!$D$39*BB120,0))</f>
        <v/>
      </c>
      <c r="BC254" s="39">
        <f>BC253*(1-BC119)*(1-IF(3&gt;=BC64,Seasonality!$D$39*BC120,0))</f>
        <v/>
      </c>
      <c r="BD254" s="39">
        <f>BD253*(1-BD119)*(1-IF(3&gt;=BD64,Seasonality!$D$39*BD120,0))</f>
        <v/>
      </c>
      <c r="BE254" s="39">
        <f>BE253*(1-BE119)*(1-IF(3&gt;=BE64,Seasonality!$D$39*BE120,0))</f>
        <v/>
      </c>
    </row>
    <row r="255">
      <c r="B255" s="7" t="inlineStr">
        <is>
          <t>Share of institutes still paying · month 5</t>
        </is>
      </c>
      <c r="C255" s="5" t="inlineStr">
        <is>
          <t>%</t>
        </is>
      </c>
      <c r="D255" s="39">
        <f>D254*(1-D119)*(1-IF(4&gt;=D64,Seasonality!$D$40*D120,0))</f>
        <v/>
      </c>
      <c r="E255" s="39">
        <f>E254*(1-E119)*(1-IF(4&gt;=E64,Seasonality!$D$40*E120,0))</f>
        <v/>
      </c>
      <c r="F255" s="39">
        <f>F254*(1-F119)*(1-IF(4&gt;=F64,Seasonality!$D$40*F120,0))</f>
        <v/>
      </c>
      <c r="G255" s="39">
        <f>G254*(1-G119)*(1-IF(4&gt;=G64,Seasonality!$D$40*G120,0))</f>
        <v/>
      </c>
      <c r="H255" s="39">
        <f>H254*(1-H119)*(1-IF(4&gt;=H64,Seasonality!$D$40*H120,0))</f>
        <v/>
      </c>
      <c r="I255" s="39">
        <f>I254*(1-I119)*(1-IF(4&gt;=I64,Seasonality!$D$40*I120,0))</f>
        <v/>
      </c>
      <c r="J255" s="39">
        <f>J254*(1-J119)*(1-IF(4&gt;=J64,Seasonality!$D$40*J120,0))</f>
        <v/>
      </c>
      <c r="K255" s="39">
        <f>K254*(1-K119)*(1-IF(4&gt;=K64,Seasonality!$D$40*K120,0))</f>
        <v/>
      </c>
      <c r="L255" s="39">
        <f>L254*(1-L119)*(1-IF(4&gt;=L64,Seasonality!$D$40*L120,0))</f>
        <v/>
      </c>
      <c r="M255" s="39">
        <f>M254*(1-M119)*(1-IF(4&gt;=M64,Seasonality!$D$40*M120,0))</f>
        <v/>
      </c>
      <c r="N255" s="39">
        <f>N254*(1-N119)*(1-IF(4&gt;=N64,Seasonality!$D$40*N120,0))</f>
        <v/>
      </c>
      <c r="O255" s="39">
        <f>O254*(1-O119)*(1-IF(4&gt;=O64,Seasonality!$D$40*O120,0))</f>
        <v/>
      </c>
      <c r="P255" s="39">
        <f>P254*(1-P119)*(1-IF(4&gt;=P64,Seasonality!$D$40*P120,0))</f>
        <v/>
      </c>
      <c r="Q255" s="39">
        <f>Q254*(1-Q119)*(1-IF(4&gt;=Q64,Seasonality!$D$40*Q120,0))</f>
        <v/>
      </c>
      <c r="R255" s="39">
        <f>R254*(1-R119)*(1-IF(4&gt;=R64,Seasonality!$D$40*R120,0))</f>
        <v/>
      </c>
      <c r="S255" s="39">
        <f>S254*(1-S119)*(1-IF(4&gt;=S64,Seasonality!$D$40*S120,0))</f>
        <v/>
      </c>
      <c r="T255" s="39">
        <f>T254*(1-T119)*(1-IF(4&gt;=T64,Seasonality!$D$40*T120,0))</f>
        <v/>
      </c>
      <c r="U255" s="39">
        <f>U254*(1-U119)*(1-IF(4&gt;=U64,Seasonality!$D$40*U120,0))</f>
        <v/>
      </c>
      <c r="V255" s="39">
        <f>V254*(1-V119)*(1-IF(4&gt;=V64,Seasonality!$D$40*V120,0))</f>
        <v/>
      </c>
      <c r="W255" s="39">
        <f>W254*(1-W119)*(1-IF(4&gt;=W64,Seasonality!$D$40*W120,0))</f>
        <v/>
      </c>
      <c r="X255" s="39">
        <f>X254*(1-X119)*(1-IF(4&gt;=X64,Seasonality!$D$40*X120,0))</f>
        <v/>
      </c>
      <c r="Y255" s="39">
        <f>Y254*(1-Y119)*(1-IF(4&gt;=Y64,Seasonality!$D$40*Y120,0))</f>
        <v/>
      </c>
      <c r="Z255" s="39">
        <f>Z254*(1-Z119)*(1-IF(4&gt;=Z64,Seasonality!$D$40*Z120,0))</f>
        <v/>
      </c>
      <c r="AA255" s="39">
        <f>AA254*(1-AA119)*(1-IF(4&gt;=AA64,Seasonality!$D$40*AA120,0))</f>
        <v/>
      </c>
      <c r="AB255" s="39">
        <f>AB254*(1-AB119)*(1-IF(4&gt;=AB64,Seasonality!$D$40*AB120,0))</f>
        <v/>
      </c>
      <c r="AC255" s="39">
        <f>AC254*(1-AC119)*(1-IF(4&gt;=AC64,Seasonality!$D$40*AC120,0))</f>
        <v/>
      </c>
      <c r="AD255" s="39">
        <f>AD254*(1-AD119)*(1-IF(4&gt;=AD64,Seasonality!$D$40*AD120,0))</f>
        <v/>
      </c>
      <c r="AE255" s="39">
        <f>AE254*(1-AE119)*(1-IF(4&gt;=AE64,Seasonality!$D$40*AE120,0))</f>
        <v/>
      </c>
      <c r="AF255" s="39">
        <f>AF254*(1-AF119)*(1-IF(4&gt;=AF64,Seasonality!$D$40*AF120,0))</f>
        <v/>
      </c>
      <c r="AG255" s="39">
        <f>AG254*(1-AG119)*(1-IF(4&gt;=AG64,Seasonality!$D$40*AG120,0))</f>
        <v/>
      </c>
      <c r="AH255" s="39">
        <f>AH254*(1-AH119)*(1-IF(4&gt;=AH64,Seasonality!$D$40*AH120,0))</f>
        <v/>
      </c>
      <c r="AI255" s="39">
        <f>AI254*(1-AI119)*(1-IF(4&gt;=AI64,Seasonality!$D$40*AI120,0))</f>
        <v/>
      </c>
      <c r="AJ255" s="39">
        <f>AJ254*(1-AJ119)*(1-IF(4&gt;=AJ64,Seasonality!$D$40*AJ120,0))</f>
        <v/>
      </c>
      <c r="AK255" s="39">
        <f>AK254*(1-AK119)*(1-IF(4&gt;=AK64,Seasonality!$D$40*AK120,0))</f>
        <v/>
      </c>
      <c r="AL255" s="39">
        <f>AL254*(1-AL119)*(1-IF(4&gt;=AL64,Seasonality!$D$40*AL120,0))</f>
        <v/>
      </c>
      <c r="AM255" s="39">
        <f>AM254*(1-AM119)*(1-IF(4&gt;=AM64,Seasonality!$D$40*AM120,0))</f>
        <v/>
      </c>
      <c r="AN255" s="39">
        <f>AN254*(1-AN119)*(1-IF(4&gt;=AN64,Seasonality!$D$40*AN120,0))</f>
        <v/>
      </c>
      <c r="AO255" s="39">
        <f>AO254*(1-AO119)*(1-IF(4&gt;=AO64,Seasonality!$D$40*AO120,0))</f>
        <v/>
      </c>
      <c r="AP255" s="39">
        <f>AP254*(1-AP119)*(1-IF(4&gt;=AP64,Seasonality!$D$40*AP120,0))</f>
        <v/>
      </c>
      <c r="AQ255" s="39">
        <f>AQ254*(1-AQ119)*(1-IF(4&gt;=AQ64,Seasonality!$D$40*AQ120,0))</f>
        <v/>
      </c>
      <c r="AR255" s="39">
        <f>AR254*(1-AR119)*(1-IF(4&gt;=AR64,Seasonality!$D$40*AR120,0))</f>
        <v/>
      </c>
      <c r="AS255" s="39">
        <f>AS254*(1-AS119)*(1-IF(4&gt;=AS64,Seasonality!$D$40*AS120,0))</f>
        <v/>
      </c>
      <c r="AT255" s="39">
        <f>AT254*(1-AT119)*(1-IF(4&gt;=AT64,Seasonality!$D$40*AT120,0))</f>
        <v/>
      </c>
      <c r="AU255" s="39">
        <f>AU254*(1-AU119)*(1-IF(4&gt;=AU64,Seasonality!$D$40*AU120,0))</f>
        <v/>
      </c>
      <c r="AV255" s="39">
        <f>AV254*(1-AV119)*(1-IF(4&gt;=AV64,Seasonality!$D$40*AV120,0))</f>
        <v/>
      </c>
      <c r="AW255" s="39">
        <f>AW254*(1-AW119)*(1-IF(4&gt;=AW64,Seasonality!$D$40*AW120,0))</f>
        <v/>
      </c>
      <c r="AX255" s="39">
        <f>AX254*(1-AX119)*(1-IF(4&gt;=AX64,Seasonality!$D$40*AX120,0))</f>
        <v/>
      </c>
      <c r="AY255" s="39">
        <f>AY254*(1-AY119)*(1-IF(4&gt;=AY64,Seasonality!$D$40*AY120,0))</f>
        <v/>
      </c>
      <c r="AZ255" s="39">
        <f>AZ254*(1-AZ119)*(1-IF(4&gt;=AZ64,Seasonality!$D$40*AZ120,0))</f>
        <v/>
      </c>
      <c r="BA255" s="39">
        <f>BA254*(1-BA119)*(1-IF(4&gt;=BA64,Seasonality!$D$40*BA120,0))</f>
        <v/>
      </c>
      <c r="BB255" s="39">
        <f>BB254*(1-BB119)*(1-IF(4&gt;=BB64,Seasonality!$D$40*BB120,0))</f>
        <v/>
      </c>
      <c r="BC255" s="39">
        <f>BC254*(1-BC119)*(1-IF(4&gt;=BC64,Seasonality!$D$40*BC120,0))</f>
        <v/>
      </c>
      <c r="BD255" s="39">
        <f>BD254*(1-BD119)*(1-IF(4&gt;=BD64,Seasonality!$D$40*BD120,0))</f>
        <v/>
      </c>
      <c r="BE255" s="39">
        <f>BE254*(1-BE119)*(1-IF(4&gt;=BE64,Seasonality!$D$40*BE120,0))</f>
        <v/>
      </c>
    </row>
    <row r="256">
      <c r="B256" s="7" t="inlineStr">
        <is>
          <t>Share of institutes still paying · month 6</t>
        </is>
      </c>
      <c r="C256" s="5" t="inlineStr">
        <is>
          <t>%</t>
        </is>
      </c>
      <c r="D256" s="39">
        <f>D255*(1-D119)*(1-IF(5&gt;=D64,Seasonality!$D$41*D120,0))</f>
        <v/>
      </c>
      <c r="E256" s="39">
        <f>E255*(1-E119)*(1-IF(5&gt;=E64,Seasonality!$D$41*E120,0))</f>
        <v/>
      </c>
      <c r="F256" s="39">
        <f>F255*(1-F119)*(1-IF(5&gt;=F64,Seasonality!$D$41*F120,0))</f>
        <v/>
      </c>
      <c r="G256" s="39">
        <f>G255*(1-G119)*(1-IF(5&gt;=G64,Seasonality!$D$41*G120,0))</f>
        <v/>
      </c>
      <c r="H256" s="39">
        <f>H255*(1-H119)*(1-IF(5&gt;=H64,Seasonality!$D$41*H120,0))</f>
        <v/>
      </c>
      <c r="I256" s="39">
        <f>I255*(1-I119)*(1-IF(5&gt;=I64,Seasonality!$D$41*I120,0))</f>
        <v/>
      </c>
      <c r="J256" s="39">
        <f>J255*(1-J119)*(1-IF(5&gt;=J64,Seasonality!$D$41*J120,0))</f>
        <v/>
      </c>
      <c r="K256" s="39">
        <f>K255*(1-K119)*(1-IF(5&gt;=K64,Seasonality!$D$41*K120,0))</f>
        <v/>
      </c>
      <c r="L256" s="39">
        <f>L255*(1-L119)*(1-IF(5&gt;=L64,Seasonality!$D$41*L120,0))</f>
        <v/>
      </c>
      <c r="M256" s="39">
        <f>M255*(1-M119)*(1-IF(5&gt;=M64,Seasonality!$D$41*M120,0))</f>
        <v/>
      </c>
      <c r="N256" s="39">
        <f>N255*(1-N119)*(1-IF(5&gt;=N64,Seasonality!$D$41*N120,0))</f>
        <v/>
      </c>
      <c r="O256" s="39">
        <f>O255*(1-O119)*(1-IF(5&gt;=O64,Seasonality!$D$41*O120,0))</f>
        <v/>
      </c>
      <c r="P256" s="39">
        <f>P255*(1-P119)*(1-IF(5&gt;=P64,Seasonality!$D$41*P120,0))</f>
        <v/>
      </c>
      <c r="Q256" s="39">
        <f>Q255*(1-Q119)*(1-IF(5&gt;=Q64,Seasonality!$D$41*Q120,0))</f>
        <v/>
      </c>
      <c r="R256" s="39">
        <f>R255*(1-R119)*(1-IF(5&gt;=R64,Seasonality!$D$41*R120,0))</f>
        <v/>
      </c>
      <c r="S256" s="39">
        <f>S255*(1-S119)*(1-IF(5&gt;=S64,Seasonality!$D$41*S120,0))</f>
        <v/>
      </c>
      <c r="T256" s="39">
        <f>T255*(1-T119)*(1-IF(5&gt;=T64,Seasonality!$D$41*T120,0))</f>
        <v/>
      </c>
      <c r="U256" s="39">
        <f>U255*(1-U119)*(1-IF(5&gt;=U64,Seasonality!$D$41*U120,0))</f>
        <v/>
      </c>
      <c r="V256" s="39">
        <f>V255*(1-V119)*(1-IF(5&gt;=V64,Seasonality!$D$41*V120,0))</f>
        <v/>
      </c>
      <c r="W256" s="39">
        <f>W255*(1-W119)*(1-IF(5&gt;=W64,Seasonality!$D$41*W120,0))</f>
        <v/>
      </c>
      <c r="X256" s="39">
        <f>X255*(1-X119)*(1-IF(5&gt;=X64,Seasonality!$D$41*X120,0))</f>
        <v/>
      </c>
      <c r="Y256" s="39">
        <f>Y255*(1-Y119)*(1-IF(5&gt;=Y64,Seasonality!$D$41*Y120,0))</f>
        <v/>
      </c>
      <c r="Z256" s="39">
        <f>Z255*(1-Z119)*(1-IF(5&gt;=Z64,Seasonality!$D$41*Z120,0))</f>
        <v/>
      </c>
      <c r="AA256" s="39">
        <f>AA255*(1-AA119)*(1-IF(5&gt;=AA64,Seasonality!$D$41*AA120,0))</f>
        <v/>
      </c>
      <c r="AB256" s="39">
        <f>AB255*(1-AB119)*(1-IF(5&gt;=AB64,Seasonality!$D$41*AB120,0))</f>
        <v/>
      </c>
      <c r="AC256" s="39">
        <f>AC255*(1-AC119)*(1-IF(5&gt;=AC64,Seasonality!$D$41*AC120,0))</f>
        <v/>
      </c>
      <c r="AD256" s="39">
        <f>AD255*(1-AD119)*(1-IF(5&gt;=AD64,Seasonality!$D$41*AD120,0))</f>
        <v/>
      </c>
      <c r="AE256" s="39">
        <f>AE255*(1-AE119)*(1-IF(5&gt;=AE64,Seasonality!$D$41*AE120,0))</f>
        <v/>
      </c>
      <c r="AF256" s="39">
        <f>AF255*(1-AF119)*(1-IF(5&gt;=AF64,Seasonality!$D$41*AF120,0))</f>
        <v/>
      </c>
      <c r="AG256" s="39">
        <f>AG255*(1-AG119)*(1-IF(5&gt;=AG64,Seasonality!$D$41*AG120,0))</f>
        <v/>
      </c>
      <c r="AH256" s="39">
        <f>AH255*(1-AH119)*(1-IF(5&gt;=AH64,Seasonality!$D$41*AH120,0))</f>
        <v/>
      </c>
      <c r="AI256" s="39">
        <f>AI255*(1-AI119)*(1-IF(5&gt;=AI64,Seasonality!$D$41*AI120,0))</f>
        <v/>
      </c>
      <c r="AJ256" s="39">
        <f>AJ255*(1-AJ119)*(1-IF(5&gt;=AJ64,Seasonality!$D$41*AJ120,0))</f>
        <v/>
      </c>
      <c r="AK256" s="39">
        <f>AK255*(1-AK119)*(1-IF(5&gt;=AK64,Seasonality!$D$41*AK120,0))</f>
        <v/>
      </c>
      <c r="AL256" s="39">
        <f>AL255*(1-AL119)*(1-IF(5&gt;=AL64,Seasonality!$D$41*AL120,0))</f>
        <v/>
      </c>
      <c r="AM256" s="39">
        <f>AM255*(1-AM119)*(1-IF(5&gt;=AM64,Seasonality!$D$41*AM120,0))</f>
        <v/>
      </c>
      <c r="AN256" s="39">
        <f>AN255*(1-AN119)*(1-IF(5&gt;=AN64,Seasonality!$D$41*AN120,0))</f>
        <v/>
      </c>
      <c r="AO256" s="39">
        <f>AO255*(1-AO119)*(1-IF(5&gt;=AO64,Seasonality!$D$41*AO120,0))</f>
        <v/>
      </c>
      <c r="AP256" s="39">
        <f>AP255*(1-AP119)*(1-IF(5&gt;=AP64,Seasonality!$D$41*AP120,0))</f>
        <v/>
      </c>
      <c r="AQ256" s="39">
        <f>AQ255*(1-AQ119)*(1-IF(5&gt;=AQ64,Seasonality!$D$41*AQ120,0))</f>
        <v/>
      </c>
      <c r="AR256" s="39">
        <f>AR255*(1-AR119)*(1-IF(5&gt;=AR64,Seasonality!$D$41*AR120,0))</f>
        <v/>
      </c>
      <c r="AS256" s="39">
        <f>AS255*(1-AS119)*(1-IF(5&gt;=AS64,Seasonality!$D$41*AS120,0))</f>
        <v/>
      </c>
      <c r="AT256" s="39">
        <f>AT255*(1-AT119)*(1-IF(5&gt;=AT64,Seasonality!$D$41*AT120,0))</f>
        <v/>
      </c>
      <c r="AU256" s="39">
        <f>AU255*(1-AU119)*(1-IF(5&gt;=AU64,Seasonality!$D$41*AU120,0))</f>
        <v/>
      </c>
      <c r="AV256" s="39">
        <f>AV255*(1-AV119)*(1-IF(5&gt;=AV64,Seasonality!$D$41*AV120,0))</f>
        <v/>
      </c>
      <c r="AW256" s="39">
        <f>AW255*(1-AW119)*(1-IF(5&gt;=AW64,Seasonality!$D$41*AW120,0))</f>
        <v/>
      </c>
      <c r="AX256" s="39">
        <f>AX255*(1-AX119)*(1-IF(5&gt;=AX64,Seasonality!$D$41*AX120,0))</f>
        <v/>
      </c>
      <c r="AY256" s="39">
        <f>AY255*(1-AY119)*(1-IF(5&gt;=AY64,Seasonality!$D$41*AY120,0))</f>
        <v/>
      </c>
      <c r="AZ256" s="39">
        <f>AZ255*(1-AZ119)*(1-IF(5&gt;=AZ64,Seasonality!$D$41*AZ120,0))</f>
        <v/>
      </c>
      <c r="BA256" s="39">
        <f>BA255*(1-BA119)*(1-IF(5&gt;=BA64,Seasonality!$D$41*BA120,0))</f>
        <v/>
      </c>
      <c r="BB256" s="39">
        <f>BB255*(1-BB119)*(1-IF(5&gt;=BB64,Seasonality!$D$41*BB120,0))</f>
        <v/>
      </c>
      <c r="BC256" s="39">
        <f>BC255*(1-BC119)*(1-IF(5&gt;=BC64,Seasonality!$D$41*BC120,0))</f>
        <v/>
      </c>
      <c r="BD256" s="39">
        <f>BD255*(1-BD119)*(1-IF(5&gt;=BD64,Seasonality!$D$41*BD120,0))</f>
        <v/>
      </c>
      <c r="BE256" s="39">
        <f>BE255*(1-BE119)*(1-IF(5&gt;=BE64,Seasonality!$D$41*BE120,0))</f>
        <v/>
      </c>
    </row>
    <row r="257">
      <c r="B257" s="7" t="inlineStr">
        <is>
          <t>Share of institutes still paying · month 7</t>
        </is>
      </c>
      <c r="C257" s="5" t="inlineStr">
        <is>
          <t>%</t>
        </is>
      </c>
      <c r="D257" s="39">
        <f>D256*(1-D119)*(1-IF(6&gt;=D64,Seasonality!$D$42*D120,0))</f>
        <v/>
      </c>
      <c r="E257" s="39">
        <f>E256*(1-E119)*(1-IF(6&gt;=E64,Seasonality!$D$42*E120,0))</f>
        <v/>
      </c>
      <c r="F257" s="39">
        <f>F256*(1-F119)*(1-IF(6&gt;=F64,Seasonality!$D$42*F120,0))</f>
        <v/>
      </c>
      <c r="G257" s="39">
        <f>G256*(1-G119)*(1-IF(6&gt;=G64,Seasonality!$D$42*G120,0))</f>
        <v/>
      </c>
      <c r="H257" s="39">
        <f>H256*(1-H119)*(1-IF(6&gt;=H64,Seasonality!$D$42*H120,0))</f>
        <v/>
      </c>
      <c r="I257" s="39">
        <f>I256*(1-I119)*(1-IF(6&gt;=I64,Seasonality!$D$42*I120,0))</f>
        <v/>
      </c>
      <c r="J257" s="39">
        <f>J256*(1-J119)*(1-IF(6&gt;=J64,Seasonality!$D$42*J120,0))</f>
        <v/>
      </c>
      <c r="K257" s="39">
        <f>K256*(1-K119)*(1-IF(6&gt;=K64,Seasonality!$D$42*K120,0))</f>
        <v/>
      </c>
      <c r="L257" s="39">
        <f>L256*(1-L119)*(1-IF(6&gt;=L64,Seasonality!$D$42*L120,0))</f>
        <v/>
      </c>
      <c r="M257" s="39">
        <f>M256*(1-M119)*(1-IF(6&gt;=M64,Seasonality!$D$42*M120,0))</f>
        <v/>
      </c>
      <c r="N257" s="39">
        <f>N256*(1-N119)*(1-IF(6&gt;=N64,Seasonality!$D$42*N120,0))</f>
        <v/>
      </c>
      <c r="O257" s="39">
        <f>O256*(1-O119)*(1-IF(6&gt;=O64,Seasonality!$D$42*O120,0))</f>
        <v/>
      </c>
      <c r="P257" s="39">
        <f>P256*(1-P119)*(1-IF(6&gt;=P64,Seasonality!$D$42*P120,0))</f>
        <v/>
      </c>
      <c r="Q257" s="39">
        <f>Q256*(1-Q119)*(1-IF(6&gt;=Q64,Seasonality!$D$42*Q120,0))</f>
        <v/>
      </c>
      <c r="R257" s="39">
        <f>R256*(1-R119)*(1-IF(6&gt;=R64,Seasonality!$D$42*R120,0))</f>
        <v/>
      </c>
      <c r="S257" s="39">
        <f>S256*(1-S119)*(1-IF(6&gt;=S64,Seasonality!$D$42*S120,0))</f>
        <v/>
      </c>
      <c r="T257" s="39">
        <f>T256*(1-T119)*(1-IF(6&gt;=T64,Seasonality!$D$42*T120,0))</f>
        <v/>
      </c>
      <c r="U257" s="39">
        <f>U256*(1-U119)*(1-IF(6&gt;=U64,Seasonality!$D$42*U120,0))</f>
        <v/>
      </c>
      <c r="V257" s="39">
        <f>V256*(1-V119)*(1-IF(6&gt;=V64,Seasonality!$D$42*V120,0))</f>
        <v/>
      </c>
      <c r="W257" s="39">
        <f>W256*(1-W119)*(1-IF(6&gt;=W64,Seasonality!$D$42*W120,0))</f>
        <v/>
      </c>
      <c r="X257" s="39">
        <f>X256*(1-X119)*(1-IF(6&gt;=X64,Seasonality!$D$42*X120,0))</f>
        <v/>
      </c>
      <c r="Y257" s="39">
        <f>Y256*(1-Y119)*(1-IF(6&gt;=Y64,Seasonality!$D$42*Y120,0))</f>
        <v/>
      </c>
      <c r="Z257" s="39">
        <f>Z256*(1-Z119)*(1-IF(6&gt;=Z64,Seasonality!$D$42*Z120,0))</f>
        <v/>
      </c>
      <c r="AA257" s="39">
        <f>AA256*(1-AA119)*(1-IF(6&gt;=AA64,Seasonality!$D$42*AA120,0))</f>
        <v/>
      </c>
      <c r="AB257" s="39">
        <f>AB256*(1-AB119)*(1-IF(6&gt;=AB64,Seasonality!$D$42*AB120,0))</f>
        <v/>
      </c>
      <c r="AC257" s="39">
        <f>AC256*(1-AC119)*(1-IF(6&gt;=AC64,Seasonality!$D$42*AC120,0))</f>
        <v/>
      </c>
      <c r="AD257" s="39">
        <f>AD256*(1-AD119)*(1-IF(6&gt;=AD64,Seasonality!$D$42*AD120,0))</f>
        <v/>
      </c>
      <c r="AE257" s="39">
        <f>AE256*(1-AE119)*(1-IF(6&gt;=AE64,Seasonality!$D$42*AE120,0))</f>
        <v/>
      </c>
      <c r="AF257" s="39">
        <f>AF256*(1-AF119)*(1-IF(6&gt;=AF64,Seasonality!$D$42*AF120,0))</f>
        <v/>
      </c>
      <c r="AG257" s="39">
        <f>AG256*(1-AG119)*(1-IF(6&gt;=AG64,Seasonality!$D$42*AG120,0))</f>
        <v/>
      </c>
      <c r="AH257" s="39">
        <f>AH256*(1-AH119)*(1-IF(6&gt;=AH64,Seasonality!$D$42*AH120,0))</f>
        <v/>
      </c>
      <c r="AI257" s="39">
        <f>AI256*(1-AI119)*(1-IF(6&gt;=AI64,Seasonality!$D$42*AI120,0))</f>
        <v/>
      </c>
      <c r="AJ257" s="39">
        <f>AJ256*(1-AJ119)*(1-IF(6&gt;=AJ64,Seasonality!$D$42*AJ120,0))</f>
        <v/>
      </c>
      <c r="AK257" s="39">
        <f>AK256*(1-AK119)*(1-IF(6&gt;=AK64,Seasonality!$D$42*AK120,0))</f>
        <v/>
      </c>
      <c r="AL257" s="39">
        <f>AL256*(1-AL119)*(1-IF(6&gt;=AL64,Seasonality!$D$42*AL120,0))</f>
        <v/>
      </c>
      <c r="AM257" s="39">
        <f>AM256*(1-AM119)*(1-IF(6&gt;=AM64,Seasonality!$D$42*AM120,0))</f>
        <v/>
      </c>
      <c r="AN257" s="39">
        <f>AN256*(1-AN119)*(1-IF(6&gt;=AN64,Seasonality!$D$42*AN120,0))</f>
        <v/>
      </c>
      <c r="AO257" s="39">
        <f>AO256*(1-AO119)*(1-IF(6&gt;=AO64,Seasonality!$D$42*AO120,0))</f>
        <v/>
      </c>
      <c r="AP257" s="39">
        <f>AP256*(1-AP119)*(1-IF(6&gt;=AP64,Seasonality!$D$42*AP120,0))</f>
        <v/>
      </c>
      <c r="AQ257" s="39">
        <f>AQ256*(1-AQ119)*(1-IF(6&gt;=AQ64,Seasonality!$D$42*AQ120,0))</f>
        <v/>
      </c>
      <c r="AR257" s="39">
        <f>AR256*(1-AR119)*(1-IF(6&gt;=AR64,Seasonality!$D$42*AR120,0))</f>
        <v/>
      </c>
      <c r="AS257" s="39">
        <f>AS256*(1-AS119)*(1-IF(6&gt;=AS64,Seasonality!$D$42*AS120,0))</f>
        <v/>
      </c>
      <c r="AT257" s="39">
        <f>AT256*(1-AT119)*(1-IF(6&gt;=AT64,Seasonality!$D$42*AT120,0))</f>
        <v/>
      </c>
      <c r="AU257" s="39">
        <f>AU256*(1-AU119)*(1-IF(6&gt;=AU64,Seasonality!$D$42*AU120,0))</f>
        <v/>
      </c>
      <c r="AV257" s="39">
        <f>AV256*(1-AV119)*(1-IF(6&gt;=AV64,Seasonality!$D$42*AV120,0))</f>
        <v/>
      </c>
      <c r="AW257" s="39">
        <f>AW256*(1-AW119)*(1-IF(6&gt;=AW64,Seasonality!$D$42*AW120,0))</f>
        <v/>
      </c>
      <c r="AX257" s="39">
        <f>AX256*(1-AX119)*(1-IF(6&gt;=AX64,Seasonality!$D$42*AX120,0))</f>
        <v/>
      </c>
      <c r="AY257" s="39">
        <f>AY256*(1-AY119)*(1-IF(6&gt;=AY64,Seasonality!$D$42*AY120,0))</f>
        <v/>
      </c>
      <c r="AZ257" s="39">
        <f>AZ256*(1-AZ119)*(1-IF(6&gt;=AZ64,Seasonality!$D$42*AZ120,0))</f>
        <v/>
      </c>
      <c r="BA257" s="39">
        <f>BA256*(1-BA119)*(1-IF(6&gt;=BA64,Seasonality!$D$42*BA120,0))</f>
        <v/>
      </c>
      <c r="BB257" s="39">
        <f>BB256*(1-BB119)*(1-IF(6&gt;=BB64,Seasonality!$D$42*BB120,0))</f>
        <v/>
      </c>
      <c r="BC257" s="39">
        <f>BC256*(1-BC119)*(1-IF(6&gt;=BC64,Seasonality!$D$42*BC120,0))</f>
        <v/>
      </c>
      <c r="BD257" s="39">
        <f>BD256*(1-BD119)*(1-IF(6&gt;=BD64,Seasonality!$D$42*BD120,0))</f>
        <v/>
      </c>
      <c r="BE257" s="39">
        <f>BE256*(1-BE119)*(1-IF(6&gt;=BE64,Seasonality!$D$42*BE120,0))</f>
        <v/>
      </c>
    </row>
    <row r="258">
      <c r="B258" s="7" t="inlineStr">
        <is>
          <t>Share of institutes still paying · month 8</t>
        </is>
      </c>
      <c r="C258" s="5" t="inlineStr">
        <is>
          <t>%</t>
        </is>
      </c>
      <c r="D258" s="39">
        <f>D257*(1-D119)*(1-IF(7&gt;=D64,Seasonality!$D$43*D120,0))</f>
        <v/>
      </c>
      <c r="E258" s="39">
        <f>E257*(1-E119)*(1-IF(7&gt;=E64,Seasonality!$D$43*E120,0))</f>
        <v/>
      </c>
      <c r="F258" s="39">
        <f>F257*(1-F119)*(1-IF(7&gt;=F64,Seasonality!$D$43*F120,0))</f>
        <v/>
      </c>
      <c r="G258" s="39">
        <f>G257*(1-G119)*(1-IF(7&gt;=G64,Seasonality!$D$43*G120,0))</f>
        <v/>
      </c>
      <c r="H258" s="39">
        <f>H257*(1-H119)*(1-IF(7&gt;=H64,Seasonality!$D$43*H120,0))</f>
        <v/>
      </c>
      <c r="I258" s="39">
        <f>I257*(1-I119)*(1-IF(7&gt;=I64,Seasonality!$D$43*I120,0))</f>
        <v/>
      </c>
      <c r="J258" s="39">
        <f>J257*(1-J119)*(1-IF(7&gt;=J64,Seasonality!$D$43*J120,0))</f>
        <v/>
      </c>
      <c r="K258" s="39">
        <f>K257*(1-K119)*(1-IF(7&gt;=K64,Seasonality!$D$43*K120,0))</f>
        <v/>
      </c>
      <c r="L258" s="39">
        <f>L257*(1-L119)*(1-IF(7&gt;=L64,Seasonality!$D$43*L120,0))</f>
        <v/>
      </c>
      <c r="M258" s="39">
        <f>M257*(1-M119)*(1-IF(7&gt;=M64,Seasonality!$D$43*M120,0))</f>
        <v/>
      </c>
      <c r="N258" s="39">
        <f>N257*(1-N119)*(1-IF(7&gt;=N64,Seasonality!$D$43*N120,0))</f>
        <v/>
      </c>
      <c r="O258" s="39">
        <f>O257*(1-O119)*(1-IF(7&gt;=O64,Seasonality!$D$43*O120,0))</f>
        <v/>
      </c>
      <c r="P258" s="39">
        <f>P257*(1-P119)*(1-IF(7&gt;=P64,Seasonality!$D$43*P120,0))</f>
        <v/>
      </c>
      <c r="Q258" s="39">
        <f>Q257*(1-Q119)*(1-IF(7&gt;=Q64,Seasonality!$D$43*Q120,0))</f>
        <v/>
      </c>
      <c r="R258" s="39">
        <f>R257*(1-R119)*(1-IF(7&gt;=R64,Seasonality!$D$43*R120,0))</f>
        <v/>
      </c>
      <c r="S258" s="39">
        <f>S257*(1-S119)*(1-IF(7&gt;=S64,Seasonality!$D$43*S120,0))</f>
        <v/>
      </c>
      <c r="T258" s="39">
        <f>T257*(1-T119)*(1-IF(7&gt;=T64,Seasonality!$D$43*T120,0))</f>
        <v/>
      </c>
      <c r="U258" s="39">
        <f>U257*(1-U119)*(1-IF(7&gt;=U64,Seasonality!$D$43*U120,0))</f>
        <v/>
      </c>
      <c r="V258" s="39">
        <f>V257*(1-V119)*(1-IF(7&gt;=V64,Seasonality!$D$43*V120,0))</f>
        <v/>
      </c>
      <c r="W258" s="39">
        <f>W257*(1-W119)*(1-IF(7&gt;=W64,Seasonality!$D$43*W120,0))</f>
        <v/>
      </c>
      <c r="X258" s="39">
        <f>X257*(1-X119)*(1-IF(7&gt;=X64,Seasonality!$D$43*X120,0))</f>
        <v/>
      </c>
      <c r="Y258" s="39">
        <f>Y257*(1-Y119)*(1-IF(7&gt;=Y64,Seasonality!$D$43*Y120,0))</f>
        <v/>
      </c>
      <c r="Z258" s="39">
        <f>Z257*(1-Z119)*(1-IF(7&gt;=Z64,Seasonality!$D$43*Z120,0))</f>
        <v/>
      </c>
      <c r="AA258" s="39">
        <f>AA257*(1-AA119)*(1-IF(7&gt;=AA64,Seasonality!$D$43*AA120,0))</f>
        <v/>
      </c>
      <c r="AB258" s="39">
        <f>AB257*(1-AB119)*(1-IF(7&gt;=AB64,Seasonality!$D$43*AB120,0))</f>
        <v/>
      </c>
      <c r="AC258" s="39">
        <f>AC257*(1-AC119)*(1-IF(7&gt;=AC64,Seasonality!$D$43*AC120,0))</f>
        <v/>
      </c>
      <c r="AD258" s="39">
        <f>AD257*(1-AD119)*(1-IF(7&gt;=AD64,Seasonality!$D$43*AD120,0))</f>
        <v/>
      </c>
      <c r="AE258" s="39">
        <f>AE257*(1-AE119)*(1-IF(7&gt;=AE64,Seasonality!$D$43*AE120,0))</f>
        <v/>
      </c>
      <c r="AF258" s="39">
        <f>AF257*(1-AF119)*(1-IF(7&gt;=AF64,Seasonality!$D$43*AF120,0))</f>
        <v/>
      </c>
      <c r="AG258" s="39">
        <f>AG257*(1-AG119)*(1-IF(7&gt;=AG64,Seasonality!$D$43*AG120,0))</f>
        <v/>
      </c>
      <c r="AH258" s="39">
        <f>AH257*(1-AH119)*(1-IF(7&gt;=AH64,Seasonality!$D$43*AH120,0))</f>
        <v/>
      </c>
      <c r="AI258" s="39">
        <f>AI257*(1-AI119)*(1-IF(7&gt;=AI64,Seasonality!$D$43*AI120,0))</f>
        <v/>
      </c>
      <c r="AJ258" s="39">
        <f>AJ257*(1-AJ119)*(1-IF(7&gt;=AJ64,Seasonality!$D$43*AJ120,0))</f>
        <v/>
      </c>
      <c r="AK258" s="39">
        <f>AK257*(1-AK119)*(1-IF(7&gt;=AK64,Seasonality!$D$43*AK120,0))</f>
        <v/>
      </c>
      <c r="AL258" s="39">
        <f>AL257*(1-AL119)*(1-IF(7&gt;=AL64,Seasonality!$D$43*AL120,0))</f>
        <v/>
      </c>
      <c r="AM258" s="39">
        <f>AM257*(1-AM119)*(1-IF(7&gt;=AM64,Seasonality!$D$43*AM120,0))</f>
        <v/>
      </c>
      <c r="AN258" s="39">
        <f>AN257*(1-AN119)*(1-IF(7&gt;=AN64,Seasonality!$D$43*AN120,0))</f>
        <v/>
      </c>
      <c r="AO258" s="39">
        <f>AO257*(1-AO119)*(1-IF(7&gt;=AO64,Seasonality!$D$43*AO120,0))</f>
        <v/>
      </c>
      <c r="AP258" s="39">
        <f>AP257*(1-AP119)*(1-IF(7&gt;=AP64,Seasonality!$D$43*AP120,0))</f>
        <v/>
      </c>
      <c r="AQ258" s="39">
        <f>AQ257*(1-AQ119)*(1-IF(7&gt;=AQ64,Seasonality!$D$43*AQ120,0))</f>
        <v/>
      </c>
      <c r="AR258" s="39">
        <f>AR257*(1-AR119)*(1-IF(7&gt;=AR64,Seasonality!$D$43*AR120,0))</f>
        <v/>
      </c>
      <c r="AS258" s="39">
        <f>AS257*(1-AS119)*(1-IF(7&gt;=AS64,Seasonality!$D$43*AS120,0))</f>
        <v/>
      </c>
      <c r="AT258" s="39">
        <f>AT257*(1-AT119)*(1-IF(7&gt;=AT64,Seasonality!$D$43*AT120,0))</f>
        <v/>
      </c>
      <c r="AU258" s="39">
        <f>AU257*(1-AU119)*(1-IF(7&gt;=AU64,Seasonality!$D$43*AU120,0))</f>
        <v/>
      </c>
      <c r="AV258" s="39">
        <f>AV257*(1-AV119)*(1-IF(7&gt;=AV64,Seasonality!$D$43*AV120,0))</f>
        <v/>
      </c>
      <c r="AW258" s="39">
        <f>AW257*(1-AW119)*(1-IF(7&gt;=AW64,Seasonality!$D$43*AW120,0))</f>
        <v/>
      </c>
      <c r="AX258" s="39">
        <f>AX257*(1-AX119)*(1-IF(7&gt;=AX64,Seasonality!$D$43*AX120,0))</f>
        <v/>
      </c>
      <c r="AY258" s="39">
        <f>AY257*(1-AY119)*(1-IF(7&gt;=AY64,Seasonality!$D$43*AY120,0))</f>
        <v/>
      </c>
      <c r="AZ258" s="39">
        <f>AZ257*(1-AZ119)*(1-IF(7&gt;=AZ64,Seasonality!$D$43*AZ120,0))</f>
        <v/>
      </c>
      <c r="BA258" s="39">
        <f>BA257*(1-BA119)*(1-IF(7&gt;=BA64,Seasonality!$D$43*BA120,0))</f>
        <v/>
      </c>
      <c r="BB258" s="39">
        <f>BB257*(1-BB119)*(1-IF(7&gt;=BB64,Seasonality!$D$43*BB120,0))</f>
        <v/>
      </c>
      <c r="BC258" s="39">
        <f>BC257*(1-BC119)*(1-IF(7&gt;=BC64,Seasonality!$D$43*BC120,0))</f>
        <v/>
      </c>
      <c r="BD258" s="39">
        <f>BD257*(1-BD119)*(1-IF(7&gt;=BD64,Seasonality!$D$43*BD120,0))</f>
        <v/>
      </c>
      <c r="BE258" s="39">
        <f>BE257*(1-BE119)*(1-IF(7&gt;=BE64,Seasonality!$D$43*BE120,0))</f>
        <v/>
      </c>
    </row>
    <row r="259">
      <c r="B259" s="7" t="inlineStr">
        <is>
          <t>Share of institutes still paying · month 9</t>
        </is>
      </c>
      <c r="C259" s="5" t="inlineStr">
        <is>
          <t>%</t>
        </is>
      </c>
      <c r="D259" s="39">
        <f>D258*(1-D119)*(1-IF(8&gt;=D64,Seasonality!$D$44*D120,0))</f>
        <v/>
      </c>
      <c r="E259" s="39">
        <f>E258*(1-E119)*(1-IF(8&gt;=E64,Seasonality!$D$44*E120,0))</f>
        <v/>
      </c>
      <c r="F259" s="39">
        <f>F258*(1-F119)*(1-IF(8&gt;=F64,Seasonality!$D$44*F120,0))</f>
        <v/>
      </c>
      <c r="G259" s="39">
        <f>G258*(1-G119)*(1-IF(8&gt;=G64,Seasonality!$D$44*G120,0))</f>
        <v/>
      </c>
      <c r="H259" s="39">
        <f>H258*(1-H119)*(1-IF(8&gt;=H64,Seasonality!$D$44*H120,0))</f>
        <v/>
      </c>
      <c r="I259" s="39">
        <f>I258*(1-I119)*(1-IF(8&gt;=I64,Seasonality!$D$44*I120,0))</f>
        <v/>
      </c>
      <c r="J259" s="39">
        <f>J258*(1-J119)*(1-IF(8&gt;=J64,Seasonality!$D$44*J120,0))</f>
        <v/>
      </c>
      <c r="K259" s="39">
        <f>K258*(1-K119)*(1-IF(8&gt;=K64,Seasonality!$D$44*K120,0))</f>
        <v/>
      </c>
      <c r="L259" s="39">
        <f>L258*(1-L119)*(1-IF(8&gt;=L64,Seasonality!$D$44*L120,0))</f>
        <v/>
      </c>
      <c r="M259" s="39">
        <f>M258*(1-M119)*(1-IF(8&gt;=M64,Seasonality!$D$44*M120,0))</f>
        <v/>
      </c>
      <c r="N259" s="39">
        <f>N258*(1-N119)*(1-IF(8&gt;=N64,Seasonality!$D$44*N120,0))</f>
        <v/>
      </c>
      <c r="O259" s="39">
        <f>O258*(1-O119)*(1-IF(8&gt;=O64,Seasonality!$D$44*O120,0))</f>
        <v/>
      </c>
      <c r="P259" s="39">
        <f>P258*(1-P119)*(1-IF(8&gt;=P64,Seasonality!$D$44*P120,0))</f>
        <v/>
      </c>
      <c r="Q259" s="39">
        <f>Q258*(1-Q119)*(1-IF(8&gt;=Q64,Seasonality!$D$44*Q120,0))</f>
        <v/>
      </c>
      <c r="R259" s="39">
        <f>R258*(1-R119)*(1-IF(8&gt;=R64,Seasonality!$D$44*R120,0))</f>
        <v/>
      </c>
      <c r="S259" s="39">
        <f>S258*(1-S119)*(1-IF(8&gt;=S64,Seasonality!$D$44*S120,0))</f>
        <v/>
      </c>
      <c r="T259" s="39">
        <f>T258*(1-T119)*(1-IF(8&gt;=T64,Seasonality!$D$44*T120,0))</f>
        <v/>
      </c>
      <c r="U259" s="39">
        <f>U258*(1-U119)*(1-IF(8&gt;=U64,Seasonality!$D$44*U120,0))</f>
        <v/>
      </c>
      <c r="V259" s="39">
        <f>V258*(1-V119)*(1-IF(8&gt;=V64,Seasonality!$D$44*V120,0))</f>
        <v/>
      </c>
      <c r="W259" s="39">
        <f>W258*(1-W119)*(1-IF(8&gt;=W64,Seasonality!$D$44*W120,0))</f>
        <v/>
      </c>
      <c r="X259" s="39">
        <f>X258*(1-X119)*(1-IF(8&gt;=X64,Seasonality!$D$44*X120,0))</f>
        <v/>
      </c>
      <c r="Y259" s="39">
        <f>Y258*(1-Y119)*(1-IF(8&gt;=Y64,Seasonality!$D$44*Y120,0))</f>
        <v/>
      </c>
      <c r="Z259" s="39">
        <f>Z258*(1-Z119)*(1-IF(8&gt;=Z64,Seasonality!$D$44*Z120,0))</f>
        <v/>
      </c>
      <c r="AA259" s="39">
        <f>AA258*(1-AA119)*(1-IF(8&gt;=AA64,Seasonality!$D$44*AA120,0))</f>
        <v/>
      </c>
      <c r="AB259" s="39">
        <f>AB258*(1-AB119)*(1-IF(8&gt;=AB64,Seasonality!$D$44*AB120,0))</f>
        <v/>
      </c>
      <c r="AC259" s="39">
        <f>AC258*(1-AC119)*(1-IF(8&gt;=AC64,Seasonality!$D$44*AC120,0))</f>
        <v/>
      </c>
      <c r="AD259" s="39">
        <f>AD258*(1-AD119)*(1-IF(8&gt;=AD64,Seasonality!$D$44*AD120,0))</f>
        <v/>
      </c>
      <c r="AE259" s="39">
        <f>AE258*(1-AE119)*(1-IF(8&gt;=AE64,Seasonality!$D$44*AE120,0))</f>
        <v/>
      </c>
      <c r="AF259" s="39">
        <f>AF258*(1-AF119)*(1-IF(8&gt;=AF64,Seasonality!$D$44*AF120,0))</f>
        <v/>
      </c>
      <c r="AG259" s="39">
        <f>AG258*(1-AG119)*(1-IF(8&gt;=AG64,Seasonality!$D$44*AG120,0))</f>
        <v/>
      </c>
      <c r="AH259" s="39">
        <f>AH258*(1-AH119)*(1-IF(8&gt;=AH64,Seasonality!$D$44*AH120,0))</f>
        <v/>
      </c>
      <c r="AI259" s="39">
        <f>AI258*(1-AI119)*(1-IF(8&gt;=AI64,Seasonality!$D$44*AI120,0))</f>
        <v/>
      </c>
      <c r="AJ259" s="39">
        <f>AJ258*(1-AJ119)*(1-IF(8&gt;=AJ64,Seasonality!$D$44*AJ120,0))</f>
        <v/>
      </c>
      <c r="AK259" s="39">
        <f>AK258*(1-AK119)*(1-IF(8&gt;=AK64,Seasonality!$D$44*AK120,0))</f>
        <v/>
      </c>
      <c r="AL259" s="39">
        <f>AL258*(1-AL119)*(1-IF(8&gt;=AL64,Seasonality!$D$44*AL120,0))</f>
        <v/>
      </c>
      <c r="AM259" s="39">
        <f>AM258*(1-AM119)*(1-IF(8&gt;=AM64,Seasonality!$D$44*AM120,0))</f>
        <v/>
      </c>
      <c r="AN259" s="39">
        <f>AN258*(1-AN119)*(1-IF(8&gt;=AN64,Seasonality!$D$44*AN120,0))</f>
        <v/>
      </c>
      <c r="AO259" s="39">
        <f>AO258*(1-AO119)*(1-IF(8&gt;=AO64,Seasonality!$D$44*AO120,0))</f>
        <v/>
      </c>
      <c r="AP259" s="39">
        <f>AP258*(1-AP119)*(1-IF(8&gt;=AP64,Seasonality!$D$44*AP120,0))</f>
        <v/>
      </c>
      <c r="AQ259" s="39">
        <f>AQ258*(1-AQ119)*(1-IF(8&gt;=AQ64,Seasonality!$D$44*AQ120,0))</f>
        <v/>
      </c>
      <c r="AR259" s="39">
        <f>AR258*(1-AR119)*(1-IF(8&gt;=AR64,Seasonality!$D$44*AR120,0))</f>
        <v/>
      </c>
      <c r="AS259" s="39">
        <f>AS258*(1-AS119)*(1-IF(8&gt;=AS64,Seasonality!$D$44*AS120,0))</f>
        <v/>
      </c>
      <c r="AT259" s="39">
        <f>AT258*(1-AT119)*(1-IF(8&gt;=AT64,Seasonality!$D$44*AT120,0))</f>
        <v/>
      </c>
      <c r="AU259" s="39">
        <f>AU258*(1-AU119)*(1-IF(8&gt;=AU64,Seasonality!$D$44*AU120,0))</f>
        <v/>
      </c>
      <c r="AV259" s="39">
        <f>AV258*(1-AV119)*(1-IF(8&gt;=AV64,Seasonality!$D$44*AV120,0))</f>
        <v/>
      </c>
      <c r="AW259" s="39">
        <f>AW258*(1-AW119)*(1-IF(8&gt;=AW64,Seasonality!$D$44*AW120,0))</f>
        <v/>
      </c>
      <c r="AX259" s="39">
        <f>AX258*(1-AX119)*(1-IF(8&gt;=AX64,Seasonality!$D$44*AX120,0))</f>
        <v/>
      </c>
      <c r="AY259" s="39">
        <f>AY258*(1-AY119)*(1-IF(8&gt;=AY64,Seasonality!$D$44*AY120,0))</f>
        <v/>
      </c>
      <c r="AZ259" s="39">
        <f>AZ258*(1-AZ119)*(1-IF(8&gt;=AZ64,Seasonality!$D$44*AZ120,0))</f>
        <v/>
      </c>
      <c r="BA259" s="39">
        <f>BA258*(1-BA119)*(1-IF(8&gt;=BA64,Seasonality!$D$44*BA120,0))</f>
        <v/>
      </c>
      <c r="BB259" s="39">
        <f>BB258*(1-BB119)*(1-IF(8&gt;=BB64,Seasonality!$D$44*BB120,0))</f>
        <v/>
      </c>
      <c r="BC259" s="39">
        <f>BC258*(1-BC119)*(1-IF(8&gt;=BC64,Seasonality!$D$44*BC120,0))</f>
        <v/>
      </c>
      <c r="BD259" s="39">
        <f>BD258*(1-BD119)*(1-IF(8&gt;=BD64,Seasonality!$D$44*BD120,0))</f>
        <v/>
      </c>
      <c r="BE259" s="39">
        <f>BE258*(1-BE119)*(1-IF(8&gt;=BE64,Seasonality!$D$44*BE120,0))</f>
        <v/>
      </c>
    </row>
    <row r="260">
      <c r="B260" s="7" t="inlineStr">
        <is>
          <t>Share of institutes still paying · month 10</t>
        </is>
      </c>
      <c r="C260" s="5" t="inlineStr">
        <is>
          <t>%</t>
        </is>
      </c>
      <c r="D260" s="39">
        <f>D259*(1-D119)*(1-IF(9&gt;=D64,Seasonality!$D$45*D120,0))</f>
        <v/>
      </c>
      <c r="E260" s="39">
        <f>E259*(1-E119)*(1-IF(9&gt;=E64,Seasonality!$D$45*E120,0))</f>
        <v/>
      </c>
      <c r="F260" s="39">
        <f>F259*(1-F119)*(1-IF(9&gt;=F64,Seasonality!$D$45*F120,0))</f>
        <v/>
      </c>
      <c r="G260" s="39">
        <f>G259*(1-G119)*(1-IF(9&gt;=G64,Seasonality!$D$45*G120,0))</f>
        <v/>
      </c>
      <c r="H260" s="39">
        <f>H259*(1-H119)*(1-IF(9&gt;=H64,Seasonality!$D$45*H120,0))</f>
        <v/>
      </c>
      <c r="I260" s="39">
        <f>I259*(1-I119)*(1-IF(9&gt;=I64,Seasonality!$D$45*I120,0))</f>
        <v/>
      </c>
      <c r="J260" s="39">
        <f>J259*(1-J119)*(1-IF(9&gt;=J64,Seasonality!$D$45*J120,0))</f>
        <v/>
      </c>
      <c r="K260" s="39">
        <f>K259*(1-K119)*(1-IF(9&gt;=K64,Seasonality!$D$45*K120,0))</f>
        <v/>
      </c>
      <c r="L260" s="39">
        <f>L259*(1-L119)*(1-IF(9&gt;=L64,Seasonality!$D$45*L120,0))</f>
        <v/>
      </c>
      <c r="M260" s="39">
        <f>M259*(1-M119)*(1-IF(9&gt;=M64,Seasonality!$D$45*M120,0))</f>
        <v/>
      </c>
      <c r="N260" s="39">
        <f>N259*(1-N119)*(1-IF(9&gt;=N64,Seasonality!$D$45*N120,0))</f>
        <v/>
      </c>
      <c r="O260" s="39">
        <f>O259*(1-O119)*(1-IF(9&gt;=O64,Seasonality!$D$45*O120,0))</f>
        <v/>
      </c>
      <c r="P260" s="39">
        <f>P259*(1-P119)*(1-IF(9&gt;=P64,Seasonality!$D$45*P120,0))</f>
        <v/>
      </c>
      <c r="Q260" s="39">
        <f>Q259*(1-Q119)*(1-IF(9&gt;=Q64,Seasonality!$D$45*Q120,0))</f>
        <v/>
      </c>
      <c r="R260" s="39">
        <f>R259*(1-R119)*(1-IF(9&gt;=R64,Seasonality!$D$45*R120,0))</f>
        <v/>
      </c>
      <c r="S260" s="39">
        <f>S259*(1-S119)*(1-IF(9&gt;=S64,Seasonality!$D$45*S120,0))</f>
        <v/>
      </c>
      <c r="T260" s="39">
        <f>T259*(1-T119)*(1-IF(9&gt;=T64,Seasonality!$D$45*T120,0))</f>
        <v/>
      </c>
      <c r="U260" s="39">
        <f>U259*(1-U119)*(1-IF(9&gt;=U64,Seasonality!$D$45*U120,0))</f>
        <v/>
      </c>
      <c r="V260" s="39">
        <f>V259*(1-V119)*(1-IF(9&gt;=V64,Seasonality!$D$45*V120,0))</f>
        <v/>
      </c>
      <c r="W260" s="39">
        <f>W259*(1-W119)*(1-IF(9&gt;=W64,Seasonality!$D$45*W120,0))</f>
        <v/>
      </c>
      <c r="X260" s="39">
        <f>X259*(1-X119)*(1-IF(9&gt;=X64,Seasonality!$D$45*X120,0))</f>
        <v/>
      </c>
      <c r="Y260" s="39">
        <f>Y259*(1-Y119)*(1-IF(9&gt;=Y64,Seasonality!$D$45*Y120,0))</f>
        <v/>
      </c>
      <c r="Z260" s="39">
        <f>Z259*(1-Z119)*(1-IF(9&gt;=Z64,Seasonality!$D$45*Z120,0))</f>
        <v/>
      </c>
      <c r="AA260" s="39">
        <f>AA259*(1-AA119)*(1-IF(9&gt;=AA64,Seasonality!$D$45*AA120,0))</f>
        <v/>
      </c>
      <c r="AB260" s="39">
        <f>AB259*(1-AB119)*(1-IF(9&gt;=AB64,Seasonality!$D$45*AB120,0))</f>
        <v/>
      </c>
      <c r="AC260" s="39">
        <f>AC259*(1-AC119)*(1-IF(9&gt;=AC64,Seasonality!$D$45*AC120,0))</f>
        <v/>
      </c>
      <c r="AD260" s="39">
        <f>AD259*(1-AD119)*(1-IF(9&gt;=AD64,Seasonality!$D$45*AD120,0))</f>
        <v/>
      </c>
      <c r="AE260" s="39">
        <f>AE259*(1-AE119)*(1-IF(9&gt;=AE64,Seasonality!$D$45*AE120,0))</f>
        <v/>
      </c>
      <c r="AF260" s="39">
        <f>AF259*(1-AF119)*(1-IF(9&gt;=AF64,Seasonality!$D$45*AF120,0))</f>
        <v/>
      </c>
      <c r="AG260" s="39">
        <f>AG259*(1-AG119)*(1-IF(9&gt;=AG64,Seasonality!$D$45*AG120,0))</f>
        <v/>
      </c>
      <c r="AH260" s="39">
        <f>AH259*(1-AH119)*(1-IF(9&gt;=AH64,Seasonality!$D$45*AH120,0))</f>
        <v/>
      </c>
      <c r="AI260" s="39">
        <f>AI259*(1-AI119)*(1-IF(9&gt;=AI64,Seasonality!$D$45*AI120,0))</f>
        <v/>
      </c>
      <c r="AJ260" s="39">
        <f>AJ259*(1-AJ119)*(1-IF(9&gt;=AJ64,Seasonality!$D$45*AJ120,0))</f>
        <v/>
      </c>
      <c r="AK260" s="39">
        <f>AK259*(1-AK119)*(1-IF(9&gt;=AK64,Seasonality!$D$45*AK120,0))</f>
        <v/>
      </c>
      <c r="AL260" s="39">
        <f>AL259*(1-AL119)*(1-IF(9&gt;=AL64,Seasonality!$D$45*AL120,0))</f>
        <v/>
      </c>
      <c r="AM260" s="39">
        <f>AM259*(1-AM119)*(1-IF(9&gt;=AM64,Seasonality!$D$45*AM120,0))</f>
        <v/>
      </c>
      <c r="AN260" s="39">
        <f>AN259*(1-AN119)*(1-IF(9&gt;=AN64,Seasonality!$D$45*AN120,0))</f>
        <v/>
      </c>
      <c r="AO260" s="39">
        <f>AO259*(1-AO119)*(1-IF(9&gt;=AO64,Seasonality!$D$45*AO120,0))</f>
        <v/>
      </c>
      <c r="AP260" s="39">
        <f>AP259*(1-AP119)*(1-IF(9&gt;=AP64,Seasonality!$D$45*AP120,0))</f>
        <v/>
      </c>
      <c r="AQ260" s="39">
        <f>AQ259*(1-AQ119)*(1-IF(9&gt;=AQ64,Seasonality!$D$45*AQ120,0))</f>
        <v/>
      </c>
      <c r="AR260" s="39">
        <f>AR259*(1-AR119)*(1-IF(9&gt;=AR64,Seasonality!$D$45*AR120,0))</f>
        <v/>
      </c>
      <c r="AS260" s="39">
        <f>AS259*(1-AS119)*(1-IF(9&gt;=AS64,Seasonality!$D$45*AS120,0))</f>
        <v/>
      </c>
      <c r="AT260" s="39">
        <f>AT259*(1-AT119)*(1-IF(9&gt;=AT64,Seasonality!$D$45*AT120,0))</f>
        <v/>
      </c>
      <c r="AU260" s="39">
        <f>AU259*(1-AU119)*(1-IF(9&gt;=AU64,Seasonality!$D$45*AU120,0))</f>
        <v/>
      </c>
      <c r="AV260" s="39">
        <f>AV259*(1-AV119)*(1-IF(9&gt;=AV64,Seasonality!$D$45*AV120,0))</f>
        <v/>
      </c>
      <c r="AW260" s="39">
        <f>AW259*(1-AW119)*(1-IF(9&gt;=AW64,Seasonality!$D$45*AW120,0))</f>
        <v/>
      </c>
      <c r="AX260" s="39">
        <f>AX259*(1-AX119)*(1-IF(9&gt;=AX64,Seasonality!$D$45*AX120,0))</f>
        <v/>
      </c>
      <c r="AY260" s="39">
        <f>AY259*(1-AY119)*(1-IF(9&gt;=AY64,Seasonality!$D$45*AY120,0))</f>
        <v/>
      </c>
      <c r="AZ260" s="39">
        <f>AZ259*(1-AZ119)*(1-IF(9&gt;=AZ64,Seasonality!$D$45*AZ120,0))</f>
        <v/>
      </c>
      <c r="BA260" s="39">
        <f>BA259*(1-BA119)*(1-IF(9&gt;=BA64,Seasonality!$D$45*BA120,0))</f>
        <v/>
      </c>
      <c r="BB260" s="39">
        <f>BB259*(1-BB119)*(1-IF(9&gt;=BB64,Seasonality!$D$45*BB120,0))</f>
        <v/>
      </c>
      <c r="BC260" s="39">
        <f>BC259*(1-BC119)*(1-IF(9&gt;=BC64,Seasonality!$D$45*BC120,0))</f>
        <v/>
      </c>
      <c r="BD260" s="39">
        <f>BD259*(1-BD119)*(1-IF(9&gt;=BD64,Seasonality!$D$45*BD120,0))</f>
        <v/>
      </c>
      <c r="BE260" s="39">
        <f>BE259*(1-BE119)*(1-IF(9&gt;=BE64,Seasonality!$D$45*BE120,0))</f>
        <v/>
      </c>
    </row>
    <row r="261">
      <c r="B261" s="7" t="inlineStr">
        <is>
          <t>Share of institutes still paying · month 11</t>
        </is>
      </c>
      <c r="C261" s="5" t="inlineStr">
        <is>
          <t>%</t>
        </is>
      </c>
      <c r="D261" s="39">
        <f>D260*(1-D119)*(1-IF(10&gt;=D64,Seasonality!$D$46*D120,0))</f>
        <v/>
      </c>
      <c r="E261" s="39">
        <f>E260*(1-E119)*(1-IF(10&gt;=E64,Seasonality!$D$46*E120,0))</f>
        <v/>
      </c>
      <c r="F261" s="39">
        <f>F260*(1-F119)*(1-IF(10&gt;=F64,Seasonality!$D$46*F120,0))</f>
        <v/>
      </c>
      <c r="G261" s="39">
        <f>G260*(1-G119)*(1-IF(10&gt;=G64,Seasonality!$D$46*G120,0))</f>
        <v/>
      </c>
      <c r="H261" s="39">
        <f>H260*(1-H119)*(1-IF(10&gt;=H64,Seasonality!$D$46*H120,0))</f>
        <v/>
      </c>
      <c r="I261" s="39">
        <f>I260*(1-I119)*(1-IF(10&gt;=I64,Seasonality!$D$46*I120,0))</f>
        <v/>
      </c>
      <c r="J261" s="39">
        <f>J260*(1-J119)*(1-IF(10&gt;=J64,Seasonality!$D$46*J120,0))</f>
        <v/>
      </c>
      <c r="K261" s="39">
        <f>K260*(1-K119)*(1-IF(10&gt;=K64,Seasonality!$D$46*K120,0))</f>
        <v/>
      </c>
      <c r="L261" s="39">
        <f>L260*(1-L119)*(1-IF(10&gt;=L64,Seasonality!$D$46*L120,0))</f>
        <v/>
      </c>
      <c r="M261" s="39">
        <f>M260*(1-M119)*(1-IF(10&gt;=M64,Seasonality!$D$46*M120,0))</f>
        <v/>
      </c>
      <c r="N261" s="39">
        <f>N260*(1-N119)*(1-IF(10&gt;=N64,Seasonality!$D$46*N120,0))</f>
        <v/>
      </c>
      <c r="O261" s="39">
        <f>O260*(1-O119)*(1-IF(10&gt;=O64,Seasonality!$D$46*O120,0))</f>
        <v/>
      </c>
      <c r="P261" s="39">
        <f>P260*(1-P119)*(1-IF(10&gt;=P64,Seasonality!$D$46*P120,0))</f>
        <v/>
      </c>
      <c r="Q261" s="39">
        <f>Q260*(1-Q119)*(1-IF(10&gt;=Q64,Seasonality!$D$46*Q120,0))</f>
        <v/>
      </c>
      <c r="R261" s="39">
        <f>R260*(1-R119)*(1-IF(10&gt;=R64,Seasonality!$D$46*R120,0))</f>
        <v/>
      </c>
      <c r="S261" s="39">
        <f>S260*(1-S119)*(1-IF(10&gt;=S64,Seasonality!$D$46*S120,0))</f>
        <v/>
      </c>
      <c r="T261" s="39">
        <f>T260*(1-T119)*(1-IF(10&gt;=T64,Seasonality!$D$46*T120,0))</f>
        <v/>
      </c>
      <c r="U261" s="39">
        <f>U260*(1-U119)*(1-IF(10&gt;=U64,Seasonality!$D$46*U120,0))</f>
        <v/>
      </c>
      <c r="V261" s="39">
        <f>V260*(1-V119)*(1-IF(10&gt;=V64,Seasonality!$D$46*V120,0))</f>
        <v/>
      </c>
      <c r="W261" s="39">
        <f>W260*(1-W119)*(1-IF(10&gt;=W64,Seasonality!$D$46*W120,0))</f>
        <v/>
      </c>
      <c r="X261" s="39">
        <f>X260*(1-X119)*(1-IF(10&gt;=X64,Seasonality!$D$46*X120,0))</f>
        <v/>
      </c>
      <c r="Y261" s="39">
        <f>Y260*(1-Y119)*(1-IF(10&gt;=Y64,Seasonality!$D$46*Y120,0))</f>
        <v/>
      </c>
      <c r="Z261" s="39">
        <f>Z260*(1-Z119)*(1-IF(10&gt;=Z64,Seasonality!$D$46*Z120,0))</f>
        <v/>
      </c>
      <c r="AA261" s="39">
        <f>AA260*(1-AA119)*(1-IF(10&gt;=AA64,Seasonality!$D$46*AA120,0))</f>
        <v/>
      </c>
      <c r="AB261" s="39">
        <f>AB260*(1-AB119)*(1-IF(10&gt;=AB64,Seasonality!$D$46*AB120,0))</f>
        <v/>
      </c>
      <c r="AC261" s="39">
        <f>AC260*(1-AC119)*(1-IF(10&gt;=AC64,Seasonality!$D$46*AC120,0))</f>
        <v/>
      </c>
      <c r="AD261" s="39">
        <f>AD260*(1-AD119)*(1-IF(10&gt;=AD64,Seasonality!$D$46*AD120,0))</f>
        <v/>
      </c>
      <c r="AE261" s="39">
        <f>AE260*(1-AE119)*(1-IF(10&gt;=AE64,Seasonality!$D$46*AE120,0))</f>
        <v/>
      </c>
      <c r="AF261" s="39">
        <f>AF260*(1-AF119)*(1-IF(10&gt;=AF64,Seasonality!$D$46*AF120,0))</f>
        <v/>
      </c>
      <c r="AG261" s="39">
        <f>AG260*(1-AG119)*(1-IF(10&gt;=AG64,Seasonality!$D$46*AG120,0))</f>
        <v/>
      </c>
      <c r="AH261" s="39">
        <f>AH260*(1-AH119)*(1-IF(10&gt;=AH64,Seasonality!$D$46*AH120,0))</f>
        <v/>
      </c>
      <c r="AI261" s="39">
        <f>AI260*(1-AI119)*(1-IF(10&gt;=AI64,Seasonality!$D$46*AI120,0))</f>
        <v/>
      </c>
      <c r="AJ261" s="39">
        <f>AJ260*(1-AJ119)*(1-IF(10&gt;=AJ64,Seasonality!$D$46*AJ120,0))</f>
        <v/>
      </c>
      <c r="AK261" s="39">
        <f>AK260*(1-AK119)*(1-IF(10&gt;=AK64,Seasonality!$D$46*AK120,0))</f>
        <v/>
      </c>
      <c r="AL261" s="39">
        <f>AL260*(1-AL119)*(1-IF(10&gt;=AL64,Seasonality!$D$46*AL120,0))</f>
        <v/>
      </c>
      <c r="AM261" s="39">
        <f>AM260*(1-AM119)*(1-IF(10&gt;=AM64,Seasonality!$D$46*AM120,0))</f>
        <v/>
      </c>
      <c r="AN261" s="39">
        <f>AN260*(1-AN119)*(1-IF(10&gt;=AN64,Seasonality!$D$46*AN120,0))</f>
        <v/>
      </c>
      <c r="AO261" s="39">
        <f>AO260*(1-AO119)*(1-IF(10&gt;=AO64,Seasonality!$D$46*AO120,0))</f>
        <v/>
      </c>
      <c r="AP261" s="39">
        <f>AP260*(1-AP119)*(1-IF(10&gt;=AP64,Seasonality!$D$46*AP120,0))</f>
        <v/>
      </c>
      <c r="AQ261" s="39">
        <f>AQ260*(1-AQ119)*(1-IF(10&gt;=AQ64,Seasonality!$D$46*AQ120,0))</f>
        <v/>
      </c>
      <c r="AR261" s="39">
        <f>AR260*(1-AR119)*(1-IF(10&gt;=AR64,Seasonality!$D$46*AR120,0))</f>
        <v/>
      </c>
      <c r="AS261" s="39">
        <f>AS260*(1-AS119)*(1-IF(10&gt;=AS64,Seasonality!$D$46*AS120,0))</f>
        <v/>
      </c>
      <c r="AT261" s="39">
        <f>AT260*(1-AT119)*(1-IF(10&gt;=AT64,Seasonality!$D$46*AT120,0))</f>
        <v/>
      </c>
      <c r="AU261" s="39">
        <f>AU260*(1-AU119)*(1-IF(10&gt;=AU64,Seasonality!$D$46*AU120,0))</f>
        <v/>
      </c>
      <c r="AV261" s="39">
        <f>AV260*(1-AV119)*(1-IF(10&gt;=AV64,Seasonality!$D$46*AV120,0))</f>
        <v/>
      </c>
      <c r="AW261" s="39">
        <f>AW260*(1-AW119)*(1-IF(10&gt;=AW64,Seasonality!$D$46*AW120,0))</f>
        <v/>
      </c>
      <c r="AX261" s="39">
        <f>AX260*(1-AX119)*(1-IF(10&gt;=AX64,Seasonality!$D$46*AX120,0))</f>
        <v/>
      </c>
      <c r="AY261" s="39">
        <f>AY260*(1-AY119)*(1-IF(10&gt;=AY64,Seasonality!$D$46*AY120,0))</f>
        <v/>
      </c>
      <c r="AZ261" s="39">
        <f>AZ260*(1-AZ119)*(1-IF(10&gt;=AZ64,Seasonality!$D$46*AZ120,0))</f>
        <v/>
      </c>
      <c r="BA261" s="39">
        <f>BA260*(1-BA119)*(1-IF(10&gt;=BA64,Seasonality!$D$46*BA120,0))</f>
        <v/>
      </c>
      <c r="BB261" s="39">
        <f>BB260*(1-BB119)*(1-IF(10&gt;=BB64,Seasonality!$D$46*BB120,0))</f>
        <v/>
      </c>
      <c r="BC261" s="39">
        <f>BC260*(1-BC119)*(1-IF(10&gt;=BC64,Seasonality!$D$46*BC120,0))</f>
        <v/>
      </c>
      <c r="BD261" s="39">
        <f>BD260*(1-BD119)*(1-IF(10&gt;=BD64,Seasonality!$D$46*BD120,0))</f>
        <v/>
      </c>
      <c r="BE261" s="39">
        <f>BE260*(1-BE119)*(1-IF(10&gt;=BE64,Seasonality!$D$46*BE120,0))</f>
        <v/>
      </c>
    </row>
    <row r="262">
      <c r="B262" s="7" t="inlineStr">
        <is>
          <t>Share of institutes still paying · month 12</t>
        </is>
      </c>
      <c r="C262" s="5" t="inlineStr">
        <is>
          <t>%</t>
        </is>
      </c>
      <c r="D262" s="39">
        <f>D261*(1-D119)*(1-IF(11&gt;=D64,Seasonality!$D$47*D120,0))</f>
        <v/>
      </c>
      <c r="E262" s="39">
        <f>E261*(1-E119)*(1-IF(11&gt;=E64,Seasonality!$D$47*E120,0))</f>
        <v/>
      </c>
      <c r="F262" s="39">
        <f>F261*(1-F119)*(1-IF(11&gt;=F64,Seasonality!$D$47*F120,0))</f>
        <v/>
      </c>
      <c r="G262" s="39">
        <f>G261*(1-G119)*(1-IF(11&gt;=G64,Seasonality!$D$47*G120,0))</f>
        <v/>
      </c>
      <c r="H262" s="39">
        <f>H261*(1-H119)*(1-IF(11&gt;=H64,Seasonality!$D$47*H120,0))</f>
        <v/>
      </c>
      <c r="I262" s="39">
        <f>I261*(1-I119)*(1-IF(11&gt;=I64,Seasonality!$D$47*I120,0))</f>
        <v/>
      </c>
      <c r="J262" s="39">
        <f>J261*(1-J119)*(1-IF(11&gt;=J64,Seasonality!$D$47*J120,0))</f>
        <v/>
      </c>
      <c r="K262" s="39">
        <f>K261*(1-K119)*(1-IF(11&gt;=K64,Seasonality!$D$47*K120,0))</f>
        <v/>
      </c>
      <c r="L262" s="39">
        <f>L261*(1-L119)*(1-IF(11&gt;=L64,Seasonality!$D$47*L120,0))</f>
        <v/>
      </c>
      <c r="M262" s="39">
        <f>M261*(1-M119)*(1-IF(11&gt;=M64,Seasonality!$D$47*M120,0))</f>
        <v/>
      </c>
      <c r="N262" s="39">
        <f>N261*(1-N119)*(1-IF(11&gt;=N64,Seasonality!$D$47*N120,0))</f>
        <v/>
      </c>
      <c r="O262" s="39">
        <f>O261*(1-O119)*(1-IF(11&gt;=O64,Seasonality!$D$47*O120,0))</f>
        <v/>
      </c>
      <c r="P262" s="39">
        <f>P261*(1-P119)*(1-IF(11&gt;=P64,Seasonality!$D$47*P120,0))</f>
        <v/>
      </c>
      <c r="Q262" s="39">
        <f>Q261*(1-Q119)*(1-IF(11&gt;=Q64,Seasonality!$D$47*Q120,0))</f>
        <v/>
      </c>
      <c r="R262" s="39">
        <f>R261*(1-R119)*(1-IF(11&gt;=R64,Seasonality!$D$47*R120,0))</f>
        <v/>
      </c>
      <c r="S262" s="39">
        <f>S261*(1-S119)*(1-IF(11&gt;=S64,Seasonality!$D$47*S120,0))</f>
        <v/>
      </c>
      <c r="T262" s="39">
        <f>T261*(1-T119)*(1-IF(11&gt;=T64,Seasonality!$D$47*T120,0))</f>
        <v/>
      </c>
      <c r="U262" s="39">
        <f>U261*(1-U119)*(1-IF(11&gt;=U64,Seasonality!$D$47*U120,0))</f>
        <v/>
      </c>
      <c r="V262" s="39">
        <f>V261*(1-V119)*(1-IF(11&gt;=V64,Seasonality!$D$47*V120,0))</f>
        <v/>
      </c>
      <c r="W262" s="39">
        <f>W261*(1-W119)*(1-IF(11&gt;=W64,Seasonality!$D$47*W120,0))</f>
        <v/>
      </c>
      <c r="X262" s="39">
        <f>X261*(1-X119)*(1-IF(11&gt;=X64,Seasonality!$D$47*X120,0))</f>
        <v/>
      </c>
      <c r="Y262" s="39">
        <f>Y261*(1-Y119)*(1-IF(11&gt;=Y64,Seasonality!$D$47*Y120,0))</f>
        <v/>
      </c>
      <c r="Z262" s="39">
        <f>Z261*(1-Z119)*(1-IF(11&gt;=Z64,Seasonality!$D$47*Z120,0))</f>
        <v/>
      </c>
      <c r="AA262" s="39">
        <f>AA261*(1-AA119)*(1-IF(11&gt;=AA64,Seasonality!$D$47*AA120,0))</f>
        <v/>
      </c>
      <c r="AB262" s="39">
        <f>AB261*(1-AB119)*(1-IF(11&gt;=AB64,Seasonality!$D$47*AB120,0))</f>
        <v/>
      </c>
      <c r="AC262" s="39">
        <f>AC261*(1-AC119)*(1-IF(11&gt;=AC64,Seasonality!$D$47*AC120,0))</f>
        <v/>
      </c>
      <c r="AD262" s="39">
        <f>AD261*(1-AD119)*(1-IF(11&gt;=AD64,Seasonality!$D$47*AD120,0))</f>
        <v/>
      </c>
      <c r="AE262" s="39">
        <f>AE261*(1-AE119)*(1-IF(11&gt;=AE64,Seasonality!$D$47*AE120,0))</f>
        <v/>
      </c>
      <c r="AF262" s="39">
        <f>AF261*(1-AF119)*(1-IF(11&gt;=AF64,Seasonality!$D$47*AF120,0))</f>
        <v/>
      </c>
      <c r="AG262" s="39">
        <f>AG261*(1-AG119)*(1-IF(11&gt;=AG64,Seasonality!$D$47*AG120,0))</f>
        <v/>
      </c>
      <c r="AH262" s="39">
        <f>AH261*(1-AH119)*(1-IF(11&gt;=AH64,Seasonality!$D$47*AH120,0))</f>
        <v/>
      </c>
      <c r="AI262" s="39">
        <f>AI261*(1-AI119)*(1-IF(11&gt;=AI64,Seasonality!$D$47*AI120,0))</f>
        <v/>
      </c>
      <c r="AJ262" s="39">
        <f>AJ261*(1-AJ119)*(1-IF(11&gt;=AJ64,Seasonality!$D$47*AJ120,0))</f>
        <v/>
      </c>
      <c r="AK262" s="39">
        <f>AK261*(1-AK119)*(1-IF(11&gt;=AK64,Seasonality!$D$47*AK120,0))</f>
        <v/>
      </c>
      <c r="AL262" s="39">
        <f>AL261*(1-AL119)*(1-IF(11&gt;=AL64,Seasonality!$D$47*AL120,0))</f>
        <v/>
      </c>
      <c r="AM262" s="39">
        <f>AM261*(1-AM119)*(1-IF(11&gt;=AM64,Seasonality!$D$47*AM120,0))</f>
        <v/>
      </c>
      <c r="AN262" s="39">
        <f>AN261*(1-AN119)*(1-IF(11&gt;=AN64,Seasonality!$D$47*AN120,0))</f>
        <v/>
      </c>
      <c r="AO262" s="39">
        <f>AO261*(1-AO119)*(1-IF(11&gt;=AO64,Seasonality!$D$47*AO120,0))</f>
        <v/>
      </c>
      <c r="AP262" s="39">
        <f>AP261*(1-AP119)*(1-IF(11&gt;=AP64,Seasonality!$D$47*AP120,0))</f>
        <v/>
      </c>
      <c r="AQ262" s="39">
        <f>AQ261*(1-AQ119)*(1-IF(11&gt;=AQ64,Seasonality!$D$47*AQ120,0))</f>
        <v/>
      </c>
      <c r="AR262" s="39">
        <f>AR261*(1-AR119)*(1-IF(11&gt;=AR64,Seasonality!$D$47*AR120,0))</f>
        <v/>
      </c>
      <c r="AS262" s="39">
        <f>AS261*(1-AS119)*(1-IF(11&gt;=AS64,Seasonality!$D$47*AS120,0))</f>
        <v/>
      </c>
      <c r="AT262" s="39">
        <f>AT261*(1-AT119)*(1-IF(11&gt;=AT64,Seasonality!$D$47*AT120,0))</f>
        <v/>
      </c>
      <c r="AU262" s="39">
        <f>AU261*(1-AU119)*(1-IF(11&gt;=AU64,Seasonality!$D$47*AU120,0))</f>
        <v/>
      </c>
      <c r="AV262" s="39">
        <f>AV261*(1-AV119)*(1-IF(11&gt;=AV64,Seasonality!$D$47*AV120,0))</f>
        <v/>
      </c>
      <c r="AW262" s="39">
        <f>AW261*(1-AW119)*(1-IF(11&gt;=AW64,Seasonality!$D$47*AW120,0))</f>
        <v/>
      </c>
      <c r="AX262" s="39">
        <f>AX261*(1-AX119)*(1-IF(11&gt;=AX64,Seasonality!$D$47*AX120,0))</f>
        <v/>
      </c>
      <c r="AY262" s="39">
        <f>AY261*(1-AY119)*(1-IF(11&gt;=AY64,Seasonality!$D$47*AY120,0))</f>
        <v/>
      </c>
      <c r="AZ262" s="39">
        <f>AZ261*(1-AZ119)*(1-IF(11&gt;=AZ64,Seasonality!$D$47*AZ120,0))</f>
        <v/>
      </c>
      <c r="BA262" s="39">
        <f>BA261*(1-BA119)*(1-IF(11&gt;=BA64,Seasonality!$D$47*BA120,0))</f>
        <v/>
      </c>
      <c r="BB262" s="39">
        <f>BB261*(1-BB119)*(1-IF(11&gt;=BB64,Seasonality!$D$47*BB120,0))</f>
        <v/>
      </c>
      <c r="BC262" s="39">
        <f>BC261*(1-BC119)*(1-IF(11&gt;=BC64,Seasonality!$D$47*BC120,0))</f>
        <v/>
      </c>
      <c r="BD262" s="39">
        <f>BD261*(1-BD119)*(1-IF(11&gt;=BD64,Seasonality!$D$47*BD120,0))</f>
        <v/>
      </c>
      <c r="BE262" s="39">
        <f>BE261*(1-BE119)*(1-IF(11&gt;=BE64,Seasonality!$D$47*BE120,0))</f>
        <v/>
      </c>
    </row>
    <row r="263">
      <c r="B263" s="7" t="inlineStr">
        <is>
          <t>Share of institutes still paying · month 13</t>
        </is>
      </c>
      <c r="C263" s="5" t="inlineStr">
        <is>
          <t>%</t>
        </is>
      </c>
      <c r="D263" s="39">
        <f>D262*(1-D119)*(1-IF(12&gt;=D64,Seasonality!$D$48*D120,0))</f>
        <v/>
      </c>
      <c r="E263" s="39">
        <f>E262*(1-E119)*(1-IF(12&gt;=E64,Seasonality!$D$48*E120,0))</f>
        <v/>
      </c>
      <c r="F263" s="39">
        <f>F262*(1-F119)*(1-IF(12&gt;=F64,Seasonality!$D$48*F120,0))</f>
        <v/>
      </c>
      <c r="G263" s="39">
        <f>G262*(1-G119)*(1-IF(12&gt;=G64,Seasonality!$D$48*G120,0))</f>
        <v/>
      </c>
      <c r="H263" s="39">
        <f>H262*(1-H119)*(1-IF(12&gt;=H64,Seasonality!$D$48*H120,0))</f>
        <v/>
      </c>
      <c r="I263" s="39">
        <f>I262*(1-I119)*(1-IF(12&gt;=I64,Seasonality!$D$48*I120,0))</f>
        <v/>
      </c>
      <c r="J263" s="39">
        <f>J262*(1-J119)*(1-IF(12&gt;=J64,Seasonality!$D$48*J120,0))</f>
        <v/>
      </c>
      <c r="K263" s="39">
        <f>K262*(1-K119)*(1-IF(12&gt;=K64,Seasonality!$D$48*K120,0))</f>
        <v/>
      </c>
      <c r="L263" s="39">
        <f>L262*(1-L119)*(1-IF(12&gt;=L64,Seasonality!$D$48*L120,0))</f>
        <v/>
      </c>
      <c r="M263" s="39">
        <f>M262*(1-M119)*(1-IF(12&gt;=M64,Seasonality!$D$48*M120,0))</f>
        <v/>
      </c>
      <c r="N263" s="39">
        <f>N262*(1-N119)*(1-IF(12&gt;=N64,Seasonality!$D$48*N120,0))</f>
        <v/>
      </c>
      <c r="O263" s="39">
        <f>O262*(1-O119)*(1-IF(12&gt;=O64,Seasonality!$D$48*O120,0))</f>
        <v/>
      </c>
      <c r="P263" s="39">
        <f>P262*(1-P119)*(1-IF(12&gt;=P64,Seasonality!$D$48*P120,0))</f>
        <v/>
      </c>
      <c r="Q263" s="39">
        <f>Q262*(1-Q119)*(1-IF(12&gt;=Q64,Seasonality!$D$48*Q120,0))</f>
        <v/>
      </c>
      <c r="R263" s="39">
        <f>R262*(1-R119)*(1-IF(12&gt;=R64,Seasonality!$D$48*R120,0))</f>
        <v/>
      </c>
      <c r="S263" s="39">
        <f>S262*(1-S119)*(1-IF(12&gt;=S64,Seasonality!$D$48*S120,0))</f>
        <v/>
      </c>
      <c r="T263" s="39">
        <f>T262*(1-T119)*(1-IF(12&gt;=T64,Seasonality!$D$48*T120,0))</f>
        <v/>
      </c>
      <c r="U263" s="39">
        <f>U262*(1-U119)*(1-IF(12&gt;=U64,Seasonality!$D$48*U120,0))</f>
        <v/>
      </c>
      <c r="V263" s="39">
        <f>V262*(1-V119)*(1-IF(12&gt;=V64,Seasonality!$D$48*V120,0))</f>
        <v/>
      </c>
      <c r="W263" s="39">
        <f>W262*(1-W119)*(1-IF(12&gt;=W64,Seasonality!$D$48*W120,0))</f>
        <v/>
      </c>
      <c r="X263" s="39">
        <f>X262*(1-X119)*(1-IF(12&gt;=X64,Seasonality!$D$48*X120,0))</f>
        <v/>
      </c>
      <c r="Y263" s="39">
        <f>Y262*(1-Y119)*(1-IF(12&gt;=Y64,Seasonality!$D$48*Y120,0))</f>
        <v/>
      </c>
      <c r="Z263" s="39">
        <f>Z262*(1-Z119)*(1-IF(12&gt;=Z64,Seasonality!$D$48*Z120,0))</f>
        <v/>
      </c>
      <c r="AA263" s="39">
        <f>AA262*(1-AA119)*(1-IF(12&gt;=AA64,Seasonality!$D$48*AA120,0))</f>
        <v/>
      </c>
      <c r="AB263" s="39">
        <f>AB262*(1-AB119)*(1-IF(12&gt;=AB64,Seasonality!$D$48*AB120,0))</f>
        <v/>
      </c>
      <c r="AC263" s="39">
        <f>AC262*(1-AC119)*(1-IF(12&gt;=AC64,Seasonality!$D$48*AC120,0))</f>
        <v/>
      </c>
      <c r="AD263" s="39">
        <f>AD262*(1-AD119)*(1-IF(12&gt;=AD64,Seasonality!$D$48*AD120,0))</f>
        <v/>
      </c>
      <c r="AE263" s="39">
        <f>AE262*(1-AE119)*(1-IF(12&gt;=AE64,Seasonality!$D$48*AE120,0))</f>
        <v/>
      </c>
      <c r="AF263" s="39">
        <f>AF262*(1-AF119)*(1-IF(12&gt;=AF64,Seasonality!$D$48*AF120,0))</f>
        <v/>
      </c>
      <c r="AG263" s="39">
        <f>AG262*(1-AG119)*(1-IF(12&gt;=AG64,Seasonality!$D$48*AG120,0))</f>
        <v/>
      </c>
      <c r="AH263" s="39">
        <f>AH262*(1-AH119)*(1-IF(12&gt;=AH64,Seasonality!$D$48*AH120,0))</f>
        <v/>
      </c>
      <c r="AI263" s="39">
        <f>AI262*(1-AI119)*(1-IF(12&gt;=AI64,Seasonality!$D$48*AI120,0))</f>
        <v/>
      </c>
      <c r="AJ263" s="39">
        <f>AJ262*(1-AJ119)*(1-IF(12&gt;=AJ64,Seasonality!$D$48*AJ120,0))</f>
        <v/>
      </c>
      <c r="AK263" s="39">
        <f>AK262*(1-AK119)*(1-IF(12&gt;=AK64,Seasonality!$D$48*AK120,0))</f>
        <v/>
      </c>
      <c r="AL263" s="39">
        <f>AL262*(1-AL119)*(1-IF(12&gt;=AL64,Seasonality!$D$48*AL120,0))</f>
        <v/>
      </c>
      <c r="AM263" s="39">
        <f>AM262*(1-AM119)*(1-IF(12&gt;=AM64,Seasonality!$D$48*AM120,0))</f>
        <v/>
      </c>
      <c r="AN263" s="39">
        <f>AN262*(1-AN119)*(1-IF(12&gt;=AN64,Seasonality!$D$48*AN120,0))</f>
        <v/>
      </c>
      <c r="AO263" s="39">
        <f>AO262*(1-AO119)*(1-IF(12&gt;=AO64,Seasonality!$D$48*AO120,0))</f>
        <v/>
      </c>
      <c r="AP263" s="39">
        <f>AP262*(1-AP119)*(1-IF(12&gt;=AP64,Seasonality!$D$48*AP120,0))</f>
        <v/>
      </c>
      <c r="AQ263" s="39">
        <f>AQ262*(1-AQ119)*(1-IF(12&gt;=AQ64,Seasonality!$D$48*AQ120,0))</f>
        <v/>
      </c>
      <c r="AR263" s="39">
        <f>AR262*(1-AR119)*(1-IF(12&gt;=AR64,Seasonality!$D$48*AR120,0))</f>
        <v/>
      </c>
      <c r="AS263" s="39">
        <f>AS262*(1-AS119)*(1-IF(12&gt;=AS64,Seasonality!$D$48*AS120,0))</f>
        <v/>
      </c>
      <c r="AT263" s="39">
        <f>AT262*(1-AT119)*(1-IF(12&gt;=AT64,Seasonality!$D$48*AT120,0))</f>
        <v/>
      </c>
      <c r="AU263" s="39">
        <f>AU262*(1-AU119)*(1-IF(12&gt;=AU64,Seasonality!$D$48*AU120,0))</f>
        <v/>
      </c>
      <c r="AV263" s="39">
        <f>AV262*(1-AV119)*(1-IF(12&gt;=AV64,Seasonality!$D$48*AV120,0))</f>
        <v/>
      </c>
      <c r="AW263" s="39">
        <f>AW262*(1-AW119)*(1-IF(12&gt;=AW64,Seasonality!$D$48*AW120,0))</f>
        <v/>
      </c>
      <c r="AX263" s="39">
        <f>AX262*(1-AX119)*(1-IF(12&gt;=AX64,Seasonality!$D$48*AX120,0))</f>
        <v/>
      </c>
      <c r="AY263" s="39">
        <f>AY262*(1-AY119)*(1-IF(12&gt;=AY64,Seasonality!$D$48*AY120,0))</f>
        <v/>
      </c>
      <c r="AZ263" s="39">
        <f>AZ262*(1-AZ119)*(1-IF(12&gt;=AZ64,Seasonality!$D$48*AZ120,0))</f>
        <v/>
      </c>
      <c r="BA263" s="39">
        <f>BA262*(1-BA119)*(1-IF(12&gt;=BA64,Seasonality!$D$48*BA120,0))</f>
        <v/>
      </c>
      <c r="BB263" s="39">
        <f>BB262*(1-BB119)*(1-IF(12&gt;=BB64,Seasonality!$D$48*BB120,0))</f>
        <v/>
      </c>
      <c r="BC263" s="39">
        <f>BC262*(1-BC119)*(1-IF(12&gt;=BC64,Seasonality!$D$48*BC120,0))</f>
        <v/>
      </c>
      <c r="BD263" s="39">
        <f>BD262*(1-BD119)*(1-IF(12&gt;=BD64,Seasonality!$D$48*BD120,0))</f>
        <v/>
      </c>
      <c r="BE263" s="39">
        <f>BE262*(1-BE119)*(1-IF(12&gt;=BE64,Seasonality!$D$48*BE120,0))</f>
        <v/>
      </c>
    </row>
    <row r="264">
      <c r="B264" s="7" t="inlineStr">
        <is>
          <t>Share of institutes still paying · month 14</t>
        </is>
      </c>
      <c r="C264" s="5" t="inlineStr">
        <is>
          <t>%</t>
        </is>
      </c>
      <c r="D264" s="39">
        <f>D263*(1-D119)*(1-IF(13&gt;=D64,Seasonality!$D$49*D120,0))</f>
        <v/>
      </c>
      <c r="E264" s="39">
        <f>E263*(1-E119)*(1-IF(13&gt;=E64,Seasonality!$D$49*E120,0))</f>
        <v/>
      </c>
      <c r="F264" s="39">
        <f>F263*(1-F119)*(1-IF(13&gt;=F64,Seasonality!$D$49*F120,0))</f>
        <v/>
      </c>
      <c r="G264" s="39">
        <f>G263*(1-G119)*(1-IF(13&gt;=G64,Seasonality!$D$49*G120,0))</f>
        <v/>
      </c>
      <c r="H264" s="39">
        <f>H263*(1-H119)*(1-IF(13&gt;=H64,Seasonality!$D$49*H120,0))</f>
        <v/>
      </c>
      <c r="I264" s="39">
        <f>I263*(1-I119)*(1-IF(13&gt;=I64,Seasonality!$D$49*I120,0))</f>
        <v/>
      </c>
      <c r="J264" s="39">
        <f>J263*(1-J119)*(1-IF(13&gt;=J64,Seasonality!$D$49*J120,0))</f>
        <v/>
      </c>
      <c r="K264" s="39">
        <f>K263*(1-K119)*(1-IF(13&gt;=K64,Seasonality!$D$49*K120,0))</f>
        <v/>
      </c>
      <c r="L264" s="39">
        <f>L263*(1-L119)*(1-IF(13&gt;=L64,Seasonality!$D$49*L120,0))</f>
        <v/>
      </c>
      <c r="M264" s="39">
        <f>M263*(1-M119)*(1-IF(13&gt;=M64,Seasonality!$D$49*M120,0))</f>
        <v/>
      </c>
      <c r="N264" s="39">
        <f>N263*(1-N119)*(1-IF(13&gt;=N64,Seasonality!$D$49*N120,0))</f>
        <v/>
      </c>
      <c r="O264" s="39">
        <f>O263*(1-O119)*(1-IF(13&gt;=O64,Seasonality!$D$49*O120,0))</f>
        <v/>
      </c>
      <c r="P264" s="39">
        <f>P263*(1-P119)*(1-IF(13&gt;=P64,Seasonality!$D$49*P120,0))</f>
        <v/>
      </c>
      <c r="Q264" s="39">
        <f>Q263*(1-Q119)*(1-IF(13&gt;=Q64,Seasonality!$D$49*Q120,0))</f>
        <v/>
      </c>
      <c r="R264" s="39">
        <f>R263*(1-R119)*(1-IF(13&gt;=R64,Seasonality!$D$49*R120,0))</f>
        <v/>
      </c>
      <c r="S264" s="39">
        <f>S263*(1-S119)*(1-IF(13&gt;=S64,Seasonality!$D$49*S120,0))</f>
        <v/>
      </c>
      <c r="T264" s="39">
        <f>T263*(1-T119)*(1-IF(13&gt;=T64,Seasonality!$D$49*T120,0))</f>
        <v/>
      </c>
      <c r="U264" s="39">
        <f>U263*(1-U119)*(1-IF(13&gt;=U64,Seasonality!$D$49*U120,0))</f>
        <v/>
      </c>
      <c r="V264" s="39">
        <f>V263*(1-V119)*(1-IF(13&gt;=V64,Seasonality!$D$49*V120,0))</f>
        <v/>
      </c>
      <c r="W264" s="39">
        <f>W263*(1-W119)*(1-IF(13&gt;=W64,Seasonality!$D$49*W120,0))</f>
        <v/>
      </c>
      <c r="X264" s="39">
        <f>X263*(1-X119)*(1-IF(13&gt;=X64,Seasonality!$D$49*X120,0))</f>
        <v/>
      </c>
      <c r="Y264" s="39">
        <f>Y263*(1-Y119)*(1-IF(13&gt;=Y64,Seasonality!$D$49*Y120,0))</f>
        <v/>
      </c>
      <c r="Z264" s="39">
        <f>Z263*(1-Z119)*(1-IF(13&gt;=Z64,Seasonality!$D$49*Z120,0))</f>
        <v/>
      </c>
      <c r="AA264" s="39">
        <f>AA263*(1-AA119)*(1-IF(13&gt;=AA64,Seasonality!$D$49*AA120,0))</f>
        <v/>
      </c>
      <c r="AB264" s="39">
        <f>AB263*(1-AB119)*(1-IF(13&gt;=AB64,Seasonality!$D$49*AB120,0))</f>
        <v/>
      </c>
      <c r="AC264" s="39">
        <f>AC263*(1-AC119)*(1-IF(13&gt;=AC64,Seasonality!$D$49*AC120,0))</f>
        <v/>
      </c>
      <c r="AD264" s="39">
        <f>AD263*(1-AD119)*(1-IF(13&gt;=AD64,Seasonality!$D$49*AD120,0))</f>
        <v/>
      </c>
      <c r="AE264" s="39">
        <f>AE263*(1-AE119)*(1-IF(13&gt;=AE64,Seasonality!$D$49*AE120,0))</f>
        <v/>
      </c>
      <c r="AF264" s="39">
        <f>AF263*(1-AF119)*(1-IF(13&gt;=AF64,Seasonality!$D$49*AF120,0))</f>
        <v/>
      </c>
      <c r="AG264" s="39">
        <f>AG263*(1-AG119)*(1-IF(13&gt;=AG64,Seasonality!$D$49*AG120,0))</f>
        <v/>
      </c>
      <c r="AH264" s="39">
        <f>AH263*(1-AH119)*(1-IF(13&gt;=AH64,Seasonality!$D$49*AH120,0))</f>
        <v/>
      </c>
      <c r="AI264" s="39">
        <f>AI263*(1-AI119)*(1-IF(13&gt;=AI64,Seasonality!$D$49*AI120,0))</f>
        <v/>
      </c>
      <c r="AJ264" s="39">
        <f>AJ263*(1-AJ119)*(1-IF(13&gt;=AJ64,Seasonality!$D$49*AJ120,0))</f>
        <v/>
      </c>
      <c r="AK264" s="39">
        <f>AK263*(1-AK119)*(1-IF(13&gt;=AK64,Seasonality!$D$49*AK120,0))</f>
        <v/>
      </c>
      <c r="AL264" s="39">
        <f>AL263*(1-AL119)*(1-IF(13&gt;=AL64,Seasonality!$D$49*AL120,0))</f>
        <v/>
      </c>
      <c r="AM264" s="39">
        <f>AM263*(1-AM119)*(1-IF(13&gt;=AM64,Seasonality!$D$49*AM120,0))</f>
        <v/>
      </c>
      <c r="AN264" s="39">
        <f>AN263*(1-AN119)*(1-IF(13&gt;=AN64,Seasonality!$D$49*AN120,0))</f>
        <v/>
      </c>
      <c r="AO264" s="39">
        <f>AO263*(1-AO119)*(1-IF(13&gt;=AO64,Seasonality!$D$49*AO120,0))</f>
        <v/>
      </c>
      <c r="AP264" s="39">
        <f>AP263*(1-AP119)*(1-IF(13&gt;=AP64,Seasonality!$D$49*AP120,0))</f>
        <v/>
      </c>
      <c r="AQ264" s="39">
        <f>AQ263*(1-AQ119)*(1-IF(13&gt;=AQ64,Seasonality!$D$49*AQ120,0))</f>
        <v/>
      </c>
      <c r="AR264" s="39">
        <f>AR263*(1-AR119)*(1-IF(13&gt;=AR64,Seasonality!$D$49*AR120,0))</f>
        <v/>
      </c>
      <c r="AS264" s="39">
        <f>AS263*(1-AS119)*(1-IF(13&gt;=AS64,Seasonality!$D$49*AS120,0))</f>
        <v/>
      </c>
      <c r="AT264" s="39">
        <f>AT263*(1-AT119)*(1-IF(13&gt;=AT64,Seasonality!$D$49*AT120,0))</f>
        <v/>
      </c>
      <c r="AU264" s="39">
        <f>AU263*(1-AU119)*(1-IF(13&gt;=AU64,Seasonality!$D$49*AU120,0))</f>
        <v/>
      </c>
      <c r="AV264" s="39">
        <f>AV263*(1-AV119)*(1-IF(13&gt;=AV64,Seasonality!$D$49*AV120,0))</f>
        <v/>
      </c>
      <c r="AW264" s="39">
        <f>AW263*(1-AW119)*(1-IF(13&gt;=AW64,Seasonality!$D$49*AW120,0))</f>
        <v/>
      </c>
      <c r="AX264" s="39">
        <f>AX263*(1-AX119)*(1-IF(13&gt;=AX64,Seasonality!$D$49*AX120,0))</f>
        <v/>
      </c>
      <c r="AY264" s="39">
        <f>AY263*(1-AY119)*(1-IF(13&gt;=AY64,Seasonality!$D$49*AY120,0))</f>
        <v/>
      </c>
      <c r="AZ264" s="39">
        <f>AZ263*(1-AZ119)*(1-IF(13&gt;=AZ64,Seasonality!$D$49*AZ120,0))</f>
        <v/>
      </c>
      <c r="BA264" s="39">
        <f>BA263*(1-BA119)*(1-IF(13&gt;=BA64,Seasonality!$D$49*BA120,0))</f>
        <v/>
      </c>
      <c r="BB264" s="39">
        <f>BB263*(1-BB119)*(1-IF(13&gt;=BB64,Seasonality!$D$49*BB120,0))</f>
        <v/>
      </c>
      <c r="BC264" s="39">
        <f>BC263*(1-BC119)*(1-IF(13&gt;=BC64,Seasonality!$D$49*BC120,0))</f>
        <v/>
      </c>
      <c r="BD264" s="39">
        <f>BD263*(1-BD119)*(1-IF(13&gt;=BD64,Seasonality!$D$49*BD120,0))</f>
        <v/>
      </c>
      <c r="BE264" s="39">
        <f>BE263*(1-BE119)*(1-IF(13&gt;=BE64,Seasonality!$D$49*BE120,0))</f>
        <v/>
      </c>
    </row>
    <row r="265">
      <c r="B265" s="7" t="inlineStr">
        <is>
          <t>Share of institutes still paying · month 15</t>
        </is>
      </c>
      <c r="C265" s="5" t="inlineStr">
        <is>
          <t>%</t>
        </is>
      </c>
      <c r="D265" s="39">
        <f>D264*(1-D119)*(1-IF(14&gt;=D64,Seasonality!$D$50*D120,0))</f>
        <v/>
      </c>
      <c r="E265" s="39">
        <f>E264*(1-E119)*(1-IF(14&gt;=E64,Seasonality!$D$50*E120,0))</f>
        <v/>
      </c>
      <c r="F265" s="39">
        <f>F264*(1-F119)*(1-IF(14&gt;=F64,Seasonality!$D$50*F120,0))</f>
        <v/>
      </c>
      <c r="G265" s="39">
        <f>G264*(1-G119)*(1-IF(14&gt;=G64,Seasonality!$D$50*G120,0))</f>
        <v/>
      </c>
      <c r="H265" s="39">
        <f>H264*(1-H119)*(1-IF(14&gt;=H64,Seasonality!$D$50*H120,0))</f>
        <v/>
      </c>
      <c r="I265" s="39">
        <f>I264*(1-I119)*(1-IF(14&gt;=I64,Seasonality!$D$50*I120,0))</f>
        <v/>
      </c>
      <c r="J265" s="39">
        <f>J264*(1-J119)*(1-IF(14&gt;=J64,Seasonality!$D$50*J120,0))</f>
        <v/>
      </c>
      <c r="K265" s="39">
        <f>K264*(1-K119)*(1-IF(14&gt;=K64,Seasonality!$D$50*K120,0))</f>
        <v/>
      </c>
      <c r="L265" s="39">
        <f>L264*(1-L119)*(1-IF(14&gt;=L64,Seasonality!$D$50*L120,0))</f>
        <v/>
      </c>
      <c r="M265" s="39">
        <f>M264*(1-M119)*(1-IF(14&gt;=M64,Seasonality!$D$50*M120,0))</f>
        <v/>
      </c>
      <c r="N265" s="39">
        <f>N264*(1-N119)*(1-IF(14&gt;=N64,Seasonality!$D$50*N120,0))</f>
        <v/>
      </c>
      <c r="O265" s="39">
        <f>O264*(1-O119)*(1-IF(14&gt;=O64,Seasonality!$D$50*O120,0))</f>
        <v/>
      </c>
      <c r="P265" s="39">
        <f>P264*(1-P119)*(1-IF(14&gt;=P64,Seasonality!$D$50*P120,0))</f>
        <v/>
      </c>
      <c r="Q265" s="39">
        <f>Q264*(1-Q119)*(1-IF(14&gt;=Q64,Seasonality!$D$50*Q120,0))</f>
        <v/>
      </c>
      <c r="R265" s="39">
        <f>R264*(1-R119)*(1-IF(14&gt;=R64,Seasonality!$D$50*R120,0))</f>
        <v/>
      </c>
      <c r="S265" s="39">
        <f>S264*(1-S119)*(1-IF(14&gt;=S64,Seasonality!$D$50*S120,0))</f>
        <v/>
      </c>
      <c r="T265" s="39">
        <f>T264*(1-T119)*(1-IF(14&gt;=T64,Seasonality!$D$50*T120,0))</f>
        <v/>
      </c>
      <c r="U265" s="39">
        <f>U264*(1-U119)*(1-IF(14&gt;=U64,Seasonality!$D$50*U120,0))</f>
        <v/>
      </c>
      <c r="V265" s="39">
        <f>V264*(1-V119)*(1-IF(14&gt;=V64,Seasonality!$D$50*V120,0))</f>
        <v/>
      </c>
      <c r="W265" s="39">
        <f>W264*(1-W119)*(1-IF(14&gt;=W64,Seasonality!$D$50*W120,0))</f>
        <v/>
      </c>
      <c r="X265" s="39">
        <f>X264*(1-X119)*(1-IF(14&gt;=X64,Seasonality!$D$50*X120,0))</f>
        <v/>
      </c>
      <c r="Y265" s="39">
        <f>Y264*(1-Y119)*(1-IF(14&gt;=Y64,Seasonality!$D$50*Y120,0))</f>
        <v/>
      </c>
      <c r="Z265" s="39">
        <f>Z264*(1-Z119)*(1-IF(14&gt;=Z64,Seasonality!$D$50*Z120,0))</f>
        <v/>
      </c>
      <c r="AA265" s="39">
        <f>AA264*(1-AA119)*(1-IF(14&gt;=AA64,Seasonality!$D$50*AA120,0))</f>
        <v/>
      </c>
      <c r="AB265" s="39">
        <f>AB264*(1-AB119)*(1-IF(14&gt;=AB64,Seasonality!$D$50*AB120,0))</f>
        <v/>
      </c>
      <c r="AC265" s="39">
        <f>AC264*(1-AC119)*(1-IF(14&gt;=AC64,Seasonality!$D$50*AC120,0))</f>
        <v/>
      </c>
      <c r="AD265" s="39">
        <f>AD264*(1-AD119)*(1-IF(14&gt;=AD64,Seasonality!$D$50*AD120,0))</f>
        <v/>
      </c>
      <c r="AE265" s="39">
        <f>AE264*(1-AE119)*(1-IF(14&gt;=AE64,Seasonality!$D$50*AE120,0))</f>
        <v/>
      </c>
      <c r="AF265" s="39">
        <f>AF264*(1-AF119)*(1-IF(14&gt;=AF64,Seasonality!$D$50*AF120,0))</f>
        <v/>
      </c>
      <c r="AG265" s="39">
        <f>AG264*(1-AG119)*(1-IF(14&gt;=AG64,Seasonality!$D$50*AG120,0))</f>
        <v/>
      </c>
      <c r="AH265" s="39">
        <f>AH264*(1-AH119)*(1-IF(14&gt;=AH64,Seasonality!$D$50*AH120,0))</f>
        <v/>
      </c>
      <c r="AI265" s="39">
        <f>AI264*(1-AI119)*(1-IF(14&gt;=AI64,Seasonality!$D$50*AI120,0))</f>
        <v/>
      </c>
      <c r="AJ265" s="39">
        <f>AJ264*(1-AJ119)*(1-IF(14&gt;=AJ64,Seasonality!$D$50*AJ120,0))</f>
        <v/>
      </c>
      <c r="AK265" s="39">
        <f>AK264*(1-AK119)*(1-IF(14&gt;=AK64,Seasonality!$D$50*AK120,0))</f>
        <v/>
      </c>
      <c r="AL265" s="39">
        <f>AL264*(1-AL119)*(1-IF(14&gt;=AL64,Seasonality!$D$50*AL120,0))</f>
        <v/>
      </c>
      <c r="AM265" s="39">
        <f>AM264*(1-AM119)*(1-IF(14&gt;=AM64,Seasonality!$D$50*AM120,0))</f>
        <v/>
      </c>
      <c r="AN265" s="39">
        <f>AN264*(1-AN119)*(1-IF(14&gt;=AN64,Seasonality!$D$50*AN120,0))</f>
        <v/>
      </c>
      <c r="AO265" s="39">
        <f>AO264*(1-AO119)*(1-IF(14&gt;=AO64,Seasonality!$D$50*AO120,0))</f>
        <v/>
      </c>
      <c r="AP265" s="39">
        <f>AP264*(1-AP119)*(1-IF(14&gt;=AP64,Seasonality!$D$50*AP120,0))</f>
        <v/>
      </c>
      <c r="AQ265" s="39">
        <f>AQ264*(1-AQ119)*(1-IF(14&gt;=AQ64,Seasonality!$D$50*AQ120,0))</f>
        <v/>
      </c>
      <c r="AR265" s="39">
        <f>AR264*(1-AR119)*(1-IF(14&gt;=AR64,Seasonality!$D$50*AR120,0))</f>
        <v/>
      </c>
      <c r="AS265" s="39">
        <f>AS264*(1-AS119)*(1-IF(14&gt;=AS64,Seasonality!$D$50*AS120,0))</f>
        <v/>
      </c>
      <c r="AT265" s="39">
        <f>AT264*(1-AT119)*(1-IF(14&gt;=AT64,Seasonality!$D$50*AT120,0))</f>
        <v/>
      </c>
      <c r="AU265" s="39">
        <f>AU264*(1-AU119)*(1-IF(14&gt;=AU64,Seasonality!$D$50*AU120,0))</f>
        <v/>
      </c>
      <c r="AV265" s="39">
        <f>AV264*(1-AV119)*(1-IF(14&gt;=AV64,Seasonality!$D$50*AV120,0))</f>
        <v/>
      </c>
      <c r="AW265" s="39">
        <f>AW264*(1-AW119)*(1-IF(14&gt;=AW64,Seasonality!$D$50*AW120,0))</f>
        <v/>
      </c>
      <c r="AX265" s="39">
        <f>AX264*(1-AX119)*(1-IF(14&gt;=AX64,Seasonality!$D$50*AX120,0))</f>
        <v/>
      </c>
      <c r="AY265" s="39">
        <f>AY264*(1-AY119)*(1-IF(14&gt;=AY64,Seasonality!$D$50*AY120,0))</f>
        <v/>
      </c>
      <c r="AZ265" s="39">
        <f>AZ264*(1-AZ119)*(1-IF(14&gt;=AZ64,Seasonality!$D$50*AZ120,0))</f>
        <v/>
      </c>
      <c r="BA265" s="39">
        <f>BA264*(1-BA119)*(1-IF(14&gt;=BA64,Seasonality!$D$50*BA120,0))</f>
        <v/>
      </c>
      <c r="BB265" s="39">
        <f>BB264*(1-BB119)*(1-IF(14&gt;=BB64,Seasonality!$D$50*BB120,0))</f>
        <v/>
      </c>
      <c r="BC265" s="39">
        <f>BC264*(1-BC119)*(1-IF(14&gt;=BC64,Seasonality!$D$50*BC120,0))</f>
        <v/>
      </c>
      <c r="BD265" s="39">
        <f>BD264*(1-BD119)*(1-IF(14&gt;=BD64,Seasonality!$D$50*BD120,0))</f>
        <v/>
      </c>
      <c r="BE265" s="39">
        <f>BE264*(1-BE119)*(1-IF(14&gt;=BE64,Seasonality!$D$50*BE120,0))</f>
        <v/>
      </c>
    </row>
    <row r="266">
      <c r="B266" s="7" t="inlineStr">
        <is>
          <t>Share of institutes still paying · month 16</t>
        </is>
      </c>
      <c r="C266" s="5" t="inlineStr">
        <is>
          <t>%</t>
        </is>
      </c>
      <c r="D266" s="39">
        <f>D265*(1-D119)*(1-IF(15&gt;=D64,Seasonality!$D$51*D120,0))</f>
        <v/>
      </c>
      <c r="E266" s="39">
        <f>E265*(1-E119)*(1-IF(15&gt;=E64,Seasonality!$D$51*E120,0))</f>
        <v/>
      </c>
      <c r="F266" s="39">
        <f>F265*(1-F119)*(1-IF(15&gt;=F64,Seasonality!$D$51*F120,0))</f>
        <v/>
      </c>
      <c r="G266" s="39">
        <f>G265*(1-G119)*(1-IF(15&gt;=G64,Seasonality!$D$51*G120,0))</f>
        <v/>
      </c>
      <c r="H266" s="39">
        <f>H265*(1-H119)*(1-IF(15&gt;=H64,Seasonality!$D$51*H120,0))</f>
        <v/>
      </c>
      <c r="I266" s="39">
        <f>I265*(1-I119)*(1-IF(15&gt;=I64,Seasonality!$D$51*I120,0))</f>
        <v/>
      </c>
      <c r="J266" s="39">
        <f>J265*(1-J119)*(1-IF(15&gt;=J64,Seasonality!$D$51*J120,0))</f>
        <v/>
      </c>
      <c r="K266" s="39">
        <f>K265*(1-K119)*(1-IF(15&gt;=K64,Seasonality!$D$51*K120,0))</f>
        <v/>
      </c>
      <c r="L266" s="39">
        <f>L265*(1-L119)*(1-IF(15&gt;=L64,Seasonality!$D$51*L120,0))</f>
        <v/>
      </c>
      <c r="M266" s="39">
        <f>M265*(1-M119)*(1-IF(15&gt;=M64,Seasonality!$D$51*M120,0))</f>
        <v/>
      </c>
      <c r="N266" s="39">
        <f>N265*(1-N119)*(1-IF(15&gt;=N64,Seasonality!$D$51*N120,0))</f>
        <v/>
      </c>
      <c r="O266" s="39">
        <f>O265*(1-O119)*(1-IF(15&gt;=O64,Seasonality!$D$51*O120,0))</f>
        <v/>
      </c>
      <c r="P266" s="39">
        <f>P265*(1-P119)*(1-IF(15&gt;=P64,Seasonality!$D$51*P120,0))</f>
        <v/>
      </c>
      <c r="Q266" s="39">
        <f>Q265*(1-Q119)*(1-IF(15&gt;=Q64,Seasonality!$D$51*Q120,0))</f>
        <v/>
      </c>
      <c r="R266" s="39">
        <f>R265*(1-R119)*(1-IF(15&gt;=R64,Seasonality!$D$51*R120,0))</f>
        <v/>
      </c>
      <c r="S266" s="39">
        <f>S265*(1-S119)*(1-IF(15&gt;=S64,Seasonality!$D$51*S120,0))</f>
        <v/>
      </c>
      <c r="T266" s="39">
        <f>T265*(1-T119)*(1-IF(15&gt;=T64,Seasonality!$D$51*T120,0))</f>
        <v/>
      </c>
      <c r="U266" s="39">
        <f>U265*(1-U119)*(1-IF(15&gt;=U64,Seasonality!$D$51*U120,0))</f>
        <v/>
      </c>
      <c r="V266" s="39">
        <f>V265*(1-V119)*(1-IF(15&gt;=V64,Seasonality!$D$51*V120,0))</f>
        <v/>
      </c>
      <c r="W266" s="39">
        <f>W265*(1-W119)*(1-IF(15&gt;=W64,Seasonality!$D$51*W120,0))</f>
        <v/>
      </c>
      <c r="X266" s="39">
        <f>X265*(1-X119)*(1-IF(15&gt;=X64,Seasonality!$D$51*X120,0))</f>
        <v/>
      </c>
      <c r="Y266" s="39">
        <f>Y265*(1-Y119)*(1-IF(15&gt;=Y64,Seasonality!$D$51*Y120,0))</f>
        <v/>
      </c>
      <c r="Z266" s="39">
        <f>Z265*(1-Z119)*(1-IF(15&gt;=Z64,Seasonality!$D$51*Z120,0))</f>
        <v/>
      </c>
      <c r="AA266" s="39">
        <f>AA265*(1-AA119)*(1-IF(15&gt;=AA64,Seasonality!$D$51*AA120,0))</f>
        <v/>
      </c>
      <c r="AB266" s="39">
        <f>AB265*(1-AB119)*(1-IF(15&gt;=AB64,Seasonality!$D$51*AB120,0))</f>
        <v/>
      </c>
      <c r="AC266" s="39">
        <f>AC265*(1-AC119)*(1-IF(15&gt;=AC64,Seasonality!$D$51*AC120,0))</f>
        <v/>
      </c>
      <c r="AD266" s="39">
        <f>AD265*(1-AD119)*(1-IF(15&gt;=AD64,Seasonality!$D$51*AD120,0))</f>
        <v/>
      </c>
      <c r="AE266" s="39">
        <f>AE265*(1-AE119)*(1-IF(15&gt;=AE64,Seasonality!$D$51*AE120,0))</f>
        <v/>
      </c>
      <c r="AF266" s="39">
        <f>AF265*(1-AF119)*(1-IF(15&gt;=AF64,Seasonality!$D$51*AF120,0))</f>
        <v/>
      </c>
      <c r="AG266" s="39">
        <f>AG265*(1-AG119)*(1-IF(15&gt;=AG64,Seasonality!$D$51*AG120,0))</f>
        <v/>
      </c>
      <c r="AH266" s="39">
        <f>AH265*(1-AH119)*(1-IF(15&gt;=AH64,Seasonality!$D$51*AH120,0))</f>
        <v/>
      </c>
      <c r="AI266" s="39">
        <f>AI265*(1-AI119)*(1-IF(15&gt;=AI64,Seasonality!$D$51*AI120,0))</f>
        <v/>
      </c>
      <c r="AJ266" s="39">
        <f>AJ265*(1-AJ119)*(1-IF(15&gt;=AJ64,Seasonality!$D$51*AJ120,0))</f>
        <v/>
      </c>
      <c r="AK266" s="39">
        <f>AK265*(1-AK119)*(1-IF(15&gt;=AK64,Seasonality!$D$51*AK120,0))</f>
        <v/>
      </c>
      <c r="AL266" s="39">
        <f>AL265*(1-AL119)*(1-IF(15&gt;=AL64,Seasonality!$D$51*AL120,0))</f>
        <v/>
      </c>
      <c r="AM266" s="39">
        <f>AM265*(1-AM119)*(1-IF(15&gt;=AM64,Seasonality!$D$51*AM120,0))</f>
        <v/>
      </c>
      <c r="AN266" s="39">
        <f>AN265*(1-AN119)*(1-IF(15&gt;=AN64,Seasonality!$D$51*AN120,0))</f>
        <v/>
      </c>
      <c r="AO266" s="39">
        <f>AO265*(1-AO119)*(1-IF(15&gt;=AO64,Seasonality!$D$51*AO120,0))</f>
        <v/>
      </c>
      <c r="AP266" s="39">
        <f>AP265*(1-AP119)*(1-IF(15&gt;=AP64,Seasonality!$D$51*AP120,0))</f>
        <v/>
      </c>
      <c r="AQ266" s="39">
        <f>AQ265*(1-AQ119)*(1-IF(15&gt;=AQ64,Seasonality!$D$51*AQ120,0))</f>
        <v/>
      </c>
      <c r="AR266" s="39">
        <f>AR265*(1-AR119)*(1-IF(15&gt;=AR64,Seasonality!$D$51*AR120,0))</f>
        <v/>
      </c>
      <c r="AS266" s="39">
        <f>AS265*(1-AS119)*(1-IF(15&gt;=AS64,Seasonality!$D$51*AS120,0))</f>
        <v/>
      </c>
      <c r="AT266" s="39">
        <f>AT265*(1-AT119)*(1-IF(15&gt;=AT64,Seasonality!$D$51*AT120,0))</f>
        <v/>
      </c>
      <c r="AU266" s="39">
        <f>AU265*(1-AU119)*(1-IF(15&gt;=AU64,Seasonality!$D$51*AU120,0))</f>
        <v/>
      </c>
      <c r="AV266" s="39">
        <f>AV265*(1-AV119)*(1-IF(15&gt;=AV64,Seasonality!$D$51*AV120,0))</f>
        <v/>
      </c>
      <c r="AW266" s="39">
        <f>AW265*(1-AW119)*(1-IF(15&gt;=AW64,Seasonality!$D$51*AW120,0))</f>
        <v/>
      </c>
      <c r="AX266" s="39">
        <f>AX265*(1-AX119)*(1-IF(15&gt;=AX64,Seasonality!$D$51*AX120,0))</f>
        <v/>
      </c>
      <c r="AY266" s="39">
        <f>AY265*(1-AY119)*(1-IF(15&gt;=AY64,Seasonality!$D$51*AY120,0))</f>
        <v/>
      </c>
      <c r="AZ266" s="39">
        <f>AZ265*(1-AZ119)*(1-IF(15&gt;=AZ64,Seasonality!$D$51*AZ120,0))</f>
        <v/>
      </c>
      <c r="BA266" s="39">
        <f>BA265*(1-BA119)*(1-IF(15&gt;=BA64,Seasonality!$D$51*BA120,0))</f>
        <v/>
      </c>
      <c r="BB266" s="39">
        <f>BB265*(1-BB119)*(1-IF(15&gt;=BB64,Seasonality!$D$51*BB120,0))</f>
        <v/>
      </c>
      <c r="BC266" s="39">
        <f>BC265*(1-BC119)*(1-IF(15&gt;=BC64,Seasonality!$D$51*BC120,0))</f>
        <v/>
      </c>
      <c r="BD266" s="39">
        <f>BD265*(1-BD119)*(1-IF(15&gt;=BD64,Seasonality!$D$51*BD120,0))</f>
        <v/>
      </c>
      <c r="BE266" s="39">
        <f>BE265*(1-BE119)*(1-IF(15&gt;=BE64,Seasonality!$D$51*BE120,0))</f>
        <v/>
      </c>
    </row>
    <row r="267">
      <c r="B267" s="7" t="inlineStr">
        <is>
          <t>Share of institutes still paying · month 17</t>
        </is>
      </c>
      <c r="C267" s="5" t="inlineStr">
        <is>
          <t>%</t>
        </is>
      </c>
      <c r="D267" s="39">
        <f>D266*(1-D119)*(1-IF(16&gt;=D64,Seasonality!$D$52*D120,0))</f>
        <v/>
      </c>
      <c r="E267" s="39">
        <f>E266*(1-E119)*(1-IF(16&gt;=E64,Seasonality!$D$52*E120,0))</f>
        <v/>
      </c>
      <c r="F267" s="39">
        <f>F266*(1-F119)*(1-IF(16&gt;=F64,Seasonality!$D$52*F120,0))</f>
        <v/>
      </c>
      <c r="G267" s="39">
        <f>G266*(1-G119)*(1-IF(16&gt;=G64,Seasonality!$D$52*G120,0))</f>
        <v/>
      </c>
      <c r="H267" s="39">
        <f>H266*(1-H119)*(1-IF(16&gt;=H64,Seasonality!$D$52*H120,0))</f>
        <v/>
      </c>
      <c r="I267" s="39">
        <f>I266*(1-I119)*(1-IF(16&gt;=I64,Seasonality!$D$52*I120,0))</f>
        <v/>
      </c>
      <c r="J267" s="39">
        <f>J266*(1-J119)*(1-IF(16&gt;=J64,Seasonality!$D$52*J120,0))</f>
        <v/>
      </c>
      <c r="K267" s="39">
        <f>K266*(1-K119)*(1-IF(16&gt;=K64,Seasonality!$D$52*K120,0))</f>
        <v/>
      </c>
      <c r="L267" s="39">
        <f>L266*(1-L119)*(1-IF(16&gt;=L64,Seasonality!$D$52*L120,0))</f>
        <v/>
      </c>
      <c r="M267" s="39">
        <f>M266*(1-M119)*(1-IF(16&gt;=M64,Seasonality!$D$52*M120,0))</f>
        <v/>
      </c>
      <c r="N267" s="39">
        <f>N266*(1-N119)*(1-IF(16&gt;=N64,Seasonality!$D$52*N120,0))</f>
        <v/>
      </c>
      <c r="O267" s="39">
        <f>O266*(1-O119)*(1-IF(16&gt;=O64,Seasonality!$D$52*O120,0))</f>
        <v/>
      </c>
      <c r="P267" s="39">
        <f>P266*(1-P119)*(1-IF(16&gt;=P64,Seasonality!$D$52*P120,0))</f>
        <v/>
      </c>
      <c r="Q267" s="39">
        <f>Q266*(1-Q119)*(1-IF(16&gt;=Q64,Seasonality!$D$52*Q120,0))</f>
        <v/>
      </c>
      <c r="R267" s="39">
        <f>R266*(1-R119)*(1-IF(16&gt;=R64,Seasonality!$D$52*R120,0))</f>
        <v/>
      </c>
      <c r="S267" s="39">
        <f>S266*(1-S119)*(1-IF(16&gt;=S64,Seasonality!$D$52*S120,0))</f>
        <v/>
      </c>
      <c r="T267" s="39">
        <f>T266*(1-T119)*(1-IF(16&gt;=T64,Seasonality!$D$52*T120,0))</f>
        <v/>
      </c>
      <c r="U267" s="39">
        <f>U266*(1-U119)*(1-IF(16&gt;=U64,Seasonality!$D$52*U120,0))</f>
        <v/>
      </c>
      <c r="V267" s="39">
        <f>V266*(1-V119)*(1-IF(16&gt;=V64,Seasonality!$D$52*V120,0))</f>
        <v/>
      </c>
      <c r="W267" s="39">
        <f>W266*(1-W119)*(1-IF(16&gt;=W64,Seasonality!$D$52*W120,0))</f>
        <v/>
      </c>
      <c r="X267" s="39">
        <f>X266*(1-X119)*(1-IF(16&gt;=X64,Seasonality!$D$52*X120,0))</f>
        <v/>
      </c>
      <c r="Y267" s="39">
        <f>Y266*(1-Y119)*(1-IF(16&gt;=Y64,Seasonality!$D$52*Y120,0))</f>
        <v/>
      </c>
      <c r="Z267" s="39">
        <f>Z266*(1-Z119)*(1-IF(16&gt;=Z64,Seasonality!$D$52*Z120,0))</f>
        <v/>
      </c>
      <c r="AA267" s="39">
        <f>AA266*(1-AA119)*(1-IF(16&gt;=AA64,Seasonality!$D$52*AA120,0))</f>
        <v/>
      </c>
      <c r="AB267" s="39">
        <f>AB266*(1-AB119)*(1-IF(16&gt;=AB64,Seasonality!$D$52*AB120,0))</f>
        <v/>
      </c>
      <c r="AC267" s="39">
        <f>AC266*(1-AC119)*(1-IF(16&gt;=AC64,Seasonality!$D$52*AC120,0))</f>
        <v/>
      </c>
      <c r="AD267" s="39">
        <f>AD266*(1-AD119)*(1-IF(16&gt;=AD64,Seasonality!$D$52*AD120,0))</f>
        <v/>
      </c>
      <c r="AE267" s="39">
        <f>AE266*(1-AE119)*(1-IF(16&gt;=AE64,Seasonality!$D$52*AE120,0))</f>
        <v/>
      </c>
      <c r="AF267" s="39">
        <f>AF266*(1-AF119)*(1-IF(16&gt;=AF64,Seasonality!$D$52*AF120,0))</f>
        <v/>
      </c>
      <c r="AG267" s="39">
        <f>AG266*(1-AG119)*(1-IF(16&gt;=AG64,Seasonality!$D$52*AG120,0))</f>
        <v/>
      </c>
      <c r="AH267" s="39">
        <f>AH266*(1-AH119)*(1-IF(16&gt;=AH64,Seasonality!$D$52*AH120,0))</f>
        <v/>
      </c>
      <c r="AI267" s="39">
        <f>AI266*(1-AI119)*(1-IF(16&gt;=AI64,Seasonality!$D$52*AI120,0))</f>
        <v/>
      </c>
      <c r="AJ267" s="39">
        <f>AJ266*(1-AJ119)*(1-IF(16&gt;=AJ64,Seasonality!$D$52*AJ120,0))</f>
        <v/>
      </c>
      <c r="AK267" s="39">
        <f>AK266*(1-AK119)*(1-IF(16&gt;=AK64,Seasonality!$D$52*AK120,0))</f>
        <v/>
      </c>
      <c r="AL267" s="39">
        <f>AL266*(1-AL119)*(1-IF(16&gt;=AL64,Seasonality!$D$52*AL120,0))</f>
        <v/>
      </c>
      <c r="AM267" s="39">
        <f>AM266*(1-AM119)*(1-IF(16&gt;=AM64,Seasonality!$D$52*AM120,0))</f>
        <v/>
      </c>
      <c r="AN267" s="39">
        <f>AN266*(1-AN119)*(1-IF(16&gt;=AN64,Seasonality!$D$52*AN120,0))</f>
        <v/>
      </c>
      <c r="AO267" s="39">
        <f>AO266*(1-AO119)*(1-IF(16&gt;=AO64,Seasonality!$D$52*AO120,0))</f>
        <v/>
      </c>
      <c r="AP267" s="39">
        <f>AP266*(1-AP119)*(1-IF(16&gt;=AP64,Seasonality!$D$52*AP120,0))</f>
        <v/>
      </c>
      <c r="AQ267" s="39">
        <f>AQ266*(1-AQ119)*(1-IF(16&gt;=AQ64,Seasonality!$D$52*AQ120,0))</f>
        <v/>
      </c>
      <c r="AR267" s="39">
        <f>AR266*(1-AR119)*(1-IF(16&gt;=AR64,Seasonality!$D$52*AR120,0))</f>
        <v/>
      </c>
      <c r="AS267" s="39">
        <f>AS266*(1-AS119)*(1-IF(16&gt;=AS64,Seasonality!$D$52*AS120,0))</f>
        <v/>
      </c>
      <c r="AT267" s="39">
        <f>AT266*(1-AT119)*(1-IF(16&gt;=AT64,Seasonality!$D$52*AT120,0))</f>
        <v/>
      </c>
      <c r="AU267" s="39">
        <f>AU266*(1-AU119)*(1-IF(16&gt;=AU64,Seasonality!$D$52*AU120,0))</f>
        <v/>
      </c>
      <c r="AV267" s="39">
        <f>AV266*(1-AV119)*(1-IF(16&gt;=AV64,Seasonality!$D$52*AV120,0))</f>
        <v/>
      </c>
      <c r="AW267" s="39">
        <f>AW266*(1-AW119)*(1-IF(16&gt;=AW64,Seasonality!$D$52*AW120,0))</f>
        <v/>
      </c>
      <c r="AX267" s="39">
        <f>AX266*(1-AX119)*(1-IF(16&gt;=AX64,Seasonality!$D$52*AX120,0))</f>
        <v/>
      </c>
      <c r="AY267" s="39">
        <f>AY266*(1-AY119)*(1-IF(16&gt;=AY64,Seasonality!$D$52*AY120,0))</f>
        <v/>
      </c>
      <c r="AZ267" s="39">
        <f>AZ266*(1-AZ119)*(1-IF(16&gt;=AZ64,Seasonality!$D$52*AZ120,0))</f>
        <v/>
      </c>
      <c r="BA267" s="39">
        <f>BA266*(1-BA119)*(1-IF(16&gt;=BA64,Seasonality!$D$52*BA120,0))</f>
        <v/>
      </c>
      <c r="BB267" s="39">
        <f>BB266*(1-BB119)*(1-IF(16&gt;=BB64,Seasonality!$D$52*BB120,0))</f>
        <v/>
      </c>
      <c r="BC267" s="39">
        <f>BC266*(1-BC119)*(1-IF(16&gt;=BC64,Seasonality!$D$52*BC120,0))</f>
        <v/>
      </c>
      <c r="BD267" s="39">
        <f>BD266*(1-BD119)*(1-IF(16&gt;=BD64,Seasonality!$D$52*BD120,0))</f>
        <v/>
      </c>
      <c r="BE267" s="39">
        <f>BE266*(1-BE119)*(1-IF(16&gt;=BE64,Seasonality!$D$52*BE120,0))</f>
        <v/>
      </c>
    </row>
    <row r="268">
      <c r="B268" s="7" t="inlineStr">
        <is>
          <t>Share of institutes still paying · month 18</t>
        </is>
      </c>
      <c r="C268" s="5" t="inlineStr">
        <is>
          <t>%</t>
        </is>
      </c>
      <c r="D268" s="39">
        <f>D267*(1-D119)*(1-IF(17&gt;=D64,Seasonality!$D$53*D120,0))</f>
        <v/>
      </c>
      <c r="E268" s="39">
        <f>E267*(1-E119)*(1-IF(17&gt;=E64,Seasonality!$D$53*E120,0))</f>
        <v/>
      </c>
      <c r="F268" s="39">
        <f>F267*(1-F119)*(1-IF(17&gt;=F64,Seasonality!$D$53*F120,0))</f>
        <v/>
      </c>
      <c r="G268" s="39">
        <f>G267*(1-G119)*(1-IF(17&gt;=G64,Seasonality!$D$53*G120,0))</f>
        <v/>
      </c>
      <c r="H268" s="39">
        <f>H267*(1-H119)*(1-IF(17&gt;=H64,Seasonality!$D$53*H120,0))</f>
        <v/>
      </c>
      <c r="I268" s="39">
        <f>I267*(1-I119)*(1-IF(17&gt;=I64,Seasonality!$D$53*I120,0))</f>
        <v/>
      </c>
      <c r="J268" s="39">
        <f>J267*(1-J119)*(1-IF(17&gt;=J64,Seasonality!$D$53*J120,0))</f>
        <v/>
      </c>
      <c r="K268" s="39">
        <f>K267*(1-K119)*(1-IF(17&gt;=K64,Seasonality!$D$53*K120,0))</f>
        <v/>
      </c>
      <c r="L268" s="39">
        <f>L267*(1-L119)*(1-IF(17&gt;=L64,Seasonality!$D$53*L120,0))</f>
        <v/>
      </c>
      <c r="M268" s="39">
        <f>M267*(1-M119)*(1-IF(17&gt;=M64,Seasonality!$D$53*M120,0))</f>
        <v/>
      </c>
      <c r="N268" s="39">
        <f>N267*(1-N119)*(1-IF(17&gt;=N64,Seasonality!$D$53*N120,0))</f>
        <v/>
      </c>
      <c r="O268" s="39">
        <f>O267*(1-O119)*(1-IF(17&gt;=O64,Seasonality!$D$53*O120,0))</f>
        <v/>
      </c>
      <c r="P268" s="39">
        <f>P267*(1-P119)*(1-IF(17&gt;=P64,Seasonality!$D$53*P120,0))</f>
        <v/>
      </c>
      <c r="Q268" s="39">
        <f>Q267*(1-Q119)*(1-IF(17&gt;=Q64,Seasonality!$D$53*Q120,0))</f>
        <v/>
      </c>
      <c r="R268" s="39">
        <f>R267*(1-R119)*(1-IF(17&gt;=R64,Seasonality!$D$53*R120,0))</f>
        <v/>
      </c>
      <c r="S268" s="39">
        <f>S267*(1-S119)*(1-IF(17&gt;=S64,Seasonality!$D$53*S120,0))</f>
        <v/>
      </c>
      <c r="T268" s="39">
        <f>T267*(1-T119)*(1-IF(17&gt;=T64,Seasonality!$D$53*T120,0))</f>
        <v/>
      </c>
      <c r="U268" s="39">
        <f>U267*(1-U119)*(1-IF(17&gt;=U64,Seasonality!$D$53*U120,0))</f>
        <v/>
      </c>
      <c r="V268" s="39">
        <f>V267*(1-V119)*(1-IF(17&gt;=V64,Seasonality!$D$53*V120,0))</f>
        <v/>
      </c>
      <c r="W268" s="39">
        <f>W267*(1-W119)*(1-IF(17&gt;=W64,Seasonality!$D$53*W120,0))</f>
        <v/>
      </c>
      <c r="X268" s="39">
        <f>X267*(1-X119)*(1-IF(17&gt;=X64,Seasonality!$D$53*X120,0))</f>
        <v/>
      </c>
      <c r="Y268" s="39">
        <f>Y267*(1-Y119)*(1-IF(17&gt;=Y64,Seasonality!$D$53*Y120,0))</f>
        <v/>
      </c>
      <c r="Z268" s="39">
        <f>Z267*(1-Z119)*(1-IF(17&gt;=Z64,Seasonality!$D$53*Z120,0))</f>
        <v/>
      </c>
      <c r="AA268" s="39">
        <f>AA267*(1-AA119)*(1-IF(17&gt;=AA64,Seasonality!$D$53*AA120,0))</f>
        <v/>
      </c>
      <c r="AB268" s="39">
        <f>AB267*(1-AB119)*(1-IF(17&gt;=AB64,Seasonality!$D$53*AB120,0))</f>
        <v/>
      </c>
      <c r="AC268" s="39">
        <f>AC267*(1-AC119)*(1-IF(17&gt;=AC64,Seasonality!$D$53*AC120,0))</f>
        <v/>
      </c>
      <c r="AD268" s="39">
        <f>AD267*(1-AD119)*(1-IF(17&gt;=AD64,Seasonality!$D$53*AD120,0))</f>
        <v/>
      </c>
      <c r="AE268" s="39">
        <f>AE267*(1-AE119)*(1-IF(17&gt;=AE64,Seasonality!$D$53*AE120,0))</f>
        <v/>
      </c>
      <c r="AF268" s="39">
        <f>AF267*(1-AF119)*(1-IF(17&gt;=AF64,Seasonality!$D$53*AF120,0))</f>
        <v/>
      </c>
      <c r="AG268" s="39">
        <f>AG267*(1-AG119)*(1-IF(17&gt;=AG64,Seasonality!$D$53*AG120,0))</f>
        <v/>
      </c>
      <c r="AH268" s="39">
        <f>AH267*(1-AH119)*(1-IF(17&gt;=AH64,Seasonality!$D$53*AH120,0))</f>
        <v/>
      </c>
      <c r="AI268" s="39">
        <f>AI267*(1-AI119)*(1-IF(17&gt;=AI64,Seasonality!$D$53*AI120,0))</f>
        <v/>
      </c>
      <c r="AJ268" s="39">
        <f>AJ267*(1-AJ119)*(1-IF(17&gt;=AJ64,Seasonality!$D$53*AJ120,0))</f>
        <v/>
      </c>
      <c r="AK268" s="39">
        <f>AK267*(1-AK119)*(1-IF(17&gt;=AK64,Seasonality!$D$53*AK120,0))</f>
        <v/>
      </c>
      <c r="AL268" s="39">
        <f>AL267*(1-AL119)*(1-IF(17&gt;=AL64,Seasonality!$D$53*AL120,0))</f>
        <v/>
      </c>
      <c r="AM268" s="39">
        <f>AM267*(1-AM119)*(1-IF(17&gt;=AM64,Seasonality!$D$53*AM120,0))</f>
        <v/>
      </c>
      <c r="AN268" s="39">
        <f>AN267*(1-AN119)*(1-IF(17&gt;=AN64,Seasonality!$D$53*AN120,0))</f>
        <v/>
      </c>
      <c r="AO268" s="39">
        <f>AO267*(1-AO119)*(1-IF(17&gt;=AO64,Seasonality!$D$53*AO120,0))</f>
        <v/>
      </c>
      <c r="AP268" s="39">
        <f>AP267*(1-AP119)*(1-IF(17&gt;=AP64,Seasonality!$D$53*AP120,0))</f>
        <v/>
      </c>
      <c r="AQ268" s="39">
        <f>AQ267*(1-AQ119)*(1-IF(17&gt;=AQ64,Seasonality!$D$53*AQ120,0))</f>
        <v/>
      </c>
      <c r="AR268" s="39">
        <f>AR267*(1-AR119)*(1-IF(17&gt;=AR64,Seasonality!$D$53*AR120,0))</f>
        <v/>
      </c>
      <c r="AS268" s="39">
        <f>AS267*(1-AS119)*(1-IF(17&gt;=AS64,Seasonality!$D$53*AS120,0))</f>
        <v/>
      </c>
      <c r="AT268" s="39">
        <f>AT267*(1-AT119)*(1-IF(17&gt;=AT64,Seasonality!$D$53*AT120,0))</f>
        <v/>
      </c>
      <c r="AU268" s="39">
        <f>AU267*(1-AU119)*(1-IF(17&gt;=AU64,Seasonality!$D$53*AU120,0))</f>
        <v/>
      </c>
      <c r="AV268" s="39">
        <f>AV267*(1-AV119)*(1-IF(17&gt;=AV64,Seasonality!$D$53*AV120,0))</f>
        <v/>
      </c>
      <c r="AW268" s="39">
        <f>AW267*(1-AW119)*(1-IF(17&gt;=AW64,Seasonality!$D$53*AW120,0))</f>
        <v/>
      </c>
      <c r="AX268" s="39">
        <f>AX267*(1-AX119)*(1-IF(17&gt;=AX64,Seasonality!$D$53*AX120,0))</f>
        <v/>
      </c>
      <c r="AY268" s="39">
        <f>AY267*(1-AY119)*(1-IF(17&gt;=AY64,Seasonality!$D$53*AY120,0))</f>
        <v/>
      </c>
      <c r="AZ268" s="39">
        <f>AZ267*(1-AZ119)*(1-IF(17&gt;=AZ64,Seasonality!$D$53*AZ120,0))</f>
        <v/>
      </c>
      <c r="BA268" s="39">
        <f>BA267*(1-BA119)*(1-IF(17&gt;=BA64,Seasonality!$D$53*BA120,0))</f>
        <v/>
      </c>
      <c r="BB268" s="39">
        <f>BB267*(1-BB119)*(1-IF(17&gt;=BB64,Seasonality!$D$53*BB120,0))</f>
        <v/>
      </c>
      <c r="BC268" s="39">
        <f>BC267*(1-BC119)*(1-IF(17&gt;=BC64,Seasonality!$D$53*BC120,0))</f>
        <v/>
      </c>
      <c r="BD268" s="39">
        <f>BD267*(1-BD119)*(1-IF(17&gt;=BD64,Seasonality!$D$53*BD120,0))</f>
        <v/>
      </c>
      <c r="BE268" s="39">
        <f>BE267*(1-BE119)*(1-IF(17&gt;=BE64,Seasonality!$D$53*BE120,0))</f>
        <v/>
      </c>
    </row>
    <row r="269">
      <c r="B269" s="7" t="inlineStr">
        <is>
          <t>Share of institutes still paying · month 19</t>
        </is>
      </c>
      <c r="C269" s="5" t="inlineStr">
        <is>
          <t>%</t>
        </is>
      </c>
      <c r="D269" s="39">
        <f>D268*(1-D119)*(1-IF(18&gt;=D64,Seasonality!$D$54*D120,0))</f>
        <v/>
      </c>
      <c r="E269" s="39">
        <f>E268*(1-E119)*(1-IF(18&gt;=E64,Seasonality!$D$54*E120,0))</f>
        <v/>
      </c>
      <c r="F269" s="39">
        <f>F268*(1-F119)*(1-IF(18&gt;=F64,Seasonality!$D$54*F120,0))</f>
        <v/>
      </c>
      <c r="G269" s="39">
        <f>G268*(1-G119)*(1-IF(18&gt;=G64,Seasonality!$D$54*G120,0))</f>
        <v/>
      </c>
      <c r="H269" s="39">
        <f>H268*(1-H119)*(1-IF(18&gt;=H64,Seasonality!$D$54*H120,0))</f>
        <v/>
      </c>
      <c r="I269" s="39">
        <f>I268*(1-I119)*(1-IF(18&gt;=I64,Seasonality!$D$54*I120,0))</f>
        <v/>
      </c>
      <c r="J269" s="39">
        <f>J268*(1-J119)*(1-IF(18&gt;=J64,Seasonality!$D$54*J120,0))</f>
        <v/>
      </c>
      <c r="K269" s="39">
        <f>K268*(1-K119)*(1-IF(18&gt;=K64,Seasonality!$D$54*K120,0))</f>
        <v/>
      </c>
      <c r="L269" s="39">
        <f>L268*(1-L119)*(1-IF(18&gt;=L64,Seasonality!$D$54*L120,0))</f>
        <v/>
      </c>
      <c r="M269" s="39">
        <f>M268*(1-M119)*(1-IF(18&gt;=M64,Seasonality!$D$54*M120,0))</f>
        <v/>
      </c>
      <c r="N269" s="39">
        <f>N268*(1-N119)*(1-IF(18&gt;=N64,Seasonality!$D$54*N120,0))</f>
        <v/>
      </c>
      <c r="O269" s="39">
        <f>O268*(1-O119)*(1-IF(18&gt;=O64,Seasonality!$D$54*O120,0))</f>
        <v/>
      </c>
      <c r="P269" s="39">
        <f>P268*(1-P119)*(1-IF(18&gt;=P64,Seasonality!$D$54*P120,0))</f>
        <v/>
      </c>
      <c r="Q269" s="39">
        <f>Q268*(1-Q119)*(1-IF(18&gt;=Q64,Seasonality!$D$54*Q120,0))</f>
        <v/>
      </c>
      <c r="R269" s="39">
        <f>R268*(1-R119)*(1-IF(18&gt;=R64,Seasonality!$D$54*R120,0))</f>
        <v/>
      </c>
      <c r="S269" s="39">
        <f>S268*(1-S119)*(1-IF(18&gt;=S64,Seasonality!$D$54*S120,0))</f>
        <v/>
      </c>
      <c r="T269" s="39">
        <f>T268*(1-T119)*(1-IF(18&gt;=T64,Seasonality!$D$54*T120,0))</f>
        <v/>
      </c>
      <c r="U269" s="39">
        <f>U268*(1-U119)*(1-IF(18&gt;=U64,Seasonality!$D$54*U120,0))</f>
        <v/>
      </c>
      <c r="V269" s="39">
        <f>V268*(1-V119)*(1-IF(18&gt;=V64,Seasonality!$D$54*V120,0))</f>
        <v/>
      </c>
      <c r="W269" s="39">
        <f>W268*(1-W119)*(1-IF(18&gt;=W64,Seasonality!$D$54*W120,0))</f>
        <v/>
      </c>
      <c r="X269" s="39">
        <f>X268*(1-X119)*(1-IF(18&gt;=X64,Seasonality!$D$54*X120,0))</f>
        <v/>
      </c>
      <c r="Y269" s="39">
        <f>Y268*(1-Y119)*(1-IF(18&gt;=Y64,Seasonality!$D$54*Y120,0))</f>
        <v/>
      </c>
      <c r="Z269" s="39">
        <f>Z268*(1-Z119)*(1-IF(18&gt;=Z64,Seasonality!$D$54*Z120,0))</f>
        <v/>
      </c>
      <c r="AA269" s="39">
        <f>AA268*(1-AA119)*(1-IF(18&gt;=AA64,Seasonality!$D$54*AA120,0))</f>
        <v/>
      </c>
      <c r="AB269" s="39">
        <f>AB268*(1-AB119)*(1-IF(18&gt;=AB64,Seasonality!$D$54*AB120,0))</f>
        <v/>
      </c>
      <c r="AC269" s="39">
        <f>AC268*(1-AC119)*(1-IF(18&gt;=AC64,Seasonality!$D$54*AC120,0))</f>
        <v/>
      </c>
      <c r="AD269" s="39">
        <f>AD268*(1-AD119)*(1-IF(18&gt;=AD64,Seasonality!$D$54*AD120,0))</f>
        <v/>
      </c>
      <c r="AE269" s="39">
        <f>AE268*(1-AE119)*(1-IF(18&gt;=AE64,Seasonality!$D$54*AE120,0))</f>
        <v/>
      </c>
      <c r="AF269" s="39">
        <f>AF268*(1-AF119)*(1-IF(18&gt;=AF64,Seasonality!$D$54*AF120,0))</f>
        <v/>
      </c>
      <c r="AG269" s="39">
        <f>AG268*(1-AG119)*(1-IF(18&gt;=AG64,Seasonality!$D$54*AG120,0))</f>
        <v/>
      </c>
      <c r="AH269" s="39">
        <f>AH268*(1-AH119)*(1-IF(18&gt;=AH64,Seasonality!$D$54*AH120,0))</f>
        <v/>
      </c>
      <c r="AI269" s="39">
        <f>AI268*(1-AI119)*(1-IF(18&gt;=AI64,Seasonality!$D$54*AI120,0))</f>
        <v/>
      </c>
      <c r="AJ269" s="39">
        <f>AJ268*(1-AJ119)*(1-IF(18&gt;=AJ64,Seasonality!$D$54*AJ120,0))</f>
        <v/>
      </c>
      <c r="AK269" s="39">
        <f>AK268*(1-AK119)*(1-IF(18&gt;=AK64,Seasonality!$D$54*AK120,0))</f>
        <v/>
      </c>
      <c r="AL269" s="39">
        <f>AL268*(1-AL119)*(1-IF(18&gt;=AL64,Seasonality!$D$54*AL120,0))</f>
        <v/>
      </c>
      <c r="AM269" s="39">
        <f>AM268*(1-AM119)*(1-IF(18&gt;=AM64,Seasonality!$D$54*AM120,0))</f>
        <v/>
      </c>
      <c r="AN269" s="39">
        <f>AN268*(1-AN119)*(1-IF(18&gt;=AN64,Seasonality!$D$54*AN120,0))</f>
        <v/>
      </c>
      <c r="AO269" s="39">
        <f>AO268*(1-AO119)*(1-IF(18&gt;=AO64,Seasonality!$D$54*AO120,0))</f>
        <v/>
      </c>
      <c r="AP269" s="39">
        <f>AP268*(1-AP119)*(1-IF(18&gt;=AP64,Seasonality!$D$54*AP120,0))</f>
        <v/>
      </c>
      <c r="AQ269" s="39">
        <f>AQ268*(1-AQ119)*(1-IF(18&gt;=AQ64,Seasonality!$D$54*AQ120,0))</f>
        <v/>
      </c>
      <c r="AR269" s="39">
        <f>AR268*(1-AR119)*(1-IF(18&gt;=AR64,Seasonality!$D$54*AR120,0))</f>
        <v/>
      </c>
      <c r="AS269" s="39">
        <f>AS268*(1-AS119)*(1-IF(18&gt;=AS64,Seasonality!$D$54*AS120,0))</f>
        <v/>
      </c>
      <c r="AT269" s="39">
        <f>AT268*(1-AT119)*(1-IF(18&gt;=AT64,Seasonality!$D$54*AT120,0))</f>
        <v/>
      </c>
      <c r="AU269" s="39">
        <f>AU268*(1-AU119)*(1-IF(18&gt;=AU64,Seasonality!$D$54*AU120,0))</f>
        <v/>
      </c>
      <c r="AV269" s="39">
        <f>AV268*(1-AV119)*(1-IF(18&gt;=AV64,Seasonality!$D$54*AV120,0))</f>
        <v/>
      </c>
      <c r="AW269" s="39">
        <f>AW268*(1-AW119)*(1-IF(18&gt;=AW64,Seasonality!$D$54*AW120,0))</f>
        <v/>
      </c>
      <c r="AX269" s="39">
        <f>AX268*(1-AX119)*(1-IF(18&gt;=AX64,Seasonality!$D$54*AX120,0))</f>
        <v/>
      </c>
      <c r="AY269" s="39">
        <f>AY268*(1-AY119)*(1-IF(18&gt;=AY64,Seasonality!$D$54*AY120,0))</f>
        <v/>
      </c>
      <c r="AZ269" s="39">
        <f>AZ268*(1-AZ119)*(1-IF(18&gt;=AZ64,Seasonality!$D$54*AZ120,0))</f>
        <v/>
      </c>
      <c r="BA269" s="39">
        <f>BA268*(1-BA119)*(1-IF(18&gt;=BA64,Seasonality!$D$54*BA120,0))</f>
        <v/>
      </c>
      <c r="BB269" s="39">
        <f>BB268*(1-BB119)*(1-IF(18&gt;=BB64,Seasonality!$D$54*BB120,0))</f>
        <v/>
      </c>
      <c r="BC269" s="39">
        <f>BC268*(1-BC119)*(1-IF(18&gt;=BC64,Seasonality!$D$54*BC120,0))</f>
        <v/>
      </c>
      <c r="BD269" s="39">
        <f>BD268*(1-BD119)*(1-IF(18&gt;=BD64,Seasonality!$D$54*BD120,0))</f>
        <v/>
      </c>
      <c r="BE269" s="39">
        <f>BE268*(1-BE119)*(1-IF(18&gt;=BE64,Seasonality!$D$54*BE120,0))</f>
        <v/>
      </c>
    </row>
    <row r="270">
      <c r="B270" s="7" t="inlineStr">
        <is>
          <t>Share of institutes still paying · month 20</t>
        </is>
      </c>
      <c r="C270" s="5" t="inlineStr">
        <is>
          <t>%</t>
        </is>
      </c>
      <c r="D270" s="39">
        <f>D269*(1-D119)*(1-IF(19&gt;=D64,Seasonality!$D$55*D120,0))</f>
        <v/>
      </c>
      <c r="E270" s="39">
        <f>E269*(1-E119)*(1-IF(19&gt;=E64,Seasonality!$D$55*E120,0))</f>
        <v/>
      </c>
      <c r="F270" s="39">
        <f>F269*(1-F119)*(1-IF(19&gt;=F64,Seasonality!$D$55*F120,0))</f>
        <v/>
      </c>
      <c r="G270" s="39">
        <f>G269*(1-G119)*(1-IF(19&gt;=G64,Seasonality!$D$55*G120,0))</f>
        <v/>
      </c>
      <c r="H270" s="39">
        <f>H269*(1-H119)*(1-IF(19&gt;=H64,Seasonality!$D$55*H120,0))</f>
        <v/>
      </c>
      <c r="I270" s="39">
        <f>I269*(1-I119)*(1-IF(19&gt;=I64,Seasonality!$D$55*I120,0))</f>
        <v/>
      </c>
      <c r="J270" s="39">
        <f>J269*(1-J119)*(1-IF(19&gt;=J64,Seasonality!$D$55*J120,0))</f>
        <v/>
      </c>
      <c r="K270" s="39">
        <f>K269*(1-K119)*(1-IF(19&gt;=K64,Seasonality!$D$55*K120,0))</f>
        <v/>
      </c>
      <c r="L270" s="39">
        <f>L269*(1-L119)*(1-IF(19&gt;=L64,Seasonality!$D$55*L120,0))</f>
        <v/>
      </c>
      <c r="M270" s="39">
        <f>M269*(1-M119)*(1-IF(19&gt;=M64,Seasonality!$D$55*M120,0))</f>
        <v/>
      </c>
      <c r="N270" s="39">
        <f>N269*(1-N119)*(1-IF(19&gt;=N64,Seasonality!$D$55*N120,0))</f>
        <v/>
      </c>
      <c r="O270" s="39">
        <f>O269*(1-O119)*(1-IF(19&gt;=O64,Seasonality!$D$55*O120,0))</f>
        <v/>
      </c>
      <c r="P270" s="39">
        <f>P269*(1-P119)*(1-IF(19&gt;=P64,Seasonality!$D$55*P120,0))</f>
        <v/>
      </c>
      <c r="Q270" s="39">
        <f>Q269*(1-Q119)*(1-IF(19&gt;=Q64,Seasonality!$D$55*Q120,0))</f>
        <v/>
      </c>
      <c r="R270" s="39">
        <f>R269*(1-R119)*(1-IF(19&gt;=R64,Seasonality!$D$55*R120,0))</f>
        <v/>
      </c>
      <c r="S270" s="39">
        <f>S269*(1-S119)*(1-IF(19&gt;=S64,Seasonality!$D$55*S120,0))</f>
        <v/>
      </c>
      <c r="T270" s="39">
        <f>T269*(1-T119)*(1-IF(19&gt;=T64,Seasonality!$D$55*T120,0))</f>
        <v/>
      </c>
      <c r="U270" s="39">
        <f>U269*(1-U119)*(1-IF(19&gt;=U64,Seasonality!$D$55*U120,0))</f>
        <v/>
      </c>
      <c r="V270" s="39">
        <f>V269*(1-V119)*(1-IF(19&gt;=V64,Seasonality!$D$55*V120,0))</f>
        <v/>
      </c>
      <c r="W270" s="39">
        <f>W269*(1-W119)*(1-IF(19&gt;=W64,Seasonality!$D$55*W120,0))</f>
        <v/>
      </c>
      <c r="X270" s="39">
        <f>X269*(1-X119)*(1-IF(19&gt;=X64,Seasonality!$D$55*X120,0))</f>
        <v/>
      </c>
      <c r="Y270" s="39">
        <f>Y269*(1-Y119)*(1-IF(19&gt;=Y64,Seasonality!$D$55*Y120,0))</f>
        <v/>
      </c>
      <c r="Z270" s="39">
        <f>Z269*(1-Z119)*(1-IF(19&gt;=Z64,Seasonality!$D$55*Z120,0))</f>
        <v/>
      </c>
      <c r="AA270" s="39">
        <f>AA269*(1-AA119)*(1-IF(19&gt;=AA64,Seasonality!$D$55*AA120,0))</f>
        <v/>
      </c>
      <c r="AB270" s="39">
        <f>AB269*(1-AB119)*(1-IF(19&gt;=AB64,Seasonality!$D$55*AB120,0))</f>
        <v/>
      </c>
      <c r="AC270" s="39">
        <f>AC269*(1-AC119)*(1-IF(19&gt;=AC64,Seasonality!$D$55*AC120,0))</f>
        <v/>
      </c>
      <c r="AD270" s="39">
        <f>AD269*(1-AD119)*(1-IF(19&gt;=AD64,Seasonality!$D$55*AD120,0))</f>
        <v/>
      </c>
      <c r="AE270" s="39">
        <f>AE269*(1-AE119)*(1-IF(19&gt;=AE64,Seasonality!$D$55*AE120,0))</f>
        <v/>
      </c>
      <c r="AF270" s="39">
        <f>AF269*(1-AF119)*(1-IF(19&gt;=AF64,Seasonality!$D$55*AF120,0))</f>
        <v/>
      </c>
      <c r="AG270" s="39">
        <f>AG269*(1-AG119)*(1-IF(19&gt;=AG64,Seasonality!$D$55*AG120,0))</f>
        <v/>
      </c>
      <c r="AH270" s="39">
        <f>AH269*(1-AH119)*(1-IF(19&gt;=AH64,Seasonality!$D$55*AH120,0))</f>
        <v/>
      </c>
      <c r="AI270" s="39">
        <f>AI269*(1-AI119)*(1-IF(19&gt;=AI64,Seasonality!$D$55*AI120,0))</f>
        <v/>
      </c>
      <c r="AJ270" s="39">
        <f>AJ269*(1-AJ119)*(1-IF(19&gt;=AJ64,Seasonality!$D$55*AJ120,0))</f>
        <v/>
      </c>
      <c r="AK270" s="39">
        <f>AK269*(1-AK119)*(1-IF(19&gt;=AK64,Seasonality!$D$55*AK120,0))</f>
        <v/>
      </c>
      <c r="AL270" s="39">
        <f>AL269*(1-AL119)*(1-IF(19&gt;=AL64,Seasonality!$D$55*AL120,0))</f>
        <v/>
      </c>
      <c r="AM270" s="39">
        <f>AM269*(1-AM119)*(1-IF(19&gt;=AM64,Seasonality!$D$55*AM120,0))</f>
        <v/>
      </c>
      <c r="AN270" s="39">
        <f>AN269*(1-AN119)*(1-IF(19&gt;=AN64,Seasonality!$D$55*AN120,0))</f>
        <v/>
      </c>
      <c r="AO270" s="39">
        <f>AO269*(1-AO119)*(1-IF(19&gt;=AO64,Seasonality!$D$55*AO120,0))</f>
        <v/>
      </c>
      <c r="AP270" s="39">
        <f>AP269*(1-AP119)*(1-IF(19&gt;=AP64,Seasonality!$D$55*AP120,0))</f>
        <v/>
      </c>
      <c r="AQ270" s="39">
        <f>AQ269*(1-AQ119)*(1-IF(19&gt;=AQ64,Seasonality!$D$55*AQ120,0))</f>
        <v/>
      </c>
      <c r="AR270" s="39">
        <f>AR269*(1-AR119)*(1-IF(19&gt;=AR64,Seasonality!$D$55*AR120,0))</f>
        <v/>
      </c>
      <c r="AS270" s="39">
        <f>AS269*(1-AS119)*(1-IF(19&gt;=AS64,Seasonality!$D$55*AS120,0))</f>
        <v/>
      </c>
      <c r="AT270" s="39">
        <f>AT269*(1-AT119)*(1-IF(19&gt;=AT64,Seasonality!$D$55*AT120,0))</f>
        <v/>
      </c>
      <c r="AU270" s="39">
        <f>AU269*(1-AU119)*(1-IF(19&gt;=AU64,Seasonality!$D$55*AU120,0))</f>
        <v/>
      </c>
      <c r="AV270" s="39">
        <f>AV269*(1-AV119)*(1-IF(19&gt;=AV64,Seasonality!$D$55*AV120,0))</f>
        <v/>
      </c>
      <c r="AW270" s="39">
        <f>AW269*(1-AW119)*(1-IF(19&gt;=AW64,Seasonality!$D$55*AW120,0))</f>
        <v/>
      </c>
      <c r="AX270" s="39">
        <f>AX269*(1-AX119)*(1-IF(19&gt;=AX64,Seasonality!$D$55*AX120,0))</f>
        <v/>
      </c>
      <c r="AY270" s="39">
        <f>AY269*(1-AY119)*(1-IF(19&gt;=AY64,Seasonality!$D$55*AY120,0))</f>
        <v/>
      </c>
      <c r="AZ270" s="39">
        <f>AZ269*(1-AZ119)*(1-IF(19&gt;=AZ64,Seasonality!$D$55*AZ120,0))</f>
        <v/>
      </c>
      <c r="BA270" s="39">
        <f>BA269*(1-BA119)*(1-IF(19&gt;=BA64,Seasonality!$D$55*BA120,0))</f>
        <v/>
      </c>
      <c r="BB270" s="39">
        <f>BB269*(1-BB119)*(1-IF(19&gt;=BB64,Seasonality!$D$55*BB120,0))</f>
        <v/>
      </c>
      <c r="BC270" s="39">
        <f>BC269*(1-BC119)*(1-IF(19&gt;=BC64,Seasonality!$D$55*BC120,0))</f>
        <v/>
      </c>
      <c r="BD270" s="39">
        <f>BD269*(1-BD119)*(1-IF(19&gt;=BD64,Seasonality!$D$55*BD120,0))</f>
        <v/>
      </c>
      <c r="BE270" s="39">
        <f>BE269*(1-BE119)*(1-IF(19&gt;=BE64,Seasonality!$D$55*BE120,0))</f>
        <v/>
      </c>
    </row>
    <row r="271">
      <c r="B271" s="7" t="inlineStr">
        <is>
          <t>Share of institutes still paying · month 21</t>
        </is>
      </c>
      <c r="C271" s="5" t="inlineStr">
        <is>
          <t>%</t>
        </is>
      </c>
      <c r="D271" s="39">
        <f>D270*(1-D119)*(1-IF(20&gt;=D64,Seasonality!$D$56*D120,0))</f>
        <v/>
      </c>
      <c r="E271" s="39">
        <f>E270*(1-E119)*(1-IF(20&gt;=E64,Seasonality!$D$56*E120,0))</f>
        <v/>
      </c>
      <c r="F271" s="39">
        <f>F270*(1-F119)*(1-IF(20&gt;=F64,Seasonality!$D$56*F120,0))</f>
        <v/>
      </c>
      <c r="G271" s="39">
        <f>G270*(1-G119)*(1-IF(20&gt;=G64,Seasonality!$D$56*G120,0))</f>
        <v/>
      </c>
      <c r="H271" s="39">
        <f>H270*(1-H119)*(1-IF(20&gt;=H64,Seasonality!$D$56*H120,0))</f>
        <v/>
      </c>
      <c r="I271" s="39">
        <f>I270*(1-I119)*(1-IF(20&gt;=I64,Seasonality!$D$56*I120,0))</f>
        <v/>
      </c>
      <c r="J271" s="39">
        <f>J270*(1-J119)*(1-IF(20&gt;=J64,Seasonality!$D$56*J120,0))</f>
        <v/>
      </c>
      <c r="K271" s="39">
        <f>K270*(1-K119)*(1-IF(20&gt;=K64,Seasonality!$D$56*K120,0))</f>
        <v/>
      </c>
      <c r="L271" s="39">
        <f>L270*(1-L119)*(1-IF(20&gt;=L64,Seasonality!$D$56*L120,0))</f>
        <v/>
      </c>
      <c r="M271" s="39">
        <f>M270*(1-M119)*(1-IF(20&gt;=M64,Seasonality!$D$56*M120,0))</f>
        <v/>
      </c>
      <c r="N271" s="39">
        <f>N270*(1-N119)*(1-IF(20&gt;=N64,Seasonality!$D$56*N120,0))</f>
        <v/>
      </c>
      <c r="O271" s="39">
        <f>O270*(1-O119)*(1-IF(20&gt;=O64,Seasonality!$D$56*O120,0))</f>
        <v/>
      </c>
      <c r="P271" s="39">
        <f>P270*(1-P119)*(1-IF(20&gt;=P64,Seasonality!$D$56*P120,0))</f>
        <v/>
      </c>
      <c r="Q271" s="39">
        <f>Q270*(1-Q119)*(1-IF(20&gt;=Q64,Seasonality!$D$56*Q120,0))</f>
        <v/>
      </c>
      <c r="R271" s="39">
        <f>R270*(1-R119)*(1-IF(20&gt;=R64,Seasonality!$D$56*R120,0))</f>
        <v/>
      </c>
      <c r="S271" s="39">
        <f>S270*(1-S119)*(1-IF(20&gt;=S64,Seasonality!$D$56*S120,0))</f>
        <v/>
      </c>
      <c r="T271" s="39">
        <f>T270*(1-T119)*(1-IF(20&gt;=T64,Seasonality!$D$56*T120,0))</f>
        <v/>
      </c>
      <c r="U271" s="39">
        <f>U270*(1-U119)*(1-IF(20&gt;=U64,Seasonality!$D$56*U120,0))</f>
        <v/>
      </c>
      <c r="V271" s="39">
        <f>V270*(1-V119)*(1-IF(20&gt;=V64,Seasonality!$D$56*V120,0))</f>
        <v/>
      </c>
      <c r="W271" s="39">
        <f>W270*(1-W119)*(1-IF(20&gt;=W64,Seasonality!$D$56*W120,0))</f>
        <v/>
      </c>
      <c r="X271" s="39">
        <f>X270*(1-X119)*(1-IF(20&gt;=X64,Seasonality!$D$56*X120,0))</f>
        <v/>
      </c>
      <c r="Y271" s="39">
        <f>Y270*(1-Y119)*(1-IF(20&gt;=Y64,Seasonality!$D$56*Y120,0))</f>
        <v/>
      </c>
      <c r="Z271" s="39">
        <f>Z270*(1-Z119)*(1-IF(20&gt;=Z64,Seasonality!$D$56*Z120,0))</f>
        <v/>
      </c>
      <c r="AA271" s="39">
        <f>AA270*(1-AA119)*(1-IF(20&gt;=AA64,Seasonality!$D$56*AA120,0))</f>
        <v/>
      </c>
      <c r="AB271" s="39">
        <f>AB270*(1-AB119)*(1-IF(20&gt;=AB64,Seasonality!$D$56*AB120,0))</f>
        <v/>
      </c>
      <c r="AC271" s="39">
        <f>AC270*(1-AC119)*(1-IF(20&gt;=AC64,Seasonality!$D$56*AC120,0))</f>
        <v/>
      </c>
      <c r="AD271" s="39">
        <f>AD270*(1-AD119)*(1-IF(20&gt;=AD64,Seasonality!$D$56*AD120,0))</f>
        <v/>
      </c>
      <c r="AE271" s="39">
        <f>AE270*(1-AE119)*(1-IF(20&gt;=AE64,Seasonality!$D$56*AE120,0))</f>
        <v/>
      </c>
      <c r="AF271" s="39">
        <f>AF270*(1-AF119)*(1-IF(20&gt;=AF64,Seasonality!$D$56*AF120,0))</f>
        <v/>
      </c>
      <c r="AG271" s="39">
        <f>AG270*(1-AG119)*(1-IF(20&gt;=AG64,Seasonality!$D$56*AG120,0))</f>
        <v/>
      </c>
      <c r="AH271" s="39">
        <f>AH270*(1-AH119)*(1-IF(20&gt;=AH64,Seasonality!$D$56*AH120,0))</f>
        <v/>
      </c>
      <c r="AI271" s="39">
        <f>AI270*(1-AI119)*(1-IF(20&gt;=AI64,Seasonality!$D$56*AI120,0))</f>
        <v/>
      </c>
      <c r="AJ271" s="39">
        <f>AJ270*(1-AJ119)*(1-IF(20&gt;=AJ64,Seasonality!$D$56*AJ120,0))</f>
        <v/>
      </c>
      <c r="AK271" s="39">
        <f>AK270*(1-AK119)*(1-IF(20&gt;=AK64,Seasonality!$D$56*AK120,0))</f>
        <v/>
      </c>
      <c r="AL271" s="39">
        <f>AL270*(1-AL119)*(1-IF(20&gt;=AL64,Seasonality!$D$56*AL120,0))</f>
        <v/>
      </c>
      <c r="AM271" s="39">
        <f>AM270*(1-AM119)*(1-IF(20&gt;=AM64,Seasonality!$D$56*AM120,0))</f>
        <v/>
      </c>
      <c r="AN271" s="39">
        <f>AN270*(1-AN119)*(1-IF(20&gt;=AN64,Seasonality!$D$56*AN120,0))</f>
        <v/>
      </c>
      <c r="AO271" s="39">
        <f>AO270*(1-AO119)*(1-IF(20&gt;=AO64,Seasonality!$D$56*AO120,0))</f>
        <v/>
      </c>
      <c r="AP271" s="39">
        <f>AP270*(1-AP119)*(1-IF(20&gt;=AP64,Seasonality!$D$56*AP120,0))</f>
        <v/>
      </c>
      <c r="AQ271" s="39">
        <f>AQ270*(1-AQ119)*(1-IF(20&gt;=AQ64,Seasonality!$D$56*AQ120,0))</f>
        <v/>
      </c>
      <c r="AR271" s="39">
        <f>AR270*(1-AR119)*(1-IF(20&gt;=AR64,Seasonality!$D$56*AR120,0))</f>
        <v/>
      </c>
      <c r="AS271" s="39">
        <f>AS270*(1-AS119)*(1-IF(20&gt;=AS64,Seasonality!$D$56*AS120,0))</f>
        <v/>
      </c>
      <c r="AT271" s="39">
        <f>AT270*(1-AT119)*(1-IF(20&gt;=AT64,Seasonality!$D$56*AT120,0))</f>
        <v/>
      </c>
      <c r="AU271" s="39">
        <f>AU270*(1-AU119)*(1-IF(20&gt;=AU64,Seasonality!$D$56*AU120,0))</f>
        <v/>
      </c>
      <c r="AV271" s="39">
        <f>AV270*(1-AV119)*(1-IF(20&gt;=AV64,Seasonality!$D$56*AV120,0))</f>
        <v/>
      </c>
      <c r="AW271" s="39">
        <f>AW270*(1-AW119)*(1-IF(20&gt;=AW64,Seasonality!$D$56*AW120,0))</f>
        <v/>
      </c>
      <c r="AX271" s="39">
        <f>AX270*(1-AX119)*(1-IF(20&gt;=AX64,Seasonality!$D$56*AX120,0))</f>
        <v/>
      </c>
      <c r="AY271" s="39">
        <f>AY270*(1-AY119)*(1-IF(20&gt;=AY64,Seasonality!$D$56*AY120,0))</f>
        <v/>
      </c>
      <c r="AZ271" s="39">
        <f>AZ270*(1-AZ119)*(1-IF(20&gt;=AZ64,Seasonality!$D$56*AZ120,0))</f>
        <v/>
      </c>
      <c r="BA271" s="39">
        <f>BA270*(1-BA119)*(1-IF(20&gt;=BA64,Seasonality!$D$56*BA120,0))</f>
        <v/>
      </c>
      <c r="BB271" s="39">
        <f>BB270*(1-BB119)*(1-IF(20&gt;=BB64,Seasonality!$D$56*BB120,0))</f>
        <v/>
      </c>
      <c r="BC271" s="39">
        <f>BC270*(1-BC119)*(1-IF(20&gt;=BC64,Seasonality!$D$56*BC120,0))</f>
        <v/>
      </c>
      <c r="BD271" s="39">
        <f>BD270*(1-BD119)*(1-IF(20&gt;=BD64,Seasonality!$D$56*BD120,0))</f>
        <v/>
      </c>
      <c r="BE271" s="39">
        <f>BE270*(1-BE119)*(1-IF(20&gt;=BE64,Seasonality!$D$56*BE120,0))</f>
        <v/>
      </c>
    </row>
    <row r="272">
      <c r="B272" s="7" t="inlineStr">
        <is>
          <t>Share of institutes still paying · month 22</t>
        </is>
      </c>
      <c r="C272" s="5" t="inlineStr">
        <is>
          <t>%</t>
        </is>
      </c>
      <c r="D272" s="39">
        <f>D271*(1-D119)*(1-IF(21&gt;=D64,Seasonality!$D$57*D120,0))</f>
        <v/>
      </c>
      <c r="E272" s="39">
        <f>E271*(1-E119)*(1-IF(21&gt;=E64,Seasonality!$D$57*E120,0))</f>
        <v/>
      </c>
      <c r="F272" s="39">
        <f>F271*(1-F119)*(1-IF(21&gt;=F64,Seasonality!$D$57*F120,0))</f>
        <v/>
      </c>
      <c r="G272" s="39">
        <f>G271*(1-G119)*(1-IF(21&gt;=G64,Seasonality!$D$57*G120,0))</f>
        <v/>
      </c>
      <c r="H272" s="39">
        <f>H271*(1-H119)*(1-IF(21&gt;=H64,Seasonality!$D$57*H120,0))</f>
        <v/>
      </c>
      <c r="I272" s="39">
        <f>I271*(1-I119)*(1-IF(21&gt;=I64,Seasonality!$D$57*I120,0))</f>
        <v/>
      </c>
      <c r="J272" s="39">
        <f>J271*(1-J119)*(1-IF(21&gt;=J64,Seasonality!$D$57*J120,0))</f>
        <v/>
      </c>
      <c r="K272" s="39">
        <f>K271*(1-K119)*(1-IF(21&gt;=K64,Seasonality!$D$57*K120,0))</f>
        <v/>
      </c>
      <c r="L272" s="39">
        <f>L271*(1-L119)*(1-IF(21&gt;=L64,Seasonality!$D$57*L120,0))</f>
        <v/>
      </c>
      <c r="M272" s="39">
        <f>M271*(1-M119)*(1-IF(21&gt;=M64,Seasonality!$D$57*M120,0))</f>
        <v/>
      </c>
      <c r="N272" s="39">
        <f>N271*(1-N119)*(1-IF(21&gt;=N64,Seasonality!$D$57*N120,0))</f>
        <v/>
      </c>
      <c r="O272" s="39">
        <f>O271*(1-O119)*(1-IF(21&gt;=O64,Seasonality!$D$57*O120,0))</f>
        <v/>
      </c>
      <c r="P272" s="39">
        <f>P271*(1-P119)*(1-IF(21&gt;=P64,Seasonality!$D$57*P120,0))</f>
        <v/>
      </c>
      <c r="Q272" s="39">
        <f>Q271*(1-Q119)*(1-IF(21&gt;=Q64,Seasonality!$D$57*Q120,0))</f>
        <v/>
      </c>
      <c r="R272" s="39">
        <f>R271*(1-R119)*(1-IF(21&gt;=R64,Seasonality!$D$57*R120,0))</f>
        <v/>
      </c>
      <c r="S272" s="39">
        <f>S271*(1-S119)*(1-IF(21&gt;=S64,Seasonality!$D$57*S120,0))</f>
        <v/>
      </c>
      <c r="T272" s="39">
        <f>T271*(1-T119)*(1-IF(21&gt;=T64,Seasonality!$D$57*T120,0))</f>
        <v/>
      </c>
      <c r="U272" s="39">
        <f>U271*(1-U119)*(1-IF(21&gt;=U64,Seasonality!$D$57*U120,0))</f>
        <v/>
      </c>
      <c r="V272" s="39">
        <f>V271*(1-V119)*(1-IF(21&gt;=V64,Seasonality!$D$57*V120,0))</f>
        <v/>
      </c>
      <c r="W272" s="39">
        <f>W271*(1-W119)*(1-IF(21&gt;=W64,Seasonality!$D$57*W120,0))</f>
        <v/>
      </c>
      <c r="X272" s="39">
        <f>X271*(1-X119)*(1-IF(21&gt;=X64,Seasonality!$D$57*X120,0))</f>
        <v/>
      </c>
      <c r="Y272" s="39">
        <f>Y271*(1-Y119)*(1-IF(21&gt;=Y64,Seasonality!$D$57*Y120,0))</f>
        <v/>
      </c>
      <c r="Z272" s="39">
        <f>Z271*(1-Z119)*(1-IF(21&gt;=Z64,Seasonality!$D$57*Z120,0))</f>
        <v/>
      </c>
      <c r="AA272" s="39">
        <f>AA271*(1-AA119)*(1-IF(21&gt;=AA64,Seasonality!$D$57*AA120,0))</f>
        <v/>
      </c>
      <c r="AB272" s="39">
        <f>AB271*(1-AB119)*(1-IF(21&gt;=AB64,Seasonality!$D$57*AB120,0))</f>
        <v/>
      </c>
      <c r="AC272" s="39">
        <f>AC271*(1-AC119)*(1-IF(21&gt;=AC64,Seasonality!$D$57*AC120,0))</f>
        <v/>
      </c>
      <c r="AD272" s="39">
        <f>AD271*(1-AD119)*(1-IF(21&gt;=AD64,Seasonality!$D$57*AD120,0))</f>
        <v/>
      </c>
      <c r="AE272" s="39">
        <f>AE271*(1-AE119)*(1-IF(21&gt;=AE64,Seasonality!$D$57*AE120,0))</f>
        <v/>
      </c>
      <c r="AF272" s="39">
        <f>AF271*(1-AF119)*(1-IF(21&gt;=AF64,Seasonality!$D$57*AF120,0))</f>
        <v/>
      </c>
      <c r="AG272" s="39">
        <f>AG271*(1-AG119)*(1-IF(21&gt;=AG64,Seasonality!$D$57*AG120,0))</f>
        <v/>
      </c>
      <c r="AH272" s="39">
        <f>AH271*(1-AH119)*(1-IF(21&gt;=AH64,Seasonality!$D$57*AH120,0))</f>
        <v/>
      </c>
      <c r="AI272" s="39">
        <f>AI271*(1-AI119)*(1-IF(21&gt;=AI64,Seasonality!$D$57*AI120,0))</f>
        <v/>
      </c>
      <c r="AJ272" s="39">
        <f>AJ271*(1-AJ119)*(1-IF(21&gt;=AJ64,Seasonality!$D$57*AJ120,0))</f>
        <v/>
      </c>
      <c r="AK272" s="39">
        <f>AK271*(1-AK119)*(1-IF(21&gt;=AK64,Seasonality!$D$57*AK120,0))</f>
        <v/>
      </c>
      <c r="AL272" s="39">
        <f>AL271*(1-AL119)*(1-IF(21&gt;=AL64,Seasonality!$D$57*AL120,0))</f>
        <v/>
      </c>
      <c r="AM272" s="39">
        <f>AM271*(1-AM119)*(1-IF(21&gt;=AM64,Seasonality!$D$57*AM120,0))</f>
        <v/>
      </c>
      <c r="AN272" s="39">
        <f>AN271*(1-AN119)*(1-IF(21&gt;=AN64,Seasonality!$D$57*AN120,0))</f>
        <v/>
      </c>
      <c r="AO272" s="39">
        <f>AO271*(1-AO119)*(1-IF(21&gt;=AO64,Seasonality!$D$57*AO120,0))</f>
        <v/>
      </c>
      <c r="AP272" s="39">
        <f>AP271*(1-AP119)*(1-IF(21&gt;=AP64,Seasonality!$D$57*AP120,0))</f>
        <v/>
      </c>
      <c r="AQ272" s="39">
        <f>AQ271*(1-AQ119)*(1-IF(21&gt;=AQ64,Seasonality!$D$57*AQ120,0))</f>
        <v/>
      </c>
      <c r="AR272" s="39">
        <f>AR271*(1-AR119)*(1-IF(21&gt;=AR64,Seasonality!$D$57*AR120,0))</f>
        <v/>
      </c>
      <c r="AS272" s="39">
        <f>AS271*(1-AS119)*(1-IF(21&gt;=AS64,Seasonality!$D$57*AS120,0))</f>
        <v/>
      </c>
      <c r="AT272" s="39">
        <f>AT271*(1-AT119)*(1-IF(21&gt;=AT64,Seasonality!$D$57*AT120,0))</f>
        <v/>
      </c>
      <c r="AU272" s="39">
        <f>AU271*(1-AU119)*(1-IF(21&gt;=AU64,Seasonality!$D$57*AU120,0))</f>
        <v/>
      </c>
      <c r="AV272" s="39">
        <f>AV271*(1-AV119)*(1-IF(21&gt;=AV64,Seasonality!$D$57*AV120,0))</f>
        <v/>
      </c>
      <c r="AW272" s="39">
        <f>AW271*(1-AW119)*(1-IF(21&gt;=AW64,Seasonality!$D$57*AW120,0))</f>
        <v/>
      </c>
      <c r="AX272" s="39">
        <f>AX271*(1-AX119)*(1-IF(21&gt;=AX64,Seasonality!$D$57*AX120,0))</f>
        <v/>
      </c>
      <c r="AY272" s="39">
        <f>AY271*(1-AY119)*(1-IF(21&gt;=AY64,Seasonality!$D$57*AY120,0))</f>
        <v/>
      </c>
      <c r="AZ272" s="39">
        <f>AZ271*(1-AZ119)*(1-IF(21&gt;=AZ64,Seasonality!$D$57*AZ120,0))</f>
        <v/>
      </c>
      <c r="BA272" s="39">
        <f>BA271*(1-BA119)*(1-IF(21&gt;=BA64,Seasonality!$D$57*BA120,0))</f>
        <v/>
      </c>
      <c r="BB272" s="39">
        <f>BB271*(1-BB119)*(1-IF(21&gt;=BB64,Seasonality!$D$57*BB120,0))</f>
        <v/>
      </c>
      <c r="BC272" s="39">
        <f>BC271*(1-BC119)*(1-IF(21&gt;=BC64,Seasonality!$D$57*BC120,0))</f>
        <v/>
      </c>
      <c r="BD272" s="39">
        <f>BD271*(1-BD119)*(1-IF(21&gt;=BD64,Seasonality!$D$57*BD120,0))</f>
        <v/>
      </c>
      <c r="BE272" s="39">
        <f>BE271*(1-BE119)*(1-IF(21&gt;=BE64,Seasonality!$D$57*BE120,0))</f>
        <v/>
      </c>
    </row>
    <row r="273">
      <c r="B273" s="7" t="inlineStr">
        <is>
          <t>Share of institutes still paying · month 23</t>
        </is>
      </c>
      <c r="C273" s="5" t="inlineStr">
        <is>
          <t>%</t>
        </is>
      </c>
      <c r="D273" s="39">
        <f>D272*(1-D119)*(1-IF(22&gt;=D64,Seasonality!$D$58*D120,0))</f>
        <v/>
      </c>
      <c r="E273" s="39">
        <f>E272*(1-E119)*(1-IF(22&gt;=E64,Seasonality!$D$58*E120,0))</f>
        <v/>
      </c>
      <c r="F273" s="39">
        <f>F272*(1-F119)*(1-IF(22&gt;=F64,Seasonality!$D$58*F120,0))</f>
        <v/>
      </c>
      <c r="G273" s="39">
        <f>G272*(1-G119)*(1-IF(22&gt;=G64,Seasonality!$D$58*G120,0))</f>
        <v/>
      </c>
      <c r="H273" s="39">
        <f>H272*(1-H119)*(1-IF(22&gt;=H64,Seasonality!$D$58*H120,0))</f>
        <v/>
      </c>
      <c r="I273" s="39">
        <f>I272*(1-I119)*(1-IF(22&gt;=I64,Seasonality!$D$58*I120,0))</f>
        <v/>
      </c>
      <c r="J273" s="39">
        <f>J272*(1-J119)*(1-IF(22&gt;=J64,Seasonality!$D$58*J120,0))</f>
        <v/>
      </c>
      <c r="K273" s="39">
        <f>K272*(1-K119)*(1-IF(22&gt;=K64,Seasonality!$D$58*K120,0))</f>
        <v/>
      </c>
      <c r="L273" s="39">
        <f>L272*(1-L119)*(1-IF(22&gt;=L64,Seasonality!$D$58*L120,0))</f>
        <v/>
      </c>
      <c r="M273" s="39">
        <f>M272*(1-M119)*(1-IF(22&gt;=M64,Seasonality!$D$58*M120,0))</f>
        <v/>
      </c>
      <c r="N273" s="39">
        <f>N272*(1-N119)*(1-IF(22&gt;=N64,Seasonality!$D$58*N120,0))</f>
        <v/>
      </c>
      <c r="O273" s="39">
        <f>O272*(1-O119)*(1-IF(22&gt;=O64,Seasonality!$D$58*O120,0))</f>
        <v/>
      </c>
      <c r="P273" s="39">
        <f>P272*(1-P119)*(1-IF(22&gt;=P64,Seasonality!$D$58*P120,0))</f>
        <v/>
      </c>
      <c r="Q273" s="39">
        <f>Q272*(1-Q119)*(1-IF(22&gt;=Q64,Seasonality!$D$58*Q120,0))</f>
        <v/>
      </c>
      <c r="R273" s="39">
        <f>R272*(1-R119)*(1-IF(22&gt;=R64,Seasonality!$D$58*R120,0))</f>
        <v/>
      </c>
      <c r="S273" s="39">
        <f>S272*(1-S119)*(1-IF(22&gt;=S64,Seasonality!$D$58*S120,0))</f>
        <v/>
      </c>
      <c r="T273" s="39">
        <f>T272*(1-T119)*(1-IF(22&gt;=T64,Seasonality!$D$58*T120,0))</f>
        <v/>
      </c>
      <c r="U273" s="39">
        <f>U272*(1-U119)*(1-IF(22&gt;=U64,Seasonality!$D$58*U120,0))</f>
        <v/>
      </c>
      <c r="V273" s="39">
        <f>V272*(1-V119)*(1-IF(22&gt;=V64,Seasonality!$D$58*V120,0))</f>
        <v/>
      </c>
      <c r="W273" s="39">
        <f>W272*(1-W119)*(1-IF(22&gt;=W64,Seasonality!$D$58*W120,0))</f>
        <v/>
      </c>
      <c r="X273" s="39">
        <f>X272*(1-X119)*(1-IF(22&gt;=X64,Seasonality!$D$58*X120,0))</f>
        <v/>
      </c>
      <c r="Y273" s="39">
        <f>Y272*(1-Y119)*(1-IF(22&gt;=Y64,Seasonality!$D$58*Y120,0))</f>
        <v/>
      </c>
      <c r="Z273" s="39">
        <f>Z272*(1-Z119)*(1-IF(22&gt;=Z64,Seasonality!$D$58*Z120,0))</f>
        <v/>
      </c>
      <c r="AA273" s="39">
        <f>AA272*(1-AA119)*(1-IF(22&gt;=AA64,Seasonality!$D$58*AA120,0))</f>
        <v/>
      </c>
      <c r="AB273" s="39">
        <f>AB272*(1-AB119)*(1-IF(22&gt;=AB64,Seasonality!$D$58*AB120,0))</f>
        <v/>
      </c>
      <c r="AC273" s="39">
        <f>AC272*(1-AC119)*(1-IF(22&gt;=AC64,Seasonality!$D$58*AC120,0))</f>
        <v/>
      </c>
      <c r="AD273" s="39">
        <f>AD272*(1-AD119)*(1-IF(22&gt;=AD64,Seasonality!$D$58*AD120,0))</f>
        <v/>
      </c>
      <c r="AE273" s="39">
        <f>AE272*(1-AE119)*(1-IF(22&gt;=AE64,Seasonality!$D$58*AE120,0))</f>
        <v/>
      </c>
      <c r="AF273" s="39">
        <f>AF272*(1-AF119)*(1-IF(22&gt;=AF64,Seasonality!$D$58*AF120,0))</f>
        <v/>
      </c>
      <c r="AG273" s="39">
        <f>AG272*(1-AG119)*(1-IF(22&gt;=AG64,Seasonality!$D$58*AG120,0))</f>
        <v/>
      </c>
      <c r="AH273" s="39">
        <f>AH272*(1-AH119)*(1-IF(22&gt;=AH64,Seasonality!$D$58*AH120,0))</f>
        <v/>
      </c>
      <c r="AI273" s="39">
        <f>AI272*(1-AI119)*(1-IF(22&gt;=AI64,Seasonality!$D$58*AI120,0))</f>
        <v/>
      </c>
      <c r="AJ273" s="39">
        <f>AJ272*(1-AJ119)*(1-IF(22&gt;=AJ64,Seasonality!$D$58*AJ120,0))</f>
        <v/>
      </c>
      <c r="AK273" s="39">
        <f>AK272*(1-AK119)*(1-IF(22&gt;=AK64,Seasonality!$D$58*AK120,0))</f>
        <v/>
      </c>
      <c r="AL273" s="39">
        <f>AL272*(1-AL119)*(1-IF(22&gt;=AL64,Seasonality!$D$58*AL120,0))</f>
        <v/>
      </c>
      <c r="AM273" s="39">
        <f>AM272*(1-AM119)*(1-IF(22&gt;=AM64,Seasonality!$D$58*AM120,0))</f>
        <v/>
      </c>
      <c r="AN273" s="39">
        <f>AN272*(1-AN119)*(1-IF(22&gt;=AN64,Seasonality!$D$58*AN120,0))</f>
        <v/>
      </c>
      <c r="AO273" s="39">
        <f>AO272*(1-AO119)*(1-IF(22&gt;=AO64,Seasonality!$D$58*AO120,0))</f>
        <v/>
      </c>
      <c r="AP273" s="39">
        <f>AP272*(1-AP119)*(1-IF(22&gt;=AP64,Seasonality!$D$58*AP120,0))</f>
        <v/>
      </c>
      <c r="AQ273" s="39">
        <f>AQ272*(1-AQ119)*(1-IF(22&gt;=AQ64,Seasonality!$D$58*AQ120,0))</f>
        <v/>
      </c>
      <c r="AR273" s="39">
        <f>AR272*(1-AR119)*(1-IF(22&gt;=AR64,Seasonality!$D$58*AR120,0))</f>
        <v/>
      </c>
      <c r="AS273" s="39">
        <f>AS272*(1-AS119)*(1-IF(22&gt;=AS64,Seasonality!$D$58*AS120,0))</f>
        <v/>
      </c>
      <c r="AT273" s="39">
        <f>AT272*(1-AT119)*(1-IF(22&gt;=AT64,Seasonality!$D$58*AT120,0))</f>
        <v/>
      </c>
      <c r="AU273" s="39">
        <f>AU272*(1-AU119)*(1-IF(22&gt;=AU64,Seasonality!$D$58*AU120,0))</f>
        <v/>
      </c>
      <c r="AV273" s="39">
        <f>AV272*(1-AV119)*(1-IF(22&gt;=AV64,Seasonality!$D$58*AV120,0))</f>
        <v/>
      </c>
      <c r="AW273" s="39">
        <f>AW272*(1-AW119)*(1-IF(22&gt;=AW64,Seasonality!$D$58*AW120,0))</f>
        <v/>
      </c>
      <c r="AX273" s="39">
        <f>AX272*(1-AX119)*(1-IF(22&gt;=AX64,Seasonality!$D$58*AX120,0))</f>
        <v/>
      </c>
      <c r="AY273" s="39">
        <f>AY272*(1-AY119)*(1-IF(22&gt;=AY64,Seasonality!$D$58*AY120,0))</f>
        <v/>
      </c>
      <c r="AZ273" s="39">
        <f>AZ272*(1-AZ119)*(1-IF(22&gt;=AZ64,Seasonality!$D$58*AZ120,0))</f>
        <v/>
      </c>
      <c r="BA273" s="39">
        <f>BA272*(1-BA119)*(1-IF(22&gt;=BA64,Seasonality!$D$58*BA120,0))</f>
        <v/>
      </c>
      <c r="BB273" s="39">
        <f>BB272*(1-BB119)*(1-IF(22&gt;=BB64,Seasonality!$D$58*BB120,0))</f>
        <v/>
      </c>
      <c r="BC273" s="39">
        <f>BC272*(1-BC119)*(1-IF(22&gt;=BC64,Seasonality!$D$58*BC120,0))</f>
        <v/>
      </c>
      <c r="BD273" s="39">
        <f>BD272*(1-BD119)*(1-IF(22&gt;=BD64,Seasonality!$D$58*BD120,0))</f>
        <v/>
      </c>
      <c r="BE273" s="39">
        <f>BE272*(1-BE119)*(1-IF(22&gt;=BE64,Seasonality!$D$58*BE120,0))</f>
        <v/>
      </c>
    </row>
    <row r="274">
      <c r="B274" s="7" t="inlineStr">
        <is>
          <t>Share of institutes still paying · month 24</t>
        </is>
      </c>
      <c r="C274" s="5" t="inlineStr">
        <is>
          <t>%</t>
        </is>
      </c>
      <c r="D274" s="39">
        <f>D273*(1-D119)*(1-IF(23&gt;=D64,Seasonality!$D$59*D120,0))</f>
        <v/>
      </c>
      <c r="E274" s="39">
        <f>E273*(1-E119)*(1-IF(23&gt;=E64,Seasonality!$D$59*E120,0))</f>
        <v/>
      </c>
      <c r="F274" s="39">
        <f>F273*(1-F119)*(1-IF(23&gt;=F64,Seasonality!$D$59*F120,0))</f>
        <v/>
      </c>
      <c r="G274" s="39">
        <f>G273*(1-G119)*(1-IF(23&gt;=G64,Seasonality!$D$59*G120,0))</f>
        <v/>
      </c>
      <c r="H274" s="39">
        <f>H273*(1-H119)*(1-IF(23&gt;=H64,Seasonality!$D$59*H120,0))</f>
        <v/>
      </c>
      <c r="I274" s="39">
        <f>I273*(1-I119)*(1-IF(23&gt;=I64,Seasonality!$D$59*I120,0))</f>
        <v/>
      </c>
      <c r="J274" s="39">
        <f>J273*(1-J119)*(1-IF(23&gt;=J64,Seasonality!$D$59*J120,0))</f>
        <v/>
      </c>
      <c r="K274" s="39">
        <f>K273*(1-K119)*(1-IF(23&gt;=K64,Seasonality!$D$59*K120,0))</f>
        <v/>
      </c>
      <c r="L274" s="39">
        <f>L273*(1-L119)*(1-IF(23&gt;=L64,Seasonality!$D$59*L120,0))</f>
        <v/>
      </c>
      <c r="M274" s="39">
        <f>M273*(1-M119)*(1-IF(23&gt;=M64,Seasonality!$D$59*M120,0))</f>
        <v/>
      </c>
      <c r="N274" s="39">
        <f>N273*(1-N119)*(1-IF(23&gt;=N64,Seasonality!$D$59*N120,0))</f>
        <v/>
      </c>
      <c r="O274" s="39">
        <f>O273*(1-O119)*(1-IF(23&gt;=O64,Seasonality!$D$59*O120,0))</f>
        <v/>
      </c>
      <c r="P274" s="39">
        <f>P273*(1-P119)*(1-IF(23&gt;=P64,Seasonality!$D$59*P120,0))</f>
        <v/>
      </c>
      <c r="Q274" s="39">
        <f>Q273*(1-Q119)*(1-IF(23&gt;=Q64,Seasonality!$D$59*Q120,0))</f>
        <v/>
      </c>
      <c r="R274" s="39">
        <f>R273*(1-R119)*(1-IF(23&gt;=R64,Seasonality!$D$59*R120,0))</f>
        <v/>
      </c>
      <c r="S274" s="39">
        <f>S273*(1-S119)*(1-IF(23&gt;=S64,Seasonality!$D$59*S120,0))</f>
        <v/>
      </c>
      <c r="T274" s="39">
        <f>T273*(1-T119)*(1-IF(23&gt;=T64,Seasonality!$D$59*T120,0))</f>
        <v/>
      </c>
      <c r="U274" s="39">
        <f>U273*(1-U119)*(1-IF(23&gt;=U64,Seasonality!$D$59*U120,0))</f>
        <v/>
      </c>
      <c r="V274" s="39">
        <f>V273*(1-V119)*(1-IF(23&gt;=V64,Seasonality!$D$59*V120,0))</f>
        <v/>
      </c>
      <c r="W274" s="39">
        <f>W273*(1-W119)*(1-IF(23&gt;=W64,Seasonality!$D$59*W120,0))</f>
        <v/>
      </c>
      <c r="X274" s="39">
        <f>X273*(1-X119)*(1-IF(23&gt;=X64,Seasonality!$D$59*X120,0))</f>
        <v/>
      </c>
      <c r="Y274" s="39">
        <f>Y273*(1-Y119)*(1-IF(23&gt;=Y64,Seasonality!$D$59*Y120,0))</f>
        <v/>
      </c>
      <c r="Z274" s="39">
        <f>Z273*(1-Z119)*(1-IF(23&gt;=Z64,Seasonality!$D$59*Z120,0))</f>
        <v/>
      </c>
      <c r="AA274" s="39">
        <f>AA273*(1-AA119)*(1-IF(23&gt;=AA64,Seasonality!$D$59*AA120,0))</f>
        <v/>
      </c>
      <c r="AB274" s="39">
        <f>AB273*(1-AB119)*(1-IF(23&gt;=AB64,Seasonality!$D$59*AB120,0))</f>
        <v/>
      </c>
      <c r="AC274" s="39">
        <f>AC273*(1-AC119)*(1-IF(23&gt;=AC64,Seasonality!$D$59*AC120,0))</f>
        <v/>
      </c>
      <c r="AD274" s="39">
        <f>AD273*(1-AD119)*(1-IF(23&gt;=AD64,Seasonality!$D$59*AD120,0))</f>
        <v/>
      </c>
      <c r="AE274" s="39">
        <f>AE273*(1-AE119)*(1-IF(23&gt;=AE64,Seasonality!$D$59*AE120,0))</f>
        <v/>
      </c>
      <c r="AF274" s="39">
        <f>AF273*(1-AF119)*(1-IF(23&gt;=AF64,Seasonality!$D$59*AF120,0))</f>
        <v/>
      </c>
      <c r="AG274" s="39">
        <f>AG273*(1-AG119)*(1-IF(23&gt;=AG64,Seasonality!$D$59*AG120,0))</f>
        <v/>
      </c>
      <c r="AH274" s="39">
        <f>AH273*(1-AH119)*(1-IF(23&gt;=AH64,Seasonality!$D$59*AH120,0))</f>
        <v/>
      </c>
      <c r="AI274" s="39">
        <f>AI273*(1-AI119)*(1-IF(23&gt;=AI64,Seasonality!$D$59*AI120,0))</f>
        <v/>
      </c>
      <c r="AJ274" s="39">
        <f>AJ273*(1-AJ119)*(1-IF(23&gt;=AJ64,Seasonality!$D$59*AJ120,0))</f>
        <v/>
      </c>
      <c r="AK274" s="39">
        <f>AK273*(1-AK119)*(1-IF(23&gt;=AK64,Seasonality!$D$59*AK120,0))</f>
        <v/>
      </c>
      <c r="AL274" s="39">
        <f>AL273*(1-AL119)*(1-IF(23&gt;=AL64,Seasonality!$D$59*AL120,0))</f>
        <v/>
      </c>
      <c r="AM274" s="39">
        <f>AM273*(1-AM119)*(1-IF(23&gt;=AM64,Seasonality!$D$59*AM120,0))</f>
        <v/>
      </c>
      <c r="AN274" s="39">
        <f>AN273*(1-AN119)*(1-IF(23&gt;=AN64,Seasonality!$D$59*AN120,0))</f>
        <v/>
      </c>
      <c r="AO274" s="39">
        <f>AO273*(1-AO119)*(1-IF(23&gt;=AO64,Seasonality!$D$59*AO120,0))</f>
        <v/>
      </c>
      <c r="AP274" s="39">
        <f>AP273*(1-AP119)*(1-IF(23&gt;=AP64,Seasonality!$D$59*AP120,0))</f>
        <v/>
      </c>
      <c r="AQ274" s="39">
        <f>AQ273*(1-AQ119)*(1-IF(23&gt;=AQ64,Seasonality!$D$59*AQ120,0))</f>
        <v/>
      </c>
      <c r="AR274" s="39">
        <f>AR273*(1-AR119)*(1-IF(23&gt;=AR64,Seasonality!$D$59*AR120,0))</f>
        <v/>
      </c>
      <c r="AS274" s="39">
        <f>AS273*(1-AS119)*(1-IF(23&gt;=AS64,Seasonality!$D$59*AS120,0))</f>
        <v/>
      </c>
      <c r="AT274" s="39">
        <f>AT273*(1-AT119)*(1-IF(23&gt;=AT64,Seasonality!$D$59*AT120,0))</f>
        <v/>
      </c>
      <c r="AU274" s="39">
        <f>AU273*(1-AU119)*(1-IF(23&gt;=AU64,Seasonality!$D$59*AU120,0))</f>
        <v/>
      </c>
      <c r="AV274" s="39">
        <f>AV273*(1-AV119)*(1-IF(23&gt;=AV64,Seasonality!$D$59*AV120,0))</f>
        <v/>
      </c>
      <c r="AW274" s="39">
        <f>AW273*(1-AW119)*(1-IF(23&gt;=AW64,Seasonality!$D$59*AW120,0))</f>
        <v/>
      </c>
      <c r="AX274" s="39">
        <f>AX273*(1-AX119)*(1-IF(23&gt;=AX64,Seasonality!$D$59*AX120,0))</f>
        <v/>
      </c>
      <c r="AY274" s="39">
        <f>AY273*(1-AY119)*(1-IF(23&gt;=AY64,Seasonality!$D$59*AY120,0))</f>
        <v/>
      </c>
      <c r="AZ274" s="39">
        <f>AZ273*(1-AZ119)*(1-IF(23&gt;=AZ64,Seasonality!$D$59*AZ120,0))</f>
        <v/>
      </c>
      <c r="BA274" s="39">
        <f>BA273*(1-BA119)*(1-IF(23&gt;=BA64,Seasonality!$D$59*BA120,0))</f>
        <v/>
      </c>
      <c r="BB274" s="39">
        <f>BB273*(1-BB119)*(1-IF(23&gt;=BB64,Seasonality!$D$59*BB120,0))</f>
        <v/>
      </c>
      <c r="BC274" s="39">
        <f>BC273*(1-BC119)*(1-IF(23&gt;=BC64,Seasonality!$D$59*BC120,0))</f>
        <v/>
      </c>
      <c r="BD274" s="39">
        <f>BD273*(1-BD119)*(1-IF(23&gt;=BD64,Seasonality!$D$59*BD120,0))</f>
        <v/>
      </c>
      <c r="BE274" s="39">
        <f>BE273*(1-BE119)*(1-IF(23&gt;=BE64,Seasonality!$D$59*BE120,0))</f>
        <v/>
      </c>
    </row>
    <row r="275">
      <c r="B275" s="7" t="inlineStr">
        <is>
          <t>Share of institutes still paying · month 25</t>
        </is>
      </c>
      <c r="C275" s="5" t="inlineStr">
        <is>
          <t>%</t>
        </is>
      </c>
      <c r="D275" s="39">
        <f>D274*(1-D119)*(1-IF(24&gt;=D64,Seasonality!$D$60*D120,0))</f>
        <v/>
      </c>
      <c r="E275" s="39">
        <f>E274*(1-E119)*(1-IF(24&gt;=E64,Seasonality!$D$60*E120,0))</f>
        <v/>
      </c>
      <c r="F275" s="39">
        <f>F274*(1-F119)*(1-IF(24&gt;=F64,Seasonality!$D$60*F120,0))</f>
        <v/>
      </c>
      <c r="G275" s="39">
        <f>G274*(1-G119)*(1-IF(24&gt;=G64,Seasonality!$D$60*G120,0))</f>
        <v/>
      </c>
      <c r="H275" s="39">
        <f>H274*(1-H119)*(1-IF(24&gt;=H64,Seasonality!$D$60*H120,0))</f>
        <v/>
      </c>
      <c r="I275" s="39">
        <f>I274*(1-I119)*(1-IF(24&gt;=I64,Seasonality!$D$60*I120,0))</f>
        <v/>
      </c>
      <c r="J275" s="39">
        <f>J274*(1-J119)*(1-IF(24&gt;=J64,Seasonality!$D$60*J120,0))</f>
        <v/>
      </c>
      <c r="K275" s="39">
        <f>K274*(1-K119)*(1-IF(24&gt;=K64,Seasonality!$D$60*K120,0))</f>
        <v/>
      </c>
      <c r="L275" s="39">
        <f>L274*(1-L119)*(1-IF(24&gt;=L64,Seasonality!$D$60*L120,0))</f>
        <v/>
      </c>
      <c r="M275" s="39">
        <f>M274*(1-M119)*(1-IF(24&gt;=M64,Seasonality!$D$60*M120,0))</f>
        <v/>
      </c>
      <c r="N275" s="39">
        <f>N274*(1-N119)*(1-IF(24&gt;=N64,Seasonality!$D$60*N120,0))</f>
        <v/>
      </c>
      <c r="O275" s="39">
        <f>O274*(1-O119)*(1-IF(24&gt;=O64,Seasonality!$D$60*O120,0))</f>
        <v/>
      </c>
      <c r="P275" s="39">
        <f>P274*(1-P119)*(1-IF(24&gt;=P64,Seasonality!$D$60*P120,0))</f>
        <v/>
      </c>
      <c r="Q275" s="39">
        <f>Q274*(1-Q119)*(1-IF(24&gt;=Q64,Seasonality!$D$60*Q120,0))</f>
        <v/>
      </c>
      <c r="R275" s="39">
        <f>R274*(1-R119)*(1-IF(24&gt;=R64,Seasonality!$D$60*R120,0))</f>
        <v/>
      </c>
      <c r="S275" s="39">
        <f>S274*(1-S119)*(1-IF(24&gt;=S64,Seasonality!$D$60*S120,0))</f>
        <v/>
      </c>
      <c r="T275" s="39">
        <f>T274*(1-T119)*(1-IF(24&gt;=T64,Seasonality!$D$60*T120,0))</f>
        <v/>
      </c>
      <c r="U275" s="39">
        <f>U274*(1-U119)*(1-IF(24&gt;=U64,Seasonality!$D$60*U120,0))</f>
        <v/>
      </c>
      <c r="V275" s="39">
        <f>V274*(1-V119)*(1-IF(24&gt;=V64,Seasonality!$D$60*V120,0))</f>
        <v/>
      </c>
      <c r="W275" s="39">
        <f>W274*(1-W119)*(1-IF(24&gt;=W64,Seasonality!$D$60*W120,0))</f>
        <v/>
      </c>
      <c r="X275" s="39">
        <f>X274*(1-X119)*(1-IF(24&gt;=X64,Seasonality!$D$60*X120,0))</f>
        <v/>
      </c>
      <c r="Y275" s="39">
        <f>Y274*(1-Y119)*(1-IF(24&gt;=Y64,Seasonality!$D$60*Y120,0))</f>
        <v/>
      </c>
      <c r="Z275" s="39">
        <f>Z274*(1-Z119)*(1-IF(24&gt;=Z64,Seasonality!$D$60*Z120,0))</f>
        <v/>
      </c>
      <c r="AA275" s="39">
        <f>AA274*(1-AA119)*(1-IF(24&gt;=AA64,Seasonality!$D$60*AA120,0))</f>
        <v/>
      </c>
      <c r="AB275" s="39">
        <f>AB274*(1-AB119)*(1-IF(24&gt;=AB64,Seasonality!$D$60*AB120,0))</f>
        <v/>
      </c>
      <c r="AC275" s="39">
        <f>AC274*(1-AC119)*(1-IF(24&gt;=AC64,Seasonality!$D$60*AC120,0))</f>
        <v/>
      </c>
      <c r="AD275" s="39">
        <f>AD274*(1-AD119)*(1-IF(24&gt;=AD64,Seasonality!$D$60*AD120,0))</f>
        <v/>
      </c>
      <c r="AE275" s="39">
        <f>AE274*(1-AE119)*(1-IF(24&gt;=AE64,Seasonality!$D$60*AE120,0))</f>
        <v/>
      </c>
      <c r="AF275" s="39">
        <f>AF274*(1-AF119)*(1-IF(24&gt;=AF64,Seasonality!$D$60*AF120,0))</f>
        <v/>
      </c>
      <c r="AG275" s="39">
        <f>AG274*(1-AG119)*(1-IF(24&gt;=AG64,Seasonality!$D$60*AG120,0))</f>
        <v/>
      </c>
      <c r="AH275" s="39">
        <f>AH274*(1-AH119)*(1-IF(24&gt;=AH64,Seasonality!$D$60*AH120,0))</f>
        <v/>
      </c>
      <c r="AI275" s="39">
        <f>AI274*(1-AI119)*(1-IF(24&gt;=AI64,Seasonality!$D$60*AI120,0))</f>
        <v/>
      </c>
      <c r="AJ275" s="39">
        <f>AJ274*(1-AJ119)*(1-IF(24&gt;=AJ64,Seasonality!$D$60*AJ120,0))</f>
        <v/>
      </c>
      <c r="AK275" s="39">
        <f>AK274*(1-AK119)*(1-IF(24&gt;=AK64,Seasonality!$D$60*AK120,0))</f>
        <v/>
      </c>
      <c r="AL275" s="39">
        <f>AL274*(1-AL119)*(1-IF(24&gt;=AL64,Seasonality!$D$60*AL120,0))</f>
        <v/>
      </c>
      <c r="AM275" s="39">
        <f>AM274*(1-AM119)*(1-IF(24&gt;=AM64,Seasonality!$D$60*AM120,0))</f>
        <v/>
      </c>
      <c r="AN275" s="39">
        <f>AN274*(1-AN119)*(1-IF(24&gt;=AN64,Seasonality!$D$60*AN120,0))</f>
        <v/>
      </c>
      <c r="AO275" s="39">
        <f>AO274*(1-AO119)*(1-IF(24&gt;=AO64,Seasonality!$D$60*AO120,0))</f>
        <v/>
      </c>
      <c r="AP275" s="39">
        <f>AP274*(1-AP119)*(1-IF(24&gt;=AP64,Seasonality!$D$60*AP120,0))</f>
        <v/>
      </c>
      <c r="AQ275" s="39">
        <f>AQ274*(1-AQ119)*(1-IF(24&gt;=AQ64,Seasonality!$D$60*AQ120,0))</f>
        <v/>
      </c>
      <c r="AR275" s="39">
        <f>AR274*(1-AR119)*(1-IF(24&gt;=AR64,Seasonality!$D$60*AR120,0))</f>
        <v/>
      </c>
      <c r="AS275" s="39">
        <f>AS274*(1-AS119)*(1-IF(24&gt;=AS64,Seasonality!$D$60*AS120,0))</f>
        <v/>
      </c>
      <c r="AT275" s="39">
        <f>AT274*(1-AT119)*(1-IF(24&gt;=AT64,Seasonality!$D$60*AT120,0))</f>
        <v/>
      </c>
      <c r="AU275" s="39">
        <f>AU274*(1-AU119)*(1-IF(24&gt;=AU64,Seasonality!$D$60*AU120,0))</f>
        <v/>
      </c>
      <c r="AV275" s="39">
        <f>AV274*(1-AV119)*(1-IF(24&gt;=AV64,Seasonality!$D$60*AV120,0))</f>
        <v/>
      </c>
      <c r="AW275" s="39">
        <f>AW274*(1-AW119)*(1-IF(24&gt;=AW64,Seasonality!$D$60*AW120,0))</f>
        <v/>
      </c>
      <c r="AX275" s="39">
        <f>AX274*(1-AX119)*(1-IF(24&gt;=AX64,Seasonality!$D$60*AX120,0))</f>
        <v/>
      </c>
      <c r="AY275" s="39">
        <f>AY274*(1-AY119)*(1-IF(24&gt;=AY64,Seasonality!$D$60*AY120,0))</f>
        <v/>
      </c>
      <c r="AZ275" s="39">
        <f>AZ274*(1-AZ119)*(1-IF(24&gt;=AZ64,Seasonality!$D$60*AZ120,0))</f>
        <v/>
      </c>
      <c r="BA275" s="39">
        <f>BA274*(1-BA119)*(1-IF(24&gt;=BA64,Seasonality!$D$60*BA120,0))</f>
        <v/>
      </c>
      <c r="BB275" s="39">
        <f>BB274*(1-BB119)*(1-IF(24&gt;=BB64,Seasonality!$D$60*BB120,0))</f>
        <v/>
      </c>
      <c r="BC275" s="39">
        <f>BC274*(1-BC119)*(1-IF(24&gt;=BC64,Seasonality!$D$60*BC120,0))</f>
        <v/>
      </c>
      <c r="BD275" s="39">
        <f>BD274*(1-BD119)*(1-IF(24&gt;=BD64,Seasonality!$D$60*BD120,0))</f>
        <v/>
      </c>
      <c r="BE275" s="39">
        <f>BE274*(1-BE119)*(1-IF(24&gt;=BE64,Seasonality!$D$60*BE120,0))</f>
        <v/>
      </c>
    </row>
    <row r="276">
      <c r="B276" s="7" t="inlineStr">
        <is>
          <t>Share of institutes still paying · month 26</t>
        </is>
      </c>
      <c r="C276" s="5" t="inlineStr">
        <is>
          <t>%</t>
        </is>
      </c>
      <c r="D276" s="39">
        <f>D275*(1-D119)*(1-IF(25&gt;=D64,Seasonality!$D$61*D120,0))</f>
        <v/>
      </c>
      <c r="E276" s="39">
        <f>E275*(1-E119)*(1-IF(25&gt;=E64,Seasonality!$D$61*E120,0))</f>
        <v/>
      </c>
      <c r="F276" s="39">
        <f>F275*(1-F119)*(1-IF(25&gt;=F64,Seasonality!$D$61*F120,0))</f>
        <v/>
      </c>
      <c r="G276" s="39">
        <f>G275*(1-G119)*(1-IF(25&gt;=G64,Seasonality!$D$61*G120,0))</f>
        <v/>
      </c>
      <c r="H276" s="39">
        <f>H275*(1-H119)*(1-IF(25&gt;=H64,Seasonality!$D$61*H120,0))</f>
        <v/>
      </c>
      <c r="I276" s="39">
        <f>I275*(1-I119)*(1-IF(25&gt;=I64,Seasonality!$D$61*I120,0))</f>
        <v/>
      </c>
      <c r="J276" s="39">
        <f>J275*(1-J119)*(1-IF(25&gt;=J64,Seasonality!$D$61*J120,0))</f>
        <v/>
      </c>
      <c r="K276" s="39">
        <f>K275*(1-K119)*(1-IF(25&gt;=K64,Seasonality!$D$61*K120,0))</f>
        <v/>
      </c>
      <c r="L276" s="39">
        <f>L275*(1-L119)*(1-IF(25&gt;=L64,Seasonality!$D$61*L120,0))</f>
        <v/>
      </c>
      <c r="M276" s="39">
        <f>M275*(1-M119)*(1-IF(25&gt;=M64,Seasonality!$D$61*M120,0))</f>
        <v/>
      </c>
      <c r="N276" s="39">
        <f>N275*(1-N119)*(1-IF(25&gt;=N64,Seasonality!$D$61*N120,0))</f>
        <v/>
      </c>
      <c r="O276" s="39">
        <f>O275*(1-O119)*(1-IF(25&gt;=O64,Seasonality!$D$61*O120,0))</f>
        <v/>
      </c>
      <c r="P276" s="39">
        <f>P275*(1-P119)*(1-IF(25&gt;=P64,Seasonality!$D$61*P120,0))</f>
        <v/>
      </c>
      <c r="Q276" s="39">
        <f>Q275*(1-Q119)*(1-IF(25&gt;=Q64,Seasonality!$D$61*Q120,0))</f>
        <v/>
      </c>
      <c r="R276" s="39">
        <f>R275*(1-R119)*(1-IF(25&gt;=R64,Seasonality!$D$61*R120,0))</f>
        <v/>
      </c>
      <c r="S276" s="39">
        <f>S275*(1-S119)*(1-IF(25&gt;=S64,Seasonality!$D$61*S120,0))</f>
        <v/>
      </c>
      <c r="T276" s="39">
        <f>T275*(1-T119)*(1-IF(25&gt;=T64,Seasonality!$D$61*T120,0))</f>
        <v/>
      </c>
      <c r="U276" s="39">
        <f>U275*(1-U119)*(1-IF(25&gt;=U64,Seasonality!$D$61*U120,0))</f>
        <v/>
      </c>
      <c r="V276" s="39">
        <f>V275*(1-V119)*(1-IF(25&gt;=V64,Seasonality!$D$61*V120,0))</f>
        <v/>
      </c>
      <c r="W276" s="39">
        <f>W275*(1-W119)*(1-IF(25&gt;=W64,Seasonality!$D$61*W120,0))</f>
        <v/>
      </c>
      <c r="X276" s="39">
        <f>X275*(1-X119)*(1-IF(25&gt;=X64,Seasonality!$D$61*X120,0))</f>
        <v/>
      </c>
      <c r="Y276" s="39">
        <f>Y275*(1-Y119)*(1-IF(25&gt;=Y64,Seasonality!$D$61*Y120,0))</f>
        <v/>
      </c>
      <c r="Z276" s="39">
        <f>Z275*(1-Z119)*(1-IF(25&gt;=Z64,Seasonality!$D$61*Z120,0))</f>
        <v/>
      </c>
      <c r="AA276" s="39">
        <f>AA275*(1-AA119)*(1-IF(25&gt;=AA64,Seasonality!$D$61*AA120,0))</f>
        <v/>
      </c>
      <c r="AB276" s="39">
        <f>AB275*(1-AB119)*(1-IF(25&gt;=AB64,Seasonality!$D$61*AB120,0))</f>
        <v/>
      </c>
      <c r="AC276" s="39">
        <f>AC275*(1-AC119)*(1-IF(25&gt;=AC64,Seasonality!$D$61*AC120,0))</f>
        <v/>
      </c>
      <c r="AD276" s="39">
        <f>AD275*(1-AD119)*(1-IF(25&gt;=AD64,Seasonality!$D$61*AD120,0))</f>
        <v/>
      </c>
      <c r="AE276" s="39">
        <f>AE275*(1-AE119)*(1-IF(25&gt;=AE64,Seasonality!$D$61*AE120,0))</f>
        <v/>
      </c>
      <c r="AF276" s="39">
        <f>AF275*(1-AF119)*(1-IF(25&gt;=AF64,Seasonality!$D$61*AF120,0))</f>
        <v/>
      </c>
      <c r="AG276" s="39">
        <f>AG275*(1-AG119)*(1-IF(25&gt;=AG64,Seasonality!$D$61*AG120,0))</f>
        <v/>
      </c>
      <c r="AH276" s="39">
        <f>AH275*(1-AH119)*(1-IF(25&gt;=AH64,Seasonality!$D$61*AH120,0))</f>
        <v/>
      </c>
      <c r="AI276" s="39">
        <f>AI275*(1-AI119)*(1-IF(25&gt;=AI64,Seasonality!$D$61*AI120,0))</f>
        <v/>
      </c>
      <c r="AJ276" s="39">
        <f>AJ275*(1-AJ119)*(1-IF(25&gt;=AJ64,Seasonality!$D$61*AJ120,0))</f>
        <v/>
      </c>
      <c r="AK276" s="39">
        <f>AK275*(1-AK119)*(1-IF(25&gt;=AK64,Seasonality!$D$61*AK120,0))</f>
        <v/>
      </c>
      <c r="AL276" s="39">
        <f>AL275*(1-AL119)*(1-IF(25&gt;=AL64,Seasonality!$D$61*AL120,0))</f>
        <v/>
      </c>
      <c r="AM276" s="39">
        <f>AM275*(1-AM119)*(1-IF(25&gt;=AM64,Seasonality!$D$61*AM120,0))</f>
        <v/>
      </c>
      <c r="AN276" s="39">
        <f>AN275*(1-AN119)*(1-IF(25&gt;=AN64,Seasonality!$D$61*AN120,0))</f>
        <v/>
      </c>
      <c r="AO276" s="39">
        <f>AO275*(1-AO119)*(1-IF(25&gt;=AO64,Seasonality!$D$61*AO120,0))</f>
        <v/>
      </c>
      <c r="AP276" s="39">
        <f>AP275*(1-AP119)*(1-IF(25&gt;=AP64,Seasonality!$D$61*AP120,0))</f>
        <v/>
      </c>
      <c r="AQ276" s="39">
        <f>AQ275*(1-AQ119)*(1-IF(25&gt;=AQ64,Seasonality!$D$61*AQ120,0))</f>
        <v/>
      </c>
      <c r="AR276" s="39">
        <f>AR275*(1-AR119)*(1-IF(25&gt;=AR64,Seasonality!$D$61*AR120,0))</f>
        <v/>
      </c>
      <c r="AS276" s="39">
        <f>AS275*(1-AS119)*(1-IF(25&gt;=AS64,Seasonality!$D$61*AS120,0))</f>
        <v/>
      </c>
      <c r="AT276" s="39">
        <f>AT275*(1-AT119)*(1-IF(25&gt;=AT64,Seasonality!$D$61*AT120,0))</f>
        <v/>
      </c>
      <c r="AU276" s="39">
        <f>AU275*(1-AU119)*(1-IF(25&gt;=AU64,Seasonality!$D$61*AU120,0))</f>
        <v/>
      </c>
      <c r="AV276" s="39">
        <f>AV275*(1-AV119)*(1-IF(25&gt;=AV64,Seasonality!$D$61*AV120,0))</f>
        <v/>
      </c>
      <c r="AW276" s="39">
        <f>AW275*(1-AW119)*(1-IF(25&gt;=AW64,Seasonality!$D$61*AW120,0))</f>
        <v/>
      </c>
      <c r="AX276" s="39">
        <f>AX275*(1-AX119)*(1-IF(25&gt;=AX64,Seasonality!$D$61*AX120,0))</f>
        <v/>
      </c>
      <c r="AY276" s="39">
        <f>AY275*(1-AY119)*(1-IF(25&gt;=AY64,Seasonality!$D$61*AY120,0))</f>
        <v/>
      </c>
      <c r="AZ276" s="39">
        <f>AZ275*(1-AZ119)*(1-IF(25&gt;=AZ64,Seasonality!$D$61*AZ120,0))</f>
        <v/>
      </c>
      <c r="BA276" s="39">
        <f>BA275*(1-BA119)*(1-IF(25&gt;=BA64,Seasonality!$D$61*BA120,0))</f>
        <v/>
      </c>
      <c r="BB276" s="39">
        <f>BB275*(1-BB119)*(1-IF(25&gt;=BB64,Seasonality!$D$61*BB120,0))</f>
        <v/>
      </c>
      <c r="BC276" s="39">
        <f>BC275*(1-BC119)*(1-IF(25&gt;=BC64,Seasonality!$D$61*BC120,0))</f>
        <v/>
      </c>
      <c r="BD276" s="39">
        <f>BD275*(1-BD119)*(1-IF(25&gt;=BD64,Seasonality!$D$61*BD120,0))</f>
        <v/>
      </c>
      <c r="BE276" s="39">
        <f>BE275*(1-BE119)*(1-IF(25&gt;=BE64,Seasonality!$D$61*BE120,0))</f>
        <v/>
      </c>
    </row>
    <row r="277">
      <c r="B277" s="7" t="inlineStr">
        <is>
          <t>Share of institutes still paying · month 27</t>
        </is>
      </c>
      <c r="C277" s="5" t="inlineStr">
        <is>
          <t>%</t>
        </is>
      </c>
      <c r="D277" s="39">
        <f>D276*(1-D119)*(1-IF(26&gt;=D64,Seasonality!$D$62*D120,0))</f>
        <v/>
      </c>
      <c r="E277" s="39">
        <f>E276*(1-E119)*(1-IF(26&gt;=E64,Seasonality!$D$62*E120,0))</f>
        <v/>
      </c>
      <c r="F277" s="39">
        <f>F276*(1-F119)*(1-IF(26&gt;=F64,Seasonality!$D$62*F120,0))</f>
        <v/>
      </c>
      <c r="G277" s="39">
        <f>G276*(1-G119)*(1-IF(26&gt;=G64,Seasonality!$D$62*G120,0))</f>
        <v/>
      </c>
      <c r="H277" s="39">
        <f>H276*(1-H119)*(1-IF(26&gt;=H64,Seasonality!$D$62*H120,0))</f>
        <v/>
      </c>
      <c r="I277" s="39">
        <f>I276*(1-I119)*(1-IF(26&gt;=I64,Seasonality!$D$62*I120,0))</f>
        <v/>
      </c>
      <c r="J277" s="39">
        <f>J276*(1-J119)*(1-IF(26&gt;=J64,Seasonality!$D$62*J120,0))</f>
        <v/>
      </c>
      <c r="K277" s="39">
        <f>K276*(1-K119)*(1-IF(26&gt;=K64,Seasonality!$D$62*K120,0))</f>
        <v/>
      </c>
      <c r="L277" s="39">
        <f>L276*(1-L119)*(1-IF(26&gt;=L64,Seasonality!$D$62*L120,0))</f>
        <v/>
      </c>
      <c r="M277" s="39">
        <f>M276*(1-M119)*(1-IF(26&gt;=M64,Seasonality!$D$62*M120,0))</f>
        <v/>
      </c>
      <c r="N277" s="39">
        <f>N276*(1-N119)*(1-IF(26&gt;=N64,Seasonality!$D$62*N120,0))</f>
        <v/>
      </c>
      <c r="O277" s="39">
        <f>O276*(1-O119)*(1-IF(26&gt;=O64,Seasonality!$D$62*O120,0))</f>
        <v/>
      </c>
      <c r="P277" s="39">
        <f>P276*(1-P119)*(1-IF(26&gt;=P64,Seasonality!$D$62*P120,0))</f>
        <v/>
      </c>
      <c r="Q277" s="39">
        <f>Q276*(1-Q119)*(1-IF(26&gt;=Q64,Seasonality!$D$62*Q120,0))</f>
        <v/>
      </c>
      <c r="R277" s="39">
        <f>R276*(1-R119)*(1-IF(26&gt;=R64,Seasonality!$D$62*R120,0))</f>
        <v/>
      </c>
      <c r="S277" s="39">
        <f>S276*(1-S119)*(1-IF(26&gt;=S64,Seasonality!$D$62*S120,0))</f>
        <v/>
      </c>
      <c r="T277" s="39">
        <f>T276*(1-T119)*(1-IF(26&gt;=T64,Seasonality!$D$62*T120,0))</f>
        <v/>
      </c>
      <c r="U277" s="39">
        <f>U276*(1-U119)*(1-IF(26&gt;=U64,Seasonality!$D$62*U120,0))</f>
        <v/>
      </c>
      <c r="V277" s="39">
        <f>V276*(1-V119)*(1-IF(26&gt;=V64,Seasonality!$D$62*V120,0))</f>
        <v/>
      </c>
      <c r="W277" s="39">
        <f>W276*(1-W119)*(1-IF(26&gt;=W64,Seasonality!$D$62*W120,0))</f>
        <v/>
      </c>
      <c r="X277" s="39">
        <f>X276*(1-X119)*(1-IF(26&gt;=X64,Seasonality!$D$62*X120,0))</f>
        <v/>
      </c>
      <c r="Y277" s="39">
        <f>Y276*(1-Y119)*(1-IF(26&gt;=Y64,Seasonality!$D$62*Y120,0))</f>
        <v/>
      </c>
      <c r="Z277" s="39">
        <f>Z276*(1-Z119)*(1-IF(26&gt;=Z64,Seasonality!$D$62*Z120,0))</f>
        <v/>
      </c>
      <c r="AA277" s="39">
        <f>AA276*(1-AA119)*(1-IF(26&gt;=AA64,Seasonality!$D$62*AA120,0))</f>
        <v/>
      </c>
      <c r="AB277" s="39">
        <f>AB276*(1-AB119)*(1-IF(26&gt;=AB64,Seasonality!$D$62*AB120,0))</f>
        <v/>
      </c>
      <c r="AC277" s="39">
        <f>AC276*(1-AC119)*(1-IF(26&gt;=AC64,Seasonality!$D$62*AC120,0))</f>
        <v/>
      </c>
      <c r="AD277" s="39">
        <f>AD276*(1-AD119)*(1-IF(26&gt;=AD64,Seasonality!$D$62*AD120,0))</f>
        <v/>
      </c>
      <c r="AE277" s="39">
        <f>AE276*(1-AE119)*(1-IF(26&gt;=AE64,Seasonality!$D$62*AE120,0))</f>
        <v/>
      </c>
      <c r="AF277" s="39">
        <f>AF276*(1-AF119)*(1-IF(26&gt;=AF64,Seasonality!$D$62*AF120,0))</f>
        <v/>
      </c>
      <c r="AG277" s="39">
        <f>AG276*(1-AG119)*(1-IF(26&gt;=AG64,Seasonality!$D$62*AG120,0))</f>
        <v/>
      </c>
      <c r="AH277" s="39">
        <f>AH276*(1-AH119)*(1-IF(26&gt;=AH64,Seasonality!$D$62*AH120,0))</f>
        <v/>
      </c>
      <c r="AI277" s="39">
        <f>AI276*(1-AI119)*(1-IF(26&gt;=AI64,Seasonality!$D$62*AI120,0))</f>
        <v/>
      </c>
      <c r="AJ277" s="39">
        <f>AJ276*(1-AJ119)*(1-IF(26&gt;=AJ64,Seasonality!$D$62*AJ120,0))</f>
        <v/>
      </c>
      <c r="AK277" s="39">
        <f>AK276*(1-AK119)*(1-IF(26&gt;=AK64,Seasonality!$D$62*AK120,0))</f>
        <v/>
      </c>
      <c r="AL277" s="39">
        <f>AL276*(1-AL119)*(1-IF(26&gt;=AL64,Seasonality!$D$62*AL120,0))</f>
        <v/>
      </c>
      <c r="AM277" s="39">
        <f>AM276*(1-AM119)*(1-IF(26&gt;=AM64,Seasonality!$D$62*AM120,0))</f>
        <v/>
      </c>
      <c r="AN277" s="39">
        <f>AN276*(1-AN119)*(1-IF(26&gt;=AN64,Seasonality!$D$62*AN120,0))</f>
        <v/>
      </c>
      <c r="AO277" s="39">
        <f>AO276*(1-AO119)*(1-IF(26&gt;=AO64,Seasonality!$D$62*AO120,0))</f>
        <v/>
      </c>
      <c r="AP277" s="39">
        <f>AP276*(1-AP119)*(1-IF(26&gt;=AP64,Seasonality!$D$62*AP120,0))</f>
        <v/>
      </c>
      <c r="AQ277" s="39">
        <f>AQ276*(1-AQ119)*(1-IF(26&gt;=AQ64,Seasonality!$D$62*AQ120,0))</f>
        <v/>
      </c>
      <c r="AR277" s="39">
        <f>AR276*(1-AR119)*(1-IF(26&gt;=AR64,Seasonality!$D$62*AR120,0))</f>
        <v/>
      </c>
      <c r="AS277" s="39">
        <f>AS276*(1-AS119)*(1-IF(26&gt;=AS64,Seasonality!$D$62*AS120,0))</f>
        <v/>
      </c>
      <c r="AT277" s="39">
        <f>AT276*(1-AT119)*(1-IF(26&gt;=AT64,Seasonality!$D$62*AT120,0))</f>
        <v/>
      </c>
      <c r="AU277" s="39">
        <f>AU276*(1-AU119)*(1-IF(26&gt;=AU64,Seasonality!$D$62*AU120,0))</f>
        <v/>
      </c>
      <c r="AV277" s="39">
        <f>AV276*(1-AV119)*(1-IF(26&gt;=AV64,Seasonality!$D$62*AV120,0))</f>
        <v/>
      </c>
      <c r="AW277" s="39">
        <f>AW276*(1-AW119)*(1-IF(26&gt;=AW64,Seasonality!$D$62*AW120,0))</f>
        <v/>
      </c>
      <c r="AX277" s="39">
        <f>AX276*(1-AX119)*(1-IF(26&gt;=AX64,Seasonality!$D$62*AX120,0))</f>
        <v/>
      </c>
      <c r="AY277" s="39">
        <f>AY276*(1-AY119)*(1-IF(26&gt;=AY64,Seasonality!$D$62*AY120,0))</f>
        <v/>
      </c>
      <c r="AZ277" s="39">
        <f>AZ276*(1-AZ119)*(1-IF(26&gt;=AZ64,Seasonality!$D$62*AZ120,0))</f>
        <v/>
      </c>
      <c r="BA277" s="39">
        <f>BA276*(1-BA119)*(1-IF(26&gt;=BA64,Seasonality!$D$62*BA120,0))</f>
        <v/>
      </c>
      <c r="BB277" s="39">
        <f>BB276*(1-BB119)*(1-IF(26&gt;=BB64,Seasonality!$D$62*BB120,0))</f>
        <v/>
      </c>
      <c r="BC277" s="39">
        <f>BC276*(1-BC119)*(1-IF(26&gt;=BC64,Seasonality!$D$62*BC120,0))</f>
        <v/>
      </c>
      <c r="BD277" s="39">
        <f>BD276*(1-BD119)*(1-IF(26&gt;=BD64,Seasonality!$D$62*BD120,0))</f>
        <v/>
      </c>
      <c r="BE277" s="39">
        <f>BE276*(1-BE119)*(1-IF(26&gt;=BE64,Seasonality!$D$62*BE120,0))</f>
        <v/>
      </c>
    </row>
    <row r="278">
      <c r="B278" s="7" t="inlineStr">
        <is>
          <t>Share of institutes still paying · month 28</t>
        </is>
      </c>
      <c r="C278" s="5" t="inlineStr">
        <is>
          <t>%</t>
        </is>
      </c>
      <c r="D278" s="39">
        <f>D277*(1-D119)*(1-IF(27&gt;=D64,Seasonality!$D$63*D120,0))</f>
        <v/>
      </c>
      <c r="E278" s="39">
        <f>E277*(1-E119)*(1-IF(27&gt;=E64,Seasonality!$D$63*E120,0))</f>
        <v/>
      </c>
      <c r="F278" s="39">
        <f>F277*(1-F119)*(1-IF(27&gt;=F64,Seasonality!$D$63*F120,0))</f>
        <v/>
      </c>
      <c r="G278" s="39">
        <f>G277*(1-G119)*(1-IF(27&gt;=G64,Seasonality!$D$63*G120,0))</f>
        <v/>
      </c>
      <c r="H278" s="39">
        <f>H277*(1-H119)*(1-IF(27&gt;=H64,Seasonality!$D$63*H120,0))</f>
        <v/>
      </c>
      <c r="I278" s="39">
        <f>I277*(1-I119)*(1-IF(27&gt;=I64,Seasonality!$D$63*I120,0))</f>
        <v/>
      </c>
      <c r="J278" s="39">
        <f>J277*(1-J119)*(1-IF(27&gt;=J64,Seasonality!$D$63*J120,0))</f>
        <v/>
      </c>
      <c r="K278" s="39">
        <f>K277*(1-K119)*(1-IF(27&gt;=K64,Seasonality!$D$63*K120,0))</f>
        <v/>
      </c>
      <c r="L278" s="39">
        <f>L277*(1-L119)*(1-IF(27&gt;=L64,Seasonality!$D$63*L120,0))</f>
        <v/>
      </c>
      <c r="M278" s="39">
        <f>M277*(1-M119)*(1-IF(27&gt;=M64,Seasonality!$D$63*M120,0))</f>
        <v/>
      </c>
      <c r="N278" s="39">
        <f>N277*(1-N119)*(1-IF(27&gt;=N64,Seasonality!$D$63*N120,0))</f>
        <v/>
      </c>
      <c r="O278" s="39">
        <f>O277*(1-O119)*(1-IF(27&gt;=O64,Seasonality!$D$63*O120,0))</f>
        <v/>
      </c>
      <c r="P278" s="39">
        <f>P277*(1-P119)*(1-IF(27&gt;=P64,Seasonality!$D$63*P120,0))</f>
        <v/>
      </c>
      <c r="Q278" s="39">
        <f>Q277*(1-Q119)*(1-IF(27&gt;=Q64,Seasonality!$D$63*Q120,0))</f>
        <v/>
      </c>
      <c r="R278" s="39">
        <f>R277*(1-R119)*(1-IF(27&gt;=R64,Seasonality!$D$63*R120,0))</f>
        <v/>
      </c>
      <c r="S278" s="39">
        <f>S277*(1-S119)*(1-IF(27&gt;=S64,Seasonality!$D$63*S120,0))</f>
        <v/>
      </c>
      <c r="T278" s="39">
        <f>T277*(1-T119)*(1-IF(27&gt;=T64,Seasonality!$D$63*T120,0))</f>
        <v/>
      </c>
      <c r="U278" s="39">
        <f>U277*(1-U119)*(1-IF(27&gt;=U64,Seasonality!$D$63*U120,0))</f>
        <v/>
      </c>
      <c r="V278" s="39">
        <f>V277*(1-V119)*(1-IF(27&gt;=V64,Seasonality!$D$63*V120,0))</f>
        <v/>
      </c>
      <c r="W278" s="39">
        <f>W277*(1-W119)*(1-IF(27&gt;=W64,Seasonality!$D$63*W120,0))</f>
        <v/>
      </c>
      <c r="X278" s="39">
        <f>X277*(1-X119)*(1-IF(27&gt;=X64,Seasonality!$D$63*X120,0))</f>
        <v/>
      </c>
      <c r="Y278" s="39">
        <f>Y277*(1-Y119)*(1-IF(27&gt;=Y64,Seasonality!$D$63*Y120,0))</f>
        <v/>
      </c>
      <c r="Z278" s="39">
        <f>Z277*(1-Z119)*(1-IF(27&gt;=Z64,Seasonality!$D$63*Z120,0))</f>
        <v/>
      </c>
      <c r="AA278" s="39">
        <f>AA277*(1-AA119)*(1-IF(27&gt;=AA64,Seasonality!$D$63*AA120,0))</f>
        <v/>
      </c>
      <c r="AB278" s="39">
        <f>AB277*(1-AB119)*(1-IF(27&gt;=AB64,Seasonality!$D$63*AB120,0))</f>
        <v/>
      </c>
      <c r="AC278" s="39">
        <f>AC277*(1-AC119)*(1-IF(27&gt;=AC64,Seasonality!$D$63*AC120,0))</f>
        <v/>
      </c>
      <c r="AD278" s="39">
        <f>AD277*(1-AD119)*(1-IF(27&gt;=AD64,Seasonality!$D$63*AD120,0))</f>
        <v/>
      </c>
      <c r="AE278" s="39">
        <f>AE277*(1-AE119)*(1-IF(27&gt;=AE64,Seasonality!$D$63*AE120,0))</f>
        <v/>
      </c>
      <c r="AF278" s="39">
        <f>AF277*(1-AF119)*(1-IF(27&gt;=AF64,Seasonality!$D$63*AF120,0))</f>
        <v/>
      </c>
      <c r="AG278" s="39">
        <f>AG277*(1-AG119)*(1-IF(27&gt;=AG64,Seasonality!$D$63*AG120,0))</f>
        <v/>
      </c>
      <c r="AH278" s="39">
        <f>AH277*(1-AH119)*(1-IF(27&gt;=AH64,Seasonality!$D$63*AH120,0))</f>
        <v/>
      </c>
      <c r="AI278" s="39">
        <f>AI277*(1-AI119)*(1-IF(27&gt;=AI64,Seasonality!$D$63*AI120,0))</f>
        <v/>
      </c>
      <c r="AJ278" s="39">
        <f>AJ277*(1-AJ119)*(1-IF(27&gt;=AJ64,Seasonality!$D$63*AJ120,0))</f>
        <v/>
      </c>
      <c r="AK278" s="39">
        <f>AK277*(1-AK119)*(1-IF(27&gt;=AK64,Seasonality!$D$63*AK120,0))</f>
        <v/>
      </c>
      <c r="AL278" s="39">
        <f>AL277*(1-AL119)*(1-IF(27&gt;=AL64,Seasonality!$D$63*AL120,0))</f>
        <v/>
      </c>
      <c r="AM278" s="39">
        <f>AM277*(1-AM119)*(1-IF(27&gt;=AM64,Seasonality!$D$63*AM120,0))</f>
        <v/>
      </c>
      <c r="AN278" s="39">
        <f>AN277*(1-AN119)*(1-IF(27&gt;=AN64,Seasonality!$D$63*AN120,0))</f>
        <v/>
      </c>
      <c r="AO278" s="39">
        <f>AO277*(1-AO119)*(1-IF(27&gt;=AO64,Seasonality!$D$63*AO120,0))</f>
        <v/>
      </c>
      <c r="AP278" s="39">
        <f>AP277*(1-AP119)*(1-IF(27&gt;=AP64,Seasonality!$D$63*AP120,0))</f>
        <v/>
      </c>
      <c r="AQ278" s="39">
        <f>AQ277*(1-AQ119)*(1-IF(27&gt;=AQ64,Seasonality!$D$63*AQ120,0))</f>
        <v/>
      </c>
      <c r="AR278" s="39">
        <f>AR277*(1-AR119)*(1-IF(27&gt;=AR64,Seasonality!$D$63*AR120,0))</f>
        <v/>
      </c>
      <c r="AS278" s="39">
        <f>AS277*(1-AS119)*(1-IF(27&gt;=AS64,Seasonality!$D$63*AS120,0))</f>
        <v/>
      </c>
      <c r="AT278" s="39">
        <f>AT277*(1-AT119)*(1-IF(27&gt;=AT64,Seasonality!$D$63*AT120,0))</f>
        <v/>
      </c>
      <c r="AU278" s="39">
        <f>AU277*(1-AU119)*(1-IF(27&gt;=AU64,Seasonality!$D$63*AU120,0))</f>
        <v/>
      </c>
      <c r="AV278" s="39">
        <f>AV277*(1-AV119)*(1-IF(27&gt;=AV64,Seasonality!$D$63*AV120,0))</f>
        <v/>
      </c>
      <c r="AW278" s="39">
        <f>AW277*(1-AW119)*(1-IF(27&gt;=AW64,Seasonality!$D$63*AW120,0))</f>
        <v/>
      </c>
      <c r="AX278" s="39">
        <f>AX277*(1-AX119)*(1-IF(27&gt;=AX64,Seasonality!$D$63*AX120,0))</f>
        <v/>
      </c>
      <c r="AY278" s="39">
        <f>AY277*(1-AY119)*(1-IF(27&gt;=AY64,Seasonality!$D$63*AY120,0))</f>
        <v/>
      </c>
      <c r="AZ278" s="39">
        <f>AZ277*(1-AZ119)*(1-IF(27&gt;=AZ64,Seasonality!$D$63*AZ120,0))</f>
        <v/>
      </c>
      <c r="BA278" s="39">
        <f>BA277*(1-BA119)*(1-IF(27&gt;=BA64,Seasonality!$D$63*BA120,0))</f>
        <v/>
      </c>
      <c r="BB278" s="39">
        <f>BB277*(1-BB119)*(1-IF(27&gt;=BB64,Seasonality!$D$63*BB120,0))</f>
        <v/>
      </c>
      <c r="BC278" s="39">
        <f>BC277*(1-BC119)*(1-IF(27&gt;=BC64,Seasonality!$D$63*BC120,0))</f>
        <v/>
      </c>
      <c r="BD278" s="39">
        <f>BD277*(1-BD119)*(1-IF(27&gt;=BD64,Seasonality!$D$63*BD120,0))</f>
        <v/>
      </c>
      <c r="BE278" s="39">
        <f>BE277*(1-BE119)*(1-IF(27&gt;=BE64,Seasonality!$D$63*BE120,0))</f>
        <v/>
      </c>
    </row>
    <row r="279">
      <c r="B279" s="7" t="inlineStr">
        <is>
          <t>Share of institutes still paying · month 29</t>
        </is>
      </c>
      <c r="C279" s="5" t="inlineStr">
        <is>
          <t>%</t>
        </is>
      </c>
      <c r="D279" s="39">
        <f>D278*(1-D119)*(1-IF(28&gt;=D64,Seasonality!$D$64*D120,0))</f>
        <v/>
      </c>
      <c r="E279" s="39">
        <f>E278*(1-E119)*(1-IF(28&gt;=E64,Seasonality!$D$64*E120,0))</f>
        <v/>
      </c>
      <c r="F279" s="39">
        <f>F278*(1-F119)*(1-IF(28&gt;=F64,Seasonality!$D$64*F120,0))</f>
        <v/>
      </c>
      <c r="G279" s="39">
        <f>G278*(1-G119)*(1-IF(28&gt;=G64,Seasonality!$D$64*G120,0))</f>
        <v/>
      </c>
      <c r="H279" s="39">
        <f>H278*(1-H119)*(1-IF(28&gt;=H64,Seasonality!$D$64*H120,0))</f>
        <v/>
      </c>
      <c r="I279" s="39">
        <f>I278*(1-I119)*(1-IF(28&gt;=I64,Seasonality!$D$64*I120,0))</f>
        <v/>
      </c>
      <c r="J279" s="39">
        <f>J278*(1-J119)*(1-IF(28&gt;=J64,Seasonality!$D$64*J120,0))</f>
        <v/>
      </c>
      <c r="K279" s="39">
        <f>K278*(1-K119)*(1-IF(28&gt;=K64,Seasonality!$D$64*K120,0))</f>
        <v/>
      </c>
      <c r="L279" s="39">
        <f>L278*(1-L119)*(1-IF(28&gt;=L64,Seasonality!$D$64*L120,0))</f>
        <v/>
      </c>
      <c r="M279" s="39">
        <f>M278*(1-M119)*(1-IF(28&gt;=M64,Seasonality!$D$64*M120,0))</f>
        <v/>
      </c>
      <c r="N279" s="39">
        <f>N278*(1-N119)*(1-IF(28&gt;=N64,Seasonality!$D$64*N120,0))</f>
        <v/>
      </c>
      <c r="O279" s="39">
        <f>O278*(1-O119)*(1-IF(28&gt;=O64,Seasonality!$D$64*O120,0))</f>
        <v/>
      </c>
      <c r="P279" s="39">
        <f>P278*(1-P119)*(1-IF(28&gt;=P64,Seasonality!$D$64*P120,0))</f>
        <v/>
      </c>
      <c r="Q279" s="39">
        <f>Q278*(1-Q119)*(1-IF(28&gt;=Q64,Seasonality!$D$64*Q120,0))</f>
        <v/>
      </c>
      <c r="R279" s="39">
        <f>R278*(1-R119)*(1-IF(28&gt;=R64,Seasonality!$D$64*R120,0))</f>
        <v/>
      </c>
      <c r="S279" s="39">
        <f>S278*(1-S119)*(1-IF(28&gt;=S64,Seasonality!$D$64*S120,0))</f>
        <v/>
      </c>
      <c r="T279" s="39">
        <f>T278*(1-T119)*(1-IF(28&gt;=T64,Seasonality!$D$64*T120,0))</f>
        <v/>
      </c>
      <c r="U279" s="39">
        <f>U278*(1-U119)*(1-IF(28&gt;=U64,Seasonality!$D$64*U120,0))</f>
        <v/>
      </c>
      <c r="V279" s="39">
        <f>V278*(1-V119)*(1-IF(28&gt;=V64,Seasonality!$D$64*V120,0))</f>
        <v/>
      </c>
      <c r="W279" s="39">
        <f>W278*(1-W119)*(1-IF(28&gt;=W64,Seasonality!$D$64*W120,0))</f>
        <v/>
      </c>
      <c r="X279" s="39">
        <f>X278*(1-X119)*(1-IF(28&gt;=X64,Seasonality!$D$64*X120,0))</f>
        <v/>
      </c>
      <c r="Y279" s="39">
        <f>Y278*(1-Y119)*(1-IF(28&gt;=Y64,Seasonality!$D$64*Y120,0))</f>
        <v/>
      </c>
      <c r="Z279" s="39">
        <f>Z278*(1-Z119)*(1-IF(28&gt;=Z64,Seasonality!$D$64*Z120,0))</f>
        <v/>
      </c>
      <c r="AA279" s="39">
        <f>AA278*(1-AA119)*(1-IF(28&gt;=AA64,Seasonality!$D$64*AA120,0))</f>
        <v/>
      </c>
      <c r="AB279" s="39">
        <f>AB278*(1-AB119)*(1-IF(28&gt;=AB64,Seasonality!$D$64*AB120,0))</f>
        <v/>
      </c>
      <c r="AC279" s="39">
        <f>AC278*(1-AC119)*(1-IF(28&gt;=AC64,Seasonality!$D$64*AC120,0))</f>
        <v/>
      </c>
      <c r="AD279" s="39">
        <f>AD278*(1-AD119)*(1-IF(28&gt;=AD64,Seasonality!$D$64*AD120,0))</f>
        <v/>
      </c>
      <c r="AE279" s="39">
        <f>AE278*(1-AE119)*(1-IF(28&gt;=AE64,Seasonality!$D$64*AE120,0))</f>
        <v/>
      </c>
      <c r="AF279" s="39">
        <f>AF278*(1-AF119)*(1-IF(28&gt;=AF64,Seasonality!$D$64*AF120,0))</f>
        <v/>
      </c>
      <c r="AG279" s="39">
        <f>AG278*(1-AG119)*(1-IF(28&gt;=AG64,Seasonality!$D$64*AG120,0))</f>
        <v/>
      </c>
      <c r="AH279" s="39">
        <f>AH278*(1-AH119)*(1-IF(28&gt;=AH64,Seasonality!$D$64*AH120,0))</f>
        <v/>
      </c>
      <c r="AI279" s="39">
        <f>AI278*(1-AI119)*(1-IF(28&gt;=AI64,Seasonality!$D$64*AI120,0))</f>
        <v/>
      </c>
      <c r="AJ279" s="39">
        <f>AJ278*(1-AJ119)*(1-IF(28&gt;=AJ64,Seasonality!$D$64*AJ120,0))</f>
        <v/>
      </c>
      <c r="AK279" s="39">
        <f>AK278*(1-AK119)*(1-IF(28&gt;=AK64,Seasonality!$D$64*AK120,0))</f>
        <v/>
      </c>
      <c r="AL279" s="39">
        <f>AL278*(1-AL119)*(1-IF(28&gt;=AL64,Seasonality!$D$64*AL120,0))</f>
        <v/>
      </c>
      <c r="AM279" s="39">
        <f>AM278*(1-AM119)*(1-IF(28&gt;=AM64,Seasonality!$D$64*AM120,0))</f>
        <v/>
      </c>
      <c r="AN279" s="39">
        <f>AN278*(1-AN119)*(1-IF(28&gt;=AN64,Seasonality!$D$64*AN120,0))</f>
        <v/>
      </c>
      <c r="AO279" s="39">
        <f>AO278*(1-AO119)*(1-IF(28&gt;=AO64,Seasonality!$D$64*AO120,0))</f>
        <v/>
      </c>
      <c r="AP279" s="39">
        <f>AP278*(1-AP119)*(1-IF(28&gt;=AP64,Seasonality!$D$64*AP120,0))</f>
        <v/>
      </c>
      <c r="AQ279" s="39">
        <f>AQ278*(1-AQ119)*(1-IF(28&gt;=AQ64,Seasonality!$D$64*AQ120,0))</f>
        <v/>
      </c>
      <c r="AR279" s="39">
        <f>AR278*(1-AR119)*(1-IF(28&gt;=AR64,Seasonality!$D$64*AR120,0))</f>
        <v/>
      </c>
      <c r="AS279" s="39">
        <f>AS278*(1-AS119)*(1-IF(28&gt;=AS64,Seasonality!$D$64*AS120,0))</f>
        <v/>
      </c>
      <c r="AT279" s="39">
        <f>AT278*(1-AT119)*(1-IF(28&gt;=AT64,Seasonality!$D$64*AT120,0))</f>
        <v/>
      </c>
      <c r="AU279" s="39">
        <f>AU278*(1-AU119)*(1-IF(28&gt;=AU64,Seasonality!$D$64*AU120,0))</f>
        <v/>
      </c>
      <c r="AV279" s="39">
        <f>AV278*(1-AV119)*(1-IF(28&gt;=AV64,Seasonality!$D$64*AV120,0))</f>
        <v/>
      </c>
      <c r="AW279" s="39">
        <f>AW278*(1-AW119)*(1-IF(28&gt;=AW64,Seasonality!$D$64*AW120,0))</f>
        <v/>
      </c>
      <c r="AX279" s="39">
        <f>AX278*(1-AX119)*(1-IF(28&gt;=AX64,Seasonality!$D$64*AX120,0))</f>
        <v/>
      </c>
      <c r="AY279" s="39">
        <f>AY278*(1-AY119)*(1-IF(28&gt;=AY64,Seasonality!$D$64*AY120,0))</f>
        <v/>
      </c>
      <c r="AZ279" s="39">
        <f>AZ278*(1-AZ119)*(1-IF(28&gt;=AZ64,Seasonality!$D$64*AZ120,0))</f>
        <v/>
      </c>
      <c r="BA279" s="39">
        <f>BA278*(1-BA119)*(1-IF(28&gt;=BA64,Seasonality!$D$64*BA120,0))</f>
        <v/>
      </c>
      <c r="BB279" s="39">
        <f>BB278*(1-BB119)*(1-IF(28&gt;=BB64,Seasonality!$D$64*BB120,0))</f>
        <v/>
      </c>
      <c r="BC279" s="39">
        <f>BC278*(1-BC119)*(1-IF(28&gt;=BC64,Seasonality!$D$64*BC120,0))</f>
        <v/>
      </c>
      <c r="BD279" s="39">
        <f>BD278*(1-BD119)*(1-IF(28&gt;=BD64,Seasonality!$D$64*BD120,0))</f>
        <v/>
      </c>
      <c r="BE279" s="39">
        <f>BE278*(1-BE119)*(1-IF(28&gt;=BE64,Seasonality!$D$64*BE120,0))</f>
        <v/>
      </c>
    </row>
    <row r="280">
      <c r="B280" s="7" t="inlineStr">
        <is>
          <t>Share of institutes still paying · month 30</t>
        </is>
      </c>
      <c r="C280" s="5" t="inlineStr">
        <is>
          <t>%</t>
        </is>
      </c>
      <c r="D280" s="39">
        <f>D279*(1-D119)*(1-IF(29&gt;=D64,Seasonality!$D$65*D120,0))</f>
        <v/>
      </c>
      <c r="E280" s="39">
        <f>E279*(1-E119)*(1-IF(29&gt;=E64,Seasonality!$D$65*E120,0))</f>
        <v/>
      </c>
      <c r="F280" s="39">
        <f>F279*(1-F119)*(1-IF(29&gt;=F64,Seasonality!$D$65*F120,0))</f>
        <v/>
      </c>
      <c r="G280" s="39">
        <f>G279*(1-G119)*(1-IF(29&gt;=G64,Seasonality!$D$65*G120,0))</f>
        <v/>
      </c>
      <c r="H280" s="39">
        <f>H279*(1-H119)*(1-IF(29&gt;=H64,Seasonality!$D$65*H120,0))</f>
        <v/>
      </c>
      <c r="I280" s="39">
        <f>I279*(1-I119)*(1-IF(29&gt;=I64,Seasonality!$D$65*I120,0))</f>
        <v/>
      </c>
      <c r="J280" s="39">
        <f>J279*(1-J119)*(1-IF(29&gt;=J64,Seasonality!$D$65*J120,0))</f>
        <v/>
      </c>
      <c r="K280" s="39">
        <f>K279*(1-K119)*(1-IF(29&gt;=K64,Seasonality!$D$65*K120,0))</f>
        <v/>
      </c>
      <c r="L280" s="39">
        <f>L279*(1-L119)*(1-IF(29&gt;=L64,Seasonality!$D$65*L120,0))</f>
        <v/>
      </c>
      <c r="M280" s="39">
        <f>M279*(1-M119)*(1-IF(29&gt;=M64,Seasonality!$D$65*M120,0))</f>
        <v/>
      </c>
      <c r="N280" s="39">
        <f>N279*(1-N119)*(1-IF(29&gt;=N64,Seasonality!$D$65*N120,0))</f>
        <v/>
      </c>
      <c r="O280" s="39">
        <f>O279*(1-O119)*(1-IF(29&gt;=O64,Seasonality!$D$65*O120,0))</f>
        <v/>
      </c>
      <c r="P280" s="39">
        <f>P279*(1-P119)*(1-IF(29&gt;=P64,Seasonality!$D$65*P120,0))</f>
        <v/>
      </c>
      <c r="Q280" s="39">
        <f>Q279*(1-Q119)*(1-IF(29&gt;=Q64,Seasonality!$D$65*Q120,0))</f>
        <v/>
      </c>
      <c r="R280" s="39">
        <f>R279*(1-R119)*(1-IF(29&gt;=R64,Seasonality!$D$65*R120,0))</f>
        <v/>
      </c>
      <c r="S280" s="39">
        <f>S279*(1-S119)*(1-IF(29&gt;=S64,Seasonality!$D$65*S120,0))</f>
        <v/>
      </c>
      <c r="T280" s="39">
        <f>T279*(1-T119)*(1-IF(29&gt;=T64,Seasonality!$D$65*T120,0))</f>
        <v/>
      </c>
      <c r="U280" s="39">
        <f>U279*(1-U119)*(1-IF(29&gt;=U64,Seasonality!$D$65*U120,0))</f>
        <v/>
      </c>
      <c r="V280" s="39">
        <f>V279*(1-V119)*(1-IF(29&gt;=V64,Seasonality!$D$65*V120,0))</f>
        <v/>
      </c>
      <c r="W280" s="39">
        <f>W279*(1-W119)*(1-IF(29&gt;=W64,Seasonality!$D$65*W120,0))</f>
        <v/>
      </c>
      <c r="X280" s="39">
        <f>X279*(1-X119)*(1-IF(29&gt;=X64,Seasonality!$D$65*X120,0))</f>
        <v/>
      </c>
      <c r="Y280" s="39">
        <f>Y279*(1-Y119)*(1-IF(29&gt;=Y64,Seasonality!$D$65*Y120,0))</f>
        <v/>
      </c>
      <c r="Z280" s="39">
        <f>Z279*(1-Z119)*(1-IF(29&gt;=Z64,Seasonality!$D$65*Z120,0))</f>
        <v/>
      </c>
      <c r="AA280" s="39">
        <f>AA279*(1-AA119)*(1-IF(29&gt;=AA64,Seasonality!$D$65*AA120,0))</f>
        <v/>
      </c>
      <c r="AB280" s="39">
        <f>AB279*(1-AB119)*(1-IF(29&gt;=AB64,Seasonality!$D$65*AB120,0))</f>
        <v/>
      </c>
      <c r="AC280" s="39">
        <f>AC279*(1-AC119)*(1-IF(29&gt;=AC64,Seasonality!$D$65*AC120,0))</f>
        <v/>
      </c>
      <c r="AD280" s="39">
        <f>AD279*(1-AD119)*(1-IF(29&gt;=AD64,Seasonality!$D$65*AD120,0))</f>
        <v/>
      </c>
      <c r="AE280" s="39">
        <f>AE279*(1-AE119)*(1-IF(29&gt;=AE64,Seasonality!$D$65*AE120,0))</f>
        <v/>
      </c>
      <c r="AF280" s="39">
        <f>AF279*(1-AF119)*(1-IF(29&gt;=AF64,Seasonality!$D$65*AF120,0))</f>
        <v/>
      </c>
      <c r="AG280" s="39">
        <f>AG279*(1-AG119)*(1-IF(29&gt;=AG64,Seasonality!$D$65*AG120,0))</f>
        <v/>
      </c>
      <c r="AH280" s="39">
        <f>AH279*(1-AH119)*(1-IF(29&gt;=AH64,Seasonality!$D$65*AH120,0))</f>
        <v/>
      </c>
      <c r="AI280" s="39">
        <f>AI279*(1-AI119)*(1-IF(29&gt;=AI64,Seasonality!$D$65*AI120,0))</f>
        <v/>
      </c>
      <c r="AJ280" s="39">
        <f>AJ279*(1-AJ119)*(1-IF(29&gt;=AJ64,Seasonality!$D$65*AJ120,0))</f>
        <v/>
      </c>
      <c r="AK280" s="39">
        <f>AK279*(1-AK119)*(1-IF(29&gt;=AK64,Seasonality!$D$65*AK120,0))</f>
        <v/>
      </c>
      <c r="AL280" s="39">
        <f>AL279*(1-AL119)*(1-IF(29&gt;=AL64,Seasonality!$D$65*AL120,0))</f>
        <v/>
      </c>
      <c r="AM280" s="39">
        <f>AM279*(1-AM119)*(1-IF(29&gt;=AM64,Seasonality!$D$65*AM120,0))</f>
        <v/>
      </c>
      <c r="AN280" s="39">
        <f>AN279*(1-AN119)*(1-IF(29&gt;=AN64,Seasonality!$D$65*AN120,0))</f>
        <v/>
      </c>
      <c r="AO280" s="39">
        <f>AO279*(1-AO119)*(1-IF(29&gt;=AO64,Seasonality!$D$65*AO120,0))</f>
        <v/>
      </c>
      <c r="AP280" s="39">
        <f>AP279*(1-AP119)*(1-IF(29&gt;=AP64,Seasonality!$D$65*AP120,0))</f>
        <v/>
      </c>
      <c r="AQ280" s="39">
        <f>AQ279*(1-AQ119)*(1-IF(29&gt;=AQ64,Seasonality!$D$65*AQ120,0))</f>
        <v/>
      </c>
      <c r="AR280" s="39">
        <f>AR279*(1-AR119)*(1-IF(29&gt;=AR64,Seasonality!$D$65*AR120,0))</f>
        <v/>
      </c>
      <c r="AS280" s="39">
        <f>AS279*(1-AS119)*(1-IF(29&gt;=AS64,Seasonality!$D$65*AS120,0))</f>
        <v/>
      </c>
      <c r="AT280" s="39">
        <f>AT279*(1-AT119)*(1-IF(29&gt;=AT64,Seasonality!$D$65*AT120,0))</f>
        <v/>
      </c>
      <c r="AU280" s="39">
        <f>AU279*(1-AU119)*(1-IF(29&gt;=AU64,Seasonality!$D$65*AU120,0))</f>
        <v/>
      </c>
      <c r="AV280" s="39">
        <f>AV279*(1-AV119)*(1-IF(29&gt;=AV64,Seasonality!$D$65*AV120,0))</f>
        <v/>
      </c>
      <c r="AW280" s="39">
        <f>AW279*(1-AW119)*(1-IF(29&gt;=AW64,Seasonality!$D$65*AW120,0))</f>
        <v/>
      </c>
      <c r="AX280" s="39">
        <f>AX279*(1-AX119)*(1-IF(29&gt;=AX64,Seasonality!$D$65*AX120,0))</f>
        <v/>
      </c>
      <c r="AY280" s="39">
        <f>AY279*(1-AY119)*(1-IF(29&gt;=AY64,Seasonality!$D$65*AY120,0))</f>
        <v/>
      </c>
      <c r="AZ280" s="39">
        <f>AZ279*(1-AZ119)*(1-IF(29&gt;=AZ64,Seasonality!$D$65*AZ120,0))</f>
        <v/>
      </c>
      <c r="BA280" s="39">
        <f>BA279*(1-BA119)*(1-IF(29&gt;=BA64,Seasonality!$D$65*BA120,0))</f>
        <v/>
      </c>
      <c r="BB280" s="39">
        <f>BB279*(1-BB119)*(1-IF(29&gt;=BB64,Seasonality!$D$65*BB120,0))</f>
        <v/>
      </c>
      <c r="BC280" s="39">
        <f>BC279*(1-BC119)*(1-IF(29&gt;=BC64,Seasonality!$D$65*BC120,0))</f>
        <v/>
      </c>
      <c r="BD280" s="39">
        <f>BD279*(1-BD119)*(1-IF(29&gt;=BD64,Seasonality!$D$65*BD120,0))</f>
        <v/>
      </c>
      <c r="BE280" s="39">
        <f>BE279*(1-BE119)*(1-IF(29&gt;=BE64,Seasonality!$D$65*BE120,0))</f>
        <v/>
      </c>
    </row>
    <row r="281">
      <c r="B281" s="7" t="inlineStr">
        <is>
          <t>Share of institutes still paying · month 31</t>
        </is>
      </c>
      <c r="C281" s="5" t="inlineStr">
        <is>
          <t>%</t>
        </is>
      </c>
      <c r="D281" s="39">
        <f>D280*(1-D119)*(1-IF(30&gt;=D64,Seasonality!$D$66*D120,0))</f>
        <v/>
      </c>
      <c r="E281" s="39">
        <f>E280*(1-E119)*(1-IF(30&gt;=E64,Seasonality!$D$66*E120,0))</f>
        <v/>
      </c>
      <c r="F281" s="39">
        <f>F280*(1-F119)*(1-IF(30&gt;=F64,Seasonality!$D$66*F120,0))</f>
        <v/>
      </c>
      <c r="G281" s="39">
        <f>G280*(1-G119)*(1-IF(30&gt;=G64,Seasonality!$D$66*G120,0))</f>
        <v/>
      </c>
      <c r="H281" s="39">
        <f>H280*(1-H119)*(1-IF(30&gt;=H64,Seasonality!$D$66*H120,0))</f>
        <v/>
      </c>
      <c r="I281" s="39">
        <f>I280*(1-I119)*(1-IF(30&gt;=I64,Seasonality!$D$66*I120,0))</f>
        <v/>
      </c>
      <c r="J281" s="39">
        <f>J280*(1-J119)*(1-IF(30&gt;=J64,Seasonality!$D$66*J120,0))</f>
        <v/>
      </c>
      <c r="K281" s="39">
        <f>K280*(1-K119)*(1-IF(30&gt;=K64,Seasonality!$D$66*K120,0))</f>
        <v/>
      </c>
      <c r="L281" s="39">
        <f>L280*(1-L119)*(1-IF(30&gt;=L64,Seasonality!$D$66*L120,0))</f>
        <v/>
      </c>
      <c r="M281" s="39">
        <f>M280*(1-M119)*(1-IF(30&gt;=M64,Seasonality!$D$66*M120,0))</f>
        <v/>
      </c>
      <c r="N281" s="39">
        <f>N280*(1-N119)*(1-IF(30&gt;=N64,Seasonality!$D$66*N120,0))</f>
        <v/>
      </c>
      <c r="O281" s="39">
        <f>O280*(1-O119)*(1-IF(30&gt;=O64,Seasonality!$D$66*O120,0))</f>
        <v/>
      </c>
      <c r="P281" s="39">
        <f>P280*(1-P119)*(1-IF(30&gt;=P64,Seasonality!$D$66*P120,0))</f>
        <v/>
      </c>
      <c r="Q281" s="39">
        <f>Q280*(1-Q119)*(1-IF(30&gt;=Q64,Seasonality!$D$66*Q120,0))</f>
        <v/>
      </c>
      <c r="R281" s="39">
        <f>R280*(1-R119)*(1-IF(30&gt;=R64,Seasonality!$D$66*R120,0))</f>
        <v/>
      </c>
      <c r="S281" s="39">
        <f>S280*(1-S119)*(1-IF(30&gt;=S64,Seasonality!$D$66*S120,0))</f>
        <v/>
      </c>
      <c r="T281" s="39">
        <f>T280*(1-T119)*(1-IF(30&gt;=T64,Seasonality!$D$66*T120,0))</f>
        <v/>
      </c>
      <c r="U281" s="39">
        <f>U280*(1-U119)*(1-IF(30&gt;=U64,Seasonality!$D$66*U120,0))</f>
        <v/>
      </c>
      <c r="V281" s="39">
        <f>V280*(1-V119)*(1-IF(30&gt;=V64,Seasonality!$D$66*V120,0))</f>
        <v/>
      </c>
      <c r="W281" s="39">
        <f>W280*(1-W119)*(1-IF(30&gt;=W64,Seasonality!$D$66*W120,0))</f>
        <v/>
      </c>
      <c r="X281" s="39">
        <f>X280*(1-X119)*(1-IF(30&gt;=X64,Seasonality!$D$66*X120,0))</f>
        <v/>
      </c>
      <c r="Y281" s="39">
        <f>Y280*(1-Y119)*(1-IF(30&gt;=Y64,Seasonality!$D$66*Y120,0))</f>
        <v/>
      </c>
      <c r="Z281" s="39">
        <f>Z280*(1-Z119)*(1-IF(30&gt;=Z64,Seasonality!$D$66*Z120,0))</f>
        <v/>
      </c>
      <c r="AA281" s="39">
        <f>AA280*(1-AA119)*(1-IF(30&gt;=AA64,Seasonality!$D$66*AA120,0))</f>
        <v/>
      </c>
      <c r="AB281" s="39">
        <f>AB280*(1-AB119)*(1-IF(30&gt;=AB64,Seasonality!$D$66*AB120,0))</f>
        <v/>
      </c>
      <c r="AC281" s="39">
        <f>AC280*(1-AC119)*(1-IF(30&gt;=AC64,Seasonality!$D$66*AC120,0))</f>
        <v/>
      </c>
      <c r="AD281" s="39">
        <f>AD280*(1-AD119)*(1-IF(30&gt;=AD64,Seasonality!$D$66*AD120,0))</f>
        <v/>
      </c>
      <c r="AE281" s="39">
        <f>AE280*(1-AE119)*(1-IF(30&gt;=AE64,Seasonality!$D$66*AE120,0))</f>
        <v/>
      </c>
      <c r="AF281" s="39">
        <f>AF280*(1-AF119)*(1-IF(30&gt;=AF64,Seasonality!$D$66*AF120,0))</f>
        <v/>
      </c>
      <c r="AG281" s="39">
        <f>AG280*(1-AG119)*(1-IF(30&gt;=AG64,Seasonality!$D$66*AG120,0))</f>
        <v/>
      </c>
      <c r="AH281" s="39">
        <f>AH280*(1-AH119)*(1-IF(30&gt;=AH64,Seasonality!$D$66*AH120,0))</f>
        <v/>
      </c>
      <c r="AI281" s="39">
        <f>AI280*(1-AI119)*(1-IF(30&gt;=AI64,Seasonality!$D$66*AI120,0))</f>
        <v/>
      </c>
      <c r="AJ281" s="39">
        <f>AJ280*(1-AJ119)*(1-IF(30&gt;=AJ64,Seasonality!$D$66*AJ120,0))</f>
        <v/>
      </c>
      <c r="AK281" s="39">
        <f>AK280*(1-AK119)*(1-IF(30&gt;=AK64,Seasonality!$D$66*AK120,0))</f>
        <v/>
      </c>
      <c r="AL281" s="39">
        <f>AL280*(1-AL119)*(1-IF(30&gt;=AL64,Seasonality!$D$66*AL120,0))</f>
        <v/>
      </c>
      <c r="AM281" s="39">
        <f>AM280*(1-AM119)*(1-IF(30&gt;=AM64,Seasonality!$D$66*AM120,0))</f>
        <v/>
      </c>
      <c r="AN281" s="39">
        <f>AN280*(1-AN119)*(1-IF(30&gt;=AN64,Seasonality!$D$66*AN120,0))</f>
        <v/>
      </c>
      <c r="AO281" s="39">
        <f>AO280*(1-AO119)*(1-IF(30&gt;=AO64,Seasonality!$D$66*AO120,0))</f>
        <v/>
      </c>
      <c r="AP281" s="39">
        <f>AP280*(1-AP119)*(1-IF(30&gt;=AP64,Seasonality!$D$66*AP120,0))</f>
        <v/>
      </c>
      <c r="AQ281" s="39">
        <f>AQ280*(1-AQ119)*(1-IF(30&gt;=AQ64,Seasonality!$D$66*AQ120,0))</f>
        <v/>
      </c>
      <c r="AR281" s="39">
        <f>AR280*(1-AR119)*(1-IF(30&gt;=AR64,Seasonality!$D$66*AR120,0))</f>
        <v/>
      </c>
      <c r="AS281" s="39">
        <f>AS280*(1-AS119)*(1-IF(30&gt;=AS64,Seasonality!$D$66*AS120,0))</f>
        <v/>
      </c>
      <c r="AT281" s="39">
        <f>AT280*(1-AT119)*(1-IF(30&gt;=AT64,Seasonality!$D$66*AT120,0))</f>
        <v/>
      </c>
      <c r="AU281" s="39">
        <f>AU280*(1-AU119)*(1-IF(30&gt;=AU64,Seasonality!$D$66*AU120,0))</f>
        <v/>
      </c>
      <c r="AV281" s="39">
        <f>AV280*(1-AV119)*(1-IF(30&gt;=AV64,Seasonality!$D$66*AV120,0))</f>
        <v/>
      </c>
      <c r="AW281" s="39">
        <f>AW280*(1-AW119)*(1-IF(30&gt;=AW64,Seasonality!$D$66*AW120,0))</f>
        <v/>
      </c>
      <c r="AX281" s="39">
        <f>AX280*(1-AX119)*(1-IF(30&gt;=AX64,Seasonality!$D$66*AX120,0))</f>
        <v/>
      </c>
      <c r="AY281" s="39">
        <f>AY280*(1-AY119)*(1-IF(30&gt;=AY64,Seasonality!$D$66*AY120,0))</f>
        <v/>
      </c>
      <c r="AZ281" s="39">
        <f>AZ280*(1-AZ119)*(1-IF(30&gt;=AZ64,Seasonality!$D$66*AZ120,0))</f>
        <v/>
      </c>
      <c r="BA281" s="39">
        <f>BA280*(1-BA119)*(1-IF(30&gt;=BA64,Seasonality!$D$66*BA120,0))</f>
        <v/>
      </c>
      <c r="BB281" s="39">
        <f>BB280*(1-BB119)*(1-IF(30&gt;=BB64,Seasonality!$D$66*BB120,0))</f>
        <v/>
      </c>
      <c r="BC281" s="39">
        <f>BC280*(1-BC119)*(1-IF(30&gt;=BC64,Seasonality!$D$66*BC120,0))</f>
        <v/>
      </c>
      <c r="BD281" s="39">
        <f>BD280*(1-BD119)*(1-IF(30&gt;=BD64,Seasonality!$D$66*BD120,0))</f>
        <v/>
      </c>
      <c r="BE281" s="39">
        <f>BE280*(1-BE119)*(1-IF(30&gt;=BE64,Seasonality!$D$66*BE120,0))</f>
        <v/>
      </c>
    </row>
    <row r="282">
      <c r="B282" s="7" t="inlineStr">
        <is>
          <t>Share of institutes still paying · month 32</t>
        </is>
      </c>
      <c r="C282" s="5" t="inlineStr">
        <is>
          <t>%</t>
        </is>
      </c>
      <c r="D282" s="39">
        <f>D281*(1-D119)*(1-IF(31&gt;=D64,Seasonality!$D$67*D120,0))</f>
        <v/>
      </c>
      <c r="E282" s="39">
        <f>E281*(1-E119)*(1-IF(31&gt;=E64,Seasonality!$D$67*E120,0))</f>
        <v/>
      </c>
      <c r="F282" s="39">
        <f>F281*(1-F119)*(1-IF(31&gt;=F64,Seasonality!$D$67*F120,0))</f>
        <v/>
      </c>
      <c r="G282" s="39">
        <f>G281*(1-G119)*(1-IF(31&gt;=G64,Seasonality!$D$67*G120,0))</f>
        <v/>
      </c>
      <c r="H282" s="39">
        <f>H281*(1-H119)*(1-IF(31&gt;=H64,Seasonality!$D$67*H120,0))</f>
        <v/>
      </c>
      <c r="I282" s="39">
        <f>I281*(1-I119)*(1-IF(31&gt;=I64,Seasonality!$D$67*I120,0))</f>
        <v/>
      </c>
      <c r="J282" s="39">
        <f>J281*(1-J119)*(1-IF(31&gt;=J64,Seasonality!$D$67*J120,0))</f>
        <v/>
      </c>
      <c r="K282" s="39">
        <f>K281*(1-K119)*(1-IF(31&gt;=K64,Seasonality!$D$67*K120,0))</f>
        <v/>
      </c>
      <c r="L282" s="39">
        <f>L281*(1-L119)*(1-IF(31&gt;=L64,Seasonality!$D$67*L120,0))</f>
        <v/>
      </c>
      <c r="M282" s="39">
        <f>M281*(1-M119)*(1-IF(31&gt;=M64,Seasonality!$D$67*M120,0))</f>
        <v/>
      </c>
      <c r="N282" s="39">
        <f>N281*(1-N119)*(1-IF(31&gt;=N64,Seasonality!$D$67*N120,0))</f>
        <v/>
      </c>
      <c r="O282" s="39">
        <f>O281*(1-O119)*(1-IF(31&gt;=O64,Seasonality!$D$67*O120,0))</f>
        <v/>
      </c>
      <c r="P282" s="39">
        <f>P281*(1-P119)*(1-IF(31&gt;=P64,Seasonality!$D$67*P120,0))</f>
        <v/>
      </c>
      <c r="Q282" s="39">
        <f>Q281*(1-Q119)*(1-IF(31&gt;=Q64,Seasonality!$D$67*Q120,0))</f>
        <v/>
      </c>
      <c r="R282" s="39">
        <f>R281*(1-R119)*(1-IF(31&gt;=R64,Seasonality!$D$67*R120,0))</f>
        <v/>
      </c>
      <c r="S282" s="39">
        <f>S281*(1-S119)*(1-IF(31&gt;=S64,Seasonality!$D$67*S120,0))</f>
        <v/>
      </c>
      <c r="T282" s="39">
        <f>T281*(1-T119)*(1-IF(31&gt;=T64,Seasonality!$D$67*T120,0))</f>
        <v/>
      </c>
      <c r="U282" s="39">
        <f>U281*(1-U119)*(1-IF(31&gt;=U64,Seasonality!$D$67*U120,0))</f>
        <v/>
      </c>
      <c r="V282" s="39">
        <f>V281*(1-V119)*(1-IF(31&gt;=V64,Seasonality!$D$67*V120,0))</f>
        <v/>
      </c>
      <c r="W282" s="39">
        <f>W281*(1-W119)*(1-IF(31&gt;=W64,Seasonality!$D$67*W120,0))</f>
        <v/>
      </c>
      <c r="X282" s="39">
        <f>X281*(1-X119)*(1-IF(31&gt;=X64,Seasonality!$D$67*X120,0))</f>
        <v/>
      </c>
      <c r="Y282" s="39">
        <f>Y281*(1-Y119)*(1-IF(31&gt;=Y64,Seasonality!$D$67*Y120,0))</f>
        <v/>
      </c>
      <c r="Z282" s="39">
        <f>Z281*(1-Z119)*(1-IF(31&gt;=Z64,Seasonality!$D$67*Z120,0))</f>
        <v/>
      </c>
      <c r="AA282" s="39">
        <f>AA281*(1-AA119)*(1-IF(31&gt;=AA64,Seasonality!$D$67*AA120,0))</f>
        <v/>
      </c>
      <c r="AB282" s="39">
        <f>AB281*(1-AB119)*(1-IF(31&gt;=AB64,Seasonality!$D$67*AB120,0))</f>
        <v/>
      </c>
      <c r="AC282" s="39">
        <f>AC281*(1-AC119)*(1-IF(31&gt;=AC64,Seasonality!$D$67*AC120,0))</f>
        <v/>
      </c>
      <c r="AD282" s="39">
        <f>AD281*(1-AD119)*(1-IF(31&gt;=AD64,Seasonality!$D$67*AD120,0))</f>
        <v/>
      </c>
      <c r="AE282" s="39">
        <f>AE281*(1-AE119)*(1-IF(31&gt;=AE64,Seasonality!$D$67*AE120,0))</f>
        <v/>
      </c>
      <c r="AF282" s="39">
        <f>AF281*(1-AF119)*(1-IF(31&gt;=AF64,Seasonality!$D$67*AF120,0))</f>
        <v/>
      </c>
      <c r="AG282" s="39">
        <f>AG281*(1-AG119)*(1-IF(31&gt;=AG64,Seasonality!$D$67*AG120,0))</f>
        <v/>
      </c>
      <c r="AH282" s="39">
        <f>AH281*(1-AH119)*(1-IF(31&gt;=AH64,Seasonality!$D$67*AH120,0))</f>
        <v/>
      </c>
      <c r="AI282" s="39">
        <f>AI281*(1-AI119)*(1-IF(31&gt;=AI64,Seasonality!$D$67*AI120,0))</f>
        <v/>
      </c>
      <c r="AJ282" s="39">
        <f>AJ281*(1-AJ119)*(1-IF(31&gt;=AJ64,Seasonality!$D$67*AJ120,0))</f>
        <v/>
      </c>
      <c r="AK282" s="39">
        <f>AK281*(1-AK119)*(1-IF(31&gt;=AK64,Seasonality!$D$67*AK120,0))</f>
        <v/>
      </c>
      <c r="AL282" s="39">
        <f>AL281*(1-AL119)*(1-IF(31&gt;=AL64,Seasonality!$D$67*AL120,0))</f>
        <v/>
      </c>
      <c r="AM282" s="39">
        <f>AM281*(1-AM119)*(1-IF(31&gt;=AM64,Seasonality!$D$67*AM120,0))</f>
        <v/>
      </c>
      <c r="AN282" s="39">
        <f>AN281*(1-AN119)*(1-IF(31&gt;=AN64,Seasonality!$D$67*AN120,0))</f>
        <v/>
      </c>
      <c r="AO282" s="39">
        <f>AO281*(1-AO119)*(1-IF(31&gt;=AO64,Seasonality!$D$67*AO120,0))</f>
        <v/>
      </c>
      <c r="AP282" s="39">
        <f>AP281*(1-AP119)*(1-IF(31&gt;=AP64,Seasonality!$D$67*AP120,0))</f>
        <v/>
      </c>
      <c r="AQ282" s="39">
        <f>AQ281*(1-AQ119)*(1-IF(31&gt;=AQ64,Seasonality!$D$67*AQ120,0))</f>
        <v/>
      </c>
      <c r="AR282" s="39">
        <f>AR281*(1-AR119)*(1-IF(31&gt;=AR64,Seasonality!$D$67*AR120,0))</f>
        <v/>
      </c>
      <c r="AS282" s="39">
        <f>AS281*(1-AS119)*(1-IF(31&gt;=AS64,Seasonality!$D$67*AS120,0))</f>
        <v/>
      </c>
      <c r="AT282" s="39">
        <f>AT281*(1-AT119)*(1-IF(31&gt;=AT64,Seasonality!$D$67*AT120,0))</f>
        <v/>
      </c>
      <c r="AU282" s="39">
        <f>AU281*(1-AU119)*(1-IF(31&gt;=AU64,Seasonality!$D$67*AU120,0))</f>
        <v/>
      </c>
      <c r="AV282" s="39">
        <f>AV281*(1-AV119)*(1-IF(31&gt;=AV64,Seasonality!$D$67*AV120,0))</f>
        <v/>
      </c>
      <c r="AW282" s="39">
        <f>AW281*(1-AW119)*(1-IF(31&gt;=AW64,Seasonality!$D$67*AW120,0))</f>
        <v/>
      </c>
      <c r="AX282" s="39">
        <f>AX281*(1-AX119)*(1-IF(31&gt;=AX64,Seasonality!$D$67*AX120,0))</f>
        <v/>
      </c>
      <c r="AY282" s="39">
        <f>AY281*(1-AY119)*(1-IF(31&gt;=AY64,Seasonality!$D$67*AY120,0))</f>
        <v/>
      </c>
      <c r="AZ282" s="39">
        <f>AZ281*(1-AZ119)*(1-IF(31&gt;=AZ64,Seasonality!$D$67*AZ120,0))</f>
        <v/>
      </c>
      <c r="BA282" s="39">
        <f>BA281*(1-BA119)*(1-IF(31&gt;=BA64,Seasonality!$D$67*BA120,0))</f>
        <v/>
      </c>
      <c r="BB282" s="39">
        <f>BB281*(1-BB119)*(1-IF(31&gt;=BB64,Seasonality!$D$67*BB120,0))</f>
        <v/>
      </c>
      <c r="BC282" s="39">
        <f>BC281*(1-BC119)*(1-IF(31&gt;=BC64,Seasonality!$D$67*BC120,0))</f>
        <v/>
      </c>
      <c r="BD282" s="39">
        <f>BD281*(1-BD119)*(1-IF(31&gt;=BD64,Seasonality!$D$67*BD120,0))</f>
        <v/>
      </c>
      <c r="BE282" s="39">
        <f>BE281*(1-BE119)*(1-IF(31&gt;=BE64,Seasonality!$D$67*BE120,0))</f>
        <v/>
      </c>
    </row>
    <row r="283">
      <c r="B283" s="7" t="inlineStr">
        <is>
          <t>Share of institutes still paying · month 33</t>
        </is>
      </c>
      <c r="C283" s="5" t="inlineStr">
        <is>
          <t>%</t>
        </is>
      </c>
      <c r="D283" s="39">
        <f>D282*(1-D119)*(1-IF(32&gt;=D64,Seasonality!$D$68*D120,0))</f>
        <v/>
      </c>
      <c r="E283" s="39">
        <f>E282*(1-E119)*(1-IF(32&gt;=E64,Seasonality!$D$68*E120,0))</f>
        <v/>
      </c>
      <c r="F283" s="39">
        <f>F282*(1-F119)*(1-IF(32&gt;=F64,Seasonality!$D$68*F120,0))</f>
        <v/>
      </c>
      <c r="G283" s="39">
        <f>G282*(1-G119)*(1-IF(32&gt;=G64,Seasonality!$D$68*G120,0))</f>
        <v/>
      </c>
      <c r="H283" s="39">
        <f>H282*(1-H119)*(1-IF(32&gt;=H64,Seasonality!$D$68*H120,0))</f>
        <v/>
      </c>
      <c r="I283" s="39">
        <f>I282*(1-I119)*(1-IF(32&gt;=I64,Seasonality!$D$68*I120,0))</f>
        <v/>
      </c>
      <c r="J283" s="39">
        <f>J282*(1-J119)*(1-IF(32&gt;=J64,Seasonality!$D$68*J120,0))</f>
        <v/>
      </c>
      <c r="K283" s="39">
        <f>K282*(1-K119)*(1-IF(32&gt;=K64,Seasonality!$D$68*K120,0))</f>
        <v/>
      </c>
      <c r="L283" s="39">
        <f>L282*(1-L119)*(1-IF(32&gt;=L64,Seasonality!$D$68*L120,0))</f>
        <v/>
      </c>
      <c r="M283" s="39">
        <f>M282*(1-M119)*(1-IF(32&gt;=M64,Seasonality!$D$68*M120,0))</f>
        <v/>
      </c>
      <c r="N283" s="39">
        <f>N282*(1-N119)*(1-IF(32&gt;=N64,Seasonality!$D$68*N120,0))</f>
        <v/>
      </c>
      <c r="O283" s="39">
        <f>O282*(1-O119)*(1-IF(32&gt;=O64,Seasonality!$D$68*O120,0))</f>
        <v/>
      </c>
      <c r="P283" s="39">
        <f>P282*(1-P119)*(1-IF(32&gt;=P64,Seasonality!$D$68*P120,0))</f>
        <v/>
      </c>
      <c r="Q283" s="39">
        <f>Q282*(1-Q119)*(1-IF(32&gt;=Q64,Seasonality!$D$68*Q120,0))</f>
        <v/>
      </c>
      <c r="R283" s="39">
        <f>R282*(1-R119)*(1-IF(32&gt;=R64,Seasonality!$D$68*R120,0))</f>
        <v/>
      </c>
      <c r="S283" s="39">
        <f>S282*(1-S119)*(1-IF(32&gt;=S64,Seasonality!$D$68*S120,0))</f>
        <v/>
      </c>
      <c r="T283" s="39">
        <f>T282*(1-T119)*(1-IF(32&gt;=T64,Seasonality!$D$68*T120,0))</f>
        <v/>
      </c>
      <c r="U283" s="39">
        <f>U282*(1-U119)*(1-IF(32&gt;=U64,Seasonality!$D$68*U120,0))</f>
        <v/>
      </c>
      <c r="V283" s="39">
        <f>V282*(1-V119)*(1-IF(32&gt;=V64,Seasonality!$D$68*V120,0))</f>
        <v/>
      </c>
      <c r="W283" s="39">
        <f>W282*(1-W119)*(1-IF(32&gt;=W64,Seasonality!$D$68*W120,0))</f>
        <v/>
      </c>
      <c r="X283" s="39">
        <f>X282*(1-X119)*(1-IF(32&gt;=X64,Seasonality!$D$68*X120,0))</f>
        <v/>
      </c>
      <c r="Y283" s="39">
        <f>Y282*(1-Y119)*(1-IF(32&gt;=Y64,Seasonality!$D$68*Y120,0))</f>
        <v/>
      </c>
      <c r="Z283" s="39">
        <f>Z282*(1-Z119)*(1-IF(32&gt;=Z64,Seasonality!$D$68*Z120,0))</f>
        <v/>
      </c>
      <c r="AA283" s="39">
        <f>AA282*(1-AA119)*(1-IF(32&gt;=AA64,Seasonality!$D$68*AA120,0))</f>
        <v/>
      </c>
      <c r="AB283" s="39">
        <f>AB282*(1-AB119)*(1-IF(32&gt;=AB64,Seasonality!$D$68*AB120,0))</f>
        <v/>
      </c>
      <c r="AC283" s="39">
        <f>AC282*(1-AC119)*(1-IF(32&gt;=AC64,Seasonality!$D$68*AC120,0))</f>
        <v/>
      </c>
      <c r="AD283" s="39">
        <f>AD282*(1-AD119)*(1-IF(32&gt;=AD64,Seasonality!$D$68*AD120,0))</f>
        <v/>
      </c>
      <c r="AE283" s="39">
        <f>AE282*(1-AE119)*(1-IF(32&gt;=AE64,Seasonality!$D$68*AE120,0))</f>
        <v/>
      </c>
      <c r="AF283" s="39">
        <f>AF282*(1-AF119)*(1-IF(32&gt;=AF64,Seasonality!$D$68*AF120,0))</f>
        <v/>
      </c>
      <c r="AG283" s="39">
        <f>AG282*(1-AG119)*(1-IF(32&gt;=AG64,Seasonality!$D$68*AG120,0))</f>
        <v/>
      </c>
      <c r="AH283" s="39">
        <f>AH282*(1-AH119)*(1-IF(32&gt;=AH64,Seasonality!$D$68*AH120,0))</f>
        <v/>
      </c>
      <c r="AI283" s="39">
        <f>AI282*(1-AI119)*(1-IF(32&gt;=AI64,Seasonality!$D$68*AI120,0))</f>
        <v/>
      </c>
      <c r="AJ283" s="39">
        <f>AJ282*(1-AJ119)*(1-IF(32&gt;=AJ64,Seasonality!$D$68*AJ120,0))</f>
        <v/>
      </c>
      <c r="AK283" s="39">
        <f>AK282*(1-AK119)*(1-IF(32&gt;=AK64,Seasonality!$D$68*AK120,0))</f>
        <v/>
      </c>
      <c r="AL283" s="39">
        <f>AL282*(1-AL119)*(1-IF(32&gt;=AL64,Seasonality!$D$68*AL120,0))</f>
        <v/>
      </c>
      <c r="AM283" s="39">
        <f>AM282*(1-AM119)*(1-IF(32&gt;=AM64,Seasonality!$D$68*AM120,0))</f>
        <v/>
      </c>
      <c r="AN283" s="39">
        <f>AN282*(1-AN119)*(1-IF(32&gt;=AN64,Seasonality!$D$68*AN120,0))</f>
        <v/>
      </c>
      <c r="AO283" s="39">
        <f>AO282*(1-AO119)*(1-IF(32&gt;=AO64,Seasonality!$D$68*AO120,0))</f>
        <v/>
      </c>
      <c r="AP283" s="39">
        <f>AP282*(1-AP119)*(1-IF(32&gt;=AP64,Seasonality!$D$68*AP120,0))</f>
        <v/>
      </c>
      <c r="AQ283" s="39">
        <f>AQ282*(1-AQ119)*(1-IF(32&gt;=AQ64,Seasonality!$D$68*AQ120,0))</f>
        <v/>
      </c>
      <c r="AR283" s="39">
        <f>AR282*(1-AR119)*(1-IF(32&gt;=AR64,Seasonality!$D$68*AR120,0))</f>
        <v/>
      </c>
      <c r="AS283" s="39">
        <f>AS282*(1-AS119)*(1-IF(32&gt;=AS64,Seasonality!$D$68*AS120,0))</f>
        <v/>
      </c>
      <c r="AT283" s="39">
        <f>AT282*(1-AT119)*(1-IF(32&gt;=AT64,Seasonality!$D$68*AT120,0))</f>
        <v/>
      </c>
      <c r="AU283" s="39">
        <f>AU282*(1-AU119)*(1-IF(32&gt;=AU64,Seasonality!$D$68*AU120,0))</f>
        <v/>
      </c>
      <c r="AV283" s="39">
        <f>AV282*(1-AV119)*(1-IF(32&gt;=AV64,Seasonality!$D$68*AV120,0))</f>
        <v/>
      </c>
      <c r="AW283" s="39">
        <f>AW282*(1-AW119)*(1-IF(32&gt;=AW64,Seasonality!$D$68*AW120,0))</f>
        <v/>
      </c>
      <c r="AX283" s="39">
        <f>AX282*(1-AX119)*(1-IF(32&gt;=AX64,Seasonality!$D$68*AX120,0))</f>
        <v/>
      </c>
      <c r="AY283" s="39">
        <f>AY282*(1-AY119)*(1-IF(32&gt;=AY64,Seasonality!$D$68*AY120,0))</f>
        <v/>
      </c>
      <c r="AZ283" s="39">
        <f>AZ282*(1-AZ119)*(1-IF(32&gt;=AZ64,Seasonality!$D$68*AZ120,0))</f>
        <v/>
      </c>
      <c r="BA283" s="39">
        <f>BA282*(1-BA119)*(1-IF(32&gt;=BA64,Seasonality!$D$68*BA120,0))</f>
        <v/>
      </c>
      <c r="BB283" s="39">
        <f>BB282*(1-BB119)*(1-IF(32&gt;=BB64,Seasonality!$D$68*BB120,0))</f>
        <v/>
      </c>
      <c r="BC283" s="39">
        <f>BC282*(1-BC119)*(1-IF(32&gt;=BC64,Seasonality!$D$68*BC120,0))</f>
        <v/>
      </c>
      <c r="BD283" s="39">
        <f>BD282*(1-BD119)*(1-IF(32&gt;=BD64,Seasonality!$D$68*BD120,0))</f>
        <v/>
      </c>
      <c r="BE283" s="39">
        <f>BE282*(1-BE119)*(1-IF(32&gt;=BE64,Seasonality!$D$68*BE120,0))</f>
        <v/>
      </c>
    </row>
    <row r="284">
      <c r="B284" s="7" t="inlineStr">
        <is>
          <t>Share of institutes still paying · month 34</t>
        </is>
      </c>
      <c r="C284" s="5" t="inlineStr">
        <is>
          <t>%</t>
        </is>
      </c>
      <c r="D284" s="39">
        <f>D283*(1-D119)*(1-IF(33&gt;=D64,Seasonality!$D$69*D120,0))</f>
        <v/>
      </c>
      <c r="E284" s="39">
        <f>E283*(1-E119)*(1-IF(33&gt;=E64,Seasonality!$D$69*E120,0))</f>
        <v/>
      </c>
      <c r="F284" s="39">
        <f>F283*(1-F119)*(1-IF(33&gt;=F64,Seasonality!$D$69*F120,0))</f>
        <v/>
      </c>
      <c r="G284" s="39">
        <f>G283*(1-G119)*(1-IF(33&gt;=G64,Seasonality!$D$69*G120,0))</f>
        <v/>
      </c>
      <c r="H284" s="39">
        <f>H283*(1-H119)*(1-IF(33&gt;=H64,Seasonality!$D$69*H120,0))</f>
        <v/>
      </c>
      <c r="I284" s="39">
        <f>I283*(1-I119)*(1-IF(33&gt;=I64,Seasonality!$D$69*I120,0))</f>
        <v/>
      </c>
      <c r="J284" s="39">
        <f>J283*(1-J119)*(1-IF(33&gt;=J64,Seasonality!$D$69*J120,0))</f>
        <v/>
      </c>
      <c r="K284" s="39">
        <f>K283*(1-K119)*(1-IF(33&gt;=K64,Seasonality!$D$69*K120,0))</f>
        <v/>
      </c>
      <c r="L284" s="39">
        <f>L283*(1-L119)*(1-IF(33&gt;=L64,Seasonality!$D$69*L120,0))</f>
        <v/>
      </c>
      <c r="M284" s="39">
        <f>M283*(1-M119)*(1-IF(33&gt;=M64,Seasonality!$D$69*M120,0))</f>
        <v/>
      </c>
      <c r="N284" s="39">
        <f>N283*(1-N119)*(1-IF(33&gt;=N64,Seasonality!$D$69*N120,0))</f>
        <v/>
      </c>
      <c r="O284" s="39">
        <f>O283*(1-O119)*(1-IF(33&gt;=O64,Seasonality!$D$69*O120,0))</f>
        <v/>
      </c>
      <c r="P284" s="39">
        <f>P283*(1-P119)*(1-IF(33&gt;=P64,Seasonality!$D$69*P120,0))</f>
        <v/>
      </c>
      <c r="Q284" s="39">
        <f>Q283*(1-Q119)*(1-IF(33&gt;=Q64,Seasonality!$D$69*Q120,0))</f>
        <v/>
      </c>
      <c r="R284" s="39">
        <f>R283*(1-R119)*(1-IF(33&gt;=R64,Seasonality!$D$69*R120,0))</f>
        <v/>
      </c>
      <c r="S284" s="39">
        <f>S283*(1-S119)*(1-IF(33&gt;=S64,Seasonality!$D$69*S120,0))</f>
        <v/>
      </c>
      <c r="T284" s="39">
        <f>T283*(1-T119)*(1-IF(33&gt;=T64,Seasonality!$D$69*T120,0))</f>
        <v/>
      </c>
      <c r="U284" s="39">
        <f>U283*(1-U119)*(1-IF(33&gt;=U64,Seasonality!$D$69*U120,0))</f>
        <v/>
      </c>
      <c r="V284" s="39">
        <f>V283*(1-V119)*(1-IF(33&gt;=V64,Seasonality!$D$69*V120,0))</f>
        <v/>
      </c>
      <c r="W284" s="39">
        <f>W283*(1-W119)*(1-IF(33&gt;=W64,Seasonality!$D$69*W120,0))</f>
        <v/>
      </c>
      <c r="X284" s="39">
        <f>X283*(1-X119)*(1-IF(33&gt;=X64,Seasonality!$D$69*X120,0))</f>
        <v/>
      </c>
      <c r="Y284" s="39">
        <f>Y283*(1-Y119)*(1-IF(33&gt;=Y64,Seasonality!$D$69*Y120,0))</f>
        <v/>
      </c>
      <c r="Z284" s="39">
        <f>Z283*(1-Z119)*(1-IF(33&gt;=Z64,Seasonality!$D$69*Z120,0))</f>
        <v/>
      </c>
      <c r="AA284" s="39">
        <f>AA283*(1-AA119)*(1-IF(33&gt;=AA64,Seasonality!$D$69*AA120,0))</f>
        <v/>
      </c>
      <c r="AB284" s="39">
        <f>AB283*(1-AB119)*(1-IF(33&gt;=AB64,Seasonality!$D$69*AB120,0))</f>
        <v/>
      </c>
      <c r="AC284" s="39">
        <f>AC283*(1-AC119)*(1-IF(33&gt;=AC64,Seasonality!$D$69*AC120,0))</f>
        <v/>
      </c>
      <c r="AD284" s="39">
        <f>AD283*(1-AD119)*(1-IF(33&gt;=AD64,Seasonality!$D$69*AD120,0))</f>
        <v/>
      </c>
      <c r="AE284" s="39">
        <f>AE283*(1-AE119)*(1-IF(33&gt;=AE64,Seasonality!$D$69*AE120,0))</f>
        <v/>
      </c>
      <c r="AF284" s="39">
        <f>AF283*(1-AF119)*(1-IF(33&gt;=AF64,Seasonality!$D$69*AF120,0))</f>
        <v/>
      </c>
      <c r="AG284" s="39">
        <f>AG283*(1-AG119)*(1-IF(33&gt;=AG64,Seasonality!$D$69*AG120,0))</f>
        <v/>
      </c>
      <c r="AH284" s="39">
        <f>AH283*(1-AH119)*(1-IF(33&gt;=AH64,Seasonality!$D$69*AH120,0))</f>
        <v/>
      </c>
      <c r="AI284" s="39">
        <f>AI283*(1-AI119)*(1-IF(33&gt;=AI64,Seasonality!$D$69*AI120,0))</f>
        <v/>
      </c>
      <c r="AJ284" s="39">
        <f>AJ283*(1-AJ119)*(1-IF(33&gt;=AJ64,Seasonality!$D$69*AJ120,0))</f>
        <v/>
      </c>
      <c r="AK284" s="39">
        <f>AK283*(1-AK119)*(1-IF(33&gt;=AK64,Seasonality!$D$69*AK120,0))</f>
        <v/>
      </c>
      <c r="AL284" s="39">
        <f>AL283*(1-AL119)*(1-IF(33&gt;=AL64,Seasonality!$D$69*AL120,0))</f>
        <v/>
      </c>
      <c r="AM284" s="39">
        <f>AM283*(1-AM119)*(1-IF(33&gt;=AM64,Seasonality!$D$69*AM120,0))</f>
        <v/>
      </c>
      <c r="AN284" s="39">
        <f>AN283*(1-AN119)*(1-IF(33&gt;=AN64,Seasonality!$D$69*AN120,0))</f>
        <v/>
      </c>
      <c r="AO284" s="39">
        <f>AO283*(1-AO119)*(1-IF(33&gt;=AO64,Seasonality!$D$69*AO120,0))</f>
        <v/>
      </c>
      <c r="AP284" s="39">
        <f>AP283*(1-AP119)*(1-IF(33&gt;=AP64,Seasonality!$D$69*AP120,0))</f>
        <v/>
      </c>
      <c r="AQ284" s="39">
        <f>AQ283*(1-AQ119)*(1-IF(33&gt;=AQ64,Seasonality!$D$69*AQ120,0))</f>
        <v/>
      </c>
      <c r="AR284" s="39">
        <f>AR283*(1-AR119)*(1-IF(33&gt;=AR64,Seasonality!$D$69*AR120,0))</f>
        <v/>
      </c>
      <c r="AS284" s="39">
        <f>AS283*(1-AS119)*(1-IF(33&gt;=AS64,Seasonality!$D$69*AS120,0))</f>
        <v/>
      </c>
      <c r="AT284" s="39">
        <f>AT283*(1-AT119)*(1-IF(33&gt;=AT64,Seasonality!$D$69*AT120,0))</f>
        <v/>
      </c>
      <c r="AU284" s="39">
        <f>AU283*(1-AU119)*(1-IF(33&gt;=AU64,Seasonality!$D$69*AU120,0))</f>
        <v/>
      </c>
      <c r="AV284" s="39">
        <f>AV283*(1-AV119)*(1-IF(33&gt;=AV64,Seasonality!$D$69*AV120,0))</f>
        <v/>
      </c>
      <c r="AW284" s="39">
        <f>AW283*(1-AW119)*(1-IF(33&gt;=AW64,Seasonality!$D$69*AW120,0))</f>
        <v/>
      </c>
      <c r="AX284" s="39">
        <f>AX283*(1-AX119)*(1-IF(33&gt;=AX64,Seasonality!$D$69*AX120,0))</f>
        <v/>
      </c>
      <c r="AY284" s="39">
        <f>AY283*(1-AY119)*(1-IF(33&gt;=AY64,Seasonality!$D$69*AY120,0))</f>
        <v/>
      </c>
      <c r="AZ284" s="39">
        <f>AZ283*(1-AZ119)*(1-IF(33&gt;=AZ64,Seasonality!$D$69*AZ120,0))</f>
        <v/>
      </c>
      <c r="BA284" s="39">
        <f>BA283*(1-BA119)*(1-IF(33&gt;=BA64,Seasonality!$D$69*BA120,0))</f>
        <v/>
      </c>
      <c r="BB284" s="39">
        <f>BB283*(1-BB119)*(1-IF(33&gt;=BB64,Seasonality!$D$69*BB120,0))</f>
        <v/>
      </c>
      <c r="BC284" s="39">
        <f>BC283*(1-BC119)*(1-IF(33&gt;=BC64,Seasonality!$D$69*BC120,0))</f>
        <v/>
      </c>
      <c r="BD284" s="39">
        <f>BD283*(1-BD119)*(1-IF(33&gt;=BD64,Seasonality!$D$69*BD120,0))</f>
        <v/>
      </c>
      <c r="BE284" s="39">
        <f>BE283*(1-BE119)*(1-IF(33&gt;=BE64,Seasonality!$D$69*BE120,0))</f>
        <v/>
      </c>
    </row>
    <row r="285">
      <c r="B285" s="7" t="inlineStr">
        <is>
          <t>Share of institutes still paying · month 35</t>
        </is>
      </c>
      <c r="C285" s="5" t="inlineStr">
        <is>
          <t>%</t>
        </is>
      </c>
      <c r="D285" s="39">
        <f>D284*(1-D119)*(1-IF(34&gt;=D64,Seasonality!$D$70*D120,0))</f>
        <v/>
      </c>
      <c r="E285" s="39">
        <f>E284*(1-E119)*(1-IF(34&gt;=E64,Seasonality!$D$70*E120,0))</f>
        <v/>
      </c>
      <c r="F285" s="39">
        <f>F284*(1-F119)*(1-IF(34&gt;=F64,Seasonality!$D$70*F120,0))</f>
        <v/>
      </c>
      <c r="G285" s="39">
        <f>G284*(1-G119)*(1-IF(34&gt;=G64,Seasonality!$D$70*G120,0))</f>
        <v/>
      </c>
      <c r="H285" s="39">
        <f>H284*(1-H119)*(1-IF(34&gt;=H64,Seasonality!$D$70*H120,0))</f>
        <v/>
      </c>
      <c r="I285" s="39">
        <f>I284*(1-I119)*(1-IF(34&gt;=I64,Seasonality!$D$70*I120,0))</f>
        <v/>
      </c>
      <c r="J285" s="39">
        <f>J284*(1-J119)*(1-IF(34&gt;=J64,Seasonality!$D$70*J120,0))</f>
        <v/>
      </c>
      <c r="K285" s="39">
        <f>K284*(1-K119)*(1-IF(34&gt;=K64,Seasonality!$D$70*K120,0))</f>
        <v/>
      </c>
      <c r="L285" s="39">
        <f>L284*(1-L119)*(1-IF(34&gt;=L64,Seasonality!$D$70*L120,0))</f>
        <v/>
      </c>
      <c r="M285" s="39">
        <f>M284*(1-M119)*(1-IF(34&gt;=M64,Seasonality!$D$70*M120,0))</f>
        <v/>
      </c>
      <c r="N285" s="39">
        <f>N284*(1-N119)*(1-IF(34&gt;=N64,Seasonality!$D$70*N120,0))</f>
        <v/>
      </c>
      <c r="O285" s="39">
        <f>O284*(1-O119)*(1-IF(34&gt;=O64,Seasonality!$D$70*O120,0))</f>
        <v/>
      </c>
      <c r="P285" s="39">
        <f>P284*(1-P119)*(1-IF(34&gt;=P64,Seasonality!$D$70*P120,0))</f>
        <v/>
      </c>
      <c r="Q285" s="39">
        <f>Q284*(1-Q119)*(1-IF(34&gt;=Q64,Seasonality!$D$70*Q120,0))</f>
        <v/>
      </c>
      <c r="R285" s="39">
        <f>R284*(1-R119)*(1-IF(34&gt;=R64,Seasonality!$D$70*R120,0))</f>
        <v/>
      </c>
      <c r="S285" s="39">
        <f>S284*(1-S119)*(1-IF(34&gt;=S64,Seasonality!$D$70*S120,0))</f>
        <v/>
      </c>
      <c r="T285" s="39">
        <f>T284*(1-T119)*(1-IF(34&gt;=T64,Seasonality!$D$70*T120,0))</f>
        <v/>
      </c>
      <c r="U285" s="39">
        <f>U284*(1-U119)*(1-IF(34&gt;=U64,Seasonality!$D$70*U120,0))</f>
        <v/>
      </c>
      <c r="V285" s="39">
        <f>V284*(1-V119)*(1-IF(34&gt;=V64,Seasonality!$D$70*V120,0))</f>
        <v/>
      </c>
      <c r="W285" s="39">
        <f>W284*(1-W119)*(1-IF(34&gt;=W64,Seasonality!$D$70*W120,0))</f>
        <v/>
      </c>
      <c r="X285" s="39">
        <f>X284*(1-X119)*(1-IF(34&gt;=X64,Seasonality!$D$70*X120,0))</f>
        <v/>
      </c>
      <c r="Y285" s="39">
        <f>Y284*(1-Y119)*(1-IF(34&gt;=Y64,Seasonality!$D$70*Y120,0))</f>
        <v/>
      </c>
      <c r="Z285" s="39">
        <f>Z284*(1-Z119)*(1-IF(34&gt;=Z64,Seasonality!$D$70*Z120,0))</f>
        <v/>
      </c>
      <c r="AA285" s="39">
        <f>AA284*(1-AA119)*(1-IF(34&gt;=AA64,Seasonality!$D$70*AA120,0))</f>
        <v/>
      </c>
      <c r="AB285" s="39">
        <f>AB284*(1-AB119)*(1-IF(34&gt;=AB64,Seasonality!$D$70*AB120,0))</f>
        <v/>
      </c>
      <c r="AC285" s="39">
        <f>AC284*(1-AC119)*(1-IF(34&gt;=AC64,Seasonality!$D$70*AC120,0))</f>
        <v/>
      </c>
      <c r="AD285" s="39">
        <f>AD284*(1-AD119)*(1-IF(34&gt;=AD64,Seasonality!$D$70*AD120,0))</f>
        <v/>
      </c>
      <c r="AE285" s="39">
        <f>AE284*(1-AE119)*(1-IF(34&gt;=AE64,Seasonality!$D$70*AE120,0))</f>
        <v/>
      </c>
      <c r="AF285" s="39">
        <f>AF284*(1-AF119)*(1-IF(34&gt;=AF64,Seasonality!$D$70*AF120,0))</f>
        <v/>
      </c>
      <c r="AG285" s="39">
        <f>AG284*(1-AG119)*(1-IF(34&gt;=AG64,Seasonality!$D$70*AG120,0))</f>
        <v/>
      </c>
      <c r="AH285" s="39">
        <f>AH284*(1-AH119)*(1-IF(34&gt;=AH64,Seasonality!$D$70*AH120,0))</f>
        <v/>
      </c>
      <c r="AI285" s="39">
        <f>AI284*(1-AI119)*(1-IF(34&gt;=AI64,Seasonality!$D$70*AI120,0))</f>
        <v/>
      </c>
      <c r="AJ285" s="39">
        <f>AJ284*(1-AJ119)*(1-IF(34&gt;=AJ64,Seasonality!$D$70*AJ120,0))</f>
        <v/>
      </c>
      <c r="AK285" s="39">
        <f>AK284*(1-AK119)*(1-IF(34&gt;=AK64,Seasonality!$D$70*AK120,0))</f>
        <v/>
      </c>
      <c r="AL285" s="39">
        <f>AL284*(1-AL119)*(1-IF(34&gt;=AL64,Seasonality!$D$70*AL120,0))</f>
        <v/>
      </c>
      <c r="AM285" s="39">
        <f>AM284*(1-AM119)*(1-IF(34&gt;=AM64,Seasonality!$D$70*AM120,0))</f>
        <v/>
      </c>
      <c r="AN285" s="39">
        <f>AN284*(1-AN119)*(1-IF(34&gt;=AN64,Seasonality!$D$70*AN120,0))</f>
        <v/>
      </c>
      <c r="AO285" s="39">
        <f>AO284*(1-AO119)*(1-IF(34&gt;=AO64,Seasonality!$D$70*AO120,0))</f>
        <v/>
      </c>
      <c r="AP285" s="39">
        <f>AP284*(1-AP119)*(1-IF(34&gt;=AP64,Seasonality!$D$70*AP120,0))</f>
        <v/>
      </c>
      <c r="AQ285" s="39">
        <f>AQ284*(1-AQ119)*(1-IF(34&gt;=AQ64,Seasonality!$D$70*AQ120,0))</f>
        <v/>
      </c>
      <c r="AR285" s="39">
        <f>AR284*(1-AR119)*(1-IF(34&gt;=AR64,Seasonality!$D$70*AR120,0))</f>
        <v/>
      </c>
      <c r="AS285" s="39">
        <f>AS284*(1-AS119)*(1-IF(34&gt;=AS64,Seasonality!$D$70*AS120,0))</f>
        <v/>
      </c>
      <c r="AT285" s="39">
        <f>AT284*(1-AT119)*(1-IF(34&gt;=AT64,Seasonality!$D$70*AT120,0))</f>
        <v/>
      </c>
      <c r="AU285" s="39">
        <f>AU284*(1-AU119)*(1-IF(34&gt;=AU64,Seasonality!$D$70*AU120,0))</f>
        <v/>
      </c>
      <c r="AV285" s="39">
        <f>AV284*(1-AV119)*(1-IF(34&gt;=AV64,Seasonality!$D$70*AV120,0))</f>
        <v/>
      </c>
      <c r="AW285" s="39">
        <f>AW284*(1-AW119)*(1-IF(34&gt;=AW64,Seasonality!$D$70*AW120,0))</f>
        <v/>
      </c>
      <c r="AX285" s="39">
        <f>AX284*(1-AX119)*(1-IF(34&gt;=AX64,Seasonality!$D$70*AX120,0))</f>
        <v/>
      </c>
      <c r="AY285" s="39">
        <f>AY284*(1-AY119)*(1-IF(34&gt;=AY64,Seasonality!$D$70*AY120,0))</f>
        <v/>
      </c>
      <c r="AZ285" s="39">
        <f>AZ284*(1-AZ119)*(1-IF(34&gt;=AZ64,Seasonality!$D$70*AZ120,0))</f>
        <v/>
      </c>
      <c r="BA285" s="39">
        <f>BA284*(1-BA119)*(1-IF(34&gt;=BA64,Seasonality!$D$70*BA120,0))</f>
        <v/>
      </c>
      <c r="BB285" s="39">
        <f>BB284*(1-BB119)*(1-IF(34&gt;=BB64,Seasonality!$D$70*BB120,0))</f>
        <v/>
      </c>
      <c r="BC285" s="39">
        <f>BC284*(1-BC119)*(1-IF(34&gt;=BC64,Seasonality!$D$70*BC120,0))</f>
        <v/>
      </c>
      <c r="BD285" s="39">
        <f>BD284*(1-BD119)*(1-IF(34&gt;=BD64,Seasonality!$D$70*BD120,0))</f>
        <v/>
      </c>
      <c r="BE285" s="39">
        <f>BE284*(1-BE119)*(1-IF(34&gt;=BE64,Seasonality!$D$70*BE120,0))</f>
        <v/>
      </c>
    </row>
    <row r="286">
      <c r="B286" s="7" t="inlineStr">
        <is>
          <t>Share of institutes still paying · month 36</t>
        </is>
      </c>
      <c r="C286" s="5" t="inlineStr">
        <is>
          <t>%</t>
        </is>
      </c>
      <c r="D286" s="39">
        <f>D285*(1-D119)*(1-IF(35&gt;=D64,Seasonality!$D$71*D120,0))</f>
        <v/>
      </c>
      <c r="E286" s="39">
        <f>E285*(1-E119)*(1-IF(35&gt;=E64,Seasonality!$D$71*E120,0))</f>
        <v/>
      </c>
      <c r="F286" s="39">
        <f>F285*(1-F119)*(1-IF(35&gt;=F64,Seasonality!$D$71*F120,0))</f>
        <v/>
      </c>
      <c r="G286" s="39">
        <f>G285*(1-G119)*(1-IF(35&gt;=G64,Seasonality!$D$71*G120,0))</f>
        <v/>
      </c>
      <c r="H286" s="39">
        <f>H285*(1-H119)*(1-IF(35&gt;=H64,Seasonality!$D$71*H120,0))</f>
        <v/>
      </c>
      <c r="I286" s="39">
        <f>I285*(1-I119)*(1-IF(35&gt;=I64,Seasonality!$D$71*I120,0))</f>
        <v/>
      </c>
      <c r="J286" s="39">
        <f>J285*(1-J119)*(1-IF(35&gt;=J64,Seasonality!$D$71*J120,0))</f>
        <v/>
      </c>
      <c r="K286" s="39">
        <f>K285*(1-K119)*(1-IF(35&gt;=K64,Seasonality!$D$71*K120,0))</f>
        <v/>
      </c>
      <c r="L286" s="39">
        <f>L285*(1-L119)*(1-IF(35&gt;=L64,Seasonality!$D$71*L120,0))</f>
        <v/>
      </c>
      <c r="M286" s="39">
        <f>M285*(1-M119)*(1-IF(35&gt;=M64,Seasonality!$D$71*M120,0))</f>
        <v/>
      </c>
      <c r="N286" s="39">
        <f>N285*(1-N119)*(1-IF(35&gt;=N64,Seasonality!$D$71*N120,0))</f>
        <v/>
      </c>
      <c r="O286" s="39">
        <f>O285*(1-O119)*(1-IF(35&gt;=O64,Seasonality!$D$71*O120,0))</f>
        <v/>
      </c>
      <c r="P286" s="39">
        <f>P285*(1-P119)*(1-IF(35&gt;=P64,Seasonality!$D$71*P120,0))</f>
        <v/>
      </c>
      <c r="Q286" s="39">
        <f>Q285*(1-Q119)*(1-IF(35&gt;=Q64,Seasonality!$D$71*Q120,0))</f>
        <v/>
      </c>
      <c r="R286" s="39">
        <f>R285*(1-R119)*(1-IF(35&gt;=R64,Seasonality!$D$71*R120,0))</f>
        <v/>
      </c>
      <c r="S286" s="39">
        <f>S285*(1-S119)*(1-IF(35&gt;=S64,Seasonality!$D$71*S120,0))</f>
        <v/>
      </c>
      <c r="T286" s="39">
        <f>T285*(1-T119)*(1-IF(35&gt;=T64,Seasonality!$D$71*T120,0))</f>
        <v/>
      </c>
      <c r="U286" s="39">
        <f>U285*(1-U119)*(1-IF(35&gt;=U64,Seasonality!$D$71*U120,0))</f>
        <v/>
      </c>
      <c r="V286" s="39">
        <f>V285*(1-V119)*(1-IF(35&gt;=V64,Seasonality!$D$71*V120,0))</f>
        <v/>
      </c>
      <c r="W286" s="39">
        <f>W285*(1-W119)*(1-IF(35&gt;=W64,Seasonality!$D$71*W120,0))</f>
        <v/>
      </c>
      <c r="X286" s="39">
        <f>X285*(1-X119)*(1-IF(35&gt;=X64,Seasonality!$D$71*X120,0))</f>
        <v/>
      </c>
      <c r="Y286" s="39">
        <f>Y285*(1-Y119)*(1-IF(35&gt;=Y64,Seasonality!$D$71*Y120,0))</f>
        <v/>
      </c>
      <c r="Z286" s="39">
        <f>Z285*(1-Z119)*(1-IF(35&gt;=Z64,Seasonality!$D$71*Z120,0))</f>
        <v/>
      </c>
      <c r="AA286" s="39">
        <f>AA285*(1-AA119)*(1-IF(35&gt;=AA64,Seasonality!$D$71*AA120,0))</f>
        <v/>
      </c>
      <c r="AB286" s="39">
        <f>AB285*(1-AB119)*(1-IF(35&gt;=AB64,Seasonality!$D$71*AB120,0))</f>
        <v/>
      </c>
      <c r="AC286" s="39">
        <f>AC285*(1-AC119)*(1-IF(35&gt;=AC64,Seasonality!$D$71*AC120,0))</f>
        <v/>
      </c>
      <c r="AD286" s="39">
        <f>AD285*(1-AD119)*(1-IF(35&gt;=AD64,Seasonality!$D$71*AD120,0))</f>
        <v/>
      </c>
      <c r="AE286" s="39">
        <f>AE285*(1-AE119)*(1-IF(35&gt;=AE64,Seasonality!$D$71*AE120,0))</f>
        <v/>
      </c>
      <c r="AF286" s="39">
        <f>AF285*(1-AF119)*(1-IF(35&gt;=AF64,Seasonality!$D$71*AF120,0))</f>
        <v/>
      </c>
      <c r="AG286" s="39">
        <f>AG285*(1-AG119)*(1-IF(35&gt;=AG64,Seasonality!$D$71*AG120,0))</f>
        <v/>
      </c>
      <c r="AH286" s="39">
        <f>AH285*(1-AH119)*(1-IF(35&gt;=AH64,Seasonality!$D$71*AH120,0))</f>
        <v/>
      </c>
      <c r="AI286" s="39">
        <f>AI285*(1-AI119)*(1-IF(35&gt;=AI64,Seasonality!$D$71*AI120,0))</f>
        <v/>
      </c>
      <c r="AJ286" s="39">
        <f>AJ285*(1-AJ119)*(1-IF(35&gt;=AJ64,Seasonality!$D$71*AJ120,0))</f>
        <v/>
      </c>
      <c r="AK286" s="39">
        <f>AK285*(1-AK119)*(1-IF(35&gt;=AK64,Seasonality!$D$71*AK120,0))</f>
        <v/>
      </c>
      <c r="AL286" s="39">
        <f>AL285*(1-AL119)*(1-IF(35&gt;=AL64,Seasonality!$D$71*AL120,0))</f>
        <v/>
      </c>
      <c r="AM286" s="39">
        <f>AM285*(1-AM119)*(1-IF(35&gt;=AM64,Seasonality!$D$71*AM120,0))</f>
        <v/>
      </c>
      <c r="AN286" s="39">
        <f>AN285*(1-AN119)*(1-IF(35&gt;=AN64,Seasonality!$D$71*AN120,0))</f>
        <v/>
      </c>
      <c r="AO286" s="39">
        <f>AO285*(1-AO119)*(1-IF(35&gt;=AO64,Seasonality!$D$71*AO120,0))</f>
        <v/>
      </c>
      <c r="AP286" s="39">
        <f>AP285*(1-AP119)*(1-IF(35&gt;=AP64,Seasonality!$D$71*AP120,0))</f>
        <v/>
      </c>
      <c r="AQ286" s="39">
        <f>AQ285*(1-AQ119)*(1-IF(35&gt;=AQ64,Seasonality!$D$71*AQ120,0))</f>
        <v/>
      </c>
      <c r="AR286" s="39">
        <f>AR285*(1-AR119)*(1-IF(35&gt;=AR64,Seasonality!$D$71*AR120,0))</f>
        <v/>
      </c>
      <c r="AS286" s="39">
        <f>AS285*(1-AS119)*(1-IF(35&gt;=AS64,Seasonality!$D$71*AS120,0))</f>
        <v/>
      </c>
      <c r="AT286" s="39">
        <f>AT285*(1-AT119)*(1-IF(35&gt;=AT64,Seasonality!$D$71*AT120,0))</f>
        <v/>
      </c>
      <c r="AU286" s="39">
        <f>AU285*(1-AU119)*(1-IF(35&gt;=AU64,Seasonality!$D$71*AU120,0))</f>
        <v/>
      </c>
      <c r="AV286" s="39">
        <f>AV285*(1-AV119)*(1-IF(35&gt;=AV64,Seasonality!$D$71*AV120,0))</f>
        <v/>
      </c>
      <c r="AW286" s="39">
        <f>AW285*(1-AW119)*(1-IF(35&gt;=AW64,Seasonality!$D$71*AW120,0))</f>
        <v/>
      </c>
      <c r="AX286" s="39">
        <f>AX285*(1-AX119)*(1-IF(35&gt;=AX64,Seasonality!$D$71*AX120,0))</f>
        <v/>
      </c>
      <c r="AY286" s="39">
        <f>AY285*(1-AY119)*(1-IF(35&gt;=AY64,Seasonality!$D$71*AY120,0))</f>
        <v/>
      </c>
      <c r="AZ286" s="39">
        <f>AZ285*(1-AZ119)*(1-IF(35&gt;=AZ64,Seasonality!$D$71*AZ120,0))</f>
        <v/>
      </c>
      <c r="BA286" s="39">
        <f>BA285*(1-BA119)*(1-IF(35&gt;=BA64,Seasonality!$D$71*BA120,0))</f>
        <v/>
      </c>
      <c r="BB286" s="39">
        <f>BB285*(1-BB119)*(1-IF(35&gt;=BB64,Seasonality!$D$71*BB120,0))</f>
        <v/>
      </c>
      <c r="BC286" s="39">
        <f>BC285*(1-BC119)*(1-IF(35&gt;=BC64,Seasonality!$D$71*BC120,0))</f>
        <v/>
      </c>
      <c r="BD286" s="39">
        <f>BD285*(1-BD119)*(1-IF(35&gt;=BD64,Seasonality!$D$71*BD120,0))</f>
        <v/>
      </c>
      <c r="BE286" s="39">
        <f>BE285*(1-BE119)*(1-IF(35&gt;=BE64,Seasonality!$D$71*BE120,0))</f>
        <v/>
      </c>
    </row>
    <row r="287">
      <c r="B287" s="7" t="inlineStr">
        <is>
          <t>Share of institutes still paying · month 37</t>
        </is>
      </c>
      <c r="C287" s="5" t="inlineStr">
        <is>
          <t>%</t>
        </is>
      </c>
      <c r="D287" s="39">
        <f>D286*(1-D119)*(1-IF(36&gt;=D64,Seasonality!$D$72*D120,0))</f>
        <v/>
      </c>
      <c r="E287" s="39">
        <f>E286*(1-E119)*(1-IF(36&gt;=E64,Seasonality!$D$72*E120,0))</f>
        <v/>
      </c>
      <c r="F287" s="39">
        <f>F286*(1-F119)*(1-IF(36&gt;=F64,Seasonality!$D$72*F120,0))</f>
        <v/>
      </c>
      <c r="G287" s="39">
        <f>G286*(1-G119)*(1-IF(36&gt;=G64,Seasonality!$D$72*G120,0))</f>
        <v/>
      </c>
      <c r="H287" s="39">
        <f>H286*(1-H119)*(1-IF(36&gt;=H64,Seasonality!$D$72*H120,0))</f>
        <v/>
      </c>
      <c r="I287" s="39">
        <f>I286*(1-I119)*(1-IF(36&gt;=I64,Seasonality!$D$72*I120,0))</f>
        <v/>
      </c>
      <c r="J287" s="39">
        <f>J286*(1-J119)*(1-IF(36&gt;=J64,Seasonality!$D$72*J120,0))</f>
        <v/>
      </c>
      <c r="K287" s="39">
        <f>K286*(1-K119)*(1-IF(36&gt;=K64,Seasonality!$D$72*K120,0))</f>
        <v/>
      </c>
      <c r="L287" s="39">
        <f>L286*(1-L119)*(1-IF(36&gt;=L64,Seasonality!$D$72*L120,0))</f>
        <v/>
      </c>
      <c r="M287" s="39">
        <f>M286*(1-M119)*(1-IF(36&gt;=M64,Seasonality!$D$72*M120,0))</f>
        <v/>
      </c>
      <c r="N287" s="39">
        <f>N286*(1-N119)*(1-IF(36&gt;=N64,Seasonality!$D$72*N120,0))</f>
        <v/>
      </c>
      <c r="O287" s="39">
        <f>O286*(1-O119)*(1-IF(36&gt;=O64,Seasonality!$D$72*O120,0))</f>
        <v/>
      </c>
      <c r="P287" s="39">
        <f>P286*(1-P119)*(1-IF(36&gt;=P64,Seasonality!$D$72*P120,0))</f>
        <v/>
      </c>
      <c r="Q287" s="39">
        <f>Q286*(1-Q119)*(1-IF(36&gt;=Q64,Seasonality!$D$72*Q120,0))</f>
        <v/>
      </c>
      <c r="R287" s="39">
        <f>R286*(1-R119)*(1-IF(36&gt;=R64,Seasonality!$D$72*R120,0))</f>
        <v/>
      </c>
      <c r="S287" s="39">
        <f>S286*(1-S119)*(1-IF(36&gt;=S64,Seasonality!$D$72*S120,0))</f>
        <v/>
      </c>
      <c r="T287" s="39">
        <f>T286*(1-T119)*(1-IF(36&gt;=T64,Seasonality!$D$72*T120,0))</f>
        <v/>
      </c>
      <c r="U287" s="39">
        <f>U286*(1-U119)*(1-IF(36&gt;=U64,Seasonality!$D$72*U120,0))</f>
        <v/>
      </c>
      <c r="V287" s="39">
        <f>V286*(1-V119)*(1-IF(36&gt;=V64,Seasonality!$D$72*V120,0))</f>
        <v/>
      </c>
      <c r="W287" s="39">
        <f>W286*(1-W119)*(1-IF(36&gt;=W64,Seasonality!$D$72*W120,0))</f>
        <v/>
      </c>
      <c r="X287" s="39">
        <f>X286*(1-X119)*(1-IF(36&gt;=X64,Seasonality!$D$72*X120,0))</f>
        <v/>
      </c>
      <c r="Y287" s="39">
        <f>Y286*(1-Y119)*(1-IF(36&gt;=Y64,Seasonality!$D$72*Y120,0))</f>
        <v/>
      </c>
      <c r="Z287" s="39">
        <f>Z286*(1-Z119)*(1-IF(36&gt;=Z64,Seasonality!$D$72*Z120,0))</f>
        <v/>
      </c>
      <c r="AA287" s="39">
        <f>AA286*(1-AA119)*(1-IF(36&gt;=AA64,Seasonality!$D$72*AA120,0))</f>
        <v/>
      </c>
      <c r="AB287" s="39">
        <f>AB286*(1-AB119)*(1-IF(36&gt;=AB64,Seasonality!$D$72*AB120,0))</f>
        <v/>
      </c>
      <c r="AC287" s="39">
        <f>AC286*(1-AC119)*(1-IF(36&gt;=AC64,Seasonality!$D$72*AC120,0))</f>
        <v/>
      </c>
      <c r="AD287" s="39">
        <f>AD286*(1-AD119)*(1-IF(36&gt;=AD64,Seasonality!$D$72*AD120,0))</f>
        <v/>
      </c>
      <c r="AE287" s="39">
        <f>AE286*(1-AE119)*(1-IF(36&gt;=AE64,Seasonality!$D$72*AE120,0))</f>
        <v/>
      </c>
      <c r="AF287" s="39">
        <f>AF286*(1-AF119)*(1-IF(36&gt;=AF64,Seasonality!$D$72*AF120,0))</f>
        <v/>
      </c>
      <c r="AG287" s="39">
        <f>AG286*(1-AG119)*(1-IF(36&gt;=AG64,Seasonality!$D$72*AG120,0))</f>
        <v/>
      </c>
      <c r="AH287" s="39">
        <f>AH286*(1-AH119)*(1-IF(36&gt;=AH64,Seasonality!$D$72*AH120,0))</f>
        <v/>
      </c>
      <c r="AI287" s="39">
        <f>AI286*(1-AI119)*(1-IF(36&gt;=AI64,Seasonality!$D$72*AI120,0))</f>
        <v/>
      </c>
      <c r="AJ287" s="39">
        <f>AJ286*(1-AJ119)*(1-IF(36&gt;=AJ64,Seasonality!$D$72*AJ120,0))</f>
        <v/>
      </c>
      <c r="AK287" s="39">
        <f>AK286*(1-AK119)*(1-IF(36&gt;=AK64,Seasonality!$D$72*AK120,0))</f>
        <v/>
      </c>
      <c r="AL287" s="39">
        <f>AL286*(1-AL119)*(1-IF(36&gt;=AL64,Seasonality!$D$72*AL120,0))</f>
        <v/>
      </c>
      <c r="AM287" s="39">
        <f>AM286*(1-AM119)*(1-IF(36&gt;=AM64,Seasonality!$D$72*AM120,0))</f>
        <v/>
      </c>
      <c r="AN287" s="39">
        <f>AN286*(1-AN119)*(1-IF(36&gt;=AN64,Seasonality!$D$72*AN120,0))</f>
        <v/>
      </c>
      <c r="AO287" s="39">
        <f>AO286*(1-AO119)*(1-IF(36&gt;=AO64,Seasonality!$D$72*AO120,0))</f>
        <v/>
      </c>
      <c r="AP287" s="39">
        <f>AP286*(1-AP119)*(1-IF(36&gt;=AP64,Seasonality!$D$72*AP120,0))</f>
        <v/>
      </c>
      <c r="AQ287" s="39">
        <f>AQ286*(1-AQ119)*(1-IF(36&gt;=AQ64,Seasonality!$D$72*AQ120,0))</f>
        <v/>
      </c>
      <c r="AR287" s="39">
        <f>AR286*(1-AR119)*(1-IF(36&gt;=AR64,Seasonality!$D$72*AR120,0))</f>
        <v/>
      </c>
      <c r="AS287" s="39">
        <f>AS286*(1-AS119)*(1-IF(36&gt;=AS64,Seasonality!$D$72*AS120,0))</f>
        <v/>
      </c>
      <c r="AT287" s="39">
        <f>AT286*(1-AT119)*(1-IF(36&gt;=AT64,Seasonality!$D$72*AT120,0))</f>
        <v/>
      </c>
      <c r="AU287" s="39">
        <f>AU286*(1-AU119)*(1-IF(36&gt;=AU64,Seasonality!$D$72*AU120,0))</f>
        <v/>
      </c>
      <c r="AV287" s="39">
        <f>AV286*(1-AV119)*(1-IF(36&gt;=AV64,Seasonality!$D$72*AV120,0))</f>
        <v/>
      </c>
      <c r="AW287" s="39">
        <f>AW286*(1-AW119)*(1-IF(36&gt;=AW64,Seasonality!$D$72*AW120,0))</f>
        <v/>
      </c>
      <c r="AX287" s="39">
        <f>AX286*(1-AX119)*(1-IF(36&gt;=AX64,Seasonality!$D$72*AX120,0))</f>
        <v/>
      </c>
      <c r="AY287" s="39">
        <f>AY286*(1-AY119)*(1-IF(36&gt;=AY64,Seasonality!$D$72*AY120,0))</f>
        <v/>
      </c>
      <c r="AZ287" s="39">
        <f>AZ286*(1-AZ119)*(1-IF(36&gt;=AZ64,Seasonality!$D$72*AZ120,0))</f>
        <v/>
      </c>
      <c r="BA287" s="39">
        <f>BA286*(1-BA119)*(1-IF(36&gt;=BA64,Seasonality!$D$72*BA120,0))</f>
        <v/>
      </c>
      <c r="BB287" s="39">
        <f>BB286*(1-BB119)*(1-IF(36&gt;=BB64,Seasonality!$D$72*BB120,0))</f>
        <v/>
      </c>
      <c r="BC287" s="39">
        <f>BC286*(1-BC119)*(1-IF(36&gt;=BC64,Seasonality!$D$72*BC120,0))</f>
        <v/>
      </c>
      <c r="BD287" s="39">
        <f>BD286*(1-BD119)*(1-IF(36&gt;=BD64,Seasonality!$D$72*BD120,0))</f>
        <v/>
      </c>
      <c r="BE287" s="39">
        <f>BE286*(1-BE119)*(1-IF(36&gt;=BE64,Seasonality!$D$72*BE120,0))</f>
        <v/>
      </c>
    </row>
    <row r="288">
      <c r="B288" s="7" t="inlineStr">
        <is>
          <t>Share of institutes still paying · month 38</t>
        </is>
      </c>
      <c r="C288" s="5" t="inlineStr">
        <is>
          <t>%</t>
        </is>
      </c>
      <c r="D288" s="39">
        <f>D287*(1-D119)*(1-IF(37&gt;=D64,Seasonality!$D$73*D120,0))</f>
        <v/>
      </c>
      <c r="E288" s="39">
        <f>E287*(1-E119)*(1-IF(37&gt;=E64,Seasonality!$D$73*E120,0))</f>
        <v/>
      </c>
      <c r="F288" s="39">
        <f>F287*(1-F119)*(1-IF(37&gt;=F64,Seasonality!$D$73*F120,0))</f>
        <v/>
      </c>
      <c r="G288" s="39">
        <f>G287*(1-G119)*(1-IF(37&gt;=G64,Seasonality!$D$73*G120,0))</f>
        <v/>
      </c>
      <c r="H288" s="39">
        <f>H287*(1-H119)*(1-IF(37&gt;=H64,Seasonality!$D$73*H120,0))</f>
        <v/>
      </c>
      <c r="I288" s="39">
        <f>I287*(1-I119)*(1-IF(37&gt;=I64,Seasonality!$D$73*I120,0))</f>
        <v/>
      </c>
      <c r="J288" s="39">
        <f>J287*(1-J119)*(1-IF(37&gt;=J64,Seasonality!$D$73*J120,0))</f>
        <v/>
      </c>
      <c r="K288" s="39">
        <f>K287*(1-K119)*(1-IF(37&gt;=K64,Seasonality!$D$73*K120,0))</f>
        <v/>
      </c>
      <c r="L288" s="39">
        <f>L287*(1-L119)*(1-IF(37&gt;=L64,Seasonality!$D$73*L120,0))</f>
        <v/>
      </c>
      <c r="M288" s="39">
        <f>M287*(1-M119)*(1-IF(37&gt;=M64,Seasonality!$D$73*M120,0))</f>
        <v/>
      </c>
      <c r="N288" s="39">
        <f>N287*(1-N119)*(1-IF(37&gt;=N64,Seasonality!$D$73*N120,0))</f>
        <v/>
      </c>
      <c r="O288" s="39">
        <f>O287*(1-O119)*(1-IF(37&gt;=O64,Seasonality!$D$73*O120,0))</f>
        <v/>
      </c>
      <c r="P288" s="39">
        <f>P287*(1-P119)*(1-IF(37&gt;=P64,Seasonality!$D$73*P120,0))</f>
        <v/>
      </c>
      <c r="Q288" s="39">
        <f>Q287*(1-Q119)*(1-IF(37&gt;=Q64,Seasonality!$D$73*Q120,0))</f>
        <v/>
      </c>
      <c r="R288" s="39">
        <f>R287*(1-R119)*(1-IF(37&gt;=R64,Seasonality!$D$73*R120,0))</f>
        <v/>
      </c>
      <c r="S288" s="39">
        <f>S287*(1-S119)*(1-IF(37&gt;=S64,Seasonality!$D$73*S120,0))</f>
        <v/>
      </c>
      <c r="T288" s="39">
        <f>T287*(1-T119)*(1-IF(37&gt;=T64,Seasonality!$D$73*T120,0))</f>
        <v/>
      </c>
      <c r="U288" s="39">
        <f>U287*(1-U119)*(1-IF(37&gt;=U64,Seasonality!$D$73*U120,0))</f>
        <v/>
      </c>
      <c r="V288" s="39">
        <f>V287*(1-V119)*(1-IF(37&gt;=V64,Seasonality!$D$73*V120,0))</f>
        <v/>
      </c>
      <c r="W288" s="39">
        <f>W287*(1-W119)*(1-IF(37&gt;=W64,Seasonality!$D$73*W120,0))</f>
        <v/>
      </c>
      <c r="X288" s="39">
        <f>X287*(1-X119)*(1-IF(37&gt;=X64,Seasonality!$D$73*X120,0))</f>
        <v/>
      </c>
      <c r="Y288" s="39">
        <f>Y287*(1-Y119)*(1-IF(37&gt;=Y64,Seasonality!$D$73*Y120,0))</f>
        <v/>
      </c>
      <c r="Z288" s="39">
        <f>Z287*(1-Z119)*(1-IF(37&gt;=Z64,Seasonality!$D$73*Z120,0))</f>
        <v/>
      </c>
      <c r="AA288" s="39">
        <f>AA287*(1-AA119)*(1-IF(37&gt;=AA64,Seasonality!$D$73*AA120,0))</f>
        <v/>
      </c>
      <c r="AB288" s="39">
        <f>AB287*(1-AB119)*(1-IF(37&gt;=AB64,Seasonality!$D$73*AB120,0))</f>
        <v/>
      </c>
      <c r="AC288" s="39">
        <f>AC287*(1-AC119)*(1-IF(37&gt;=AC64,Seasonality!$D$73*AC120,0))</f>
        <v/>
      </c>
      <c r="AD288" s="39">
        <f>AD287*(1-AD119)*(1-IF(37&gt;=AD64,Seasonality!$D$73*AD120,0))</f>
        <v/>
      </c>
      <c r="AE288" s="39">
        <f>AE287*(1-AE119)*(1-IF(37&gt;=AE64,Seasonality!$D$73*AE120,0))</f>
        <v/>
      </c>
      <c r="AF288" s="39">
        <f>AF287*(1-AF119)*(1-IF(37&gt;=AF64,Seasonality!$D$73*AF120,0))</f>
        <v/>
      </c>
      <c r="AG288" s="39">
        <f>AG287*(1-AG119)*(1-IF(37&gt;=AG64,Seasonality!$D$73*AG120,0))</f>
        <v/>
      </c>
      <c r="AH288" s="39">
        <f>AH287*(1-AH119)*(1-IF(37&gt;=AH64,Seasonality!$D$73*AH120,0))</f>
        <v/>
      </c>
      <c r="AI288" s="39">
        <f>AI287*(1-AI119)*(1-IF(37&gt;=AI64,Seasonality!$D$73*AI120,0))</f>
        <v/>
      </c>
      <c r="AJ288" s="39">
        <f>AJ287*(1-AJ119)*(1-IF(37&gt;=AJ64,Seasonality!$D$73*AJ120,0))</f>
        <v/>
      </c>
      <c r="AK288" s="39">
        <f>AK287*(1-AK119)*(1-IF(37&gt;=AK64,Seasonality!$D$73*AK120,0))</f>
        <v/>
      </c>
      <c r="AL288" s="39">
        <f>AL287*(1-AL119)*(1-IF(37&gt;=AL64,Seasonality!$D$73*AL120,0))</f>
        <v/>
      </c>
      <c r="AM288" s="39">
        <f>AM287*(1-AM119)*(1-IF(37&gt;=AM64,Seasonality!$D$73*AM120,0))</f>
        <v/>
      </c>
      <c r="AN288" s="39">
        <f>AN287*(1-AN119)*(1-IF(37&gt;=AN64,Seasonality!$D$73*AN120,0))</f>
        <v/>
      </c>
      <c r="AO288" s="39">
        <f>AO287*(1-AO119)*(1-IF(37&gt;=AO64,Seasonality!$D$73*AO120,0))</f>
        <v/>
      </c>
      <c r="AP288" s="39">
        <f>AP287*(1-AP119)*(1-IF(37&gt;=AP64,Seasonality!$D$73*AP120,0))</f>
        <v/>
      </c>
      <c r="AQ288" s="39">
        <f>AQ287*(1-AQ119)*(1-IF(37&gt;=AQ64,Seasonality!$D$73*AQ120,0))</f>
        <v/>
      </c>
      <c r="AR288" s="39">
        <f>AR287*(1-AR119)*(1-IF(37&gt;=AR64,Seasonality!$D$73*AR120,0))</f>
        <v/>
      </c>
      <c r="AS288" s="39">
        <f>AS287*(1-AS119)*(1-IF(37&gt;=AS64,Seasonality!$D$73*AS120,0))</f>
        <v/>
      </c>
      <c r="AT288" s="39">
        <f>AT287*(1-AT119)*(1-IF(37&gt;=AT64,Seasonality!$D$73*AT120,0))</f>
        <v/>
      </c>
      <c r="AU288" s="39">
        <f>AU287*(1-AU119)*(1-IF(37&gt;=AU64,Seasonality!$D$73*AU120,0))</f>
        <v/>
      </c>
      <c r="AV288" s="39">
        <f>AV287*(1-AV119)*(1-IF(37&gt;=AV64,Seasonality!$D$73*AV120,0))</f>
        <v/>
      </c>
      <c r="AW288" s="39">
        <f>AW287*(1-AW119)*(1-IF(37&gt;=AW64,Seasonality!$D$73*AW120,0))</f>
        <v/>
      </c>
      <c r="AX288" s="39">
        <f>AX287*(1-AX119)*(1-IF(37&gt;=AX64,Seasonality!$D$73*AX120,0))</f>
        <v/>
      </c>
      <c r="AY288" s="39">
        <f>AY287*(1-AY119)*(1-IF(37&gt;=AY64,Seasonality!$D$73*AY120,0))</f>
        <v/>
      </c>
      <c r="AZ288" s="39">
        <f>AZ287*(1-AZ119)*(1-IF(37&gt;=AZ64,Seasonality!$D$73*AZ120,0))</f>
        <v/>
      </c>
      <c r="BA288" s="39">
        <f>BA287*(1-BA119)*(1-IF(37&gt;=BA64,Seasonality!$D$73*BA120,0))</f>
        <v/>
      </c>
      <c r="BB288" s="39">
        <f>BB287*(1-BB119)*(1-IF(37&gt;=BB64,Seasonality!$D$73*BB120,0))</f>
        <v/>
      </c>
      <c r="BC288" s="39">
        <f>BC287*(1-BC119)*(1-IF(37&gt;=BC64,Seasonality!$D$73*BC120,0))</f>
        <v/>
      </c>
      <c r="BD288" s="39">
        <f>BD287*(1-BD119)*(1-IF(37&gt;=BD64,Seasonality!$D$73*BD120,0))</f>
        <v/>
      </c>
      <c r="BE288" s="39">
        <f>BE287*(1-BE119)*(1-IF(37&gt;=BE64,Seasonality!$D$73*BE120,0))</f>
        <v/>
      </c>
    </row>
    <row r="289">
      <c r="B289" s="7" t="inlineStr">
        <is>
          <t>Share of institutes still paying · month 39</t>
        </is>
      </c>
      <c r="C289" s="5" t="inlineStr">
        <is>
          <t>%</t>
        </is>
      </c>
      <c r="D289" s="39">
        <f>D288*(1-D119)*(1-IF(38&gt;=D64,Seasonality!$D$74*D120,0))</f>
        <v/>
      </c>
      <c r="E289" s="39">
        <f>E288*(1-E119)*(1-IF(38&gt;=E64,Seasonality!$D$74*E120,0))</f>
        <v/>
      </c>
      <c r="F289" s="39">
        <f>F288*(1-F119)*(1-IF(38&gt;=F64,Seasonality!$D$74*F120,0))</f>
        <v/>
      </c>
      <c r="G289" s="39">
        <f>G288*(1-G119)*(1-IF(38&gt;=G64,Seasonality!$D$74*G120,0))</f>
        <v/>
      </c>
      <c r="H289" s="39">
        <f>H288*(1-H119)*(1-IF(38&gt;=H64,Seasonality!$D$74*H120,0))</f>
        <v/>
      </c>
      <c r="I289" s="39">
        <f>I288*(1-I119)*(1-IF(38&gt;=I64,Seasonality!$D$74*I120,0))</f>
        <v/>
      </c>
      <c r="J289" s="39">
        <f>J288*(1-J119)*(1-IF(38&gt;=J64,Seasonality!$D$74*J120,0))</f>
        <v/>
      </c>
      <c r="K289" s="39">
        <f>K288*(1-K119)*(1-IF(38&gt;=K64,Seasonality!$D$74*K120,0))</f>
        <v/>
      </c>
      <c r="L289" s="39">
        <f>L288*(1-L119)*(1-IF(38&gt;=L64,Seasonality!$D$74*L120,0))</f>
        <v/>
      </c>
      <c r="M289" s="39">
        <f>M288*(1-M119)*(1-IF(38&gt;=M64,Seasonality!$D$74*M120,0))</f>
        <v/>
      </c>
      <c r="N289" s="39">
        <f>N288*(1-N119)*(1-IF(38&gt;=N64,Seasonality!$D$74*N120,0))</f>
        <v/>
      </c>
      <c r="O289" s="39">
        <f>O288*(1-O119)*(1-IF(38&gt;=O64,Seasonality!$D$74*O120,0))</f>
        <v/>
      </c>
      <c r="P289" s="39">
        <f>P288*(1-P119)*(1-IF(38&gt;=P64,Seasonality!$D$74*P120,0))</f>
        <v/>
      </c>
      <c r="Q289" s="39">
        <f>Q288*(1-Q119)*(1-IF(38&gt;=Q64,Seasonality!$D$74*Q120,0))</f>
        <v/>
      </c>
      <c r="R289" s="39">
        <f>R288*(1-R119)*(1-IF(38&gt;=R64,Seasonality!$D$74*R120,0))</f>
        <v/>
      </c>
      <c r="S289" s="39">
        <f>S288*(1-S119)*(1-IF(38&gt;=S64,Seasonality!$D$74*S120,0))</f>
        <v/>
      </c>
      <c r="T289" s="39">
        <f>T288*(1-T119)*(1-IF(38&gt;=T64,Seasonality!$D$74*T120,0))</f>
        <v/>
      </c>
      <c r="U289" s="39">
        <f>U288*(1-U119)*(1-IF(38&gt;=U64,Seasonality!$D$74*U120,0))</f>
        <v/>
      </c>
      <c r="V289" s="39">
        <f>V288*(1-V119)*(1-IF(38&gt;=V64,Seasonality!$D$74*V120,0))</f>
        <v/>
      </c>
      <c r="W289" s="39">
        <f>W288*(1-W119)*(1-IF(38&gt;=W64,Seasonality!$D$74*W120,0))</f>
        <v/>
      </c>
      <c r="X289" s="39">
        <f>X288*(1-X119)*(1-IF(38&gt;=X64,Seasonality!$D$74*X120,0))</f>
        <v/>
      </c>
      <c r="Y289" s="39">
        <f>Y288*(1-Y119)*(1-IF(38&gt;=Y64,Seasonality!$D$74*Y120,0))</f>
        <v/>
      </c>
      <c r="Z289" s="39">
        <f>Z288*(1-Z119)*(1-IF(38&gt;=Z64,Seasonality!$D$74*Z120,0))</f>
        <v/>
      </c>
      <c r="AA289" s="39">
        <f>AA288*(1-AA119)*(1-IF(38&gt;=AA64,Seasonality!$D$74*AA120,0))</f>
        <v/>
      </c>
      <c r="AB289" s="39">
        <f>AB288*(1-AB119)*(1-IF(38&gt;=AB64,Seasonality!$D$74*AB120,0))</f>
        <v/>
      </c>
      <c r="AC289" s="39">
        <f>AC288*(1-AC119)*(1-IF(38&gt;=AC64,Seasonality!$D$74*AC120,0))</f>
        <v/>
      </c>
      <c r="AD289" s="39">
        <f>AD288*(1-AD119)*(1-IF(38&gt;=AD64,Seasonality!$D$74*AD120,0))</f>
        <v/>
      </c>
      <c r="AE289" s="39">
        <f>AE288*(1-AE119)*(1-IF(38&gt;=AE64,Seasonality!$D$74*AE120,0))</f>
        <v/>
      </c>
      <c r="AF289" s="39">
        <f>AF288*(1-AF119)*(1-IF(38&gt;=AF64,Seasonality!$D$74*AF120,0))</f>
        <v/>
      </c>
      <c r="AG289" s="39">
        <f>AG288*(1-AG119)*(1-IF(38&gt;=AG64,Seasonality!$D$74*AG120,0))</f>
        <v/>
      </c>
      <c r="AH289" s="39">
        <f>AH288*(1-AH119)*(1-IF(38&gt;=AH64,Seasonality!$D$74*AH120,0))</f>
        <v/>
      </c>
      <c r="AI289" s="39">
        <f>AI288*(1-AI119)*(1-IF(38&gt;=AI64,Seasonality!$D$74*AI120,0))</f>
        <v/>
      </c>
      <c r="AJ289" s="39">
        <f>AJ288*(1-AJ119)*(1-IF(38&gt;=AJ64,Seasonality!$D$74*AJ120,0))</f>
        <v/>
      </c>
      <c r="AK289" s="39">
        <f>AK288*(1-AK119)*(1-IF(38&gt;=AK64,Seasonality!$D$74*AK120,0))</f>
        <v/>
      </c>
      <c r="AL289" s="39">
        <f>AL288*(1-AL119)*(1-IF(38&gt;=AL64,Seasonality!$D$74*AL120,0))</f>
        <v/>
      </c>
      <c r="AM289" s="39">
        <f>AM288*(1-AM119)*(1-IF(38&gt;=AM64,Seasonality!$D$74*AM120,0))</f>
        <v/>
      </c>
      <c r="AN289" s="39">
        <f>AN288*(1-AN119)*(1-IF(38&gt;=AN64,Seasonality!$D$74*AN120,0))</f>
        <v/>
      </c>
      <c r="AO289" s="39">
        <f>AO288*(1-AO119)*(1-IF(38&gt;=AO64,Seasonality!$D$74*AO120,0))</f>
        <v/>
      </c>
      <c r="AP289" s="39">
        <f>AP288*(1-AP119)*(1-IF(38&gt;=AP64,Seasonality!$D$74*AP120,0))</f>
        <v/>
      </c>
      <c r="AQ289" s="39">
        <f>AQ288*(1-AQ119)*(1-IF(38&gt;=AQ64,Seasonality!$D$74*AQ120,0))</f>
        <v/>
      </c>
      <c r="AR289" s="39">
        <f>AR288*(1-AR119)*(1-IF(38&gt;=AR64,Seasonality!$D$74*AR120,0))</f>
        <v/>
      </c>
      <c r="AS289" s="39">
        <f>AS288*(1-AS119)*(1-IF(38&gt;=AS64,Seasonality!$D$74*AS120,0))</f>
        <v/>
      </c>
      <c r="AT289" s="39">
        <f>AT288*(1-AT119)*(1-IF(38&gt;=AT64,Seasonality!$D$74*AT120,0))</f>
        <v/>
      </c>
      <c r="AU289" s="39">
        <f>AU288*(1-AU119)*(1-IF(38&gt;=AU64,Seasonality!$D$74*AU120,0))</f>
        <v/>
      </c>
      <c r="AV289" s="39">
        <f>AV288*(1-AV119)*(1-IF(38&gt;=AV64,Seasonality!$D$74*AV120,0))</f>
        <v/>
      </c>
      <c r="AW289" s="39">
        <f>AW288*(1-AW119)*(1-IF(38&gt;=AW64,Seasonality!$D$74*AW120,0))</f>
        <v/>
      </c>
      <c r="AX289" s="39">
        <f>AX288*(1-AX119)*(1-IF(38&gt;=AX64,Seasonality!$D$74*AX120,0))</f>
        <v/>
      </c>
      <c r="AY289" s="39">
        <f>AY288*(1-AY119)*(1-IF(38&gt;=AY64,Seasonality!$D$74*AY120,0))</f>
        <v/>
      </c>
      <c r="AZ289" s="39">
        <f>AZ288*(1-AZ119)*(1-IF(38&gt;=AZ64,Seasonality!$D$74*AZ120,0))</f>
        <v/>
      </c>
      <c r="BA289" s="39">
        <f>BA288*(1-BA119)*(1-IF(38&gt;=BA64,Seasonality!$D$74*BA120,0))</f>
        <v/>
      </c>
      <c r="BB289" s="39">
        <f>BB288*(1-BB119)*(1-IF(38&gt;=BB64,Seasonality!$D$74*BB120,0))</f>
        <v/>
      </c>
      <c r="BC289" s="39">
        <f>BC288*(1-BC119)*(1-IF(38&gt;=BC64,Seasonality!$D$74*BC120,0))</f>
        <v/>
      </c>
      <c r="BD289" s="39">
        <f>BD288*(1-BD119)*(1-IF(38&gt;=BD64,Seasonality!$D$74*BD120,0))</f>
        <v/>
      </c>
      <c r="BE289" s="39">
        <f>BE288*(1-BE119)*(1-IF(38&gt;=BE64,Seasonality!$D$74*BE120,0))</f>
        <v/>
      </c>
    </row>
    <row r="290">
      <c r="B290" s="7" t="inlineStr">
        <is>
          <t>Share of institutes still paying · month 40</t>
        </is>
      </c>
      <c r="C290" s="5" t="inlineStr">
        <is>
          <t>%</t>
        </is>
      </c>
      <c r="D290" s="39">
        <f>D289*(1-D119)*(1-IF(39&gt;=D64,Seasonality!$D$75*D120,0))</f>
        <v/>
      </c>
      <c r="E290" s="39">
        <f>E289*(1-E119)*(1-IF(39&gt;=E64,Seasonality!$D$75*E120,0))</f>
        <v/>
      </c>
      <c r="F290" s="39">
        <f>F289*(1-F119)*(1-IF(39&gt;=F64,Seasonality!$D$75*F120,0))</f>
        <v/>
      </c>
      <c r="G290" s="39">
        <f>G289*(1-G119)*(1-IF(39&gt;=G64,Seasonality!$D$75*G120,0))</f>
        <v/>
      </c>
      <c r="H290" s="39">
        <f>H289*(1-H119)*(1-IF(39&gt;=H64,Seasonality!$D$75*H120,0))</f>
        <v/>
      </c>
      <c r="I290" s="39">
        <f>I289*(1-I119)*(1-IF(39&gt;=I64,Seasonality!$D$75*I120,0))</f>
        <v/>
      </c>
      <c r="J290" s="39">
        <f>J289*(1-J119)*(1-IF(39&gt;=J64,Seasonality!$D$75*J120,0))</f>
        <v/>
      </c>
      <c r="K290" s="39">
        <f>K289*(1-K119)*(1-IF(39&gt;=K64,Seasonality!$D$75*K120,0))</f>
        <v/>
      </c>
      <c r="L290" s="39">
        <f>L289*(1-L119)*(1-IF(39&gt;=L64,Seasonality!$D$75*L120,0))</f>
        <v/>
      </c>
      <c r="M290" s="39">
        <f>M289*(1-M119)*(1-IF(39&gt;=M64,Seasonality!$D$75*M120,0))</f>
        <v/>
      </c>
      <c r="N290" s="39">
        <f>N289*(1-N119)*(1-IF(39&gt;=N64,Seasonality!$D$75*N120,0))</f>
        <v/>
      </c>
      <c r="O290" s="39">
        <f>O289*(1-O119)*(1-IF(39&gt;=O64,Seasonality!$D$75*O120,0))</f>
        <v/>
      </c>
      <c r="P290" s="39">
        <f>P289*(1-P119)*(1-IF(39&gt;=P64,Seasonality!$D$75*P120,0))</f>
        <v/>
      </c>
      <c r="Q290" s="39">
        <f>Q289*(1-Q119)*(1-IF(39&gt;=Q64,Seasonality!$D$75*Q120,0))</f>
        <v/>
      </c>
      <c r="R290" s="39">
        <f>R289*(1-R119)*(1-IF(39&gt;=R64,Seasonality!$D$75*R120,0))</f>
        <v/>
      </c>
      <c r="S290" s="39">
        <f>S289*(1-S119)*(1-IF(39&gt;=S64,Seasonality!$D$75*S120,0))</f>
        <v/>
      </c>
      <c r="T290" s="39">
        <f>T289*(1-T119)*(1-IF(39&gt;=T64,Seasonality!$D$75*T120,0))</f>
        <v/>
      </c>
      <c r="U290" s="39">
        <f>U289*(1-U119)*(1-IF(39&gt;=U64,Seasonality!$D$75*U120,0))</f>
        <v/>
      </c>
      <c r="V290" s="39">
        <f>V289*(1-V119)*(1-IF(39&gt;=V64,Seasonality!$D$75*V120,0))</f>
        <v/>
      </c>
      <c r="W290" s="39">
        <f>W289*(1-W119)*(1-IF(39&gt;=W64,Seasonality!$D$75*W120,0))</f>
        <v/>
      </c>
      <c r="X290" s="39">
        <f>X289*(1-X119)*(1-IF(39&gt;=X64,Seasonality!$D$75*X120,0))</f>
        <v/>
      </c>
      <c r="Y290" s="39">
        <f>Y289*(1-Y119)*(1-IF(39&gt;=Y64,Seasonality!$D$75*Y120,0))</f>
        <v/>
      </c>
      <c r="Z290" s="39">
        <f>Z289*(1-Z119)*(1-IF(39&gt;=Z64,Seasonality!$D$75*Z120,0))</f>
        <v/>
      </c>
      <c r="AA290" s="39">
        <f>AA289*(1-AA119)*(1-IF(39&gt;=AA64,Seasonality!$D$75*AA120,0))</f>
        <v/>
      </c>
      <c r="AB290" s="39">
        <f>AB289*(1-AB119)*(1-IF(39&gt;=AB64,Seasonality!$D$75*AB120,0))</f>
        <v/>
      </c>
      <c r="AC290" s="39">
        <f>AC289*(1-AC119)*(1-IF(39&gt;=AC64,Seasonality!$D$75*AC120,0))</f>
        <v/>
      </c>
      <c r="AD290" s="39">
        <f>AD289*(1-AD119)*(1-IF(39&gt;=AD64,Seasonality!$D$75*AD120,0))</f>
        <v/>
      </c>
      <c r="AE290" s="39">
        <f>AE289*(1-AE119)*(1-IF(39&gt;=AE64,Seasonality!$D$75*AE120,0))</f>
        <v/>
      </c>
      <c r="AF290" s="39">
        <f>AF289*(1-AF119)*(1-IF(39&gt;=AF64,Seasonality!$D$75*AF120,0))</f>
        <v/>
      </c>
      <c r="AG290" s="39">
        <f>AG289*(1-AG119)*(1-IF(39&gt;=AG64,Seasonality!$D$75*AG120,0))</f>
        <v/>
      </c>
      <c r="AH290" s="39">
        <f>AH289*(1-AH119)*(1-IF(39&gt;=AH64,Seasonality!$D$75*AH120,0))</f>
        <v/>
      </c>
      <c r="AI290" s="39">
        <f>AI289*(1-AI119)*(1-IF(39&gt;=AI64,Seasonality!$D$75*AI120,0))</f>
        <v/>
      </c>
      <c r="AJ290" s="39">
        <f>AJ289*(1-AJ119)*(1-IF(39&gt;=AJ64,Seasonality!$D$75*AJ120,0))</f>
        <v/>
      </c>
      <c r="AK290" s="39">
        <f>AK289*(1-AK119)*(1-IF(39&gt;=AK64,Seasonality!$D$75*AK120,0))</f>
        <v/>
      </c>
      <c r="AL290" s="39">
        <f>AL289*(1-AL119)*(1-IF(39&gt;=AL64,Seasonality!$D$75*AL120,0))</f>
        <v/>
      </c>
      <c r="AM290" s="39">
        <f>AM289*(1-AM119)*(1-IF(39&gt;=AM64,Seasonality!$D$75*AM120,0))</f>
        <v/>
      </c>
      <c r="AN290" s="39">
        <f>AN289*(1-AN119)*(1-IF(39&gt;=AN64,Seasonality!$D$75*AN120,0))</f>
        <v/>
      </c>
      <c r="AO290" s="39">
        <f>AO289*(1-AO119)*(1-IF(39&gt;=AO64,Seasonality!$D$75*AO120,0))</f>
        <v/>
      </c>
      <c r="AP290" s="39">
        <f>AP289*(1-AP119)*(1-IF(39&gt;=AP64,Seasonality!$D$75*AP120,0))</f>
        <v/>
      </c>
      <c r="AQ290" s="39">
        <f>AQ289*(1-AQ119)*(1-IF(39&gt;=AQ64,Seasonality!$D$75*AQ120,0))</f>
        <v/>
      </c>
      <c r="AR290" s="39">
        <f>AR289*(1-AR119)*(1-IF(39&gt;=AR64,Seasonality!$D$75*AR120,0))</f>
        <v/>
      </c>
      <c r="AS290" s="39">
        <f>AS289*(1-AS119)*(1-IF(39&gt;=AS64,Seasonality!$D$75*AS120,0))</f>
        <v/>
      </c>
      <c r="AT290" s="39">
        <f>AT289*(1-AT119)*(1-IF(39&gt;=AT64,Seasonality!$D$75*AT120,0))</f>
        <v/>
      </c>
      <c r="AU290" s="39">
        <f>AU289*(1-AU119)*(1-IF(39&gt;=AU64,Seasonality!$D$75*AU120,0))</f>
        <v/>
      </c>
      <c r="AV290" s="39">
        <f>AV289*(1-AV119)*(1-IF(39&gt;=AV64,Seasonality!$D$75*AV120,0))</f>
        <v/>
      </c>
      <c r="AW290" s="39">
        <f>AW289*(1-AW119)*(1-IF(39&gt;=AW64,Seasonality!$D$75*AW120,0))</f>
        <v/>
      </c>
      <c r="AX290" s="39">
        <f>AX289*(1-AX119)*(1-IF(39&gt;=AX64,Seasonality!$D$75*AX120,0))</f>
        <v/>
      </c>
      <c r="AY290" s="39">
        <f>AY289*(1-AY119)*(1-IF(39&gt;=AY64,Seasonality!$D$75*AY120,0))</f>
        <v/>
      </c>
      <c r="AZ290" s="39">
        <f>AZ289*(1-AZ119)*(1-IF(39&gt;=AZ64,Seasonality!$D$75*AZ120,0))</f>
        <v/>
      </c>
      <c r="BA290" s="39">
        <f>BA289*(1-BA119)*(1-IF(39&gt;=BA64,Seasonality!$D$75*BA120,0))</f>
        <v/>
      </c>
      <c r="BB290" s="39">
        <f>BB289*(1-BB119)*(1-IF(39&gt;=BB64,Seasonality!$D$75*BB120,0))</f>
        <v/>
      </c>
      <c r="BC290" s="39">
        <f>BC289*(1-BC119)*(1-IF(39&gt;=BC64,Seasonality!$D$75*BC120,0))</f>
        <v/>
      </c>
      <c r="BD290" s="39">
        <f>BD289*(1-BD119)*(1-IF(39&gt;=BD64,Seasonality!$D$75*BD120,0))</f>
        <v/>
      </c>
      <c r="BE290" s="39">
        <f>BE289*(1-BE119)*(1-IF(39&gt;=BE64,Seasonality!$D$75*BE120,0))</f>
        <v/>
      </c>
    </row>
    <row r="291">
      <c r="B291" s="7" t="inlineStr">
        <is>
          <t>Share of institutes still paying · month 41</t>
        </is>
      </c>
      <c r="C291" s="5" t="inlineStr">
        <is>
          <t>%</t>
        </is>
      </c>
      <c r="D291" s="39">
        <f>D290*(1-D119)*(1-IF(40&gt;=D64,Seasonality!$D$76*D120,0))</f>
        <v/>
      </c>
      <c r="E291" s="39">
        <f>E290*(1-E119)*(1-IF(40&gt;=E64,Seasonality!$D$76*E120,0))</f>
        <v/>
      </c>
      <c r="F291" s="39">
        <f>F290*(1-F119)*(1-IF(40&gt;=F64,Seasonality!$D$76*F120,0))</f>
        <v/>
      </c>
      <c r="G291" s="39">
        <f>G290*(1-G119)*(1-IF(40&gt;=G64,Seasonality!$D$76*G120,0))</f>
        <v/>
      </c>
      <c r="H291" s="39">
        <f>H290*(1-H119)*(1-IF(40&gt;=H64,Seasonality!$D$76*H120,0))</f>
        <v/>
      </c>
      <c r="I291" s="39">
        <f>I290*(1-I119)*(1-IF(40&gt;=I64,Seasonality!$D$76*I120,0))</f>
        <v/>
      </c>
      <c r="J291" s="39">
        <f>J290*(1-J119)*(1-IF(40&gt;=J64,Seasonality!$D$76*J120,0))</f>
        <v/>
      </c>
      <c r="K291" s="39">
        <f>K290*(1-K119)*(1-IF(40&gt;=K64,Seasonality!$D$76*K120,0))</f>
        <v/>
      </c>
      <c r="L291" s="39">
        <f>L290*(1-L119)*(1-IF(40&gt;=L64,Seasonality!$D$76*L120,0))</f>
        <v/>
      </c>
      <c r="M291" s="39">
        <f>M290*(1-M119)*(1-IF(40&gt;=M64,Seasonality!$D$76*M120,0))</f>
        <v/>
      </c>
      <c r="N291" s="39">
        <f>N290*(1-N119)*(1-IF(40&gt;=N64,Seasonality!$D$76*N120,0))</f>
        <v/>
      </c>
      <c r="O291" s="39">
        <f>O290*(1-O119)*(1-IF(40&gt;=O64,Seasonality!$D$76*O120,0))</f>
        <v/>
      </c>
      <c r="P291" s="39">
        <f>P290*(1-P119)*(1-IF(40&gt;=P64,Seasonality!$D$76*P120,0))</f>
        <v/>
      </c>
      <c r="Q291" s="39">
        <f>Q290*(1-Q119)*(1-IF(40&gt;=Q64,Seasonality!$D$76*Q120,0))</f>
        <v/>
      </c>
      <c r="R291" s="39">
        <f>R290*(1-R119)*(1-IF(40&gt;=R64,Seasonality!$D$76*R120,0))</f>
        <v/>
      </c>
      <c r="S291" s="39">
        <f>S290*(1-S119)*(1-IF(40&gt;=S64,Seasonality!$D$76*S120,0))</f>
        <v/>
      </c>
      <c r="T291" s="39">
        <f>T290*(1-T119)*(1-IF(40&gt;=T64,Seasonality!$D$76*T120,0))</f>
        <v/>
      </c>
      <c r="U291" s="39">
        <f>U290*(1-U119)*(1-IF(40&gt;=U64,Seasonality!$D$76*U120,0))</f>
        <v/>
      </c>
      <c r="V291" s="39">
        <f>V290*(1-V119)*(1-IF(40&gt;=V64,Seasonality!$D$76*V120,0))</f>
        <v/>
      </c>
      <c r="W291" s="39">
        <f>W290*(1-W119)*(1-IF(40&gt;=W64,Seasonality!$D$76*W120,0))</f>
        <v/>
      </c>
      <c r="X291" s="39">
        <f>X290*(1-X119)*(1-IF(40&gt;=X64,Seasonality!$D$76*X120,0))</f>
        <v/>
      </c>
      <c r="Y291" s="39">
        <f>Y290*(1-Y119)*(1-IF(40&gt;=Y64,Seasonality!$D$76*Y120,0))</f>
        <v/>
      </c>
      <c r="Z291" s="39">
        <f>Z290*(1-Z119)*(1-IF(40&gt;=Z64,Seasonality!$D$76*Z120,0))</f>
        <v/>
      </c>
      <c r="AA291" s="39">
        <f>AA290*(1-AA119)*(1-IF(40&gt;=AA64,Seasonality!$D$76*AA120,0))</f>
        <v/>
      </c>
      <c r="AB291" s="39">
        <f>AB290*(1-AB119)*(1-IF(40&gt;=AB64,Seasonality!$D$76*AB120,0))</f>
        <v/>
      </c>
      <c r="AC291" s="39">
        <f>AC290*(1-AC119)*(1-IF(40&gt;=AC64,Seasonality!$D$76*AC120,0))</f>
        <v/>
      </c>
      <c r="AD291" s="39">
        <f>AD290*(1-AD119)*(1-IF(40&gt;=AD64,Seasonality!$D$76*AD120,0))</f>
        <v/>
      </c>
      <c r="AE291" s="39">
        <f>AE290*(1-AE119)*(1-IF(40&gt;=AE64,Seasonality!$D$76*AE120,0))</f>
        <v/>
      </c>
      <c r="AF291" s="39">
        <f>AF290*(1-AF119)*(1-IF(40&gt;=AF64,Seasonality!$D$76*AF120,0))</f>
        <v/>
      </c>
      <c r="AG291" s="39">
        <f>AG290*(1-AG119)*(1-IF(40&gt;=AG64,Seasonality!$D$76*AG120,0))</f>
        <v/>
      </c>
      <c r="AH291" s="39">
        <f>AH290*(1-AH119)*(1-IF(40&gt;=AH64,Seasonality!$D$76*AH120,0))</f>
        <v/>
      </c>
      <c r="AI291" s="39">
        <f>AI290*(1-AI119)*(1-IF(40&gt;=AI64,Seasonality!$D$76*AI120,0))</f>
        <v/>
      </c>
      <c r="AJ291" s="39">
        <f>AJ290*(1-AJ119)*(1-IF(40&gt;=AJ64,Seasonality!$D$76*AJ120,0))</f>
        <v/>
      </c>
      <c r="AK291" s="39">
        <f>AK290*(1-AK119)*(1-IF(40&gt;=AK64,Seasonality!$D$76*AK120,0))</f>
        <v/>
      </c>
      <c r="AL291" s="39">
        <f>AL290*(1-AL119)*(1-IF(40&gt;=AL64,Seasonality!$D$76*AL120,0))</f>
        <v/>
      </c>
      <c r="AM291" s="39">
        <f>AM290*(1-AM119)*(1-IF(40&gt;=AM64,Seasonality!$D$76*AM120,0))</f>
        <v/>
      </c>
      <c r="AN291" s="39">
        <f>AN290*(1-AN119)*(1-IF(40&gt;=AN64,Seasonality!$D$76*AN120,0))</f>
        <v/>
      </c>
      <c r="AO291" s="39">
        <f>AO290*(1-AO119)*(1-IF(40&gt;=AO64,Seasonality!$D$76*AO120,0))</f>
        <v/>
      </c>
      <c r="AP291" s="39">
        <f>AP290*(1-AP119)*(1-IF(40&gt;=AP64,Seasonality!$D$76*AP120,0))</f>
        <v/>
      </c>
      <c r="AQ291" s="39">
        <f>AQ290*(1-AQ119)*(1-IF(40&gt;=AQ64,Seasonality!$D$76*AQ120,0))</f>
        <v/>
      </c>
      <c r="AR291" s="39">
        <f>AR290*(1-AR119)*(1-IF(40&gt;=AR64,Seasonality!$D$76*AR120,0))</f>
        <v/>
      </c>
      <c r="AS291" s="39">
        <f>AS290*(1-AS119)*(1-IF(40&gt;=AS64,Seasonality!$D$76*AS120,0))</f>
        <v/>
      </c>
      <c r="AT291" s="39">
        <f>AT290*(1-AT119)*(1-IF(40&gt;=AT64,Seasonality!$D$76*AT120,0))</f>
        <v/>
      </c>
      <c r="AU291" s="39">
        <f>AU290*(1-AU119)*(1-IF(40&gt;=AU64,Seasonality!$D$76*AU120,0))</f>
        <v/>
      </c>
      <c r="AV291" s="39">
        <f>AV290*(1-AV119)*(1-IF(40&gt;=AV64,Seasonality!$D$76*AV120,0))</f>
        <v/>
      </c>
      <c r="AW291" s="39">
        <f>AW290*(1-AW119)*(1-IF(40&gt;=AW64,Seasonality!$D$76*AW120,0))</f>
        <v/>
      </c>
      <c r="AX291" s="39">
        <f>AX290*(1-AX119)*(1-IF(40&gt;=AX64,Seasonality!$D$76*AX120,0))</f>
        <v/>
      </c>
      <c r="AY291" s="39">
        <f>AY290*(1-AY119)*(1-IF(40&gt;=AY64,Seasonality!$D$76*AY120,0))</f>
        <v/>
      </c>
      <c r="AZ291" s="39">
        <f>AZ290*(1-AZ119)*(1-IF(40&gt;=AZ64,Seasonality!$D$76*AZ120,0))</f>
        <v/>
      </c>
      <c r="BA291" s="39">
        <f>BA290*(1-BA119)*(1-IF(40&gt;=BA64,Seasonality!$D$76*BA120,0))</f>
        <v/>
      </c>
      <c r="BB291" s="39">
        <f>BB290*(1-BB119)*(1-IF(40&gt;=BB64,Seasonality!$D$76*BB120,0))</f>
        <v/>
      </c>
      <c r="BC291" s="39">
        <f>BC290*(1-BC119)*(1-IF(40&gt;=BC64,Seasonality!$D$76*BC120,0))</f>
        <v/>
      </c>
      <c r="BD291" s="39">
        <f>BD290*(1-BD119)*(1-IF(40&gt;=BD64,Seasonality!$D$76*BD120,0))</f>
        <v/>
      </c>
      <c r="BE291" s="39">
        <f>BE290*(1-BE119)*(1-IF(40&gt;=BE64,Seasonality!$D$76*BE120,0))</f>
        <v/>
      </c>
    </row>
    <row r="292">
      <c r="B292" s="7" t="inlineStr">
        <is>
          <t>Share of institutes still paying · month 42</t>
        </is>
      </c>
      <c r="C292" s="5" t="inlineStr">
        <is>
          <t>%</t>
        </is>
      </c>
      <c r="D292" s="39">
        <f>D291*(1-D119)*(1-IF(41&gt;=D64,Seasonality!$D$77*D120,0))</f>
        <v/>
      </c>
      <c r="E292" s="39">
        <f>E291*(1-E119)*(1-IF(41&gt;=E64,Seasonality!$D$77*E120,0))</f>
        <v/>
      </c>
      <c r="F292" s="39">
        <f>F291*(1-F119)*(1-IF(41&gt;=F64,Seasonality!$D$77*F120,0))</f>
        <v/>
      </c>
      <c r="G292" s="39">
        <f>G291*(1-G119)*(1-IF(41&gt;=G64,Seasonality!$D$77*G120,0))</f>
        <v/>
      </c>
      <c r="H292" s="39">
        <f>H291*(1-H119)*(1-IF(41&gt;=H64,Seasonality!$D$77*H120,0))</f>
        <v/>
      </c>
      <c r="I292" s="39">
        <f>I291*(1-I119)*(1-IF(41&gt;=I64,Seasonality!$D$77*I120,0))</f>
        <v/>
      </c>
      <c r="J292" s="39">
        <f>J291*(1-J119)*(1-IF(41&gt;=J64,Seasonality!$D$77*J120,0))</f>
        <v/>
      </c>
      <c r="K292" s="39">
        <f>K291*(1-K119)*(1-IF(41&gt;=K64,Seasonality!$D$77*K120,0))</f>
        <v/>
      </c>
      <c r="L292" s="39">
        <f>L291*(1-L119)*(1-IF(41&gt;=L64,Seasonality!$D$77*L120,0))</f>
        <v/>
      </c>
      <c r="M292" s="39">
        <f>M291*(1-M119)*(1-IF(41&gt;=M64,Seasonality!$D$77*M120,0))</f>
        <v/>
      </c>
      <c r="N292" s="39">
        <f>N291*(1-N119)*(1-IF(41&gt;=N64,Seasonality!$D$77*N120,0))</f>
        <v/>
      </c>
      <c r="O292" s="39">
        <f>O291*(1-O119)*(1-IF(41&gt;=O64,Seasonality!$D$77*O120,0))</f>
        <v/>
      </c>
      <c r="P292" s="39">
        <f>P291*(1-P119)*(1-IF(41&gt;=P64,Seasonality!$D$77*P120,0))</f>
        <v/>
      </c>
      <c r="Q292" s="39">
        <f>Q291*(1-Q119)*(1-IF(41&gt;=Q64,Seasonality!$D$77*Q120,0))</f>
        <v/>
      </c>
      <c r="R292" s="39">
        <f>R291*(1-R119)*(1-IF(41&gt;=R64,Seasonality!$D$77*R120,0))</f>
        <v/>
      </c>
      <c r="S292" s="39">
        <f>S291*(1-S119)*(1-IF(41&gt;=S64,Seasonality!$D$77*S120,0))</f>
        <v/>
      </c>
      <c r="T292" s="39">
        <f>T291*(1-T119)*(1-IF(41&gt;=T64,Seasonality!$D$77*T120,0))</f>
        <v/>
      </c>
      <c r="U292" s="39">
        <f>U291*(1-U119)*(1-IF(41&gt;=U64,Seasonality!$D$77*U120,0))</f>
        <v/>
      </c>
      <c r="V292" s="39">
        <f>V291*(1-V119)*(1-IF(41&gt;=V64,Seasonality!$D$77*V120,0))</f>
        <v/>
      </c>
      <c r="W292" s="39">
        <f>W291*(1-W119)*(1-IF(41&gt;=W64,Seasonality!$D$77*W120,0))</f>
        <v/>
      </c>
      <c r="X292" s="39">
        <f>X291*(1-X119)*(1-IF(41&gt;=X64,Seasonality!$D$77*X120,0))</f>
        <v/>
      </c>
      <c r="Y292" s="39">
        <f>Y291*(1-Y119)*(1-IF(41&gt;=Y64,Seasonality!$D$77*Y120,0))</f>
        <v/>
      </c>
      <c r="Z292" s="39">
        <f>Z291*(1-Z119)*(1-IF(41&gt;=Z64,Seasonality!$D$77*Z120,0))</f>
        <v/>
      </c>
      <c r="AA292" s="39">
        <f>AA291*(1-AA119)*(1-IF(41&gt;=AA64,Seasonality!$D$77*AA120,0))</f>
        <v/>
      </c>
      <c r="AB292" s="39">
        <f>AB291*(1-AB119)*(1-IF(41&gt;=AB64,Seasonality!$D$77*AB120,0))</f>
        <v/>
      </c>
      <c r="AC292" s="39">
        <f>AC291*(1-AC119)*(1-IF(41&gt;=AC64,Seasonality!$D$77*AC120,0))</f>
        <v/>
      </c>
      <c r="AD292" s="39">
        <f>AD291*(1-AD119)*(1-IF(41&gt;=AD64,Seasonality!$D$77*AD120,0))</f>
        <v/>
      </c>
      <c r="AE292" s="39">
        <f>AE291*(1-AE119)*(1-IF(41&gt;=AE64,Seasonality!$D$77*AE120,0))</f>
        <v/>
      </c>
      <c r="AF292" s="39">
        <f>AF291*(1-AF119)*(1-IF(41&gt;=AF64,Seasonality!$D$77*AF120,0))</f>
        <v/>
      </c>
      <c r="AG292" s="39">
        <f>AG291*(1-AG119)*(1-IF(41&gt;=AG64,Seasonality!$D$77*AG120,0))</f>
        <v/>
      </c>
      <c r="AH292" s="39">
        <f>AH291*(1-AH119)*(1-IF(41&gt;=AH64,Seasonality!$D$77*AH120,0))</f>
        <v/>
      </c>
      <c r="AI292" s="39">
        <f>AI291*(1-AI119)*(1-IF(41&gt;=AI64,Seasonality!$D$77*AI120,0))</f>
        <v/>
      </c>
      <c r="AJ292" s="39">
        <f>AJ291*(1-AJ119)*(1-IF(41&gt;=AJ64,Seasonality!$D$77*AJ120,0))</f>
        <v/>
      </c>
      <c r="AK292" s="39">
        <f>AK291*(1-AK119)*(1-IF(41&gt;=AK64,Seasonality!$D$77*AK120,0))</f>
        <v/>
      </c>
      <c r="AL292" s="39">
        <f>AL291*(1-AL119)*(1-IF(41&gt;=AL64,Seasonality!$D$77*AL120,0))</f>
        <v/>
      </c>
      <c r="AM292" s="39">
        <f>AM291*(1-AM119)*(1-IF(41&gt;=AM64,Seasonality!$D$77*AM120,0))</f>
        <v/>
      </c>
      <c r="AN292" s="39">
        <f>AN291*(1-AN119)*(1-IF(41&gt;=AN64,Seasonality!$D$77*AN120,0))</f>
        <v/>
      </c>
      <c r="AO292" s="39">
        <f>AO291*(1-AO119)*(1-IF(41&gt;=AO64,Seasonality!$D$77*AO120,0))</f>
        <v/>
      </c>
      <c r="AP292" s="39">
        <f>AP291*(1-AP119)*(1-IF(41&gt;=AP64,Seasonality!$D$77*AP120,0))</f>
        <v/>
      </c>
      <c r="AQ292" s="39">
        <f>AQ291*(1-AQ119)*(1-IF(41&gt;=AQ64,Seasonality!$D$77*AQ120,0))</f>
        <v/>
      </c>
      <c r="AR292" s="39">
        <f>AR291*(1-AR119)*(1-IF(41&gt;=AR64,Seasonality!$D$77*AR120,0))</f>
        <v/>
      </c>
      <c r="AS292" s="39">
        <f>AS291*(1-AS119)*(1-IF(41&gt;=AS64,Seasonality!$D$77*AS120,0))</f>
        <v/>
      </c>
      <c r="AT292" s="39">
        <f>AT291*(1-AT119)*(1-IF(41&gt;=AT64,Seasonality!$D$77*AT120,0))</f>
        <v/>
      </c>
      <c r="AU292" s="39">
        <f>AU291*(1-AU119)*(1-IF(41&gt;=AU64,Seasonality!$D$77*AU120,0))</f>
        <v/>
      </c>
      <c r="AV292" s="39">
        <f>AV291*(1-AV119)*(1-IF(41&gt;=AV64,Seasonality!$D$77*AV120,0))</f>
        <v/>
      </c>
      <c r="AW292" s="39">
        <f>AW291*(1-AW119)*(1-IF(41&gt;=AW64,Seasonality!$D$77*AW120,0))</f>
        <v/>
      </c>
      <c r="AX292" s="39">
        <f>AX291*(1-AX119)*(1-IF(41&gt;=AX64,Seasonality!$D$77*AX120,0))</f>
        <v/>
      </c>
      <c r="AY292" s="39">
        <f>AY291*(1-AY119)*(1-IF(41&gt;=AY64,Seasonality!$D$77*AY120,0))</f>
        <v/>
      </c>
      <c r="AZ292" s="39">
        <f>AZ291*(1-AZ119)*(1-IF(41&gt;=AZ64,Seasonality!$D$77*AZ120,0))</f>
        <v/>
      </c>
      <c r="BA292" s="39">
        <f>BA291*(1-BA119)*(1-IF(41&gt;=BA64,Seasonality!$D$77*BA120,0))</f>
        <v/>
      </c>
      <c r="BB292" s="39">
        <f>BB291*(1-BB119)*(1-IF(41&gt;=BB64,Seasonality!$D$77*BB120,0))</f>
        <v/>
      </c>
      <c r="BC292" s="39">
        <f>BC291*(1-BC119)*(1-IF(41&gt;=BC64,Seasonality!$D$77*BC120,0))</f>
        <v/>
      </c>
      <c r="BD292" s="39">
        <f>BD291*(1-BD119)*(1-IF(41&gt;=BD64,Seasonality!$D$77*BD120,0))</f>
        <v/>
      </c>
      <c r="BE292" s="39">
        <f>BE291*(1-BE119)*(1-IF(41&gt;=BE64,Seasonality!$D$77*BE120,0))</f>
        <v/>
      </c>
    </row>
    <row r="293">
      <c r="B293" s="7" t="inlineStr">
        <is>
          <t>Share of institutes still paying · month 43</t>
        </is>
      </c>
      <c r="C293" s="5" t="inlineStr">
        <is>
          <t>%</t>
        </is>
      </c>
      <c r="D293" s="39">
        <f>D292*(1-D119)*(1-IF(42&gt;=D64,Seasonality!$D$78*D120,0))</f>
        <v/>
      </c>
      <c r="E293" s="39">
        <f>E292*(1-E119)*(1-IF(42&gt;=E64,Seasonality!$D$78*E120,0))</f>
        <v/>
      </c>
      <c r="F293" s="39">
        <f>F292*(1-F119)*(1-IF(42&gt;=F64,Seasonality!$D$78*F120,0))</f>
        <v/>
      </c>
      <c r="G293" s="39">
        <f>G292*(1-G119)*(1-IF(42&gt;=G64,Seasonality!$D$78*G120,0))</f>
        <v/>
      </c>
      <c r="H293" s="39">
        <f>H292*(1-H119)*(1-IF(42&gt;=H64,Seasonality!$D$78*H120,0))</f>
        <v/>
      </c>
      <c r="I293" s="39">
        <f>I292*(1-I119)*(1-IF(42&gt;=I64,Seasonality!$D$78*I120,0))</f>
        <v/>
      </c>
      <c r="J293" s="39">
        <f>J292*(1-J119)*(1-IF(42&gt;=J64,Seasonality!$D$78*J120,0))</f>
        <v/>
      </c>
      <c r="K293" s="39">
        <f>K292*(1-K119)*(1-IF(42&gt;=K64,Seasonality!$D$78*K120,0))</f>
        <v/>
      </c>
      <c r="L293" s="39">
        <f>L292*(1-L119)*(1-IF(42&gt;=L64,Seasonality!$D$78*L120,0))</f>
        <v/>
      </c>
      <c r="M293" s="39">
        <f>M292*(1-M119)*(1-IF(42&gt;=M64,Seasonality!$D$78*M120,0))</f>
        <v/>
      </c>
      <c r="N293" s="39">
        <f>N292*(1-N119)*(1-IF(42&gt;=N64,Seasonality!$D$78*N120,0))</f>
        <v/>
      </c>
      <c r="O293" s="39">
        <f>O292*(1-O119)*(1-IF(42&gt;=O64,Seasonality!$D$78*O120,0))</f>
        <v/>
      </c>
      <c r="P293" s="39">
        <f>P292*(1-P119)*(1-IF(42&gt;=P64,Seasonality!$D$78*P120,0))</f>
        <v/>
      </c>
      <c r="Q293" s="39">
        <f>Q292*(1-Q119)*(1-IF(42&gt;=Q64,Seasonality!$D$78*Q120,0))</f>
        <v/>
      </c>
      <c r="R293" s="39">
        <f>R292*(1-R119)*(1-IF(42&gt;=R64,Seasonality!$D$78*R120,0))</f>
        <v/>
      </c>
      <c r="S293" s="39">
        <f>S292*(1-S119)*(1-IF(42&gt;=S64,Seasonality!$D$78*S120,0))</f>
        <v/>
      </c>
      <c r="T293" s="39">
        <f>T292*(1-T119)*(1-IF(42&gt;=T64,Seasonality!$D$78*T120,0))</f>
        <v/>
      </c>
      <c r="U293" s="39">
        <f>U292*(1-U119)*(1-IF(42&gt;=U64,Seasonality!$D$78*U120,0))</f>
        <v/>
      </c>
      <c r="V293" s="39">
        <f>V292*(1-V119)*(1-IF(42&gt;=V64,Seasonality!$D$78*V120,0))</f>
        <v/>
      </c>
      <c r="W293" s="39">
        <f>W292*(1-W119)*(1-IF(42&gt;=W64,Seasonality!$D$78*W120,0))</f>
        <v/>
      </c>
      <c r="X293" s="39">
        <f>X292*(1-X119)*(1-IF(42&gt;=X64,Seasonality!$D$78*X120,0))</f>
        <v/>
      </c>
      <c r="Y293" s="39">
        <f>Y292*(1-Y119)*(1-IF(42&gt;=Y64,Seasonality!$D$78*Y120,0))</f>
        <v/>
      </c>
      <c r="Z293" s="39">
        <f>Z292*(1-Z119)*(1-IF(42&gt;=Z64,Seasonality!$D$78*Z120,0))</f>
        <v/>
      </c>
      <c r="AA293" s="39">
        <f>AA292*(1-AA119)*(1-IF(42&gt;=AA64,Seasonality!$D$78*AA120,0))</f>
        <v/>
      </c>
      <c r="AB293" s="39">
        <f>AB292*(1-AB119)*(1-IF(42&gt;=AB64,Seasonality!$D$78*AB120,0))</f>
        <v/>
      </c>
      <c r="AC293" s="39">
        <f>AC292*(1-AC119)*(1-IF(42&gt;=AC64,Seasonality!$D$78*AC120,0))</f>
        <v/>
      </c>
      <c r="AD293" s="39">
        <f>AD292*(1-AD119)*(1-IF(42&gt;=AD64,Seasonality!$D$78*AD120,0))</f>
        <v/>
      </c>
      <c r="AE293" s="39">
        <f>AE292*(1-AE119)*(1-IF(42&gt;=AE64,Seasonality!$D$78*AE120,0))</f>
        <v/>
      </c>
      <c r="AF293" s="39">
        <f>AF292*(1-AF119)*(1-IF(42&gt;=AF64,Seasonality!$D$78*AF120,0))</f>
        <v/>
      </c>
      <c r="AG293" s="39">
        <f>AG292*(1-AG119)*(1-IF(42&gt;=AG64,Seasonality!$D$78*AG120,0))</f>
        <v/>
      </c>
      <c r="AH293" s="39">
        <f>AH292*(1-AH119)*(1-IF(42&gt;=AH64,Seasonality!$D$78*AH120,0))</f>
        <v/>
      </c>
      <c r="AI293" s="39">
        <f>AI292*(1-AI119)*(1-IF(42&gt;=AI64,Seasonality!$D$78*AI120,0))</f>
        <v/>
      </c>
      <c r="AJ293" s="39">
        <f>AJ292*(1-AJ119)*(1-IF(42&gt;=AJ64,Seasonality!$D$78*AJ120,0))</f>
        <v/>
      </c>
      <c r="AK293" s="39">
        <f>AK292*(1-AK119)*(1-IF(42&gt;=AK64,Seasonality!$D$78*AK120,0))</f>
        <v/>
      </c>
      <c r="AL293" s="39">
        <f>AL292*(1-AL119)*(1-IF(42&gt;=AL64,Seasonality!$D$78*AL120,0))</f>
        <v/>
      </c>
      <c r="AM293" s="39">
        <f>AM292*(1-AM119)*(1-IF(42&gt;=AM64,Seasonality!$D$78*AM120,0))</f>
        <v/>
      </c>
      <c r="AN293" s="39">
        <f>AN292*(1-AN119)*(1-IF(42&gt;=AN64,Seasonality!$D$78*AN120,0))</f>
        <v/>
      </c>
      <c r="AO293" s="39">
        <f>AO292*(1-AO119)*(1-IF(42&gt;=AO64,Seasonality!$D$78*AO120,0))</f>
        <v/>
      </c>
      <c r="AP293" s="39">
        <f>AP292*(1-AP119)*(1-IF(42&gt;=AP64,Seasonality!$D$78*AP120,0))</f>
        <v/>
      </c>
      <c r="AQ293" s="39">
        <f>AQ292*(1-AQ119)*(1-IF(42&gt;=AQ64,Seasonality!$D$78*AQ120,0))</f>
        <v/>
      </c>
      <c r="AR293" s="39">
        <f>AR292*(1-AR119)*(1-IF(42&gt;=AR64,Seasonality!$D$78*AR120,0))</f>
        <v/>
      </c>
      <c r="AS293" s="39">
        <f>AS292*(1-AS119)*(1-IF(42&gt;=AS64,Seasonality!$D$78*AS120,0))</f>
        <v/>
      </c>
      <c r="AT293" s="39">
        <f>AT292*(1-AT119)*(1-IF(42&gt;=AT64,Seasonality!$D$78*AT120,0))</f>
        <v/>
      </c>
      <c r="AU293" s="39">
        <f>AU292*(1-AU119)*(1-IF(42&gt;=AU64,Seasonality!$D$78*AU120,0))</f>
        <v/>
      </c>
      <c r="AV293" s="39">
        <f>AV292*(1-AV119)*(1-IF(42&gt;=AV64,Seasonality!$D$78*AV120,0))</f>
        <v/>
      </c>
      <c r="AW293" s="39">
        <f>AW292*(1-AW119)*(1-IF(42&gt;=AW64,Seasonality!$D$78*AW120,0))</f>
        <v/>
      </c>
      <c r="AX293" s="39">
        <f>AX292*(1-AX119)*(1-IF(42&gt;=AX64,Seasonality!$D$78*AX120,0))</f>
        <v/>
      </c>
      <c r="AY293" s="39">
        <f>AY292*(1-AY119)*(1-IF(42&gt;=AY64,Seasonality!$D$78*AY120,0))</f>
        <v/>
      </c>
      <c r="AZ293" s="39">
        <f>AZ292*(1-AZ119)*(1-IF(42&gt;=AZ64,Seasonality!$D$78*AZ120,0))</f>
        <v/>
      </c>
      <c r="BA293" s="39">
        <f>BA292*(1-BA119)*(1-IF(42&gt;=BA64,Seasonality!$D$78*BA120,0))</f>
        <v/>
      </c>
      <c r="BB293" s="39">
        <f>BB292*(1-BB119)*(1-IF(42&gt;=BB64,Seasonality!$D$78*BB120,0))</f>
        <v/>
      </c>
      <c r="BC293" s="39">
        <f>BC292*(1-BC119)*(1-IF(42&gt;=BC64,Seasonality!$D$78*BC120,0))</f>
        <v/>
      </c>
      <c r="BD293" s="39">
        <f>BD292*(1-BD119)*(1-IF(42&gt;=BD64,Seasonality!$D$78*BD120,0))</f>
        <v/>
      </c>
      <c r="BE293" s="39">
        <f>BE292*(1-BE119)*(1-IF(42&gt;=BE64,Seasonality!$D$78*BE120,0))</f>
        <v/>
      </c>
    </row>
    <row r="294">
      <c r="B294" s="7" t="inlineStr">
        <is>
          <t>Share of institutes still paying · month 44</t>
        </is>
      </c>
      <c r="C294" s="5" t="inlineStr">
        <is>
          <t>%</t>
        </is>
      </c>
      <c r="D294" s="39">
        <f>D293*(1-D119)*(1-IF(43&gt;=D64,Seasonality!$D$79*D120,0))</f>
        <v/>
      </c>
      <c r="E294" s="39">
        <f>E293*(1-E119)*(1-IF(43&gt;=E64,Seasonality!$D$79*E120,0))</f>
        <v/>
      </c>
      <c r="F294" s="39">
        <f>F293*(1-F119)*(1-IF(43&gt;=F64,Seasonality!$D$79*F120,0))</f>
        <v/>
      </c>
      <c r="G294" s="39">
        <f>G293*(1-G119)*(1-IF(43&gt;=G64,Seasonality!$D$79*G120,0))</f>
        <v/>
      </c>
      <c r="H294" s="39">
        <f>H293*(1-H119)*(1-IF(43&gt;=H64,Seasonality!$D$79*H120,0))</f>
        <v/>
      </c>
      <c r="I294" s="39">
        <f>I293*(1-I119)*(1-IF(43&gt;=I64,Seasonality!$D$79*I120,0))</f>
        <v/>
      </c>
      <c r="J294" s="39">
        <f>J293*(1-J119)*(1-IF(43&gt;=J64,Seasonality!$D$79*J120,0))</f>
        <v/>
      </c>
      <c r="K294" s="39">
        <f>K293*(1-K119)*(1-IF(43&gt;=K64,Seasonality!$D$79*K120,0))</f>
        <v/>
      </c>
      <c r="L294" s="39">
        <f>L293*(1-L119)*(1-IF(43&gt;=L64,Seasonality!$D$79*L120,0))</f>
        <v/>
      </c>
      <c r="M294" s="39">
        <f>M293*(1-M119)*(1-IF(43&gt;=M64,Seasonality!$D$79*M120,0))</f>
        <v/>
      </c>
      <c r="N294" s="39">
        <f>N293*(1-N119)*(1-IF(43&gt;=N64,Seasonality!$D$79*N120,0))</f>
        <v/>
      </c>
      <c r="O294" s="39">
        <f>O293*(1-O119)*(1-IF(43&gt;=O64,Seasonality!$D$79*O120,0))</f>
        <v/>
      </c>
      <c r="P294" s="39">
        <f>P293*(1-P119)*(1-IF(43&gt;=P64,Seasonality!$D$79*P120,0))</f>
        <v/>
      </c>
      <c r="Q294" s="39">
        <f>Q293*(1-Q119)*(1-IF(43&gt;=Q64,Seasonality!$D$79*Q120,0))</f>
        <v/>
      </c>
      <c r="R294" s="39">
        <f>R293*(1-R119)*(1-IF(43&gt;=R64,Seasonality!$D$79*R120,0))</f>
        <v/>
      </c>
      <c r="S294" s="39">
        <f>S293*(1-S119)*(1-IF(43&gt;=S64,Seasonality!$D$79*S120,0))</f>
        <v/>
      </c>
      <c r="T294" s="39">
        <f>T293*(1-T119)*(1-IF(43&gt;=T64,Seasonality!$D$79*T120,0))</f>
        <v/>
      </c>
      <c r="U294" s="39">
        <f>U293*(1-U119)*(1-IF(43&gt;=U64,Seasonality!$D$79*U120,0))</f>
        <v/>
      </c>
      <c r="V294" s="39">
        <f>V293*(1-V119)*(1-IF(43&gt;=V64,Seasonality!$D$79*V120,0))</f>
        <v/>
      </c>
      <c r="W294" s="39">
        <f>W293*(1-W119)*(1-IF(43&gt;=W64,Seasonality!$D$79*W120,0))</f>
        <v/>
      </c>
      <c r="X294" s="39">
        <f>X293*(1-X119)*(1-IF(43&gt;=X64,Seasonality!$D$79*X120,0))</f>
        <v/>
      </c>
      <c r="Y294" s="39">
        <f>Y293*(1-Y119)*(1-IF(43&gt;=Y64,Seasonality!$D$79*Y120,0))</f>
        <v/>
      </c>
      <c r="Z294" s="39">
        <f>Z293*(1-Z119)*(1-IF(43&gt;=Z64,Seasonality!$D$79*Z120,0))</f>
        <v/>
      </c>
      <c r="AA294" s="39">
        <f>AA293*(1-AA119)*(1-IF(43&gt;=AA64,Seasonality!$D$79*AA120,0))</f>
        <v/>
      </c>
      <c r="AB294" s="39">
        <f>AB293*(1-AB119)*(1-IF(43&gt;=AB64,Seasonality!$D$79*AB120,0))</f>
        <v/>
      </c>
      <c r="AC294" s="39">
        <f>AC293*(1-AC119)*(1-IF(43&gt;=AC64,Seasonality!$D$79*AC120,0))</f>
        <v/>
      </c>
      <c r="AD294" s="39">
        <f>AD293*(1-AD119)*(1-IF(43&gt;=AD64,Seasonality!$D$79*AD120,0))</f>
        <v/>
      </c>
      <c r="AE294" s="39">
        <f>AE293*(1-AE119)*(1-IF(43&gt;=AE64,Seasonality!$D$79*AE120,0))</f>
        <v/>
      </c>
      <c r="AF294" s="39">
        <f>AF293*(1-AF119)*(1-IF(43&gt;=AF64,Seasonality!$D$79*AF120,0))</f>
        <v/>
      </c>
      <c r="AG294" s="39">
        <f>AG293*(1-AG119)*(1-IF(43&gt;=AG64,Seasonality!$D$79*AG120,0))</f>
        <v/>
      </c>
      <c r="AH294" s="39">
        <f>AH293*(1-AH119)*(1-IF(43&gt;=AH64,Seasonality!$D$79*AH120,0))</f>
        <v/>
      </c>
      <c r="AI294" s="39">
        <f>AI293*(1-AI119)*(1-IF(43&gt;=AI64,Seasonality!$D$79*AI120,0))</f>
        <v/>
      </c>
      <c r="AJ294" s="39">
        <f>AJ293*(1-AJ119)*(1-IF(43&gt;=AJ64,Seasonality!$D$79*AJ120,0))</f>
        <v/>
      </c>
      <c r="AK294" s="39">
        <f>AK293*(1-AK119)*(1-IF(43&gt;=AK64,Seasonality!$D$79*AK120,0))</f>
        <v/>
      </c>
      <c r="AL294" s="39">
        <f>AL293*(1-AL119)*(1-IF(43&gt;=AL64,Seasonality!$D$79*AL120,0))</f>
        <v/>
      </c>
      <c r="AM294" s="39">
        <f>AM293*(1-AM119)*(1-IF(43&gt;=AM64,Seasonality!$D$79*AM120,0))</f>
        <v/>
      </c>
      <c r="AN294" s="39">
        <f>AN293*(1-AN119)*(1-IF(43&gt;=AN64,Seasonality!$D$79*AN120,0))</f>
        <v/>
      </c>
      <c r="AO294" s="39">
        <f>AO293*(1-AO119)*(1-IF(43&gt;=AO64,Seasonality!$D$79*AO120,0))</f>
        <v/>
      </c>
      <c r="AP294" s="39">
        <f>AP293*(1-AP119)*(1-IF(43&gt;=AP64,Seasonality!$D$79*AP120,0))</f>
        <v/>
      </c>
      <c r="AQ294" s="39">
        <f>AQ293*(1-AQ119)*(1-IF(43&gt;=AQ64,Seasonality!$D$79*AQ120,0))</f>
        <v/>
      </c>
      <c r="AR294" s="39">
        <f>AR293*(1-AR119)*(1-IF(43&gt;=AR64,Seasonality!$D$79*AR120,0))</f>
        <v/>
      </c>
      <c r="AS294" s="39">
        <f>AS293*(1-AS119)*(1-IF(43&gt;=AS64,Seasonality!$D$79*AS120,0))</f>
        <v/>
      </c>
      <c r="AT294" s="39">
        <f>AT293*(1-AT119)*(1-IF(43&gt;=AT64,Seasonality!$D$79*AT120,0))</f>
        <v/>
      </c>
      <c r="AU294" s="39">
        <f>AU293*(1-AU119)*(1-IF(43&gt;=AU64,Seasonality!$D$79*AU120,0))</f>
        <v/>
      </c>
      <c r="AV294" s="39">
        <f>AV293*(1-AV119)*(1-IF(43&gt;=AV64,Seasonality!$D$79*AV120,0))</f>
        <v/>
      </c>
      <c r="AW294" s="39">
        <f>AW293*(1-AW119)*(1-IF(43&gt;=AW64,Seasonality!$D$79*AW120,0))</f>
        <v/>
      </c>
      <c r="AX294" s="39">
        <f>AX293*(1-AX119)*(1-IF(43&gt;=AX64,Seasonality!$D$79*AX120,0))</f>
        <v/>
      </c>
      <c r="AY294" s="39">
        <f>AY293*(1-AY119)*(1-IF(43&gt;=AY64,Seasonality!$D$79*AY120,0))</f>
        <v/>
      </c>
      <c r="AZ294" s="39">
        <f>AZ293*(1-AZ119)*(1-IF(43&gt;=AZ64,Seasonality!$D$79*AZ120,0))</f>
        <v/>
      </c>
      <c r="BA294" s="39">
        <f>BA293*(1-BA119)*(1-IF(43&gt;=BA64,Seasonality!$D$79*BA120,0))</f>
        <v/>
      </c>
      <c r="BB294" s="39">
        <f>BB293*(1-BB119)*(1-IF(43&gt;=BB64,Seasonality!$D$79*BB120,0))</f>
        <v/>
      </c>
      <c r="BC294" s="39">
        <f>BC293*(1-BC119)*(1-IF(43&gt;=BC64,Seasonality!$D$79*BC120,0))</f>
        <v/>
      </c>
      <c r="BD294" s="39">
        <f>BD293*(1-BD119)*(1-IF(43&gt;=BD64,Seasonality!$D$79*BD120,0))</f>
        <v/>
      </c>
      <c r="BE294" s="39">
        <f>BE293*(1-BE119)*(1-IF(43&gt;=BE64,Seasonality!$D$79*BE120,0))</f>
        <v/>
      </c>
    </row>
    <row r="295">
      <c r="B295" s="7" t="inlineStr">
        <is>
          <t>Share of institutes still paying · month 45</t>
        </is>
      </c>
      <c r="C295" s="5" t="inlineStr">
        <is>
          <t>%</t>
        </is>
      </c>
      <c r="D295" s="39">
        <f>D294*(1-D119)*(1-IF(44&gt;=D64,Seasonality!$D$80*D120,0))</f>
        <v/>
      </c>
      <c r="E295" s="39">
        <f>E294*(1-E119)*(1-IF(44&gt;=E64,Seasonality!$D$80*E120,0))</f>
        <v/>
      </c>
      <c r="F295" s="39">
        <f>F294*(1-F119)*(1-IF(44&gt;=F64,Seasonality!$D$80*F120,0))</f>
        <v/>
      </c>
      <c r="G295" s="39">
        <f>G294*(1-G119)*(1-IF(44&gt;=G64,Seasonality!$D$80*G120,0))</f>
        <v/>
      </c>
      <c r="H295" s="39">
        <f>H294*(1-H119)*(1-IF(44&gt;=H64,Seasonality!$D$80*H120,0))</f>
        <v/>
      </c>
      <c r="I295" s="39">
        <f>I294*(1-I119)*(1-IF(44&gt;=I64,Seasonality!$D$80*I120,0))</f>
        <v/>
      </c>
      <c r="J295" s="39">
        <f>J294*(1-J119)*(1-IF(44&gt;=J64,Seasonality!$D$80*J120,0))</f>
        <v/>
      </c>
      <c r="K295" s="39">
        <f>K294*(1-K119)*(1-IF(44&gt;=K64,Seasonality!$D$80*K120,0))</f>
        <v/>
      </c>
      <c r="L295" s="39">
        <f>L294*(1-L119)*(1-IF(44&gt;=L64,Seasonality!$D$80*L120,0))</f>
        <v/>
      </c>
      <c r="M295" s="39">
        <f>M294*(1-M119)*(1-IF(44&gt;=M64,Seasonality!$D$80*M120,0))</f>
        <v/>
      </c>
      <c r="N295" s="39">
        <f>N294*(1-N119)*(1-IF(44&gt;=N64,Seasonality!$D$80*N120,0))</f>
        <v/>
      </c>
      <c r="O295" s="39">
        <f>O294*(1-O119)*(1-IF(44&gt;=O64,Seasonality!$D$80*O120,0))</f>
        <v/>
      </c>
      <c r="P295" s="39">
        <f>P294*(1-P119)*(1-IF(44&gt;=P64,Seasonality!$D$80*P120,0))</f>
        <v/>
      </c>
      <c r="Q295" s="39">
        <f>Q294*(1-Q119)*(1-IF(44&gt;=Q64,Seasonality!$D$80*Q120,0))</f>
        <v/>
      </c>
      <c r="R295" s="39">
        <f>R294*(1-R119)*(1-IF(44&gt;=R64,Seasonality!$D$80*R120,0))</f>
        <v/>
      </c>
      <c r="S295" s="39">
        <f>S294*(1-S119)*(1-IF(44&gt;=S64,Seasonality!$D$80*S120,0))</f>
        <v/>
      </c>
      <c r="T295" s="39">
        <f>T294*(1-T119)*(1-IF(44&gt;=T64,Seasonality!$D$80*T120,0))</f>
        <v/>
      </c>
      <c r="U295" s="39">
        <f>U294*(1-U119)*(1-IF(44&gt;=U64,Seasonality!$D$80*U120,0))</f>
        <v/>
      </c>
      <c r="V295" s="39">
        <f>V294*(1-V119)*(1-IF(44&gt;=V64,Seasonality!$D$80*V120,0))</f>
        <v/>
      </c>
      <c r="W295" s="39">
        <f>W294*(1-W119)*(1-IF(44&gt;=W64,Seasonality!$D$80*W120,0))</f>
        <v/>
      </c>
      <c r="X295" s="39">
        <f>X294*(1-X119)*(1-IF(44&gt;=X64,Seasonality!$D$80*X120,0))</f>
        <v/>
      </c>
      <c r="Y295" s="39">
        <f>Y294*(1-Y119)*(1-IF(44&gt;=Y64,Seasonality!$D$80*Y120,0))</f>
        <v/>
      </c>
      <c r="Z295" s="39">
        <f>Z294*(1-Z119)*(1-IF(44&gt;=Z64,Seasonality!$D$80*Z120,0))</f>
        <v/>
      </c>
      <c r="AA295" s="39">
        <f>AA294*(1-AA119)*(1-IF(44&gt;=AA64,Seasonality!$D$80*AA120,0))</f>
        <v/>
      </c>
      <c r="AB295" s="39">
        <f>AB294*(1-AB119)*(1-IF(44&gt;=AB64,Seasonality!$D$80*AB120,0))</f>
        <v/>
      </c>
      <c r="AC295" s="39">
        <f>AC294*(1-AC119)*(1-IF(44&gt;=AC64,Seasonality!$D$80*AC120,0))</f>
        <v/>
      </c>
      <c r="AD295" s="39">
        <f>AD294*(1-AD119)*(1-IF(44&gt;=AD64,Seasonality!$D$80*AD120,0))</f>
        <v/>
      </c>
      <c r="AE295" s="39">
        <f>AE294*(1-AE119)*(1-IF(44&gt;=AE64,Seasonality!$D$80*AE120,0))</f>
        <v/>
      </c>
      <c r="AF295" s="39">
        <f>AF294*(1-AF119)*(1-IF(44&gt;=AF64,Seasonality!$D$80*AF120,0))</f>
        <v/>
      </c>
      <c r="AG295" s="39">
        <f>AG294*(1-AG119)*(1-IF(44&gt;=AG64,Seasonality!$D$80*AG120,0))</f>
        <v/>
      </c>
      <c r="AH295" s="39">
        <f>AH294*(1-AH119)*(1-IF(44&gt;=AH64,Seasonality!$D$80*AH120,0))</f>
        <v/>
      </c>
      <c r="AI295" s="39">
        <f>AI294*(1-AI119)*(1-IF(44&gt;=AI64,Seasonality!$D$80*AI120,0))</f>
        <v/>
      </c>
      <c r="AJ295" s="39">
        <f>AJ294*(1-AJ119)*(1-IF(44&gt;=AJ64,Seasonality!$D$80*AJ120,0))</f>
        <v/>
      </c>
      <c r="AK295" s="39">
        <f>AK294*(1-AK119)*(1-IF(44&gt;=AK64,Seasonality!$D$80*AK120,0))</f>
        <v/>
      </c>
      <c r="AL295" s="39">
        <f>AL294*(1-AL119)*(1-IF(44&gt;=AL64,Seasonality!$D$80*AL120,0))</f>
        <v/>
      </c>
      <c r="AM295" s="39">
        <f>AM294*(1-AM119)*(1-IF(44&gt;=AM64,Seasonality!$D$80*AM120,0))</f>
        <v/>
      </c>
      <c r="AN295" s="39">
        <f>AN294*(1-AN119)*(1-IF(44&gt;=AN64,Seasonality!$D$80*AN120,0))</f>
        <v/>
      </c>
      <c r="AO295" s="39">
        <f>AO294*(1-AO119)*(1-IF(44&gt;=AO64,Seasonality!$D$80*AO120,0))</f>
        <v/>
      </c>
      <c r="AP295" s="39">
        <f>AP294*(1-AP119)*(1-IF(44&gt;=AP64,Seasonality!$D$80*AP120,0))</f>
        <v/>
      </c>
      <c r="AQ295" s="39">
        <f>AQ294*(1-AQ119)*(1-IF(44&gt;=AQ64,Seasonality!$D$80*AQ120,0))</f>
        <v/>
      </c>
      <c r="AR295" s="39">
        <f>AR294*(1-AR119)*(1-IF(44&gt;=AR64,Seasonality!$D$80*AR120,0))</f>
        <v/>
      </c>
      <c r="AS295" s="39">
        <f>AS294*(1-AS119)*(1-IF(44&gt;=AS64,Seasonality!$D$80*AS120,0))</f>
        <v/>
      </c>
      <c r="AT295" s="39">
        <f>AT294*(1-AT119)*(1-IF(44&gt;=AT64,Seasonality!$D$80*AT120,0))</f>
        <v/>
      </c>
      <c r="AU295" s="39">
        <f>AU294*(1-AU119)*(1-IF(44&gt;=AU64,Seasonality!$D$80*AU120,0))</f>
        <v/>
      </c>
      <c r="AV295" s="39">
        <f>AV294*(1-AV119)*(1-IF(44&gt;=AV64,Seasonality!$D$80*AV120,0))</f>
        <v/>
      </c>
      <c r="AW295" s="39">
        <f>AW294*(1-AW119)*(1-IF(44&gt;=AW64,Seasonality!$D$80*AW120,0))</f>
        <v/>
      </c>
      <c r="AX295" s="39">
        <f>AX294*(1-AX119)*(1-IF(44&gt;=AX64,Seasonality!$D$80*AX120,0))</f>
        <v/>
      </c>
      <c r="AY295" s="39">
        <f>AY294*(1-AY119)*(1-IF(44&gt;=AY64,Seasonality!$D$80*AY120,0))</f>
        <v/>
      </c>
      <c r="AZ295" s="39">
        <f>AZ294*(1-AZ119)*(1-IF(44&gt;=AZ64,Seasonality!$D$80*AZ120,0))</f>
        <v/>
      </c>
      <c r="BA295" s="39">
        <f>BA294*(1-BA119)*(1-IF(44&gt;=BA64,Seasonality!$D$80*BA120,0))</f>
        <v/>
      </c>
      <c r="BB295" s="39">
        <f>BB294*(1-BB119)*(1-IF(44&gt;=BB64,Seasonality!$D$80*BB120,0))</f>
        <v/>
      </c>
      <c r="BC295" s="39">
        <f>BC294*(1-BC119)*(1-IF(44&gt;=BC64,Seasonality!$D$80*BC120,0))</f>
        <v/>
      </c>
      <c r="BD295" s="39">
        <f>BD294*(1-BD119)*(1-IF(44&gt;=BD64,Seasonality!$D$80*BD120,0))</f>
        <v/>
      </c>
      <c r="BE295" s="39">
        <f>BE294*(1-BE119)*(1-IF(44&gt;=BE64,Seasonality!$D$80*BE120,0))</f>
        <v/>
      </c>
    </row>
    <row r="296">
      <c r="B296" s="7" t="inlineStr">
        <is>
          <t>Share of institutes still paying · month 46</t>
        </is>
      </c>
      <c r="C296" s="5" t="inlineStr">
        <is>
          <t>%</t>
        </is>
      </c>
      <c r="D296" s="39">
        <f>D295*(1-D119)*(1-IF(45&gt;=D64,Seasonality!$D$81*D120,0))</f>
        <v/>
      </c>
      <c r="E296" s="39">
        <f>E295*(1-E119)*(1-IF(45&gt;=E64,Seasonality!$D$81*E120,0))</f>
        <v/>
      </c>
      <c r="F296" s="39">
        <f>F295*(1-F119)*(1-IF(45&gt;=F64,Seasonality!$D$81*F120,0))</f>
        <v/>
      </c>
      <c r="G296" s="39">
        <f>G295*(1-G119)*(1-IF(45&gt;=G64,Seasonality!$D$81*G120,0))</f>
        <v/>
      </c>
      <c r="H296" s="39">
        <f>H295*(1-H119)*(1-IF(45&gt;=H64,Seasonality!$D$81*H120,0))</f>
        <v/>
      </c>
      <c r="I296" s="39">
        <f>I295*(1-I119)*(1-IF(45&gt;=I64,Seasonality!$D$81*I120,0))</f>
        <v/>
      </c>
      <c r="J296" s="39">
        <f>J295*(1-J119)*(1-IF(45&gt;=J64,Seasonality!$D$81*J120,0))</f>
        <v/>
      </c>
      <c r="K296" s="39">
        <f>K295*(1-K119)*(1-IF(45&gt;=K64,Seasonality!$D$81*K120,0))</f>
        <v/>
      </c>
      <c r="L296" s="39">
        <f>L295*(1-L119)*(1-IF(45&gt;=L64,Seasonality!$D$81*L120,0))</f>
        <v/>
      </c>
      <c r="M296" s="39">
        <f>M295*(1-M119)*(1-IF(45&gt;=M64,Seasonality!$D$81*M120,0))</f>
        <v/>
      </c>
      <c r="N296" s="39">
        <f>N295*(1-N119)*(1-IF(45&gt;=N64,Seasonality!$D$81*N120,0))</f>
        <v/>
      </c>
      <c r="O296" s="39">
        <f>O295*(1-O119)*(1-IF(45&gt;=O64,Seasonality!$D$81*O120,0))</f>
        <v/>
      </c>
      <c r="P296" s="39">
        <f>P295*(1-P119)*(1-IF(45&gt;=P64,Seasonality!$D$81*P120,0))</f>
        <v/>
      </c>
      <c r="Q296" s="39">
        <f>Q295*(1-Q119)*(1-IF(45&gt;=Q64,Seasonality!$D$81*Q120,0))</f>
        <v/>
      </c>
      <c r="R296" s="39">
        <f>R295*(1-R119)*(1-IF(45&gt;=R64,Seasonality!$D$81*R120,0))</f>
        <v/>
      </c>
      <c r="S296" s="39">
        <f>S295*(1-S119)*(1-IF(45&gt;=S64,Seasonality!$D$81*S120,0))</f>
        <v/>
      </c>
      <c r="T296" s="39">
        <f>T295*(1-T119)*(1-IF(45&gt;=T64,Seasonality!$D$81*T120,0))</f>
        <v/>
      </c>
      <c r="U296" s="39">
        <f>U295*(1-U119)*(1-IF(45&gt;=U64,Seasonality!$D$81*U120,0))</f>
        <v/>
      </c>
      <c r="V296" s="39">
        <f>V295*(1-V119)*(1-IF(45&gt;=V64,Seasonality!$D$81*V120,0))</f>
        <v/>
      </c>
      <c r="W296" s="39">
        <f>W295*(1-W119)*(1-IF(45&gt;=W64,Seasonality!$D$81*W120,0))</f>
        <v/>
      </c>
      <c r="X296" s="39">
        <f>X295*(1-X119)*(1-IF(45&gt;=X64,Seasonality!$D$81*X120,0))</f>
        <v/>
      </c>
      <c r="Y296" s="39">
        <f>Y295*(1-Y119)*(1-IF(45&gt;=Y64,Seasonality!$D$81*Y120,0))</f>
        <v/>
      </c>
      <c r="Z296" s="39">
        <f>Z295*(1-Z119)*(1-IF(45&gt;=Z64,Seasonality!$D$81*Z120,0))</f>
        <v/>
      </c>
      <c r="AA296" s="39">
        <f>AA295*(1-AA119)*(1-IF(45&gt;=AA64,Seasonality!$D$81*AA120,0))</f>
        <v/>
      </c>
      <c r="AB296" s="39">
        <f>AB295*(1-AB119)*(1-IF(45&gt;=AB64,Seasonality!$D$81*AB120,0))</f>
        <v/>
      </c>
      <c r="AC296" s="39">
        <f>AC295*(1-AC119)*(1-IF(45&gt;=AC64,Seasonality!$D$81*AC120,0))</f>
        <v/>
      </c>
      <c r="AD296" s="39">
        <f>AD295*(1-AD119)*(1-IF(45&gt;=AD64,Seasonality!$D$81*AD120,0))</f>
        <v/>
      </c>
      <c r="AE296" s="39">
        <f>AE295*(1-AE119)*(1-IF(45&gt;=AE64,Seasonality!$D$81*AE120,0))</f>
        <v/>
      </c>
      <c r="AF296" s="39">
        <f>AF295*(1-AF119)*(1-IF(45&gt;=AF64,Seasonality!$D$81*AF120,0))</f>
        <v/>
      </c>
      <c r="AG296" s="39">
        <f>AG295*(1-AG119)*(1-IF(45&gt;=AG64,Seasonality!$D$81*AG120,0))</f>
        <v/>
      </c>
      <c r="AH296" s="39">
        <f>AH295*(1-AH119)*(1-IF(45&gt;=AH64,Seasonality!$D$81*AH120,0))</f>
        <v/>
      </c>
      <c r="AI296" s="39">
        <f>AI295*(1-AI119)*(1-IF(45&gt;=AI64,Seasonality!$D$81*AI120,0))</f>
        <v/>
      </c>
      <c r="AJ296" s="39">
        <f>AJ295*(1-AJ119)*(1-IF(45&gt;=AJ64,Seasonality!$D$81*AJ120,0))</f>
        <v/>
      </c>
      <c r="AK296" s="39">
        <f>AK295*(1-AK119)*(1-IF(45&gt;=AK64,Seasonality!$D$81*AK120,0))</f>
        <v/>
      </c>
      <c r="AL296" s="39">
        <f>AL295*(1-AL119)*(1-IF(45&gt;=AL64,Seasonality!$D$81*AL120,0))</f>
        <v/>
      </c>
      <c r="AM296" s="39">
        <f>AM295*(1-AM119)*(1-IF(45&gt;=AM64,Seasonality!$D$81*AM120,0))</f>
        <v/>
      </c>
      <c r="AN296" s="39">
        <f>AN295*(1-AN119)*(1-IF(45&gt;=AN64,Seasonality!$D$81*AN120,0))</f>
        <v/>
      </c>
      <c r="AO296" s="39">
        <f>AO295*(1-AO119)*(1-IF(45&gt;=AO64,Seasonality!$D$81*AO120,0))</f>
        <v/>
      </c>
      <c r="AP296" s="39">
        <f>AP295*(1-AP119)*(1-IF(45&gt;=AP64,Seasonality!$D$81*AP120,0))</f>
        <v/>
      </c>
      <c r="AQ296" s="39">
        <f>AQ295*(1-AQ119)*(1-IF(45&gt;=AQ64,Seasonality!$D$81*AQ120,0))</f>
        <v/>
      </c>
      <c r="AR296" s="39">
        <f>AR295*(1-AR119)*(1-IF(45&gt;=AR64,Seasonality!$D$81*AR120,0))</f>
        <v/>
      </c>
      <c r="AS296" s="39">
        <f>AS295*(1-AS119)*(1-IF(45&gt;=AS64,Seasonality!$D$81*AS120,0))</f>
        <v/>
      </c>
      <c r="AT296" s="39">
        <f>AT295*(1-AT119)*(1-IF(45&gt;=AT64,Seasonality!$D$81*AT120,0))</f>
        <v/>
      </c>
      <c r="AU296" s="39">
        <f>AU295*(1-AU119)*(1-IF(45&gt;=AU64,Seasonality!$D$81*AU120,0))</f>
        <v/>
      </c>
      <c r="AV296" s="39">
        <f>AV295*(1-AV119)*(1-IF(45&gt;=AV64,Seasonality!$D$81*AV120,0))</f>
        <v/>
      </c>
      <c r="AW296" s="39">
        <f>AW295*(1-AW119)*(1-IF(45&gt;=AW64,Seasonality!$D$81*AW120,0))</f>
        <v/>
      </c>
      <c r="AX296" s="39">
        <f>AX295*(1-AX119)*(1-IF(45&gt;=AX64,Seasonality!$D$81*AX120,0))</f>
        <v/>
      </c>
      <c r="AY296" s="39">
        <f>AY295*(1-AY119)*(1-IF(45&gt;=AY64,Seasonality!$D$81*AY120,0))</f>
        <v/>
      </c>
      <c r="AZ296" s="39">
        <f>AZ295*(1-AZ119)*(1-IF(45&gt;=AZ64,Seasonality!$D$81*AZ120,0))</f>
        <v/>
      </c>
      <c r="BA296" s="39">
        <f>BA295*(1-BA119)*(1-IF(45&gt;=BA64,Seasonality!$D$81*BA120,0))</f>
        <v/>
      </c>
      <c r="BB296" s="39">
        <f>BB295*(1-BB119)*(1-IF(45&gt;=BB64,Seasonality!$D$81*BB120,0))</f>
        <v/>
      </c>
      <c r="BC296" s="39">
        <f>BC295*(1-BC119)*(1-IF(45&gt;=BC64,Seasonality!$D$81*BC120,0))</f>
        <v/>
      </c>
      <c r="BD296" s="39">
        <f>BD295*(1-BD119)*(1-IF(45&gt;=BD64,Seasonality!$D$81*BD120,0))</f>
        <v/>
      </c>
      <c r="BE296" s="39">
        <f>BE295*(1-BE119)*(1-IF(45&gt;=BE64,Seasonality!$D$81*BE120,0))</f>
        <v/>
      </c>
    </row>
    <row r="297">
      <c r="B297" s="7" t="inlineStr">
        <is>
          <t>Share of institutes still paying · month 47</t>
        </is>
      </c>
      <c r="C297" s="5" t="inlineStr">
        <is>
          <t>%</t>
        </is>
      </c>
      <c r="D297" s="39">
        <f>D296*(1-D119)*(1-IF(46&gt;=D64,Seasonality!$D$82*D120,0))</f>
        <v/>
      </c>
      <c r="E297" s="39">
        <f>E296*(1-E119)*(1-IF(46&gt;=E64,Seasonality!$D$82*E120,0))</f>
        <v/>
      </c>
      <c r="F297" s="39">
        <f>F296*(1-F119)*(1-IF(46&gt;=F64,Seasonality!$D$82*F120,0))</f>
        <v/>
      </c>
      <c r="G297" s="39">
        <f>G296*(1-G119)*(1-IF(46&gt;=G64,Seasonality!$D$82*G120,0))</f>
        <v/>
      </c>
      <c r="H297" s="39">
        <f>H296*(1-H119)*(1-IF(46&gt;=H64,Seasonality!$D$82*H120,0))</f>
        <v/>
      </c>
      <c r="I297" s="39">
        <f>I296*(1-I119)*(1-IF(46&gt;=I64,Seasonality!$D$82*I120,0))</f>
        <v/>
      </c>
      <c r="J297" s="39">
        <f>J296*(1-J119)*(1-IF(46&gt;=J64,Seasonality!$D$82*J120,0))</f>
        <v/>
      </c>
      <c r="K297" s="39">
        <f>K296*(1-K119)*(1-IF(46&gt;=K64,Seasonality!$D$82*K120,0))</f>
        <v/>
      </c>
      <c r="L297" s="39">
        <f>L296*(1-L119)*(1-IF(46&gt;=L64,Seasonality!$D$82*L120,0))</f>
        <v/>
      </c>
      <c r="M297" s="39">
        <f>M296*(1-M119)*(1-IF(46&gt;=M64,Seasonality!$D$82*M120,0))</f>
        <v/>
      </c>
      <c r="N297" s="39">
        <f>N296*(1-N119)*(1-IF(46&gt;=N64,Seasonality!$D$82*N120,0))</f>
        <v/>
      </c>
      <c r="O297" s="39">
        <f>O296*(1-O119)*(1-IF(46&gt;=O64,Seasonality!$D$82*O120,0))</f>
        <v/>
      </c>
      <c r="P297" s="39">
        <f>P296*(1-P119)*(1-IF(46&gt;=P64,Seasonality!$D$82*P120,0))</f>
        <v/>
      </c>
      <c r="Q297" s="39">
        <f>Q296*(1-Q119)*(1-IF(46&gt;=Q64,Seasonality!$D$82*Q120,0))</f>
        <v/>
      </c>
      <c r="R297" s="39">
        <f>R296*(1-R119)*(1-IF(46&gt;=R64,Seasonality!$D$82*R120,0))</f>
        <v/>
      </c>
      <c r="S297" s="39">
        <f>S296*(1-S119)*(1-IF(46&gt;=S64,Seasonality!$D$82*S120,0))</f>
        <v/>
      </c>
      <c r="T297" s="39">
        <f>T296*(1-T119)*(1-IF(46&gt;=T64,Seasonality!$D$82*T120,0))</f>
        <v/>
      </c>
      <c r="U297" s="39">
        <f>U296*(1-U119)*(1-IF(46&gt;=U64,Seasonality!$D$82*U120,0))</f>
        <v/>
      </c>
      <c r="V297" s="39">
        <f>V296*(1-V119)*(1-IF(46&gt;=V64,Seasonality!$D$82*V120,0))</f>
        <v/>
      </c>
      <c r="W297" s="39">
        <f>W296*(1-W119)*(1-IF(46&gt;=W64,Seasonality!$D$82*W120,0))</f>
        <v/>
      </c>
      <c r="X297" s="39">
        <f>X296*(1-X119)*(1-IF(46&gt;=X64,Seasonality!$D$82*X120,0))</f>
        <v/>
      </c>
      <c r="Y297" s="39">
        <f>Y296*(1-Y119)*(1-IF(46&gt;=Y64,Seasonality!$D$82*Y120,0))</f>
        <v/>
      </c>
      <c r="Z297" s="39">
        <f>Z296*(1-Z119)*(1-IF(46&gt;=Z64,Seasonality!$D$82*Z120,0))</f>
        <v/>
      </c>
      <c r="AA297" s="39">
        <f>AA296*(1-AA119)*(1-IF(46&gt;=AA64,Seasonality!$D$82*AA120,0))</f>
        <v/>
      </c>
      <c r="AB297" s="39">
        <f>AB296*(1-AB119)*(1-IF(46&gt;=AB64,Seasonality!$D$82*AB120,0))</f>
        <v/>
      </c>
      <c r="AC297" s="39">
        <f>AC296*(1-AC119)*(1-IF(46&gt;=AC64,Seasonality!$D$82*AC120,0))</f>
        <v/>
      </c>
      <c r="AD297" s="39">
        <f>AD296*(1-AD119)*(1-IF(46&gt;=AD64,Seasonality!$D$82*AD120,0))</f>
        <v/>
      </c>
      <c r="AE297" s="39">
        <f>AE296*(1-AE119)*(1-IF(46&gt;=AE64,Seasonality!$D$82*AE120,0))</f>
        <v/>
      </c>
      <c r="AF297" s="39">
        <f>AF296*(1-AF119)*(1-IF(46&gt;=AF64,Seasonality!$D$82*AF120,0))</f>
        <v/>
      </c>
      <c r="AG297" s="39">
        <f>AG296*(1-AG119)*(1-IF(46&gt;=AG64,Seasonality!$D$82*AG120,0))</f>
        <v/>
      </c>
      <c r="AH297" s="39">
        <f>AH296*(1-AH119)*(1-IF(46&gt;=AH64,Seasonality!$D$82*AH120,0))</f>
        <v/>
      </c>
      <c r="AI297" s="39">
        <f>AI296*(1-AI119)*(1-IF(46&gt;=AI64,Seasonality!$D$82*AI120,0))</f>
        <v/>
      </c>
      <c r="AJ297" s="39">
        <f>AJ296*(1-AJ119)*(1-IF(46&gt;=AJ64,Seasonality!$D$82*AJ120,0))</f>
        <v/>
      </c>
      <c r="AK297" s="39">
        <f>AK296*(1-AK119)*(1-IF(46&gt;=AK64,Seasonality!$D$82*AK120,0))</f>
        <v/>
      </c>
      <c r="AL297" s="39">
        <f>AL296*(1-AL119)*(1-IF(46&gt;=AL64,Seasonality!$D$82*AL120,0))</f>
        <v/>
      </c>
      <c r="AM297" s="39">
        <f>AM296*(1-AM119)*(1-IF(46&gt;=AM64,Seasonality!$D$82*AM120,0))</f>
        <v/>
      </c>
      <c r="AN297" s="39">
        <f>AN296*(1-AN119)*(1-IF(46&gt;=AN64,Seasonality!$D$82*AN120,0))</f>
        <v/>
      </c>
      <c r="AO297" s="39">
        <f>AO296*(1-AO119)*(1-IF(46&gt;=AO64,Seasonality!$D$82*AO120,0))</f>
        <v/>
      </c>
      <c r="AP297" s="39">
        <f>AP296*(1-AP119)*(1-IF(46&gt;=AP64,Seasonality!$D$82*AP120,0))</f>
        <v/>
      </c>
      <c r="AQ297" s="39">
        <f>AQ296*(1-AQ119)*(1-IF(46&gt;=AQ64,Seasonality!$D$82*AQ120,0))</f>
        <v/>
      </c>
      <c r="AR297" s="39">
        <f>AR296*(1-AR119)*(1-IF(46&gt;=AR64,Seasonality!$D$82*AR120,0))</f>
        <v/>
      </c>
      <c r="AS297" s="39">
        <f>AS296*(1-AS119)*(1-IF(46&gt;=AS64,Seasonality!$D$82*AS120,0))</f>
        <v/>
      </c>
      <c r="AT297" s="39">
        <f>AT296*(1-AT119)*(1-IF(46&gt;=AT64,Seasonality!$D$82*AT120,0))</f>
        <v/>
      </c>
      <c r="AU297" s="39">
        <f>AU296*(1-AU119)*(1-IF(46&gt;=AU64,Seasonality!$D$82*AU120,0))</f>
        <v/>
      </c>
      <c r="AV297" s="39">
        <f>AV296*(1-AV119)*(1-IF(46&gt;=AV64,Seasonality!$D$82*AV120,0))</f>
        <v/>
      </c>
      <c r="AW297" s="39">
        <f>AW296*(1-AW119)*(1-IF(46&gt;=AW64,Seasonality!$D$82*AW120,0))</f>
        <v/>
      </c>
      <c r="AX297" s="39">
        <f>AX296*(1-AX119)*(1-IF(46&gt;=AX64,Seasonality!$D$82*AX120,0))</f>
        <v/>
      </c>
      <c r="AY297" s="39">
        <f>AY296*(1-AY119)*(1-IF(46&gt;=AY64,Seasonality!$D$82*AY120,0))</f>
        <v/>
      </c>
      <c r="AZ297" s="39">
        <f>AZ296*(1-AZ119)*(1-IF(46&gt;=AZ64,Seasonality!$D$82*AZ120,0))</f>
        <v/>
      </c>
      <c r="BA297" s="39">
        <f>BA296*(1-BA119)*(1-IF(46&gt;=BA64,Seasonality!$D$82*BA120,0))</f>
        <v/>
      </c>
      <c r="BB297" s="39">
        <f>BB296*(1-BB119)*(1-IF(46&gt;=BB64,Seasonality!$D$82*BB120,0))</f>
        <v/>
      </c>
      <c r="BC297" s="39">
        <f>BC296*(1-BC119)*(1-IF(46&gt;=BC64,Seasonality!$D$82*BC120,0))</f>
        <v/>
      </c>
      <c r="BD297" s="39">
        <f>BD296*(1-BD119)*(1-IF(46&gt;=BD64,Seasonality!$D$82*BD120,0))</f>
        <v/>
      </c>
      <c r="BE297" s="39">
        <f>BE296*(1-BE119)*(1-IF(46&gt;=BE64,Seasonality!$D$82*BE120,0))</f>
        <v/>
      </c>
    </row>
    <row r="298">
      <c r="B298" s="7" t="inlineStr">
        <is>
          <t>Share of institutes still paying · month 48</t>
        </is>
      </c>
      <c r="C298" s="5" t="inlineStr">
        <is>
          <t>%</t>
        </is>
      </c>
      <c r="D298" s="39">
        <f>D297*(1-D119)*(1-IF(47&gt;=D64,Seasonality!$D$83*D120,0))</f>
        <v/>
      </c>
      <c r="E298" s="39">
        <f>E297*(1-E119)*(1-IF(47&gt;=E64,Seasonality!$D$83*E120,0))</f>
        <v/>
      </c>
      <c r="F298" s="39">
        <f>F297*(1-F119)*(1-IF(47&gt;=F64,Seasonality!$D$83*F120,0))</f>
        <v/>
      </c>
      <c r="G298" s="39">
        <f>G297*(1-G119)*(1-IF(47&gt;=G64,Seasonality!$D$83*G120,0))</f>
        <v/>
      </c>
      <c r="H298" s="39">
        <f>H297*(1-H119)*(1-IF(47&gt;=H64,Seasonality!$D$83*H120,0))</f>
        <v/>
      </c>
      <c r="I298" s="39">
        <f>I297*(1-I119)*(1-IF(47&gt;=I64,Seasonality!$D$83*I120,0))</f>
        <v/>
      </c>
      <c r="J298" s="39">
        <f>J297*(1-J119)*(1-IF(47&gt;=J64,Seasonality!$D$83*J120,0))</f>
        <v/>
      </c>
      <c r="K298" s="39">
        <f>K297*(1-K119)*(1-IF(47&gt;=K64,Seasonality!$D$83*K120,0))</f>
        <v/>
      </c>
      <c r="L298" s="39">
        <f>L297*(1-L119)*(1-IF(47&gt;=L64,Seasonality!$D$83*L120,0))</f>
        <v/>
      </c>
      <c r="M298" s="39">
        <f>M297*(1-M119)*(1-IF(47&gt;=M64,Seasonality!$D$83*M120,0))</f>
        <v/>
      </c>
      <c r="N298" s="39">
        <f>N297*(1-N119)*(1-IF(47&gt;=N64,Seasonality!$D$83*N120,0))</f>
        <v/>
      </c>
      <c r="O298" s="39">
        <f>O297*(1-O119)*(1-IF(47&gt;=O64,Seasonality!$D$83*O120,0))</f>
        <v/>
      </c>
      <c r="P298" s="39">
        <f>P297*(1-P119)*(1-IF(47&gt;=P64,Seasonality!$D$83*P120,0))</f>
        <v/>
      </c>
      <c r="Q298" s="39">
        <f>Q297*(1-Q119)*(1-IF(47&gt;=Q64,Seasonality!$D$83*Q120,0))</f>
        <v/>
      </c>
      <c r="R298" s="39">
        <f>R297*(1-R119)*(1-IF(47&gt;=R64,Seasonality!$D$83*R120,0))</f>
        <v/>
      </c>
      <c r="S298" s="39">
        <f>S297*(1-S119)*(1-IF(47&gt;=S64,Seasonality!$D$83*S120,0))</f>
        <v/>
      </c>
      <c r="T298" s="39">
        <f>T297*(1-T119)*(1-IF(47&gt;=T64,Seasonality!$D$83*T120,0))</f>
        <v/>
      </c>
      <c r="U298" s="39">
        <f>U297*(1-U119)*(1-IF(47&gt;=U64,Seasonality!$D$83*U120,0))</f>
        <v/>
      </c>
      <c r="V298" s="39">
        <f>V297*(1-V119)*(1-IF(47&gt;=V64,Seasonality!$D$83*V120,0))</f>
        <v/>
      </c>
      <c r="W298" s="39">
        <f>W297*(1-W119)*(1-IF(47&gt;=W64,Seasonality!$D$83*W120,0))</f>
        <v/>
      </c>
      <c r="X298" s="39">
        <f>X297*(1-X119)*(1-IF(47&gt;=X64,Seasonality!$D$83*X120,0))</f>
        <v/>
      </c>
      <c r="Y298" s="39">
        <f>Y297*(1-Y119)*(1-IF(47&gt;=Y64,Seasonality!$D$83*Y120,0))</f>
        <v/>
      </c>
      <c r="Z298" s="39">
        <f>Z297*(1-Z119)*(1-IF(47&gt;=Z64,Seasonality!$D$83*Z120,0))</f>
        <v/>
      </c>
      <c r="AA298" s="39">
        <f>AA297*(1-AA119)*(1-IF(47&gt;=AA64,Seasonality!$D$83*AA120,0))</f>
        <v/>
      </c>
      <c r="AB298" s="39">
        <f>AB297*(1-AB119)*(1-IF(47&gt;=AB64,Seasonality!$D$83*AB120,0))</f>
        <v/>
      </c>
      <c r="AC298" s="39">
        <f>AC297*(1-AC119)*(1-IF(47&gt;=AC64,Seasonality!$D$83*AC120,0))</f>
        <v/>
      </c>
      <c r="AD298" s="39">
        <f>AD297*(1-AD119)*(1-IF(47&gt;=AD64,Seasonality!$D$83*AD120,0))</f>
        <v/>
      </c>
      <c r="AE298" s="39">
        <f>AE297*(1-AE119)*(1-IF(47&gt;=AE64,Seasonality!$D$83*AE120,0))</f>
        <v/>
      </c>
      <c r="AF298" s="39">
        <f>AF297*(1-AF119)*(1-IF(47&gt;=AF64,Seasonality!$D$83*AF120,0))</f>
        <v/>
      </c>
      <c r="AG298" s="39">
        <f>AG297*(1-AG119)*(1-IF(47&gt;=AG64,Seasonality!$D$83*AG120,0))</f>
        <v/>
      </c>
      <c r="AH298" s="39">
        <f>AH297*(1-AH119)*(1-IF(47&gt;=AH64,Seasonality!$D$83*AH120,0))</f>
        <v/>
      </c>
      <c r="AI298" s="39">
        <f>AI297*(1-AI119)*(1-IF(47&gt;=AI64,Seasonality!$D$83*AI120,0))</f>
        <v/>
      </c>
      <c r="AJ298" s="39">
        <f>AJ297*(1-AJ119)*(1-IF(47&gt;=AJ64,Seasonality!$D$83*AJ120,0))</f>
        <v/>
      </c>
      <c r="AK298" s="39">
        <f>AK297*(1-AK119)*(1-IF(47&gt;=AK64,Seasonality!$D$83*AK120,0))</f>
        <v/>
      </c>
      <c r="AL298" s="39">
        <f>AL297*(1-AL119)*(1-IF(47&gt;=AL64,Seasonality!$D$83*AL120,0))</f>
        <v/>
      </c>
      <c r="AM298" s="39">
        <f>AM297*(1-AM119)*(1-IF(47&gt;=AM64,Seasonality!$D$83*AM120,0))</f>
        <v/>
      </c>
      <c r="AN298" s="39">
        <f>AN297*(1-AN119)*(1-IF(47&gt;=AN64,Seasonality!$D$83*AN120,0))</f>
        <v/>
      </c>
      <c r="AO298" s="39">
        <f>AO297*(1-AO119)*(1-IF(47&gt;=AO64,Seasonality!$D$83*AO120,0))</f>
        <v/>
      </c>
      <c r="AP298" s="39">
        <f>AP297*(1-AP119)*(1-IF(47&gt;=AP64,Seasonality!$D$83*AP120,0))</f>
        <v/>
      </c>
      <c r="AQ298" s="39">
        <f>AQ297*(1-AQ119)*(1-IF(47&gt;=AQ64,Seasonality!$D$83*AQ120,0))</f>
        <v/>
      </c>
      <c r="AR298" s="39">
        <f>AR297*(1-AR119)*(1-IF(47&gt;=AR64,Seasonality!$D$83*AR120,0))</f>
        <v/>
      </c>
      <c r="AS298" s="39">
        <f>AS297*(1-AS119)*(1-IF(47&gt;=AS64,Seasonality!$D$83*AS120,0))</f>
        <v/>
      </c>
      <c r="AT298" s="39">
        <f>AT297*(1-AT119)*(1-IF(47&gt;=AT64,Seasonality!$D$83*AT120,0))</f>
        <v/>
      </c>
      <c r="AU298" s="39">
        <f>AU297*(1-AU119)*(1-IF(47&gt;=AU64,Seasonality!$D$83*AU120,0))</f>
        <v/>
      </c>
      <c r="AV298" s="39">
        <f>AV297*(1-AV119)*(1-IF(47&gt;=AV64,Seasonality!$D$83*AV120,0))</f>
        <v/>
      </c>
      <c r="AW298" s="39">
        <f>AW297*(1-AW119)*(1-IF(47&gt;=AW64,Seasonality!$D$83*AW120,0))</f>
        <v/>
      </c>
      <c r="AX298" s="39">
        <f>AX297*(1-AX119)*(1-IF(47&gt;=AX64,Seasonality!$D$83*AX120,0))</f>
        <v/>
      </c>
      <c r="AY298" s="39">
        <f>AY297*(1-AY119)*(1-IF(47&gt;=AY64,Seasonality!$D$83*AY120,0))</f>
        <v/>
      </c>
      <c r="AZ298" s="39">
        <f>AZ297*(1-AZ119)*(1-IF(47&gt;=AZ64,Seasonality!$D$83*AZ120,0))</f>
        <v/>
      </c>
      <c r="BA298" s="39">
        <f>BA297*(1-BA119)*(1-IF(47&gt;=BA64,Seasonality!$D$83*BA120,0))</f>
        <v/>
      </c>
      <c r="BB298" s="39">
        <f>BB297*(1-BB119)*(1-IF(47&gt;=BB64,Seasonality!$D$83*BB120,0))</f>
        <v/>
      </c>
      <c r="BC298" s="39">
        <f>BC297*(1-BC119)*(1-IF(47&gt;=BC64,Seasonality!$D$83*BC120,0))</f>
        <v/>
      </c>
      <c r="BD298" s="39">
        <f>BD297*(1-BD119)*(1-IF(47&gt;=BD64,Seasonality!$D$83*BD120,0))</f>
        <v/>
      </c>
      <c r="BE298" s="39">
        <f>BE297*(1-BE119)*(1-IF(47&gt;=BE64,Seasonality!$D$83*BE120,0))</f>
        <v/>
      </c>
    </row>
    <row r="299">
      <c r="B299" s="7" t="inlineStr">
        <is>
          <t>Share of institutes still paying · month 49</t>
        </is>
      </c>
      <c r="C299" s="5" t="inlineStr">
        <is>
          <t>%</t>
        </is>
      </c>
      <c r="D299" s="39">
        <f>D298*(1-D119)*(1-IF(48&gt;=D64,Seasonality!$D$84*D120,0))</f>
        <v/>
      </c>
      <c r="E299" s="39">
        <f>E298*(1-E119)*(1-IF(48&gt;=E64,Seasonality!$D$84*E120,0))</f>
        <v/>
      </c>
      <c r="F299" s="39">
        <f>F298*(1-F119)*(1-IF(48&gt;=F64,Seasonality!$D$84*F120,0))</f>
        <v/>
      </c>
      <c r="G299" s="39">
        <f>G298*(1-G119)*(1-IF(48&gt;=G64,Seasonality!$D$84*G120,0))</f>
        <v/>
      </c>
      <c r="H299" s="39">
        <f>H298*(1-H119)*(1-IF(48&gt;=H64,Seasonality!$D$84*H120,0))</f>
        <v/>
      </c>
      <c r="I299" s="39">
        <f>I298*(1-I119)*(1-IF(48&gt;=I64,Seasonality!$D$84*I120,0))</f>
        <v/>
      </c>
      <c r="J299" s="39">
        <f>J298*(1-J119)*(1-IF(48&gt;=J64,Seasonality!$D$84*J120,0))</f>
        <v/>
      </c>
      <c r="K299" s="39">
        <f>K298*(1-K119)*(1-IF(48&gt;=K64,Seasonality!$D$84*K120,0))</f>
        <v/>
      </c>
      <c r="L299" s="39">
        <f>L298*(1-L119)*(1-IF(48&gt;=L64,Seasonality!$D$84*L120,0))</f>
        <v/>
      </c>
      <c r="M299" s="39">
        <f>M298*(1-M119)*(1-IF(48&gt;=M64,Seasonality!$D$84*M120,0))</f>
        <v/>
      </c>
      <c r="N299" s="39">
        <f>N298*(1-N119)*(1-IF(48&gt;=N64,Seasonality!$D$84*N120,0))</f>
        <v/>
      </c>
      <c r="O299" s="39">
        <f>O298*(1-O119)*(1-IF(48&gt;=O64,Seasonality!$D$84*O120,0))</f>
        <v/>
      </c>
      <c r="P299" s="39">
        <f>P298*(1-P119)*(1-IF(48&gt;=P64,Seasonality!$D$84*P120,0))</f>
        <v/>
      </c>
      <c r="Q299" s="39">
        <f>Q298*(1-Q119)*(1-IF(48&gt;=Q64,Seasonality!$D$84*Q120,0))</f>
        <v/>
      </c>
      <c r="R299" s="39">
        <f>R298*(1-R119)*(1-IF(48&gt;=R64,Seasonality!$D$84*R120,0))</f>
        <v/>
      </c>
      <c r="S299" s="39">
        <f>S298*(1-S119)*(1-IF(48&gt;=S64,Seasonality!$D$84*S120,0))</f>
        <v/>
      </c>
      <c r="T299" s="39">
        <f>T298*(1-T119)*(1-IF(48&gt;=T64,Seasonality!$D$84*T120,0))</f>
        <v/>
      </c>
      <c r="U299" s="39">
        <f>U298*(1-U119)*(1-IF(48&gt;=U64,Seasonality!$D$84*U120,0))</f>
        <v/>
      </c>
      <c r="V299" s="39">
        <f>V298*(1-V119)*(1-IF(48&gt;=V64,Seasonality!$D$84*V120,0))</f>
        <v/>
      </c>
      <c r="W299" s="39">
        <f>W298*(1-W119)*(1-IF(48&gt;=W64,Seasonality!$D$84*W120,0))</f>
        <v/>
      </c>
      <c r="X299" s="39">
        <f>X298*(1-X119)*(1-IF(48&gt;=X64,Seasonality!$D$84*X120,0))</f>
        <v/>
      </c>
      <c r="Y299" s="39">
        <f>Y298*(1-Y119)*(1-IF(48&gt;=Y64,Seasonality!$D$84*Y120,0))</f>
        <v/>
      </c>
      <c r="Z299" s="39">
        <f>Z298*(1-Z119)*(1-IF(48&gt;=Z64,Seasonality!$D$84*Z120,0))</f>
        <v/>
      </c>
      <c r="AA299" s="39">
        <f>AA298*(1-AA119)*(1-IF(48&gt;=AA64,Seasonality!$D$84*AA120,0))</f>
        <v/>
      </c>
      <c r="AB299" s="39">
        <f>AB298*(1-AB119)*(1-IF(48&gt;=AB64,Seasonality!$D$84*AB120,0))</f>
        <v/>
      </c>
      <c r="AC299" s="39">
        <f>AC298*(1-AC119)*(1-IF(48&gt;=AC64,Seasonality!$D$84*AC120,0))</f>
        <v/>
      </c>
      <c r="AD299" s="39">
        <f>AD298*(1-AD119)*(1-IF(48&gt;=AD64,Seasonality!$D$84*AD120,0))</f>
        <v/>
      </c>
      <c r="AE299" s="39">
        <f>AE298*(1-AE119)*(1-IF(48&gt;=AE64,Seasonality!$D$84*AE120,0))</f>
        <v/>
      </c>
      <c r="AF299" s="39">
        <f>AF298*(1-AF119)*(1-IF(48&gt;=AF64,Seasonality!$D$84*AF120,0))</f>
        <v/>
      </c>
      <c r="AG299" s="39">
        <f>AG298*(1-AG119)*(1-IF(48&gt;=AG64,Seasonality!$D$84*AG120,0))</f>
        <v/>
      </c>
      <c r="AH299" s="39">
        <f>AH298*(1-AH119)*(1-IF(48&gt;=AH64,Seasonality!$D$84*AH120,0))</f>
        <v/>
      </c>
      <c r="AI299" s="39">
        <f>AI298*(1-AI119)*(1-IF(48&gt;=AI64,Seasonality!$D$84*AI120,0))</f>
        <v/>
      </c>
      <c r="AJ299" s="39">
        <f>AJ298*(1-AJ119)*(1-IF(48&gt;=AJ64,Seasonality!$D$84*AJ120,0))</f>
        <v/>
      </c>
      <c r="AK299" s="39">
        <f>AK298*(1-AK119)*(1-IF(48&gt;=AK64,Seasonality!$D$84*AK120,0))</f>
        <v/>
      </c>
      <c r="AL299" s="39">
        <f>AL298*(1-AL119)*(1-IF(48&gt;=AL64,Seasonality!$D$84*AL120,0))</f>
        <v/>
      </c>
      <c r="AM299" s="39">
        <f>AM298*(1-AM119)*(1-IF(48&gt;=AM64,Seasonality!$D$84*AM120,0))</f>
        <v/>
      </c>
      <c r="AN299" s="39">
        <f>AN298*(1-AN119)*(1-IF(48&gt;=AN64,Seasonality!$D$84*AN120,0))</f>
        <v/>
      </c>
      <c r="AO299" s="39">
        <f>AO298*(1-AO119)*(1-IF(48&gt;=AO64,Seasonality!$D$84*AO120,0))</f>
        <v/>
      </c>
      <c r="AP299" s="39">
        <f>AP298*(1-AP119)*(1-IF(48&gt;=AP64,Seasonality!$D$84*AP120,0))</f>
        <v/>
      </c>
      <c r="AQ299" s="39">
        <f>AQ298*(1-AQ119)*(1-IF(48&gt;=AQ64,Seasonality!$D$84*AQ120,0))</f>
        <v/>
      </c>
      <c r="AR299" s="39">
        <f>AR298*(1-AR119)*(1-IF(48&gt;=AR64,Seasonality!$D$84*AR120,0))</f>
        <v/>
      </c>
      <c r="AS299" s="39">
        <f>AS298*(1-AS119)*(1-IF(48&gt;=AS64,Seasonality!$D$84*AS120,0))</f>
        <v/>
      </c>
      <c r="AT299" s="39">
        <f>AT298*(1-AT119)*(1-IF(48&gt;=AT64,Seasonality!$D$84*AT120,0))</f>
        <v/>
      </c>
      <c r="AU299" s="39">
        <f>AU298*(1-AU119)*(1-IF(48&gt;=AU64,Seasonality!$D$84*AU120,0))</f>
        <v/>
      </c>
      <c r="AV299" s="39">
        <f>AV298*(1-AV119)*(1-IF(48&gt;=AV64,Seasonality!$D$84*AV120,0))</f>
        <v/>
      </c>
      <c r="AW299" s="39">
        <f>AW298*(1-AW119)*(1-IF(48&gt;=AW64,Seasonality!$D$84*AW120,0))</f>
        <v/>
      </c>
      <c r="AX299" s="39">
        <f>AX298*(1-AX119)*(1-IF(48&gt;=AX64,Seasonality!$D$84*AX120,0))</f>
        <v/>
      </c>
      <c r="AY299" s="39">
        <f>AY298*(1-AY119)*(1-IF(48&gt;=AY64,Seasonality!$D$84*AY120,0))</f>
        <v/>
      </c>
      <c r="AZ299" s="39">
        <f>AZ298*(1-AZ119)*(1-IF(48&gt;=AZ64,Seasonality!$D$84*AZ120,0))</f>
        <v/>
      </c>
      <c r="BA299" s="39">
        <f>BA298*(1-BA119)*(1-IF(48&gt;=BA64,Seasonality!$D$84*BA120,0))</f>
        <v/>
      </c>
      <c r="BB299" s="39">
        <f>BB298*(1-BB119)*(1-IF(48&gt;=BB64,Seasonality!$D$84*BB120,0))</f>
        <v/>
      </c>
      <c r="BC299" s="39">
        <f>BC298*(1-BC119)*(1-IF(48&gt;=BC64,Seasonality!$D$84*BC120,0))</f>
        <v/>
      </c>
      <c r="BD299" s="39">
        <f>BD298*(1-BD119)*(1-IF(48&gt;=BD64,Seasonality!$D$84*BD120,0))</f>
        <v/>
      </c>
      <c r="BE299" s="39">
        <f>BE298*(1-BE119)*(1-IF(48&gt;=BE64,Seasonality!$D$84*BE120,0))</f>
        <v/>
      </c>
    </row>
    <row r="300">
      <c r="B300" s="7" t="inlineStr">
        <is>
          <t>Share of institutes still paying · month 50</t>
        </is>
      </c>
      <c r="C300" s="5" t="inlineStr">
        <is>
          <t>%</t>
        </is>
      </c>
      <c r="D300" s="39">
        <f>D299*(1-D119)*(1-IF(49&gt;=D64,Seasonality!$D$85*D120,0))</f>
        <v/>
      </c>
      <c r="E300" s="39">
        <f>E299*(1-E119)*(1-IF(49&gt;=E64,Seasonality!$D$85*E120,0))</f>
        <v/>
      </c>
      <c r="F300" s="39">
        <f>F299*(1-F119)*(1-IF(49&gt;=F64,Seasonality!$D$85*F120,0))</f>
        <v/>
      </c>
      <c r="G300" s="39">
        <f>G299*(1-G119)*(1-IF(49&gt;=G64,Seasonality!$D$85*G120,0))</f>
        <v/>
      </c>
      <c r="H300" s="39">
        <f>H299*(1-H119)*(1-IF(49&gt;=H64,Seasonality!$D$85*H120,0))</f>
        <v/>
      </c>
      <c r="I300" s="39">
        <f>I299*(1-I119)*(1-IF(49&gt;=I64,Seasonality!$D$85*I120,0))</f>
        <v/>
      </c>
      <c r="J300" s="39">
        <f>J299*(1-J119)*(1-IF(49&gt;=J64,Seasonality!$D$85*J120,0))</f>
        <v/>
      </c>
      <c r="K300" s="39">
        <f>K299*(1-K119)*(1-IF(49&gt;=K64,Seasonality!$D$85*K120,0))</f>
        <v/>
      </c>
      <c r="L300" s="39">
        <f>L299*(1-L119)*(1-IF(49&gt;=L64,Seasonality!$D$85*L120,0))</f>
        <v/>
      </c>
      <c r="M300" s="39">
        <f>M299*(1-M119)*(1-IF(49&gt;=M64,Seasonality!$D$85*M120,0))</f>
        <v/>
      </c>
      <c r="N300" s="39">
        <f>N299*(1-N119)*(1-IF(49&gt;=N64,Seasonality!$D$85*N120,0))</f>
        <v/>
      </c>
      <c r="O300" s="39">
        <f>O299*(1-O119)*(1-IF(49&gt;=O64,Seasonality!$D$85*O120,0))</f>
        <v/>
      </c>
      <c r="P300" s="39">
        <f>P299*(1-P119)*(1-IF(49&gt;=P64,Seasonality!$D$85*P120,0))</f>
        <v/>
      </c>
      <c r="Q300" s="39">
        <f>Q299*(1-Q119)*(1-IF(49&gt;=Q64,Seasonality!$D$85*Q120,0))</f>
        <v/>
      </c>
      <c r="R300" s="39">
        <f>R299*(1-R119)*(1-IF(49&gt;=R64,Seasonality!$D$85*R120,0))</f>
        <v/>
      </c>
      <c r="S300" s="39">
        <f>S299*(1-S119)*(1-IF(49&gt;=S64,Seasonality!$D$85*S120,0))</f>
        <v/>
      </c>
      <c r="T300" s="39">
        <f>T299*(1-T119)*(1-IF(49&gt;=T64,Seasonality!$D$85*T120,0))</f>
        <v/>
      </c>
      <c r="U300" s="39">
        <f>U299*(1-U119)*(1-IF(49&gt;=U64,Seasonality!$D$85*U120,0))</f>
        <v/>
      </c>
      <c r="V300" s="39">
        <f>V299*(1-V119)*(1-IF(49&gt;=V64,Seasonality!$D$85*V120,0))</f>
        <v/>
      </c>
      <c r="W300" s="39">
        <f>W299*(1-W119)*(1-IF(49&gt;=W64,Seasonality!$D$85*W120,0))</f>
        <v/>
      </c>
      <c r="X300" s="39">
        <f>X299*(1-X119)*(1-IF(49&gt;=X64,Seasonality!$D$85*X120,0))</f>
        <v/>
      </c>
      <c r="Y300" s="39">
        <f>Y299*(1-Y119)*(1-IF(49&gt;=Y64,Seasonality!$D$85*Y120,0))</f>
        <v/>
      </c>
      <c r="Z300" s="39">
        <f>Z299*(1-Z119)*(1-IF(49&gt;=Z64,Seasonality!$D$85*Z120,0))</f>
        <v/>
      </c>
      <c r="AA300" s="39">
        <f>AA299*(1-AA119)*(1-IF(49&gt;=AA64,Seasonality!$D$85*AA120,0))</f>
        <v/>
      </c>
      <c r="AB300" s="39">
        <f>AB299*(1-AB119)*(1-IF(49&gt;=AB64,Seasonality!$D$85*AB120,0))</f>
        <v/>
      </c>
      <c r="AC300" s="39">
        <f>AC299*(1-AC119)*(1-IF(49&gt;=AC64,Seasonality!$D$85*AC120,0))</f>
        <v/>
      </c>
      <c r="AD300" s="39">
        <f>AD299*(1-AD119)*(1-IF(49&gt;=AD64,Seasonality!$D$85*AD120,0))</f>
        <v/>
      </c>
      <c r="AE300" s="39">
        <f>AE299*(1-AE119)*(1-IF(49&gt;=AE64,Seasonality!$D$85*AE120,0))</f>
        <v/>
      </c>
      <c r="AF300" s="39">
        <f>AF299*(1-AF119)*(1-IF(49&gt;=AF64,Seasonality!$D$85*AF120,0))</f>
        <v/>
      </c>
      <c r="AG300" s="39">
        <f>AG299*(1-AG119)*(1-IF(49&gt;=AG64,Seasonality!$D$85*AG120,0))</f>
        <v/>
      </c>
      <c r="AH300" s="39">
        <f>AH299*(1-AH119)*(1-IF(49&gt;=AH64,Seasonality!$D$85*AH120,0))</f>
        <v/>
      </c>
      <c r="AI300" s="39">
        <f>AI299*(1-AI119)*(1-IF(49&gt;=AI64,Seasonality!$D$85*AI120,0))</f>
        <v/>
      </c>
      <c r="AJ300" s="39">
        <f>AJ299*(1-AJ119)*(1-IF(49&gt;=AJ64,Seasonality!$D$85*AJ120,0))</f>
        <v/>
      </c>
      <c r="AK300" s="39">
        <f>AK299*(1-AK119)*(1-IF(49&gt;=AK64,Seasonality!$D$85*AK120,0))</f>
        <v/>
      </c>
      <c r="AL300" s="39">
        <f>AL299*(1-AL119)*(1-IF(49&gt;=AL64,Seasonality!$D$85*AL120,0))</f>
        <v/>
      </c>
      <c r="AM300" s="39">
        <f>AM299*(1-AM119)*(1-IF(49&gt;=AM64,Seasonality!$D$85*AM120,0))</f>
        <v/>
      </c>
      <c r="AN300" s="39">
        <f>AN299*(1-AN119)*(1-IF(49&gt;=AN64,Seasonality!$D$85*AN120,0))</f>
        <v/>
      </c>
      <c r="AO300" s="39">
        <f>AO299*(1-AO119)*(1-IF(49&gt;=AO64,Seasonality!$D$85*AO120,0))</f>
        <v/>
      </c>
      <c r="AP300" s="39">
        <f>AP299*(1-AP119)*(1-IF(49&gt;=AP64,Seasonality!$D$85*AP120,0))</f>
        <v/>
      </c>
      <c r="AQ300" s="39">
        <f>AQ299*(1-AQ119)*(1-IF(49&gt;=AQ64,Seasonality!$D$85*AQ120,0))</f>
        <v/>
      </c>
      <c r="AR300" s="39">
        <f>AR299*(1-AR119)*(1-IF(49&gt;=AR64,Seasonality!$D$85*AR120,0))</f>
        <v/>
      </c>
      <c r="AS300" s="39">
        <f>AS299*(1-AS119)*(1-IF(49&gt;=AS64,Seasonality!$D$85*AS120,0))</f>
        <v/>
      </c>
      <c r="AT300" s="39">
        <f>AT299*(1-AT119)*(1-IF(49&gt;=AT64,Seasonality!$D$85*AT120,0))</f>
        <v/>
      </c>
      <c r="AU300" s="39">
        <f>AU299*(1-AU119)*(1-IF(49&gt;=AU64,Seasonality!$D$85*AU120,0))</f>
        <v/>
      </c>
      <c r="AV300" s="39">
        <f>AV299*(1-AV119)*(1-IF(49&gt;=AV64,Seasonality!$D$85*AV120,0))</f>
        <v/>
      </c>
      <c r="AW300" s="39">
        <f>AW299*(1-AW119)*(1-IF(49&gt;=AW64,Seasonality!$D$85*AW120,0))</f>
        <v/>
      </c>
      <c r="AX300" s="39">
        <f>AX299*(1-AX119)*(1-IF(49&gt;=AX64,Seasonality!$D$85*AX120,0))</f>
        <v/>
      </c>
      <c r="AY300" s="39">
        <f>AY299*(1-AY119)*(1-IF(49&gt;=AY64,Seasonality!$D$85*AY120,0))</f>
        <v/>
      </c>
      <c r="AZ300" s="39">
        <f>AZ299*(1-AZ119)*(1-IF(49&gt;=AZ64,Seasonality!$D$85*AZ120,0))</f>
        <v/>
      </c>
      <c r="BA300" s="39">
        <f>BA299*(1-BA119)*(1-IF(49&gt;=BA64,Seasonality!$D$85*BA120,0))</f>
        <v/>
      </c>
      <c r="BB300" s="39">
        <f>BB299*(1-BB119)*(1-IF(49&gt;=BB64,Seasonality!$D$85*BB120,0))</f>
        <v/>
      </c>
      <c r="BC300" s="39">
        <f>BC299*(1-BC119)*(1-IF(49&gt;=BC64,Seasonality!$D$85*BC120,0))</f>
        <v/>
      </c>
      <c r="BD300" s="39">
        <f>BD299*(1-BD119)*(1-IF(49&gt;=BD64,Seasonality!$D$85*BD120,0))</f>
        <v/>
      </c>
      <c r="BE300" s="39">
        <f>BE299*(1-BE119)*(1-IF(49&gt;=BE64,Seasonality!$D$85*BE120,0))</f>
        <v/>
      </c>
    </row>
    <row r="301">
      <c r="B301" s="7" t="inlineStr">
        <is>
          <t>Share of institutes still paying · month 51</t>
        </is>
      </c>
      <c r="C301" s="5" t="inlineStr">
        <is>
          <t>%</t>
        </is>
      </c>
      <c r="D301" s="39">
        <f>D300*(1-D119)*(1-IF(50&gt;=D64,Seasonality!$D$86*D120,0))</f>
        <v/>
      </c>
      <c r="E301" s="39">
        <f>E300*(1-E119)*(1-IF(50&gt;=E64,Seasonality!$D$86*E120,0))</f>
        <v/>
      </c>
      <c r="F301" s="39">
        <f>F300*(1-F119)*(1-IF(50&gt;=F64,Seasonality!$D$86*F120,0))</f>
        <v/>
      </c>
      <c r="G301" s="39">
        <f>G300*(1-G119)*(1-IF(50&gt;=G64,Seasonality!$D$86*G120,0))</f>
        <v/>
      </c>
      <c r="H301" s="39">
        <f>H300*(1-H119)*(1-IF(50&gt;=H64,Seasonality!$D$86*H120,0))</f>
        <v/>
      </c>
      <c r="I301" s="39">
        <f>I300*(1-I119)*(1-IF(50&gt;=I64,Seasonality!$D$86*I120,0))</f>
        <v/>
      </c>
      <c r="J301" s="39">
        <f>J300*(1-J119)*(1-IF(50&gt;=J64,Seasonality!$D$86*J120,0))</f>
        <v/>
      </c>
      <c r="K301" s="39">
        <f>K300*(1-K119)*(1-IF(50&gt;=K64,Seasonality!$D$86*K120,0))</f>
        <v/>
      </c>
      <c r="L301" s="39">
        <f>L300*(1-L119)*(1-IF(50&gt;=L64,Seasonality!$D$86*L120,0))</f>
        <v/>
      </c>
      <c r="M301" s="39">
        <f>M300*(1-M119)*(1-IF(50&gt;=M64,Seasonality!$D$86*M120,0))</f>
        <v/>
      </c>
      <c r="N301" s="39">
        <f>N300*(1-N119)*(1-IF(50&gt;=N64,Seasonality!$D$86*N120,0))</f>
        <v/>
      </c>
      <c r="O301" s="39">
        <f>O300*(1-O119)*(1-IF(50&gt;=O64,Seasonality!$D$86*O120,0))</f>
        <v/>
      </c>
      <c r="P301" s="39">
        <f>P300*(1-P119)*(1-IF(50&gt;=P64,Seasonality!$D$86*P120,0))</f>
        <v/>
      </c>
      <c r="Q301" s="39">
        <f>Q300*(1-Q119)*(1-IF(50&gt;=Q64,Seasonality!$D$86*Q120,0))</f>
        <v/>
      </c>
      <c r="R301" s="39">
        <f>R300*(1-R119)*(1-IF(50&gt;=R64,Seasonality!$D$86*R120,0))</f>
        <v/>
      </c>
      <c r="S301" s="39">
        <f>S300*(1-S119)*(1-IF(50&gt;=S64,Seasonality!$D$86*S120,0))</f>
        <v/>
      </c>
      <c r="T301" s="39">
        <f>T300*(1-T119)*(1-IF(50&gt;=T64,Seasonality!$D$86*T120,0))</f>
        <v/>
      </c>
      <c r="U301" s="39">
        <f>U300*(1-U119)*(1-IF(50&gt;=U64,Seasonality!$D$86*U120,0))</f>
        <v/>
      </c>
      <c r="V301" s="39">
        <f>V300*(1-V119)*(1-IF(50&gt;=V64,Seasonality!$D$86*V120,0))</f>
        <v/>
      </c>
      <c r="W301" s="39">
        <f>W300*(1-W119)*(1-IF(50&gt;=W64,Seasonality!$D$86*W120,0))</f>
        <v/>
      </c>
      <c r="X301" s="39">
        <f>X300*(1-X119)*(1-IF(50&gt;=X64,Seasonality!$D$86*X120,0))</f>
        <v/>
      </c>
      <c r="Y301" s="39">
        <f>Y300*(1-Y119)*(1-IF(50&gt;=Y64,Seasonality!$D$86*Y120,0))</f>
        <v/>
      </c>
      <c r="Z301" s="39">
        <f>Z300*(1-Z119)*(1-IF(50&gt;=Z64,Seasonality!$D$86*Z120,0))</f>
        <v/>
      </c>
      <c r="AA301" s="39">
        <f>AA300*(1-AA119)*(1-IF(50&gt;=AA64,Seasonality!$D$86*AA120,0))</f>
        <v/>
      </c>
      <c r="AB301" s="39">
        <f>AB300*(1-AB119)*(1-IF(50&gt;=AB64,Seasonality!$D$86*AB120,0))</f>
        <v/>
      </c>
      <c r="AC301" s="39">
        <f>AC300*(1-AC119)*(1-IF(50&gt;=AC64,Seasonality!$D$86*AC120,0))</f>
        <v/>
      </c>
      <c r="AD301" s="39">
        <f>AD300*(1-AD119)*(1-IF(50&gt;=AD64,Seasonality!$D$86*AD120,0))</f>
        <v/>
      </c>
      <c r="AE301" s="39">
        <f>AE300*(1-AE119)*(1-IF(50&gt;=AE64,Seasonality!$D$86*AE120,0))</f>
        <v/>
      </c>
      <c r="AF301" s="39">
        <f>AF300*(1-AF119)*(1-IF(50&gt;=AF64,Seasonality!$D$86*AF120,0))</f>
        <v/>
      </c>
      <c r="AG301" s="39">
        <f>AG300*(1-AG119)*(1-IF(50&gt;=AG64,Seasonality!$D$86*AG120,0))</f>
        <v/>
      </c>
      <c r="AH301" s="39">
        <f>AH300*(1-AH119)*(1-IF(50&gt;=AH64,Seasonality!$D$86*AH120,0))</f>
        <v/>
      </c>
      <c r="AI301" s="39">
        <f>AI300*(1-AI119)*(1-IF(50&gt;=AI64,Seasonality!$D$86*AI120,0))</f>
        <v/>
      </c>
      <c r="AJ301" s="39">
        <f>AJ300*(1-AJ119)*(1-IF(50&gt;=AJ64,Seasonality!$D$86*AJ120,0))</f>
        <v/>
      </c>
      <c r="AK301" s="39">
        <f>AK300*(1-AK119)*(1-IF(50&gt;=AK64,Seasonality!$D$86*AK120,0))</f>
        <v/>
      </c>
      <c r="AL301" s="39">
        <f>AL300*(1-AL119)*(1-IF(50&gt;=AL64,Seasonality!$D$86*AL120,0))</f>
        <v/>
      </c>
      <c r="AM301" s="39">
        <f>AM300*(1-AM119)*(1-IF(50&gt;=AM64,Seasonality!$D$86*AM120,0))</f>
        <v/>
      </c>
      <c r="AN301" s="39">
        <f>AN300*(1-AN119)*(1-IF(50&gt;=AN64,Seasonality!$D$86*AN120,0))</f>
        <v/>
      </c>
      <c r="AO301" s="39">
        <f>AO300*(1-AO119)*(1-IF(50&gt;=AO64,Seasonality!$D$86*AO120,0))</f>
        <v/>
      </c>
      <c r="AP301" s="39">
        <f>AP300*(1-AP119)*(1-IF(50&gt;=AP64,Seasonality!$D$86*AP120,0))</f>
        <v/>
      </c>
      <c r="AQ301" s="39">
        <f>AQ300*(1-AQ119)*(1-IF(50&gt;=AQ64,Seasonality!$D$86*AQ120,0))</f>
        <v/>
      </c>
      <c r="AR301" s="39">
        <f>AR300*(1-AR119)*(1-IF(50&gt;=AR64,Seasonality!$D$86*AR120,0))</f>
        <v/>
      </c>
      <c r="AS301" s="39">
        <f>AS300*(1-AS119)*(1-IF(50&gt;=AS64,Seasonality!$D$86*AS120,0))</f>
        <v/>
      </c>
      <c r="AT301" s="39">
        <f>AT300*(1-AT119)*(1-IF(50&gt;=AT64,Seasonality!$D$86*AT120,0))</f>
        <v/>
      </c>
      <c r="AU301" s="39">
        <f>AU300*(1-AU119)*(1-IF(50&gt;=AU64,Seasonality!$D$86*AU120,0))</f>
        <v/>
      </c>
      <c r="AV301" s="39">
        <f>AV300*(1-AV119)*(1-IF(50&gt;=AV64,Seasonality!$D$86*AV120,0))</f>
        <v/>
      </c>
      <c r="AW301" s="39">
        <f>AW300*(1-AW119)*(1-IF(50&gt;=AW64,Seasonality!$D$86*AW120,0))</f>
        <v/>
      </c>
      <c r="AX301" s="39">
        <f>AX300*(1-AX119)*(1-IF(50&gt;=AX64,Seasonality!$D$86*AX120,0))</f>
        <v/>
      </c>
      <c r="AY301" s="39">
        <f>AY300*(1-AY119)*(1-IF(50&gt;=AY64,Seasonality!$D$86*AY120,0))</f>
        <v/>
      </c>
      <c r="AZ301" s="39">
        <f>AZ300*(1-AZ119)*(1-IF(50&gt;=AZ64,Seasonality!$D$86*AZ120,0))</f>
        <v/>
      </c>
      <c r="BA301" s="39">
        <f>BA300*(1-BA119)*(1-IF(50&gt;=BA64,Seasonality!$D$86*BA120,0))</f>
        <v/>
      </c>
      <c r="BB301" s="39">
        <f>BB300*(1-BB119)*(1-IF(50&gt;=BB64,Seasonality!$D$86*BB120,0))</f>
        <v/>
      </c>
      <c r="BC301" s="39">
        <f>BC300*(1-BC119)*(1-IF(50&gt;=BC64,Seasonality!$D$86*BC120,0))</f>
        <v/>
      </c>
      <c r="BD301" s="39">
        <f>BD300*(1-BD119)*(1-IF(50&gt;=BD64,Seasonality!$D$86*BD120,0))</f>
        <v/>
      </c>
      <c r="BE301" s="39">
        <f>BE300*(1-BE119)*(1-IF(50&gt;=BE64,Seasonality!$D$86*BE120,0))</f>
        <v/>
      </c>
    </row>
    <row r="302">
      <c r="B302" s="7" t="inlineStr">
        <is>
          <t>Share of institutes still paying · month 52</t>
        </is>
      </c>
      <c r="C302" s="5" t="inlineStr">
        <is>
          <t>%</t>
        </is>
      </c>
      <c r="D302" s="39">
        <f>D301*(1-D119)*(1-IF(51&gt;=D64,Seasonality!$D$87*D120,0))</f>
        <v/>
      </c>
      <c r="E302" s="39">
        <f>E301*(1-E119)*(1-IF(51&gt;=E64,Seasonality!$D$87*E120,0))</f>
        <v/>
      </c>
      <c r="F302" s="39">
        <f>F301*(1-F119)*(1-IF(51&gt;=F64,Seasonality!$D$87*F120,0))</f>
        <v/>
      </c>
      <c r="G302" s="39">
        <f>G301*(1-G119)*(1-IF(51&gt;=G64,Seasonality!$D$87*G120,0))</f>
        <v/>
      </c>
      <c r="H302" s="39">
        <f>H301*(1-H119)*(1-IF(51&gt;=H64,Seasonality!$D$87*H120,0))</f>
        <v/>
      </c>
      <c r="I302" s="39">
        <f>I301*(1-I119)*(1-IF(51&gt;=I64,Seasonality!$D$87*I120,0))</f>
        <v/>
      </c>
      <c r="J302" s="39">
        <f>J301*(1-J119)*(1-IF(51&gt;=J64,Seasonality!$D$87*J120,0))</f>
        <v/>
      </c>
      <c r="K302" s="39">
        <f>K301*(1-K119)*(1-IF(51&gt;=K64,Seasonality!$D$87*K120,0))</f>
        <v/>
      </c>
      <c r="L302" s="39">
        <f>L301*(1-L119)*(1-IF(51&gt;=L64,Seasonality!$D$87*L120,0))</f>
        <v/>
      </c>
      <c r="M302" s="39">
        <f>M301*(1-M119)*(1-IF(51&gt;=M64,Seasonality!$D$87*M120,0))</f>
        <v/>
      </c>
      <c r="N302" s="39">
        <f>N301*(1-N119)*(1-IF(51&gt;=N64,Seasonality!$D$87*N120,0))</f>
        <v/>
      </c>
      <c r="O302" s="39">
        <f>O301*(1-O119)*(1-IF(51&gt;=O64,Seasonality!$D$87*O120,0))</f>
        <v/>
      </c>
      <c r="P302" s="39">
        <f>P301*(1-P119)*(1-IF(51&gt;=P64,Seasonality!$D$87*P120,0))</f>
        <v/>
      </c>
      <c r="Q302" s="39">
        <f>Q301*(1-Q119)*(1-IF(51&gt;=Q64,Seasonality!$D$87*Q120,0))</f>
        <v/>
      </c>
      <c r="R302" s="39">
        <f>R301*(1-R119)*(1-IF(51&gt;=R64,Seasonality!$D$87*R120,0))</f>
        <v/>
      </c>
      <c r="S302" s="39">
        <f>S301*(1-S119)*(1-IF(51&gt;=S64,Seasonality!$D$87*S120,0))</f>
        <v/>
      </c>
      <c r="T302" s="39">
        <f>T301*(1-T119)*(1-IF(51&gt;=T64,Seasonality!$D$87*T120,0))</f>
        <v/>
      </c>
      <c r="U302" s="39">
        <f>U301*(1-U119)*(1-IF(51&gt;=U64,Seasonality!$D$87*U120,0))</f>
        <v/>
      </c>
      <c r="V302" s="39">
        <f>V301*(1-V119)*(1-IF(51&gt;=V64,Seasonality!$D$87*V120,0))</f>
        <v/>
      </c>
      <c r="W302" s="39">
        <f>W301*(1-W119)*(1-IF(51&gt;=W64,Seasonality!$D$87*W120,0))</f>
        <v/>
      </c>
      <c r="X302" s="39">
        <f>X301*(1-X119)*(1-IF(51&gt;=X64,Seasonality!$D$87*X120,0))</f>
        <v/>
      </c>
      <c r="Y302" s="39">
        <f>Y301*(1-Y119)*(1-IF(51&gt;=Y64,Seasonality!$D$87*Y120,0))</f>
        <v/>
      </c>
      <c r="Z302" s="39">
        <f>Z301*(1-Z119)*(1-IF(51&gt;=Z64,Seasonality!$D$87*Z120,0))</f>
        <v/>
      </c>
      <c r="AA302" s="39">
        <f>AA301*(1-AA119)*(1-IF(51&gt;=AA64,Seasonality!$D$87*AA120,0))</f>
        <v/>
      </c>
      <c r="AB302" s="39">
        <f>AB301*(1-AB119)*(1-IF(51&gt;=AB64,Seasonality!$D$87*AB120,0))</f>
        <v/>
      </c>
      <c r="AC302" s="39">
        <f>AC301*(1-AC119)*(1-IF(51&gt;=AC64,Seasonality!$D$87*AC120,0))</f>
        <v/>
      </c>
      <c r="AD302" s="39">
        <f>AD301*(1-AD119)*(1-IF(51&gt;=AD64,Seasonality!$D$87*AD120,0))</f>
        <v/>
      </c>
      <c r="AE302" s="39">
        <f>AE301*(1-AE119)*(1-IF(51&gt;=AE64,Seasonality!$D$87*AE120,0))</f>
        <v/>
      </c>
      <c r="AF302" s="39">
        <f>AF301*(1-AF119)*(1-IF(51&gt;=AF64,Seasonality!$D$87*AF120,0))</f>
        <v/>
      </c>
      <c r="AG302" s="39">
        <f>AG301*(1-AG119)*(1-IF(51&gt;=AG64,Seasonality!$D$87*AG120,0))</f>
        <v/>
      </c>
      <c r="AH302" s="39">
        <f>AH301*(1-AH119)*(1-IF(51&gt;=AH64,Seasonality!$D$87*AH120,0))</f>
        <v/>
      </c>
      <c r="AI302" s="39">
        <f>AI301*(1-AI119)*(1-IF(51&gt;=AI64,Seasonality!$D$87*AI120,0))</f>
        <v/>
      </c>
      <c r="AJ302" s="39">
        <f>AJ301*(1-AJ119)*(1-IF(51&gt;=AJ64,Seasonality!$D$87*AJ120,0))</f>
        <v/>
      </c>
      <c r="AK302" s="39">
        <f>AK301*(1-AK119)*(1-IF(51&gt;=AK64,Seasonality!$D$87*AK120,0))</f>
        <v/>
      </c>
      <c r="AL302" s="39">
        <f>AL301*(1-AL119)*(1-IF(51&gt;=AL64,Seasonality!$D$87*AL120,0))</f>
        <v/>
      </c>
      <c r="AM302" s="39">
        <f>AM301*(1-AM119)*(1-IF(51&gt;=AM64,Seasonality!$D$87*AM120,0))</f>
        <v/>
      </c>
      <c r="AN302" s="39">
        <f>AN301*(1-AN119)*(1-IF(51&gt;=AN64,Seasonality!$D$87*AN120,0))</f>
        <v/>
      </c>
      <c r="AO302" s="39">
        <f>AO301*(1-AO119)*(1-IF(51&gt;=AO64,Seasonality!$D$87*AO120,0))</f>
        <v/>
      </c>
      <c r="AP302" s="39">
        <f>AP301*(1-AP119)*(1-IF(51&gt;=AP64,Seasonality!$D$87*AP120,0))</f>
        <v/>
      </c>
      <c r="AQ302" s="39">
        <f>AQ301*(1-AQ119)*(1-IF(51&gt;=AQ64,Seasonality!$D$87*AQ120,0))</f>
        <v/>
      </c>
      <c r="AR302" s="39">
        <f>AR301*(1-AR119)*(1-IF(51&gt;=AR64,Seasonality!$D$87*AR120,0))</f>
        <v/>
      </c>
      <c r="AS302" s="39">
        <f>AS301*(1-AS119)*(1-IF(51&gt;=AS64,Seasonality!$D$87*AS120,0))</f>
        <v/>
      </c>
      <c r="AT302" s="39">
        <f>AT301*(1-AT119)*(1-IF(51&gt;=AT64,Seasonality!$D$87*AT120,0))</f>
        <v/>
      </c>
      <c r="AU302" s="39">
        <f>AU301*(1-AU119)*(1-IF(51&gt;=AU64,Seasonality!$D$87*AU120,0))</f>
        <v/>
      </c>
      <c r="AV302" s="39">
        <f>AV301*(1-AV119)*(1-IF(51&gt;=AV64,Seasonality!$D$87*AV120,0))</f>
        <v/>
      </c>
      <c r="AW302" s="39">
        <f>AW301*(1-AW119)*(1-IF(51&gt;=AW64,Seasonality!$D$87*AW120,0))</f>
        <v/>
      </c>
      <c r="AX302" s="39">
        <f>AX301*(1-AX119)*(1-IF(51&gt;=AX64,Seasonality!$D$87*AX120,0))</f>
        <v/>
      </c>
      <c r="AY302" s="39">
        <f>AY301*(1-AY119)*(1-IF(51&gt;=AY64,Seasonality!$D$87*AY120,0))</f>
        <v/>
      </c>
      <c r="AZ302" s="39">
        <f>AZ301*(1-AZ119)*(1-IF(51&gt;=AZ64,Seasonality!$D$87*AZ120,0))</f>
        <v/>
      </c>
      <c r="BA302" s="39">
        <f>BA301*(1-BA119)*(1-IF(51&gt;=BA64,Seasonality!$D$87*BA120,0))</f>
        <v/>
      </c>
      <c r="BB302" s="39">
        <f>BB301*(1-BB119)*(1-IF(51&gt;=BB64,Seasonality!$D$87*BB120,0))</f>
        <v/>
      </c>
      <c r="BC302" s="39">
        <f>BC301*(1-BC119)*(1-IF(51&gt;=BC64,Seasonality!$D$87*BC120,0))</f>
        <v/>
      </c>
      <c r="BD302" s="39">
        <f>BD301*(1-BD119)*(1-IF(51&gt;=BD64,Seasonality!$D$87*BD120,0))</f>
        <v/>
      </c>
      <c r="BE302" s="39">
        <f>BE301*(1-BE119)*(1-IF(51&gt;=BE64,Seasonality!$D$87*BE120,0))</f>
        <v/>
      </c>
    </row>
    <row r="303">
      <c r="B303" s="7" t="inlineStr">
        <is>
          <t>Share of institutes still paying · month 53</t>
        </is>
      </c>
      <c r="C303" s="5" t="inlineStr">
        <is>
          <t>%</t>
        </is>
      </c>
      <c r="D303" s="39">
        <f>D302*(1-D119)*(1-IF(52&gt;=D64,Seasonality!$D$88*D120,0))</f>
        <v/>
      </c>
      <c r="E303" s="39">
        <f>E302*(1-E119)*(1-IF(52&gt;=E64,Seasonality!$D$88*E120,0))</f>
        <v/>
      </c>
      <c r="F303" s="39">
        <f>F302*(1-F119)*(1-IF(52&gt;=F64,Seasonality!$D$88*F120,0))</f>
        <v/>
      </c>
      <c r="G303" s="39">
        <f>G302*(1-G119)*(1-IF(52&gt;=G64,Seasonality!$D$88*G120,0))</f>
        <v/>
      </c>
      <c r="H303" s="39">
        <f>H302*(1-H119)*(1-IF(52&gt;=H64,Seasonality!$D$88*H120,0))</f>
        <v/>
      </c>
      <c r="I303" s="39">
        <f>I302*(1-I119)*(1-IF(52&gt;=I64,Seasonality!$D$88*I120,0))</f>
        <v/>
      </c>
      <c r="J303" s="39">
        <f>J302*(1-J119)*(1-IF(52&gt;=J64,Seasonality!$D$88*J120,0))</f>
        <v/>
      </c>
      <c r="K303" s="39">
        <f>K302*(1-K119)*(1-IF(52&gt;=K64,Seasonality!$D$88*K120,0))</f>
        <v/>
      </c>
      <c r="L303" s="39">
        <f>L302*(1-L119)*(1-IF(52&gt;=L64,Seasonality!$D$88*L120,0))</f>
        <v/>
      </c>
      <c r="M303" s="39">
        <f>M302*(1-M119)*(1-IF(52&gt;=M64,Seasonality!$D$88*M120,0))</f>
        <v/>
      </c>
      <c r="N303" s="39">
        <f>N302*(1-N119)*(1-IF(52&gt;=N64,Seasonality!$D$88*N120,0))</f>
        <v/>
      </c>
      <c r="O303" s="39">
        <f>O302*(1-O119)*(1-IF(52&gt;=O64,Seasonality!$D$88*O120,0))</f>
        <v/>
      </c>
      <c r="P303" s="39">
        <f>P302*(1-P119)*(1-IF(52&gt;=P64,Seasonality!$D$88*P120,0))</f>
        <v/>
      </c>
      <c r="Q303" s="39">
        <f>Q302*(1-Q119)*(1-IF(52&gt;=Q64,Seasonality!$D$88*Q120,0))</f>
        <v/>
      </c>
      <c r="R303" s="39">
        <f>R302*(1-R119)*(1-IF(52&gt;=R64,Seasonality!$D$88*R120,0))</f>
        <v/>
      </c>
      <c r="S303" s="39">
        <f>S302*(1-S119)*(1-IF(52&gt;=S64,Seasonality!$D$88*S120,0))</f>
        <v/>
      </c>
      <c r="T303" s="39">
        <f>T302*(1-T119)*(1-IF(52&gt;=T64,Seasonality!$D$88*T120,0))</f>
        <v/>
      </c>
      <c r="U303" s="39">
        <f>U302*(1-U119)*(1-IF(52&gt;=U64,Seasonality!$D$88*U120,0))</f>
        <v/>
      </c>
      <c r="V303" s="39">
        <f>V302*(1-V119)*(1-IF(52&gt;=V64,Seasonality!$D$88*V120,0))</f>
        <v/>
      </c>
      <c r="W303" s="39">
        <f>W302*(1-W119)*(1-IF(52&gt;=W64,Seasonality!$D$88*W120,0))</f>
        <v/>
      </c>
      <c r="X303" s="39">
        <f>X302*(1-X119)*(1-IF(52&gt;=X64,Seasonality!$D$88*X120,0))</f>
        <v/>
      </c>
      <c r="Y303" s="39">
        <f>Y302*(1-Y119)*(1-IF(52&gt;=Y64,Seasonality!$D$88*Y120,0))</f>
        <v/>
      </c>
      <c r="Z303" s="39">
        <f>Z302*(1-Z119)*(1-IF(52&gt;=Z64,Seasonality!$D$88*Z120,0))</f>
        <v/>
      </c>
      <c r="AA303" s="39">
        <f>AA302*(1-AA119)*(1-IF(52&gt;=AA64,Seasonality!$D$88*AA120,0))</f>
        <v/>
      </c>
      <c r="AB303" s="39">
        <f>AB302*(1-AB119)*(1-IF(52&gt;=AB64,Seasonality!$D$88*AB120,0))</f>
        <v/>
      </c>
      <c r="AC303" s="39">
        <f>AC302*(1-AC119)*(1-IF(52&gt;=AC64,Seasonality!$D$88*AC120,0))</f>
        <v/>
      </c>
      <c r="AD303" s="39">
        <f>AD302*(1-AD119)*(1-IF(52&gt;=AD64,Seasonality!$D$88*AD120,0))</f>
        <v/>
      </c>
      <c r="AE303" s="39">
        <f>AE302*(1-AE119)*(1-IF(52&gt;=AE64,Seasonality!$D$88*AE120,0))</f>
        <v/>
      </c>
      <c r="AF303" s="39">
        <f>AF302*(1-AF119)*(1-IF(52&gt;=AF64,Seasonality!$D$88*AF120,0))</f>
        <v/>
      </c>
      <c r="AG303" s="39">
        <f>AG302*(1-AG119)*(1-IF(52&gt;=AG64,Seasonality!$D$88*AG120,0))</f>
        <v/>
      </c>
      <c r="AH303" s="39">
        <f>AH302*(1-AH119)*(1-IF(52&gt;=AH64,Seasonality!$D$88*AH120,0))</f>
        <v/>
      </c>
      <c r="AI303" s="39">
        <f>AI302*(1-AI119)*(1-IF(52&gt;=AI64,Seasonality!$D$88*AI120,0))</f>
        <v/>
      </c>
      <c r="AJ303" s="39">
        <f>AJ302*(1-AJ119)*(1-IF(52&gt;=AJ64,Seasonality!$D$88*AJ120,0))</f>
        <v/>
      </c>
      <c r="AK303" s="39">
        <f>AK302*(1-AK119)*(1-IF(52&gt;=AK64,Seasonality!$D$88*AK120,0))</f>
        <v/>
      </c>
      <c r="AL303" s="39">
        <f>AL302*(1-AL119)*(1-IF(52&gt;=AL64,Seasonality!$D$88*AL120,0))</f>
        <v/>
      </c>
      <c r="AM303" s="39">
        <f>AM302*(1-AM119)*(1-IF(52&gt;=AM64,Seasonality!$D$88*AM120,0))</f>
        <v/>
      </c>
      <c r="AN303" s="39">
        <f>AN302*(1-AN119)*(1-IF(52&gt;=AN64,Seasonality!$D$88*AN120,0))</f>
        <v/>
      </c>
      <c r="AO303" s="39">
        <f>AO302*(1-AO119)*(1-IF(52&gt;=AO64,Seasonality!$D$88*AO120,0))</f>
        <v/>
      </c>
      <c r="AP303" s="39">
        <f>AP302*(1-AP119)*(1-IF(52&gt;=AP64,Seasonality!$D$88*AP120,0))</f>
        <v/>
      </c>
      <c r="AQ303" s="39">
        <f>AQ302*(1-AQ119)*(1-IF(52&gt;=AQ64,Seasonality!$D$88*AQ120,0))</f>
        <v/>
      </c>
      <c r="AR303" s="39">
        <f>AR302*(1-AR119)*(1-IF(52&gt;=AR64,Seasonality!$D$88*AR120,0))</f>
        <v/>
      </c>
      <c r="AS303" s="39">
        <f>AS302*(1-AS119)*(1-IF(52&gt;=AS64,Seasonality!$D$88*AS120,0))</f>
        <v/>
      </c>
      <c r="AT303" s="39">
        <f>AT302*(1-AT119)*(1-IF(52&gt;=AT64,Seasonality!$D$88*AT120,0))</f>
        <v/>
      </c>
      <c r="AU303" s="39">
        <f>AU302*(1-AU119)*(1-IF(52&gt;=AU64,Seasonality!$D$88*AU120,0))</f>
        <v/>
      </c>
      <c r="AV303" s="39">
        <f>AV302*(1-AV119)*(1-IF(52&gt;=AV64,Seasonality!$D$88*AV120,0))</f>
        <v/>
      </c>
      <c r="AW303" s="39">
        <f>AW302*(1-AW119)*(1-IF(52&gt;=AW64,Seasonality!$D$88*AW120,0))</f>
        <v/>
      </c>
      <c r="AX303" s="39">
        <f>AX302*(1-AX119)*(1-IF(52&gt;=AX64,Seasonality!$D$88*AX120,0))</f>
        <v/>
      </c>
      <c r="AY303" s="39">
        <f>AY302*(1-AY119)*(1-IF(52&gt;=AY64,Seasonality!$D$88*AY120,0))</f>
        <v/>
      </c>
      <c r="AZ303" s="39">
        <f>AZ302*(1-AZ119)*(1-IF(52&gt;=AZ64,Seasonality!$D$88*AZ120,0))</f>
        <v/>
      </c>
      <c r="BA303" s="39">
        <f>BA302*(1-BA119)*(1-IF(52&gt;=BA64,Seasonality!$D$88*BA120,0))</f>
        <v/>
      </c>
      <c r="BB303" s="39">
        <f>BB302*(1-BB119)*(1-IF(52&gt;=BB64,Seasonality!$D$88*BB120,0))</f>
        <v/>
      </c>
      <c r="BC303" s="39">
        <f>BC302*(1-BC119)*(1-IF(52&gt;=BC64,Seasonality!$D$88*BC120,0))</f>
        <v/>
      </c>
      <c r="BD303" s="39">
        <f>BD302*(1-BD119)*(1-IF(52&gt;=BD64,Seasonality!$D$88*BD120,0))</f>
        <v/>
      </c>
      <c r="BE303" s="39">
        <f>BE302*(1-BE119)*(1-IF(52&gt;=BE64,Seasonality!$D$88*BE120,0))</f>
        <v/>
      </c>
    </row>
    <row r="304">
      <c r="B304" s="7" t="inlineStr">
        <is>
          <t>Share of institutes still paying · month 54</t>
        </is>
      </c>
      <c r="C304" s="5" t="inlineStr">
        <is>
          <t>%</t>
        </is>
      </c>
      <c r="D304" s="39">
        <f>D303*(1-D119)*(1-IF(53&gt;=D64,Seasonality!$D$89*D120,0))</f>
        <v/>
      </c>
      <c r="E304" s="39">
        <f>E303*(1-E119)*(1-IF(53&gt;=E64,Seasonality!$D$89*E120,0))</f>
        <v/>
      </c>
      <c r="F304" s="39">
        <f>F303*(1-F119)*(1-IF(53&gt;=F64,Seasonality!$D$89*F120,0))</f>
        <v/>
      </c>
      <c r="G304" s="39">
        <f>G303*(1-G119)*(1-IF(53&gt;=G64,Seasonality!$D$89*G120,0))</f>
        <v/>
      </c>
      <c r="H304" s="39">
        <f>H303*(1-H119)*(1-IF(53&gt;=H64,Seasonality!$D$89*H120,0))</f>
        <v/>
      </c>
      <c r="I304" s="39">
        <f>I303*(1-I119)*(1-IF(53&gt;=I64,Seasonality!$D$89*I120,0))</f>
        <v/>
      </c>
      <c r="J304" s="39">
        <f>J303*(1-J119)*(1-IF(53&gt;=J64,Seasonality!$D$89*J120,0))</f>
        <v/>
      </c>
      <c r="K304" s="39">
        <f>K303*(1-K119)*(1-IF(53&gt;=K64,Seasonality!$D$89*K120,0))</f>
        <v/>
      </c>
      <c r="L304" s="39">
        <f>L303*(1-L119)*(1-IF(53&gt;=L64,Seasonality!$D$89*L120,0))</f>
        <v/>
      </c>
      <c r="M304" s="39">
        <f>M303*(1-M119)*(1-IF(53&gt;=M64,Seasonality!$D$89*M120,0))</f>
        <v/>
      </c>
      <c r="N304" s="39">
        <f>N303*(1-N119)*(1-IF(53&gt;=N64,Seasonality!$D$89*N120,0))</f>
        <v/>
      </c>
      <c r="O304" s="39">
        <f>O303*(1-O119)*(1-IF(53&gt;=O64,Seasonality!$D$89*O120,0))</f>
        <v/>
      </c>
      <c r="P304" s="39">
        <f>P303*(1-P119)*(1-IF(53&gt;=P64,Seasonality!$D$89*P120,0))</f>
        <v/>
      </c>
      <c r="Q304" s="39">
        <f>Q303*(1-Q119)*(1-IF(53&gt;=Q64,Seasonality!$D$89*Q120,0))</f>
        <v/>
      </c>
      <c r="R304" s="39">
        <f>R303*(1-R119)*(1-IF(53&gt;=R64,Seasonality!$D$89*R120,0))</f>
        <v/>
      </c>
      <c r="S304" s="39">
        <f>S303*(1-S119)*(1-IF(53&gt;=S64,Seasonality!$D$89*S120,0))</f>
        <v/>
      </c>
      <c r="T304" s="39">
        <f>T303*(1-T119)*(1-IF(53&gt;=T64,Seasonality!$D$89*T120,0))</f>
        <v/>
      </c>
      <c r="U304" s="39">
        <f>U303*(1-U119)*(1-IF(53&gt;=U64,Seasonality!$D$89*U120,0))</f>
        <v/>
      </c>
      <c r="V304" s="39">
        <f>V303*(1-V119)*(1-IF(53&gt;=V64,Seasonality!$D$89*V120,0))</f>
        <v/>
      </c>
      <c r="W304" s="39">
        <f>W303*(1-W119)*(1-IF(53&gt;=W64,Seasonality!$D$89*W120,0))</f>
        <v/>
      </c>
      <c r="X304" s="39">
        <f>X303*(1-X119)*(1-IF(53&gt;=X64,Seasonality!$D$89*X120,0))</f>
        <v/>
      </c>
      <c r="Y304" s="39">
        <f>Y303*(1-Y119)*(1-IF(53&gt;=Y64,Seasonality!$D$89*Y120,0))</f>
        <v/>
      </c>
      <c r="Z304" s="39">
        <f>Z303*(1-Z119)*(1-IF(53&gt;=Z64,Seasonality!$D$89*Z120,0))</f>
        <v/>
      </c>
      <c r="AA304" s="39">
        <f>AA303*(1-AA119)*(1-IF(53&gt;=AA64,Seasonality!$D$89*AA120,0))</f>
        <v/>
      </c>
      <c r="AB304" s="39">
        <f>AB303*(1-AB119)*(1-IF(53&gt;=AB64,Seasonality!$D$89*AB120,0))</f>
        <v/>
      </c>
      <c r="AC304" s="39">
        <f>AC303*(1-AC119)*(1-IF(53&gt;=AC64,Seasonality!$D$89*AC120,0))</f>
        <v/>
      </c>
      <c r="AD304" s="39">
        <f>AD303*(1-AD119)*(1-IF(53&gt;=AD64,Seasonality!$D$89*AD120,0))</f>
        <v/>
      </c>
      <c r="AE304" s="39">
        <f>AE303*(1-AE119)*(1-IF(53&gt;=AE64,Seasonality!$D$89*AE120,0))</f>
        <v/>
      </c>
      <c r="AF304" s="39">
        <f>AF303*(1-AF119)*(1-IF(53&gt;=AF64,Seasonality!$D$89*AF120,0))</f>
        <v/>
      </c>
      <c r="AG304" s="39">
        <f>AG303*(1-AG119)*(1-IF(53&gt;=AG64,Seasonality!$D$89*AG120,0))</f>
        <v/>
      </c>
      <c r="AH304" s="39">
        <f>AH303*(1-AH119)*(1-IF(53&gt;=AH64,Seasonality!$D$89*AH120,0))</f>
        <v/>
      </c>
      <c r="AI304" s="39">
        <f>AI303*(1-AI119)*(1-IF(53&gt;=AI64,Seasonality!$D$89*AI120,0))</f>
        <v/>
      </c>
      <c r="AJ304" s="39">
        <f>AJ303*(1-AJ119)*(1-IF(53&gt;=AJ64,Seasonality!$D$89*AJ120,0))</f>
        <v/>
      </c>
      <c r="AK304" s="39">
        <f>AK303*(1-AK119)*(1-IF(53&gt;=AK64,Seasonality!$D$89*AK120,0))</f>
        <v/>
      </c>
      <c r="AL304" s="39">
        <f>AL303*(1-AL119)*(1-IF(53&gt;=AL64,Seasonality!$D$89*AL120,0))</f>
        <v/>
      </c>
      <c r="AM304" s="39">
        <f>AM303*(1-AM119)*(1-IF(53&gt;=AM64,Seasonality!$D$89*AM120,0))</f>
        <v/>
      </c>
      <c r="AN304" s="39">
        <f>AN303*(1-AN119)*(1-IF(53&gt;=AN64,Seasonality!$D$89*AN120,0))</f>
        <v/>
      </c>
      <c r="AO304" s="39">
        <f>AO303*(1-AO119)*(1-IF(53&gt;=AO64,Seasonality!$D$89*AO120,0))</f>
        <v/>
      </c>
      <c r="AP304" s="39">
        <f>AP303*(1-AP119)*(1-IF(53&gt;=AP64,Seasonality!$D$89*AP120,0))</f>
        <v/>
      </c>
      <c r="AQ304" s="39">
        <f>AQ303*(1-AQ119)*(1-IF(53&gt;=AQ64,Seasonality!$D$89*AQ120,0))</f>
        <v/>
      </c>
      <c r="AR304" s="39">
        <f>AR303*(1-AR119)*(1-IF(53&gt;=AR64,Seasonality!$D$89*AR120,0))</f>
        <v/>
      </c>
      <c r="AS304" s="39">
        <f>AS303*(1-AS119)*(1-IF(53&gt;=AS64,Seasonality!$D$89*AS120,0))</f>
        <v/>
      </c>
      <c r="AT304" s="39">
        <f>AT303*(1-AT119)*(1-IF(53&gt;=AT64,Seasonality!$D$89*AT120,0))</f>
        <v/>
      </c>
      <c r="AU304" s="39">
        <f>AU303*(1-AU119)*(1-IF(53&gt;=AU64,Seasonality!$D$89*AU120,0))</f>
        <v/>
      </c>
      <c r="AV304" s="39">
        <f>AV303*(1-AV119)*(1-IF(53&gt;=AV64,Seasonality!$D$89*AV120,0))</f>
        <v/>
      </c>
      <c r="AW304" s="39">
        <f>AW303*(1-AW119)*(1-IF(53&gt;=AW64,Seasonality!$D$89*AW120,0))</f>
        <v/>
      </c>
      <c r="AX304" s="39">
        <f>AX303*(1-AX119)*(1-IF(53&gt;=AX64,Seasonality!$D$89*AX120,0))</f>
        <v/>
      </c>
      <c r="AY304" s="39">
        <f>AY303*(1-AY119)*(1-IF(53&gt;=AY64,Seasonality!$D$89*AY120,0))</f>
        <v/>
      </c>
      <c r="AZ304" s="39">
        <f>AZ303*(1-AZ119)*(1-IF(53&gt;=AZ64,Seasonality!$D$89*AZ120,0))</f>
        <v/>
      </c>
      <c r="BA304" s="39">
        <f>BA303*(1-BA119)*(1-IF(53&gt;=BA64,Seasonality!$D$89*BA120,0))</f>
        <v/>
      </c>
      <c r="BB304" s="39">
        <f>BB303*(1-BB119)*(1-IF(53&gt;=BB64,Seasonality!$D$89*BB120,0))</f>
        <v/>
      </c>
      <c r="BC304" s="39">
        <f>BC303*(1-BC119)*(1-IF(53&gt;=BC64,Seasonality!$D$89*BC120,0))</f>
        <v/>
      </c>
      <c r="BD304" s="39">
        <f>BD303*(1-BD119)*(1-IF(53&gt;=BD64,Seasonality!$D$89*BD120,0))</f>
        <v/>
      </c>
      <c r="BE304" s="39">
        <f>BE303*(1-BE119)*(1-IF(53&gt;=BE64,Seasonality!$D$89*BE120,0))</f>
        <v/>
      </c>
    </row>
    <row r="305">
      <c r="B305" s="7" t="inlineStr">
        <is>
          <t>Share of institutes still paying · month 55</t>
        </is>
      </c>
      <c r="C305" s="5" t="inlineStr">
        <is>
          <t>%</t>
        </is>
      </c>
      <c r="D305" s="39">
        <f>D304*(1-D119)*(1-IF(54&gt;=D64,Seasonality!$D$90*D120,0))</f>
        <v/>
      </c>
      <c r="E305" s="39">
        <f>E304*(1-E119)*(1-IF(54&gt;=E64,Seasonality!$D$90*E120,0))</f>
        <v/>
      </c>
      <c r="F305" s="39">
        <f>F304*(1-F119)*(1-IF(54&gt;=F64,Seasonality!$D$90*F120,0))</f>
        <v/>
      </c>
      <c r="G305" s="39">
        <f>G304*(1-G119)*(1-IF(54&gt;=G64,Seasonality!$D$90*G120,0))</f>
        <v/>
      </c>
      <c r="H305" s="39">
        <f>H304*(1-H119)*(1-IF(54&gt;=H64,Seasonality!$D$90*H120,0))</f>
        <v/>
      </c>
      <c r="I305" s="39">
        <f>I304*(1-I119)*(1-IF(54&gt;=I64,Seasonality!$D$90*I120,0))</f>
        <v/>
      </c>
      <c r="J305" s="39">
        <f>J304*(1-J119)*(1-IF(54&gt;=J64,Seasonality!$D$90*J120,0))</f>
        <v/>
      </c>
      <c r="K305" s="39">
        <f>K304*(1-K119)*(1-IF(54&gt;=K64,Seasonality!$D$90*K120,0))</f>
        <v/>
      </c>
      <c r="L305" s="39">
        <f>L304*(1-L119)*(1-IF(54&gt;=L64,Seasonality!$D$90*L120,0))</f>
        <v/>
      </c>
      <c r="M305" s="39">
        <f>M304*(1-M119)*(1-IF(54&gt;=M64,Seasonality!$D$90*M120,0))</f>
        <v/>
      </c>
      <c r="N305" s="39">
        <f>N304*(1-N119)*(1-IF(54&gt;=N64,Seasonality!$D$90*N120,0))</f>
        <v/>
      </c>
      <c r="O305" s="39">
        <f>O304*(1-O119)*(1-IF(54&gt;=O64,Seasonality!$D$90*O120,0))</f>
        <v/>
      </c>
      <c r="P305" s="39">
        <f>P304*(1-P119)*(1-IF(54&gt;=P64,Seasonality!$D$90*P120,0))</f>
        <v/>
      </c>
      <c r="Q305" s="39">
        <f>Q304*(1-Q119)*(1-IF(54&gt;=Q64,Seasonality!$D$90*Q120,0))</f>
        <v/>
      </c>
      <c r="R305" s="39">
        <f>R304*(1-R119)*(1-IF(54&gt;=R64,Seasonality!$D$90*R120,0))</f>
        <v/>
      </c>
      <c r="S305" s="39">
        <f>S304*(1-S119)*(1-IF(54&gt;=S64,Seasonality!$D$90*S120,0))</f>
        <v/>
      </c>
      <c r="T305" s="39">
        <f>T304*(1-T119)*(1-IF(54&gt;=T64,Seasonality!$D$90*T120,0))</f>
        <v/>
      </c>
      <c r="U305" s="39">
        <f>U304*(1-U119)*(1-IF(54&gt;=U64,Seasonality!$D$90*U120,0))</f>
        <v/>
      </c>
      <c r="V305" s="39">
        <f>V304*(1-V119)*(1-IF(54&gt;=V64,Seasonality!$D$90*V120,0))</f>
        <v/>
      </c>
      <c r="W305" s="39">
        <f>W304*(1-W119)*(1-IF(54&gt;=W64,Seasonality!$D$90*W120,0))</f>
        <v/>
      </c>
      <c r="X305" s="39">
        <f>X304*(1-X119)*(1-IF(54&gt;=X64,Seasonality!$D$90*X120,0))</f>
        <v/>
      </c>
      <c r="Y305" s="39">
        <f>Y304*(1-Y119)*(1-IF(54&gt;=Y64,Seasonality!$D$90*Y120,0))</f>
        <v/>
      </c>
      <c r="Z305" s="39">
        <f>Z304*(1-Z119)*(1-IF(54&gt;=Z64,Seasonality!$D$90*Z120,0))</f>
        <v/>
      </c>
      <c r="AA305" s="39">
        <f>AA304*(1-AA119)*(1-IF(54&gt;=AA64,Seasonality!$D$90*AA120,0))</f>
        <v/>
      </c>
      <c r="AB305" s="39">
        <f>AB304*(1-AB119)*(1-IF(54&gt;=AB64,Seasonality!$D$90*AB120,0))</f>
        <v/>
      </c>
      <c r="AC305" s="39">
        <f>AC304*(1-AC119)*(1-IF(54&gt;=AC64,Seasonality!$D$90*AC120,0))</f>
        <v/>
      </c>
      <c r="AD305" s="39">
        <f>AD304*(1-AD119)*(1-IF(54&gt;=AD64,Seasonality!$D$90*AD120,0))</f>
        <v/>
      </c>
      <c r="AE305" s="39">
        <f>AE304*(1-AE119)*(1-IF(54&gt;=AE64,Seasonality!$D$90*AE120,0))</f>
        <v/>
      </c>
      <c r="AF305" s="39">
        <f>AF304*(1-AF119)*(1-IF(54&gt;=AF64,Seasonality!$D$90*AF120,0))</f>
        <v/>
      </c>
      <c r="AG305" s="39">
        <f>AG304*(1-AG119)*(1-IF(54&gt;=AG64,Seasonality!$D$90*AG120,0))</f>
        <v/>
      </c>
      <c r="AH305" s="39">
        <f>AH304*(1-AH119)*(1-IF(54&gt;=AH64,Seasonality!$D$90*AH120,0))</f>
        <v/>
      </c>
      <c r="AI305" s="39">
        <f>AI304*(1-AI119)*(1-IF(54&gt;=AI64,Seasonality!$D$90*AI120,0))</f>
        <v/>
      </c>
      <c r="AJ305" s="39">
        <f>AJ304*(1-AJ119)*(1-IF(54&gt;=AJ64,Seasonality!$D$90*AJ120,0))</f>
        <v/>
      </c>
      <c r="AK305" s="39">
        <f>AK304*(1-AK119)*(1-IF(54&gt;=AK64,Seasonality!$D$90*AK120,0))</f>
        <v/>
      </c>
      <c r="AL305" s="39">
        <f>AL304*(1-AL119)*(1-IF(54&gt;=AL64,Seasonality!$D$90*AL120,0))</f>
        <v/>
      </c>
      <c r="AM305" s="39">
        <f>AM304*(1-AM119)*(1-IF(54&gt;=AM64,Seasonality!$D$90*AM120,0))</f>
        <v/>
      </c>
      <c r="AN305" s="39">
        <f>AN304*(1-AN119)*(1-IF(54&gt;=AN64,Seasonality!$D$90*AN120,0))</f>
        <v/>
      </c>
      <c r="AO305" s="39">
        <f>AO304*(1-AO119)*(1-IF(54&gt;=AO64,Seasonality!$D$90*AO120,0))</f>
        <v/>
      </c>
      <c r="AP305" s="39">
        <f>AP304*(1-AP119)*(1-IF(54&gt;=AP64,Seasonality!$D$90*AP120,0))</f>
        <v/>
      </c>
      <c r="AQ305" s="39">
        <f>AQ304*(1-AQ119)*(1-IF(54&gt;=AQ64,Seasonality!$D$90*AQ120,0))</f>
        <v/>
      </c>
      <c r="AR305" s="39">
        <f>AR304*(1-AR119)*(1-IF(54&gt;=AR64,Seasonality!$D$90*AR120,0))</f>
        <v/>
      </c>
      <c r="AS305" s="39">
        <f>AS304*(1-AS119)*(1-IF(54&gt;=AS64,Seasonality!$D$90*AS120,0))</f>
        <v/>
      </c>
      <c r="AT305" s="39">
        <f>AT304*(1-AT119)*(1-IF(54&gt;=AT64,Seasonality!$D$90*AT120,0))</f>
        <v/>
      </c>
      <c r="AU305" s="39">
        <f>AU304*(1-AU119)*(1-IF(54&gt;=AU64,Seasonality!$D$90*AU120,0))</f>
        <v/>
      </c>
      <c r="AV305" s="39">
        <f>AV304*(1-AV119)*(1-IF(54&gt;=AV64,Seasonality!$D$90*AV120,0))</f>
        <v/>
      </c>
      <c r="AW305" s="39">
        <f>AW304*(1-AW119)*(1-IF(54&gt;=AW64,Seasonality!$D$90*AW120,0))</f>
        <v/>
      </c>
      <c r="AX305" s="39">
        <f>AX304*(1-AX119)*(1-IF(54&gt;=AX64,Seasonality!$D$90*AX120,0))</f>
        <v/>
      </c>
      <c r="AY305" s="39">
        <f>AY304*(1-AY119)*(1-IF(54&gt;=AY64,Seasonality!$D$90*AY120,0))</f>
        <v/>
      </c>
      <c r="AZ305" s="39">
        <f>AZ304*(1-AZ119)*(1-IF(54&gt;=AZ64,Seasonality!$D$90*AZ120,0))</f>
        <v/>
      </c>
      <c r="BA305" s="39">
        <f>BA304*(1-BA119)*(1-IF(54&gt;=BA64,Seasonality!$D$90*BA120,0))</f>
        <v/>
      </c>
      <c r="BB305" s="39">
        <f>BB304*(1-BB119)*(1-IF(54&gt;=BB64,Seasonality!$D$90*BB120,0))</f>
        <v/>
      </c>
      <c r="BC305" s="39">
        <f>BC304*(1-BC119)*(1-IF(54&gt;=BC64,Seasonality!$D$90*BC120,0))</f>
        <v/>
      </c>
      <c r="BD305" s="39">
        <f>BD304*(1-BD119)*(1-IF(54&gt;=BD64,Seasonality!$D$90*BD120,0))</f>
        <v/>
      </c>
      <c r="BE305" s="39">
        <f>BE304*(1-BE119)*(1-IF(54&gt;=BE64,Seasonality!$D$90*BE120,0))</f>
        <v/>
      </c>
    </row>
    <row r="306">
      <c r="B306" s="7" t="inlineStr">
        <is>
          <t>Share of institutes still paying · month 56</t>
        </is>
      </c>
      <c r="C306" s="5" t="inlineStr">
        <is>
          <t>%</t>
        </is>
      </c>
      <c r="D306" s="39">
        <f>D305*(1-D119)*(1-IF(55&gt;=D64,Seasonality!$D$91*D120,0))</f>
        <v/>
      </c>
      <c r="E306" s="39">
        <f>E305*(1-E119)*(1-IF(55&gt;=E64,Seasonality!$D$91*E120,0))</f>
        <v/>
      </c>
      <c r="F306" s="39">
        <f>F305*(1-F119)*(1-IF(55&gt;=F64,Seasonality!$D$91*F120,0))</f>
        <v/>
      </c>
      <c r="G306" s="39">
        <f>G305*(1-G119)*(1-IF(55&gt;=G64,Seasonality!$D$91*G120,0))</f>
        <v/>
      </c>
      <c r="H306" s="39">
        <f>H305*(1-H119)*(1-IF(55&gt;=H64,Seasonality!$D$91*H120,0))</f>
        <v/>
      </c>
      <c r="I306" s="39">
        <f>I305*(1-I119)*(1-IF(55&gt;=I64,Seasonality!$D$91*I120,0))</f>
        <v/>
      </c>
      <c r="J306" s="39">
        <f>J305*(1-J119)*(1-IF(55&gt;=J64,Seasonality!$D$91*J120,0))</f>
        <v/>
      </c>
      <c r="K306" s="39">
        <f>K305*(1-K119)*(1-IF(55&gt;=K64,Seasonality!$D$91*K120,0))</f>
        <v/>
      </c>
      <c r="L306" s="39">
        <f>L305*(1-L119)*(1-IF(55&gt;=L64,Seasonality!$D$91*L120,0))</f>
        <v/>
      </c>
      <c r="M306" s="39">
        <f>M305*(1-M119)*(1-IF(55&gt;=M64,Seasonality!$D$91*M120,0))</f>
        <v/>
      </c>
      <c r="N306" s="39">
        <f>N305*(1-N119)*(1-IF(55&gt;=N64,Seasonality!$D$91*N120,0))</f>
        <v/>
      </c>
      <c r="O306" s="39">
        <f>O305*(1-O119)*(1-IF(55&gt;=O64,Seasonality!$D$91*O120,0))</f>
        <v/>
      </c>
      <c r="P306" s="39">
        <f>P305*(1-P119)*(1-IF(55&gt;=P64,Seasonality!$D$91*P120,0))</f>
        <v/>
      </c>
      <c r="Q306" s="39">
        <f>Q305*(1-Q119)*(1-IF(55&gt;=Q64,Seasonality!$D$91*Q120,0))</f>
        <v/>
      </c>
      <c r="R306" s="39">
        <f>R305*(1-R119)*(1-IF(55&gt;=R64,Seasonality!$D$91*R120,0))</f>
        <v/>
      </c>
      <c r="S306" s="39">
        <f>S305*(1-S119)*(1-IF(55&gt;=S64,Seasonality!$D$91*S120,0))</f>
        <v/>
      </c>
      <c r="T306" s="39">
        <f>T305*(1-T119)*(1-IF(55&gt;=T64,Seasonality!$D$91*T120,0))</f>
        <v/>
      </c>
      <c r="U306" s="39">
        <f>U305*(1-U119)*(1-IF(55&gt;=U64,Seasonality!$D$91*U120,0))</f>
        <v/>
      </c>
      <c r="V306" s="39">
        <f>V305*(1-V119)*(1-IF(55&gt;=V64,Seasonality!$D$91*V120,0))</f>
        <v/>
      </c>
      <c r="W306" s="39">
        <f>W305*(1-W119)*(1-IF(55&gt;=W64,Seasonality!$D$91*W120,0))</f>
        <v/>
      </c>
      <c r="X306" s="39">
        <f>X305*(1-X119)*(1-IF(55&gt;=X64,Seasonality!$D$91*X120,0))</f>
        <v/>
      </c>
      <c r="Y306" s="39">
        <f>Y305*(1-Y119)*(1-IF(55&gt;=Y64,Seasonality!$D$91*Y120,0))</f>
        <v/>
      </c>
      <c r="Z306" s="39">
        <f>Z305*(1-Z119)*(1-IF(55&gt;=Z64,Seasonality!$D$91*Z120,0))</f>
        <v/>
      </c>
      <c r="AA306" s="39">
        <f>AA305*(1-AA119)*(1-IF(55&gt;=AA64,Seasonality!$D$91*AA120,0))</f>
        <v/>
      </c>
      <c r="AB306" s="39">
        <f>AB305*(1-AB119)*(1-IF(55&gt;=AB64,Seasonality!$D$91*AB120,0))</f>
        <v/>
      </c>
      <c r="AC306" s="39">
        <f>AC305*(1-AC119)*(1-IF(55&gt;=AC64,Seasonality!$D$91*AC120,0))</f>
        <v/>
      </c>
      <c r="AD306" s="39">
        <f>AD305*(1-AD119)*(1-IF(55&gt;=AD64,Seasonality!$D$91*AD120,0))</f>
        <v/>
      </c>
      <c r="AE306" s="39">
        <f>AE305*(1-AE119)*(1-IF(55&gt;=AE64,Seasonality!$D$91*AE120,0))</f>
        <v/>
      </c>
      <c r="AF306" s="39">
        <f>AF305*(1-AF119)*(1-IF(55&gt;=AF64,Seasonality!$D$91*AF120,0))</f>
        <v/>
      </c>
      <c r="AG306" s="39">
        <f>AG305*(1-AG119)*(1-IF(55&gt;=AG64,Seasonality!$D$91*AG120,0))</f>
        <v/>
      </c>
      <c r="AH306" s="39">
        <f>AH305*(1-AH119)*(1-IF(55&gt;=AH64,Seasonality!$D$91*AH120,0))</f>
        <v/>
      </c>
      <c r="AI306" s="39">
        <f>AI305*(1-AI119)*(1-IF(55&gt;=AI64,Seasonality!$D$91*AI120,0))</f>
        <v/>
      </c>
      <c r="AJ306" s="39">
        <f>AJ305*(1-AJ119)*(1-IF(55&gt;=AJ64,Seasonality!$D$91*AJ120,0))</f>
        <v/>
      </c>
      <c r="AK306" s="39">
        <f>AK305*(1-AK119)*(1-IF(55&gt;=AK64,Seasonality!$D$91*AK120,0))</f>
        <v/>
      </c>
      <c r="AL306" s="39">
        <f>AL305*(1-AL119)*(1-IF(55&gt;=AL64,Seasonality!$D$91*AL120,0))</f>
        <v/>
      </c>
      <c r="AM306" s="39">
        <f>AM305*(1-AM119)*(1-IF(55&gt;=AM64,Seasonality!$D$91*AM120,0))</f>
        <v/>
      </c>
      <c r="AN306" s="39">
        <f>AN305*(1-AN119)*(1-IF(55&gt;=AN64,Seasonality!$D$91*AN120,0))</f>
        <v/>
      </c>
      <c r="AO306" s="39">
        <f>AO305*(1-AO119)*(1-IF(55&gt;=AO64,Seasonality!$D$91*AO120,0))</f>
        <v/>
      </c>
      <c r="AP306" s="39">
        <f>AP305*(1-AP119)*(1-IF(55&gt;=AP64,Seasonality!$D$91*AP120,0))</f>
        <v/>
      </c>
      <c r="AQ306" s="39">
        <f>AQ305*(1-AQ119)*(1-IF(55&gt;=AQ64,Seasonality!$D$91*AQ120,0))</f>
        <v/>
      </c>
      <c r="AR306" s="39">
        <f>AR305*(1-AR119)*(1-IF(55&gt;=AR64,Seasonality!$D$91*AR120,0))</f>
        <v/>
      </c>
      <c r="AS306" s="39">
        <f>AS305*(1-AS119)*(1-IF(55&gt;=AS64,Seasonality!$D$91*AS120,0))</f>
        <v/>
      </c>
      <c r="AT306" s="39">
        <f>AT305*(1-AT119)*(1-IF(55&gt;=AT64,Seasonality!$D$91*AT120,0))</f>
        <v/>
      </c>
      <c r="AU306" s="39">
        <f>AU305*(1-AU119)*(1-IF(55&gt;=AU64,Seasonality!$D$91*AU120,0))</f>
        <v/>
      </c>
      <c r="AV306" s="39">
        <f>AV305*(1-AV119)*(1-IF(55&gt;=AV64,Seasonality!$D$91*AV120,0))</f>
        <v/>
      </c>
      <c r="AW306" s="39">
        <f>AW305*(1-AW119)*(1-IF(55&gt;=AW64,Seasonality!$D$91*AW120,0))</f>
        <v/>
      </c>
      <c r="AX306" s="39">
        <f>AX305*(1-AX119)*(1-IF(55&gt;=AX64,Seasonality!$D$91*AX120,0))</f>
        <v/>
      </c>
      <c r="AY306" s="39">
        <f>AY305*(1-AY119)*(1-IF(55&gt;=AY64,Seasonality!$D$91*AY120,0))</f>
        <v/>
      </c>
      <c r="AZ306" s="39">
        <f>AZ305*(1-AZ119)*(1-IF(55&gt;=AZ64,Seasonality!$D$91*AZ120,0))</f>
        <v/>
      </c>
      <c r="BA306" s="39">
        <f>BA305*(1-BA119)*(1-IF(55&gt;=BA64,Seasonality!$D$91*BA120,0))</f>
        <v/>
      </c>
      <c r="BB306" s="39">
        <f>BB305*(1-BB119)*(1-IF(55&gt;=BB64,Seasonality!$D$91*BB120,0))</f>
        <v/>
      </c>
      <c r="BC306" s="39">
        <f>BC305*(1-BC119)*(1-IF(55&gt;=BC64,Seasonality!$D$91*BC120,0))</f>
        <v/>
      </c>
      <c r="BD306" s="39">
        <f>BD305*(1-BD119)*(1-IF(55&gt;=BD64,Seasonality!$D$91*BD120,0))</f>
        <v/>
      </c>
      <c r="BE306" s="39">
        <f>BE305*(1-BE119)*(1-IF(55&gt;=BE64,Seasonality!$D$91*BE120,0))</f>
        <v/>
      </c>
    </row>
    <row r="307">
      <c r="B307" s="7" t="inlineStr">
        <is>
          <t>Share of institutes still paying · month 57</t>
        </is>
      </c>
      <c r="C307" s="5" t="inlineStr">
        <is>
          <t>%</t>
        </is>
      </c>
      <c r="D307" s="39">
        <f>D306*(1-D119)*(1-IF(56&gt;=D64,Seasonality!$D$92*D120,0))</f>
        <v/>
      </c>
      <c r="E307" s="39">
        <f>E306*(1-E119)*(1-IF(56&gt;=E64,Seasonality!$D$92*E120,0))</f>
        <v/>
      </c>
      <c r="F307" s="39">
        <f>F306*(1-F119)*(1-IF(56&gt;=F64,Seasonality!$D$92*F120,0))</f>
        <v/>
      </c>
      <c r="G307" s="39">
        <f>G306*(1-G119)*(1-IF(56&gt;=G64,Seasonality!$D$92*G120,0))</f>
        <v/>
      </c>
      <c r="H307" s="39">
        <f>H306*(1-H119)*(1-IF(56&gt;=H64,Seasonality!$D$92*H120,0))</f>
        <v/>
      </c>
      <c r="I307" s="39">
        <f>I306*(1-I119)*(1-IF(56&gt;=I64,Seasonality!$D$92*I120,0))</f>
        <v/>
      </c>
      <c r="J307" s="39">
        <f>J306*(1-J119)*(1-IF(56&gt;=J64,Seasonality!$D$92*J120,0))</f>
        <v/>
      </c>
      <c r="K307" s="39">
        <f>K306*(1-K119)*(1-IF(56&gt;=K64,Seasonality!$D$92*K120,0))</f>
        <v/>
      </c>
      <c r="L307" s="39">
        <f>L306*(1-L119)*(1-IF(56&gt;=L64,Seasonality!$D$92*L120,0))</f>
        <v/>
      </c>
      <c r="M307" s="39">
        <f>M306*(1-M119)*(1-IF(56&gt;=M64,Seasonality!$D$92*M120,0))</f>
        <v/>
      </c>
      <c r="N307" s="39">
        <f>N306*(1-N119)*(1-IF(56&gt;=N64,Seasonality!$D$92*N120,0))</f>
        <v/>
      </c>
      <c r="O307" s="39">
        <f>O306*(1-O119)*(1-IF(56&gt;=O64,Seasonality!$D$92*O120,0))</f>
        <v/>
      </c>
      <c r="P307" s="39">
        <f>P306*(1-P119)*(1-IF(56&gt;=P64,Seasonality!$D$92*P120,0))</f>
        <v/>
      </c>
      <c r="Q307" s="39">
        <f>Q306*(1-Q119)*(1-IF(56&gt;=Q64,Seasonality!$D$92*Q120,0))</f>
        <v/>
      </c>
      <c r="R307" s="39">
        <f>R306*(1-R119)*(1-IF(56&gt;=R64,Seasonality!$D$92*R120,0))</f>
        <v/>
      </c>
      <c r="S307" s="39">
        <f>S306*(1-S119)*(1-IF(56&gt;=S64,Seasonality!$D$92*S120,0))</f>
        <v/>
      </c>
      <c r="T307" s="39">
        <f>T306*(1-T119)*(1-IF(56&gt;=T64,Seasonality!$D$92*T120,0))</f>
        <v/>
      </c>
      <c r="U307" s="39">
        <f>U306*(1-U119)*(1-IF(56&gt;=U64,Seasonality!$D$92*U120,0))</f>
        <v/>
      </c>
      <c r="V307" s="39">
        <f>V306*(1-V119)*(1-IF(56&gt;=V64,Seasonality!$D$92*V120,0))</f>
        <v/>
      </c>
      <c r="W307" s="39">
        <f>W306*(1-W119)*(1-IF(56&gt;=W64,Seasonality!$D$92*W120,0))</f>
        <v/>
      </c>
      <c r="X307" s="39">
        <f>X306*(1-X119)*(1-IF(56&gt;=X64,Seasonality!$D$92*X120,0))</f>
        <v/>
      </c>
      <c r="Y307" s="39">
        <f>Y306*(1-Y119)*(1-IF(56&gt;=Y64,Seasonality!$D$92*Y120,0))</f>
        <v/>
      </c>
      <c r="Z307" s="39">
        <f>Z306*(1-Z119)*(1-IF(56&gt;=Z64,Seasonality!$D$92*Z120,0))</f>
        <v/>
      </c>
      <c r="AA307" s="39">
        <f>AA306*(1-AA119)*(1-IF(56&gt;=AA64,Seasonality!$D$92*AA120,0))</f>
        <v/>
      </c>
      <c r="AB307" s="39">
        <f>AB306*(1-AB119)*(1-IF(56&gt;=AB64,Seasonality!$D$92*AB120,0))</f>
        <v/>
      </c>
      <c r="AC307" s="39">
        <f>AC306*(1-AC119)*(1-IF(56&gt;=AC64,Seasonality!$D$92*AC120,0))</f>
        <v/>
      </c>
      <c r="AD307" s="39">
        <f>AD306*(1-AD119)*(1-IF(56&gt;=AD64,Seasonality!$D$92*AD120,0))</f>
        <v/>
      </c>
      <c r="AE307" s="39">
        <f>AE306*(1-AE119)*(1-IF(56&gt;=AE64,Seasonality!$D$92*AE120,0))</f>
        <v/>
      </c>
      <c r="AF307" s="39">
        <f>AF306*(1-AF119)*(1-IF(56&gt;=AF64,Seasonality!$D$92*AF120,0))</f>
        <v/>
      </c>
      <c r="AG307" s="39">
        <f>AG306*(1-AG119)*(1-IF(56&gt;=AG64,Seasonality!$D$92*AG120,0))</f>
        <v/>
      </c>
      <c r="AH307" s="39">
        <f>AH306*(1-AH119)*(1-IF(56&gt;=AH64,Seasonality!$D$92*AH120,0))</f>
        <v/>
      </c>
      <c r="AI307" s="39">
        <f>AI306*(1-AI119)*(1-IF(56&gt;=AI64,Seasonality!$D$92*AI120,0))</f>
        <v/>
      </c>
      <c r="AJ307" s="39">
        <f>AJ306*(1-AJ119)*(1-IF(56&gt;=AJ64,Seasonality!$D$92*AJ120,0))</f>
        <v/>
      </c>
      <c r="AK307" s="39">
        <f>AK306*(1-AK119)*(1-IF(56&gt;=AK64,Seasonality!$D$92*AK120,0))</f>
        <v/>
      </c>
      <c r="AL307" s="39">
        <f>AL306*(1-AL119)*(1-IF(56&gt;=AL64,Seasonality!$D$92*AL120,0))</f>
        <v/>
      </c>
      <c r="AM307" s="39">
        <f>AM306*(1-AM119)*(1-IF(56&gt;=AM64,Seasonality!$D$92*AM120,0))</f>
        <v/>
      </c>
      <c r="AN307" s="39">
        <f>AN306*(1-AN119)*(1-IF(56&gt;=AN64,Seasonality!$D$92*AN120,0))</f>
        <v/>
      </c>
      <c r="AO307" s="39">
        <f>AO306*(1-AO119)*(1-IF(56&gt;=AO64,Seasonality!$D$92*AO120,0))</f>
        <v/>
      </c>
      <c r="AP307" s="39">
        <f>AP306*(1-AP119)*(1-IF(56&gt;=AP64,Seasonality!$D$92*AP120,0))</f>
        <v/>
      </c>
      <c r="AQ307" s="39">
        <f>AQ306*(1-AQ119)*(1-IF(56&gt;=AQ64,Seasonality!$D$92*AQ120,0))</f>
        <v/>
      </c>
      <c r="AR307" s="39">
        <f>AR306*(1-AR119)*(1-IF(56&gt;=AR64,Seasonality!$D$92*AR120,0))</f>
        <v/>
      </c>
      <c r="AS307" s="39">
        <f>AS306*(1-AS119)*(1-IF(56&gt;=AS64,Seasonality!$D$92*AS120,0))</f>
        <v/>
      </c>
      <c r="AT307" s="39">
        <f>AT306*(1-AT119)*(1-IF(56&gt;=AT64,Seasonality!$D$92*AT120,0))</f>
        <v/>
      </c>
      <c r="AU307" s="39">
        <f>AU306*(1-AU119)*(1-IF(56&gt;=AU64,Seasonality!$D$92*AU120,0))</f>
        <v/>
      </c>
      <c r="AV307" s="39">
        <f>AV306*(1-AV119)*(1-IF(56&gt;=AV64,Seasonality!$D$92*AV120,0))</f>
        <v/>
      </c>
      <c r="AW307" s="39">
        <f>AW306*(1-AW119)*(1-IF(56&gt;=AW64,Seasonality!$D$92*AW120,0))</f>
        <v/>
      </c>
      <c r="AX307" s="39">
        <f>AX306*(1-AX119)*(1-IF(56&gt;=AX64,Seasonality!$D$92*AX120,0))</f>
        <v/>
      </c>
      <c r="AY307" s="39">
        <f>AY306*(1-AY119)*(1-IF(56&gt;=AY64,Seasonality!$D$92*AY120,0))</f>
        <v/>
      </c>
      <c r="AZ307" s="39">
        <f>AZ306*(1-AZ119)*(1-IF(56&gt;=AZ64,Seasonality!$D$92*AZ120,0))</f>
        <v/>
      </c>
      <c r="BA307" s="39">
        <f>BA306*(1-BA119)*(1-IF(56&gt;=BA64,Seasonality!$D$92*BA120,0))</f>
        <v/>
      </c>
      <c r="BB307" s="39">
        <f>BB306*(1-BB119)*(1-IF(56&gt;=BB64,Seasonality!$D$92*BB120,0))</f>
        <v/>
      </c>
      <c r="BC307" s="39">
        <f>BC306*(1-BC119)*(1-IF(56&gt;=BC64,Seasonality!$D$92*BC120,0))</f>
        <v/>
      </c>
      <c r="BD307" s="39">
        <f>BD306*(1-BD119)*(1-IF(56&gt;=BD64,Seasonality!$D$92*BD120,0))</f>
        <v/>
      </c>
      <c r="BE307" s="39">
        <f>BE306*(1-BE119)*(1-IF(56&gt;=BE64,Seasonality!$D$92*BE120,0))</f>
        <v/>
      </c>
    </row>
    <row r="308">
      <c r="B308" s="7" t="inlineStr">
        <is>
          <t>Share of institutes still paying · month 58</t>
        </is>
      </c>
      <c r="C308" s="5" t="inlineStr">
        <is>
          <t>%</t>
        </is>
      </c>
      <c r="D308" s="39">
        <f>D307*(1-D119)*(1-IF(57&gt;=D64,Seasonality!$D$93*D120,0))</f>
        <v/>
      </c>
      <c r="E308" s="39">
        <f>E307*(1-E119)*(1-IF(57&gt;=E64,Seasonality!$D$93*E120,0))</f>
        <v/>
      </c>
      <c r="F308" s="39">
        <f>F307*(1-F119)*(1-IF(57&gt;=F64,Seasonality!$D$93*F120,0))</f>
        <v/>
      </c>
      <c r="G308" s="39">
        <f>G307*(1-G119)*(1-IF(57&gt;=G64,Seasonality!$D$93*G120,0))</f>
        <v/>
      </c>
      <c r="H308" s="39">
        <f>H307*(1-H119)*(1-IF(57&gt;=H64,Seasonality!$D$93*H120,0))</f>
        <v/>
      </c>
      <c r="I308" s="39">
        <f>I307*(1-I119)*(1-IF(57&gt;=I64,Seasonality!$D$93*I120,0))</f>
        <v/>
      </c>
      <c r="J308" s="39">
        <f>J307*(1-J119)*(1-IF(57&gt;=J64,Seasonality!$D$93*J120,0))</f>
        <v/>
      </c>
      <c r="K308" s="39">
        <f>K307*(1-K119)*(1-IF(57&gt;=K64,Seasonality!$D$93*K120,0))</f>
        <v/>
      </c>
      <c r="L308" s="39">
        <f>L307*(1-L119)*(1-IF(57&gt;=L64,Seasonality!$D$93*L120,0))</f>
        <v/>
      </c>
      <c r="M308" s="39">
        <f>M307*(1-M119)*(1-IF(57&gt;=M64,Seasonality!$D$93*M120,0))</f>
        <v/>
      </c>
      <c r="N308" s="39">
        <f>N307*(1-N119)*(1-IF(57&gt;=N64,Seasonality!$D$93*N120,0))</f>
        <v/>
      </c>
      <c r="O308" s="39">
        <f>O307*(1-O119)*(1-IF(57&gt;=O64,Seasonality!$D$93*O120,0))</f>
        <v/>
      </c>
      <c r="P308" s="39">
        <f>P307*(1-P119)*(1-IF(57&gt;=P64,Seasonality!$D$93*P120,0))</f>
        <v/>
      </c>
      <c r="Q308" s="39">
        <f>Q307*(1-Q119)*(1-IF(57&gt;=Q64,Seasonality!$D$93*Q120,0))</f>
        <v/>
      </c>
      <c r="R308" s="39">
        <f>R307*(1-R119)*(1-IF(57&gt;=R64,Seasonality!$D$93*R120,0))</f>
        <v/>
      </c>
      <c r="S308" s="39">
        <f>S307*(1-S119)*(1-IF(57&gt;=S64,Seasonality!$D$93*S120,0))</f>
        <v/>
      </c>
      <c r="T308" s="39">
        <f>T307*(1-T119)*(1-IF(57&gt;=T64,Seasonality!$D$93*T120,0))</f>
        <v/>
      </c>
      <c r="U308" s="39">
        <f>U307*(1-U119)*(1-IF(57&gt;=U64,Seasonality!$D$93*U120,0))</f>
        <v/>
      </c>
      <c r="V308" s="39">
        <f>V307*(1-V119)*(1-IF(57&gt;=V64,Seasonality!$D$93*V120,0))</f>
        <v/>
      </c>
      <c r="W308" s="39">
        <f>W307*(1-W119)*(1-IF(57&gt;=W64,Seasonality!$D$93*W120,0))</f>
        <v/>
      </c>
      <c r="X308" s="39">
        <f>X307*(1-X119)*(1-IF(57&gt;=X64,Seasonality!$D$93*X120,0))</f>
        <v/>
      </c>
      <c r="Y308" s="39">
        <f>Y307*(1-Y119)*(1-IF(57&gt;=Y64,Seasonality!$D$93*Y120,0))</f>
        <v/>
      </c>
      <c r="Z308" s="39">
        <f>Z307*(1-Z119)*(1-IF(57&gt;=Z64,Seasonality!$D$93*Z120,0))</f>
        <v/>
      </c>
      <c r="AA308" s="39">
        <f>AA307*(1-AA119)*(1-IF(57&gt;=AA64,Seasonality!$D$93*AA120,0))</f>
        <v/>
      </c>
      <c r="AB308" s="39">
        <f>AB307*(1-AB119)*(1-IF(57&gt;=AB64,Seasonality!$D$93*AB120,0))</f>
        <v/>
      </c>
      <c r="AC308" s="39">
        <f>AC307*(1-AC119)*(1-IF(57&gt;=AC64,Seasonality!$D$93*AC120,0))</f>
        <v/>
      </c>
      <c r="AD308" s="39">
        <f>AD307*(1-AD119)*(1-IF(57&gt;=AD64,Seasonality!$D$93*AD120,0))</f>
        <v/>
      </c>
      <c r="AE308" s="39">
        <f>AE307*(1-AE119)*(1-IF(57&gt;=AE64,Seasonality!$D$93*AE120,0))</f>
        <v/>
      </c>
      <c r="AF308" s="39">
        <f>AF307*(1-AF119)*(1-IF(57&gt;=AF64,Seasonality!$D$93*AF120,0))</f>
        <v/>
      </c>
      <c r="AG308" s="39">
        <f>AG307*(1-AG119)*(1-IF(57&gt;=AG64,Seasonality!$D$93*AG120,0))</f>
        <v/>
      </c>
      <c r="AH308" s="39">
        <f>AH307*(1-AH119)*(1-IF(57&gt;=AH64,Seasonality!$D$93*AH120,0))</f>
        <v/>
      </c>
      <c r="AI308" s="39">
        <f>AI307*(1-AI119)*(1-IF(57&gt;=AI64,Seasonality!$D$93*AI120,0))</f>
        <v/>
      </c>
      <c r="AJ308" s="39">
        <f>AJ307*(1-AJ119)*(1-IF(57&gt;=AJ64,Seasonality!$D$93*AJ120,0))</f>
        <v/>
      </c>
      <c r="AK308" s="39">
        <f>AK307*(1-AK119)*(1-IF(57&gt;=AK64,Seasonality!$D$93*AK120,0))</f>
        <v/>
      </c>
      <c r="AL308" s="39">
        <f>AL307*(1-AL119)*(1-IF(57&gt;=AL64,Seasonality!$D$93*AL120,0))</f>
        <v/>
      </c>
      <c r="AM308" s="39">
        <f>AM307*(1-AM119)*(1-IF(57&gt;=AM64,Seasonality!$D$93*AM120,0))</f>
        <v/>
      </c>
      <c r="AN308" s="39">
        <f>AN307*(1-AN119)*(1-IF(57&gt;=AN64,Seasonality!$D$93*AN120,0))</f>
        <v/>
      </c>
      <c r="AO308" s="39">
        <f>AO307*(1-AO119)*(1-IF(57&gt;=AO64,Seasonality!$D$93*AO120,0))</f>
        <v/>
      </c>
      <c r="AP308" s="39">
        <f>AP307*(1-AP119)*(1-IF(57&gt;=AP64,Seasonality!$D$93*AP120,0))</f>
        <v/>
      </c>
      <c r="AQ308" s="39">
        <f>AQ307*(1-AQ119)*(1-IF(57&gt;=AQ64,Seasonality!$D$93*AQ120,0))</f>
        <v/>
      </c>
      <c r="AR308" s="39">
        <f>AR307*(1-AR119)*(1-IF(57&gt;=AR64,Seasonality!$D$93*AR120,0))</f>
        <v/>
      </c>
      <c r="AS308" s="39">
        <f>AS307*(1-AS119)*(1-IF(57&gt;=AS64,Seasonality!$D$93*AS120,0))</f>
        <v/>
      </c>
      <c r="AT308" s="39">
        <f>AT307*(1-AT119)*(1-IF(57&gt;=AT64,Seasonality!$D$93*AT120,0))</f>
        <v/>
      </c>
      <c r="AU308" s="39">
        <f>AU307*(1-AU119)*(1-IF(57&gt;=AU64,Seasonality!$D$93*AU120,0))</f>
        <v/>
      </c>
      <c r="AV308" s="39">
        <f>AV307*(1-AV119)*(1-IF(57&gt;=AV64,Seasonality!$D$93*AV120,0))</f>
        <v/>
      </c>
      <c r="AW308" s="39">
        <f>AW307*(1-AW119)*(1-IF(57&gt;=AW64,Seasonality!$D$93*AW120,0))</f>
        <v/>
      </c>
      <c r="AX308" s="39">
        <f>AX307*(1-AX119)*(1-IF(57&gt;=AX64,Seasonality!$D$93*AX120,0))</f>
        <v/>
      </c>
      <c r="AY308" s="39">
        <f>AY307*(1-AY119)*(1-IF(57&gt;=AY64,Seasonality!$D$93*AY120,0))</f>
        <v/>
      </c>
      <c r="AZ308" s="39">
        <f>AZ307*(1-AZ119)*(1-IF(57&gt;=AZ64,Seasonality!$D$93*AZ120,0))</f>
        <v/>
      </c>
      <c r="BA308" s="39">
        <f>BA307*(1-BA119)*(1-IF(57&gt;=BA64,Seasonality!$D$93*BA120,0))</f>
        <v/>
      </c>
      <c r="BB308" s="39">
        <f>BB307*(1-BB119)*(1-IF(57&gt;=BB64,Seasonality!$D$93*BB120,0))</f>
        <v/>
      </c>
      <c r="BC308" s="39">
        <f>BC307*(1-BC119)*(1-IF(57&gt;=BC64,Seasonality!$D$93*BC120,0))</f>
        <v/>
      </c>
      <c r="BD308" s="39">
        <f>BD307*(1-BD119)*(1-IF(57&gt;=BD64,Seasonality!$D$93*BD120,0))</f>
        <v/>
      </c>
      <c r="BE308" s="39">
        <f>BE307*(1-BE119)*(1-IF(57&gt;=BE64,Seasonality!$D$93*BE120,0))</f>
        <v/>
      </c>
    </row>
    <row r="309">
      <c r="B309" s="7" t="inlineStr">
        <is>
          <t>Share of institutes still paying · month 59</t>
        </is>
      </c>
      <c r="C309" s="5" t="inlineStr">
        <is>
          <t>%</t>
        </is>
      </c>
      <c r="D309" s="39">
        <f>D308*(1-D119)*(1-IF(58&gt;=D64,Seasonality!$D$94*D120,0))</f>
        <v/>
      </c>
      <c r="E309" s="39">
        <f>E308*(1-E119)*(1-IF(58&gt;=E64,Seasonality!$D$94*E120,0))</f>
        <v/>
      </c>
      <c r="F309" s="39">
        <f>F308*(1-F119)*(1-IF(58&gt;=F64,Seasonality!$D$94*F120,0))</f>
        <v/>
      </c>
      <c r="G309" s="39">
        <f>G308*(1-G119)*(1-IF(58&gt;=G64,Seasonality!$D$94*G120,0))</f>
        <v/>
      </c>
      <c r="H309" s="39">
        <f>H308*(1-H119)*(1-IF(58&gt;=H64,Seasonality!$D$94*H120,0))</f>
        <v/>
      </c>
      <c r="I309" s="39">
        <f>I308*(1-I119)*(1-IF(58&gt;=I64,Seasonality!$D$94*I120,0))</f>
        <v/>
      </c>
      <c r="J309" s="39">
        <f>J308*(1-J119)*(1-IF(58&gt;=J64,Seasonality!$D$94*J120,0))</f>
        <v/>
      </c>
      <c r="K309" s="39">
        <f>K308*(1-K119)*(1-IF(58&gt;=K64,Seasonality!$D$94*K120,0))</f>
        <v/>
      </c>
      <c r="L309" s="39">
        <f>L308*(1-L119)*(1-IF(58&gt;=L64,Seasonality!$D$94*L120,0))</f>
        <v/>
      </c>
      <c r="M309" s="39">
        <f>M308*(1-M119)*(1-IF(58&gt;=M64,Seasonality!$D$94*M120,0))</f>
        <v/>
      </c>
      <c r="N309" s="39">
        <f>N308*(1-N119)*(1-IF(58&gt;=N64,Seasonality!$D$94*N120,0))</f>
        <v/>
      </c>
      <c r="O309" s="39">
        <f>O308*(1-O119)*(1-IF(58&gt;=O64,Seasonality!$D$94*O120,0))</f>
        <v/>
      </c>
      <c r="P309" s="39">
        <f>P308*(1-P119)*(1-IF(58&gt;=P64,Seasonality!$D$94*P120,0))</f>
        <v/>
      </c>
      <c r="Q309" s="39">
        <f>Q308*(1-Q119)*(1-IF(58&gt;=Q64,Seasonality!$D$94*Q120,0))</f>
        <v/>
      </c>
      <c r="R309" s="39">
        <f>R308*(1-R119)*(1-IF(58&gt;=R64,Seasonality!$D$94*R120,0))</f>
        <v/>
      </c>
      <c r="S309" s="39">
        <f>S308*(1-S119)*(1-IF(58&gt;=S64,Seasonality!$D$94*S120,0))</f>
        <v/>
      </c>
      <c r="T309" s="39">
        <f>T308*(1-T119)*(1-IF(58&gt;=T64,Seasonality!$D$94*T120,0))</f>
        <v/>
      </c>
      <c r="U309" s="39">
        <f>U308*(1-U119)*(1-IF(58&gt;=U64,Seasonality!$D$94*U120,0))</f>
        <v/>
      </c>
      <c r="V309" s="39">
        <f>V308*(1-V119)*(1-IF(58&gt;=V64,Seasonality!$D$94*V120,0))</f>
        <v/>
      </c>
      <c r="W309" s="39">
        <f>W308*(1-W119)*(1-IF(58&gt;=W64,Seasonality!$D$94*W120,0))</f>
        <v/>
      </c>
      <c r="X309" s="39">
        <f>X308*(1-X119)*(1-IF(58&gt;=X64,Seasonality!$D$94*X120,0))</f>
        <v/>
      </c>
      <c r="Y309" s="39">
        <f>Y308*(1-Y119)*(1-IF(58&gt;=Y64,Seasonality!$D$94*Y120,0))</f>
        <v/>
      </c>
      <c r="Z309" s="39">
        <f>Z308*(1-Z119)*(1-IF(58&gt;=Z64,Seasonality!$D$94*Z120,0))</f>
        <v/>
      </c>
      <c r="AA309" s="39">
        <f>AA308*(1-AA119)*(1-IF(58&gt;=AA64,Seasonality!$D$94*AA120,0))</f>
        <v/>
      </c>
      <c r="AB309" s="39">
        <f>AB308*(1-AB119)*(1-IF(58&gt;=AB64,Seasonality!$D$94*AB120,0))</f>
        <v/>
      </c>
      <c r="AC309" s="39">
        <f>AC308*(1-AC119)*(1-IF(58&gt;=AC64,Seasonality!$D$94*AC120,0))</f>
        <v/>
      </c>
      <c r="AD309" s="39">
        <f>AD308*(1-AD119)*(1-IF(58&gt;=AD64,Seasonality!$D$94*AD120,0))</f>
        <v/>
      </c>
      <c r="AE309" s="39">
        <f>AE308*(1-AE119)*(1-IF(58&gt;=AE64,Seasonality!$D$94*AE120,0))</f>
        <v/>
      </c>
      <c r="AF309" s="39">
        <f>AF308*(1-AF119)*(1-IF(58&gt;=AF64,Seasonality!$D$94*AF120,0))</f>
        <v/>
      </c>
      <c r="AG309" s="39">
        <f>AG308*(1-AG119)*(1-IF(58&gt;=AG64,Seasonality!$D$94*AG120,0))</f>
        <v/>
      </c>
      <c r="AH309" s="39">
        <f>AH308*(1-AH119)*(1-IF(58&gt;=AH64,Seasonality!$D$94*AH120,0))</f>
        <v/>
      </c>
      <c r="AI309" s="39">
        <f>AI308*(1-AI119)*(1-IF(58&gt;=AI64,Seasonality!$D$94*AI120,0))</f>
        <v/>
      </c>
      <c r="AJ309" s="39">
        <f>AJ308*(1-AJ119)*(1-IF(58&gt;=AJ64,Seasonality!$D$94*AJ120,0))</f>
        <v/>
      </c>
      <c r="AK309" s="39">
        <f>AK308*(1-AK119)*(1-IF(58&gt;=AK64,Seasonality!$D$94*AK120,0))</f>
        <v/>
      </c>
      <c r="AL309" s="39">
        <f>AL308*(1-AL119)*(1-IF(58&gt;=AL64,Seasonality!$D$94*AL120,0))</f>
        <v/>
      </c>
      <c r="AM309" s="39">
        <f>AM308*(1-AM119)*(1-IF(58&gt;=AM64,Seasonality!$D$94*AM120,0))</f>
        <v/>
      </c>
      <c r="AN309" s="39">
        <f>AN308*(1-AN119)*(1-IF(58&gt;=AN64,Seasonality!$D$94*AN120,0))</f>
        <v/>
      </c>
      <c r="AO309" s="39">
        <f>AO308*(1-AO119)*(1-IF(58&gt;=AO64,Seasonality!$D$94*AO120,0))</f>
        <v/>
      </c>
      <c r="AP309" s="39">
        <f>AP308*(1-AP119)*(1-IF(58&gt;=AP64,Seasonality!$D$94*AP120,0))</f>
        <v/>
      </c>
      <c r="AQ309" s="39">
        <f>AQ308*(1-AQ119)*(1-IF(58&gt;=AQ64,Seasonality!$D$94*AQ120,0))</f>
        <v/>
      </c>
      <c r="AR309" s="39">
        <f>AR308*(1-AR119)*(1-IF(58&gt;=AR64,Seasonality!$D$94*AR120,0))</f>
        <v/>
      </c>
      <c r="AS309" s="39">
        <f>AS308*(1-AS119)*(1-IF(58&gt;=AS64,Seasonality!$D$94*AS120,0))</f>
        <v/>
      </c>
      <c r="AT309" s="39">
        <f>AT308*(1-AT119)*(1-IF(58&gt;=AT64,Seasonality!$D$94*AT120,0))</f>
        <v/>
      </c>
      <c r="AU309" s="39">
        <f>AU308*(1-AU119)*(1-IF(58&gt;=AU64,Seasonality!$D$94*AU120,0))</f>
        <v/>
      </c>
      <c r="AV309" s="39">
        <f>AV308*(1-AV119)*(1-IF(58&gt;=AV64,Seasonality!$D$94*AV120,0))</f>
        <v/>
      </c>
      <c r="AW309" s="39">
        <f>AW308*(1-AW119)*(1-IF(58&gt;=AW64,Seasonality!$D$94*AW120,0))</f>
        <v/>
      </c>
      <c r="AX309" s="39">
        <f>AX308*(1-AX119)*(1-IF(58&gt;=AX64,Seasonality!$D$94*AX120,0))</f>
        <v/>
      </c>
      <c r="AY309" s="39">
        <f>AY308*(1-AY119)*(1-IF(58&gt;=AY64,Seasonality!$D$94*AY120,0))</f>
        <v/>
      </c>
      <c r="AZ309" s="39">
        <f>AZ308*(1-AZ119)*(1-IF(58&gt;=AZ64,Seasonality!$D$94*AZ120,0))</f>
        <v/>
      </c>
      <c r="BA309" s="39">
        <f>BA308*(1-BA119)*(1-IF(58&gt;=BA64,Seasonality!$D$94*BA120,0))</f>
        <v/>
      </c>
      <c r="BB309" s="39">
        <f>BB308*(1-BB119)*(1-IF(58&gt;=BB64,Seasonality!$D$94*BB120,0))</f>
        <v/>
      </c>
      <c r="BC309" s="39">
        <f>BC308*(1-BC119)*(1-IF(58&gt;=BC64,Seasonality!$D$94*BC120,0))</f>
        <v/>
      </c>
      <c r="BD309" s="39">
        <f>BD308*(1-BD119)*(1-IF(58&gt;=BD64,Seasonality!$D$94*BD120,0))</f>
        <v/>
      </c>
      <c r="BE309" s="39">
        <f>BE308*(1-BE119)*(1-IF(58&gt;=BE64,Seasonality!$D$94*BE120,0))</f>
        <v/>
      </c>
    </row>
    <row r="310">
      <c r="B310" s="7" t="inlineStr">
        <is>
          <t>Share of institutes still paying · month 60</t>
        </is>
      </c>
      <c r="C310" s="5" t="inlineStr">
        <is>
          <t>%</t>
        </is>
      </c>
      <c r="D310" s="39">
        <f>D309*(1-D119)*(1-IF(59&gt;=D64,Seasonality!$D$95*D120,0))</f>
        <v/>
      </c>
      <c r="E310" s="39">
        <f>E309*(1-E119)*(1-IF(59&gt;=E64,Seasonality!$D$95*E120,0))</f>
        <v/>
      </c>
      <c r="F310" s="39">
        <f>F309*(1-F119)*(1-IF(59&gt;=F64,Seasonality!$D$95*F120,0))</f>
        <v/>
      </c>
      <c r="G310" s="39">
        <f>G309*(1-G119)*(1-IF(59&gt;=G64,Seasonality!$D$95*G120,0))</f>
        <v/>
      </c>
      <c r="H310" s="39">
        <f>H309*(1-H119)*(1-IF(59&gt;=H64,Seasonality!$D$95*H120,0))</f>
        <v/>
      </c>
      <c r="I310" s="39">
        <f>I309*(1-I119)*(1-IF(59&gt;=I64,Seasonality!$D$95*I120,0))</f>
        <v/>
      </c>
      <c r="J310" s="39">
        <f>J309*(1-J119)*(1-IF(59&gt;=J64,Seasonality!$D$95*J120,0))</f>
        <v/>
      </c>
      <c r="K310" s="39">
        <f>K309*(1-K119)*(1-IF(59&gt;=K64,Seasonality!$D$95*K120,0))</f>
        <v/>
      </c>
      <c r="L310" s="39">
        <f>L309*(1-L119)*(1-IF(59&gt;=L64,Seasonality!$D$95*L120,0))</f>
        <v/>
      </c>
      <c r="M310" s="39">
        <f>M309*(1-M119)*(1-IF(59&gt;=M64,Seasonality!$D$95*M120,0))</f>
        <v/>
      </c>
      <c r="N310" s="39">
        <f>N309*(1-N119)*(1-IF(59&gt;=N64,Seasonality!$D$95*N120,0))</f>
        <v/>
      </c>
      <c r="O310" s="39">
        <f>O309*(1-O119)*(1-IF(59&gt;=O64,Seasonality!$D$95*O120,0))</f>
        <v/>
      </c>
      <c r="P310" s="39">
        <f>P309*(1-P119)*(1-IF(59&gt;=P64,Seasonality!$D$95*P120,0))</f>
        <v/>
      </c>
      <c r="Q310" s="39">
        <f>Q309*(1-Q119)*(1-IF(59&gt;=Q64,Seasonality!$D$95*Q120,0))</f>
        <v/>
      </c>
      <c r="R310" s="39">
        <f>R309*(1-R119)*(1-IF(59&gt;=R64,Seasonality!$D$95*R120,0))</f>
        <v/>
      </c>
      <c r="S310" s="39">
        <f>S309*(1-S119)*(1-IF(59&gt;=S64,Seasonality!$D$95*S120,0))</f>
        <v/>
      </c>
      <c r="T310" s="39">
        <f>T309*(1-T119)*(1-IF(59&gt;=T64,Seasonality!$D$95*T120,0))</f>
        <v/>
      </c>
      <c r="U310" s="39">
        <f>U309*(1-U119)*(1-IF(59&gt;=U64,Seasonality!$D$95*U120,0))</f>
        <v/>
      </c>
      <c r="V310" s="39">
        <f>V309*(1-V119)*(1-IF(59&gt;=V64,Seasonality!$D$95*V120,0))</f>
        <v/>
      </c>
      <c r="W310" s="39">
        <f>W309*(1-W119)*(1-IF(59&gt;=W64,Seasonality!$D$95*W120,0))</f>
        <v/>
      </c>
      <c r="X310" s="39">
        <f>X309*(1-X119)*(1-IF(59&gt;=X64,Seasonality!$D$95*X120,0))</f>
        <v/>
      </c>
      <c r="Y310" s="39">
        <f>Y309*(1-Y119)*(1-IF(59&gt;=Y64,Seasonality!$D$95*Y120,0))</f>
        <v/>
      </c>
      <c r="Z310" s="39">
        <f>Z309*(1-Z119)*(1-IF(59&gt;=Z64,Seasonality!$D$95*Z120,0))</f>
        <v/>
      </c>
      <c r="AA310" s="39">
        <f>AA309*(1-AA119)*(1-IF(59&gt;=AA64,Seasonality!$D$95*AA120,0))</f>
        <v/>
      </c>
      <c r="AB310" s="39">
        <f>AB309*(1-AB119)*(1-IF(59&gt;=AB64,Seasonality!$D$95*AB120,0))</f>
        <v/>
      </c>
      <c r="AC310" s="39">
        <f>AC309*(1-AC119)*(1-IF(59&gt;=AC64,Seasonality!$D$95*AC120,0))</f>
        <v/>
      </c>
      <c r="AD310" s="39">
        <f>AD309*(1-AD119)*(1-IF(59&gt;=AD64,Seasonality!$D$95*AD120,0))</f>
        <v/>
      </c>
      <c r="AE310" s="39">
        <f>AE309*(1-AE119)*(1-IF(59&gt;=AE64,Seasonality!$D$95*AE120,0))</f>
        <v/>
      </c>
      <c r="AF310" s="39">
        <f>AF309*(1-AF119)*(1-IF(59&gt;=AF64,Seasonality!$D$95*AF120,0))</f>
        <v/>
      </c>
      <c r="AG310" s="39">
        <f>AG309*(1-AG119)*(1-IF(59&gt;=AG64,Seasonality!$D$95*AG120,0))</f>
        <v/>
      </c>
      <c r="AH310" s="39">
        <f>AH309*(1-AH119)*(1-IF(59&gt;=AH64,Seasonality!$D$95*AH120,0))</f>
        <v/>
      </c>
      <c r="AI310" s="39">
        <f>AI309*(1-AI119)*(1-IF(59&gt;=AI64,Seasonality!$D$95*AI120,0))</f>
        <v/>
      </c>
      <c r="AJ310" s="39">
        <f>AJ309*(1-AJ119)*(1-IF(59&gt;=AJ64,Seasonality!$D$95*AJ120,0))</f>
        <v/>
      </c>
      <c r="AK310" s="39">
        <f>AK309*(1-AK119)*(1-IF(59&gt;=AK64,Seasonality!$D$95*AK120,0))</f>
        <v/>
      </c>
      <c r="AL310" s="39">
        <f>AL309*(1-AL119)*(1-IF(59&gt;=AL64,Seasonality!$D$95*AL120,0))</f>
        <v/>
      </c>
      <c r="AM310" s="39">
        <f>AM309*(1-AM119)*(1-IF(59&gt;=AM64,Seasonality!$D$95*AM120,0))</f>
        <v/>
      </c>
      <c r="AN310" s="39">
        <f>AN309*(1-AN119)*(1-IF(59&gt;=AN64,Seasonality!$D$95*AN120,0))</f>
        <v/>
      </c>
      <c r="AO310" s="39">
        <f>AO309*(1-AO119)*(1-IF(59&gt;=AO64,Seasonality!$D$95*AO120,0))</f>
        <v/>
      </c>
      <c r="AP310" s="39">
        <f>AP309*(1-AP119)*(1-IF(59&gt;=AP64,Seasonality!$D$95*AP120,0))</f>
        <v/>
      </c>
      <c r="AQ310" s="39">
        <f>AQ309*(1-AQ119)*(1-IF(59&gt;=AQ64,Seasonality!$D$95*AQ120,0))</f>
        <v/>
      </c>
      <c r="AR310" s="39">
        <f>AR309*(1-AR119)*(1-IF(59&gt;=AR64,Seasonality!$D$95*AR120,0))</f>
        <v/>
      </c>
      <c r="AS310" s="39">
        <f>AS309*(1-AS119)*(1-IF(59&gt;=AS64,Seasonality!$D$95*AS120,0))</f>
        <v/>
      </c>
      <c r="AT310" s="39">
        <f>AT309*(1-AT119)*(1-IF(59&gt;=AT64,Seasonality!$D$95*AT120,0))</f>
        <v/>
      </c>
      <c r="AU310" s="39">
        <f>AU309*(1-AU119)*(1-IF(59&gt;=AU64,Seasonality!$D$95*AU120,0))</f>
        <v/>
      </c>
      <c r="AV310" s="39">
        <f>AV309*(1-AV119)*(1-IF(59&gt;=AV64,Seasonality!$D$95*AV120,0))</f>
        <v/>
      </c>
      <c r="AW310" s="39">
        <f>AW309*(1-AW119)*(1-IF(59&gt;=AW64,Seasonality!$D$95*AW120,0))</f>
        <v/>
      </c>
      <c r="AX310" s="39">
        <f>AX309*(1-AX119)*(1-IF(59&gt;=AX64,Seasonality!$D$95*AX120,0))</f>
        <v/>
      </c>
      <c r="AY310" s="39">
        <f>AY309*(1-AY119)*(1-IF(59&gt;=AY64,Seasonality!$D$95*AY120,0))</f>
        <v/>
      </c>
      <c r="AZ310" s="39">
        <f>AZ309*(1-AZ119)*(1-IF(59&gt;=AZ64,Seasonality!$D$95*AZ120,0))</f>
        <v/>
      </c>
      <c r="BA310" s="39">
        <f>BA309*(1-BA119)*(1-IF(59&gt;=BA64,Seasonality!$D$95*BA120,0))</f>
        <v/>
      </c>
      <c r="BB310" s="39">
        <f>BB309*(1-BB119)*(1-IF(59&gt;=BB64,Seasonality!$D$95*BB120,0))</f>
        <v/>
      </c>
      <c r="BC310" s="39">
        <f>BC309*(1-BC119)*(1-IF(59&gt;=BC64,Seasonality!$D$95*BC120,0))</f>
        <v/>
      </c>
      <c r="BD310" s="39">
        <f>BD309*(1-BD119)*(1-IF(59&gt;=BD64,Seasonality!$D$95*BD120,0))</f>
        <v/>
      </c>
      <c r="BE310" s="39">
        <f>BE309*(1-BE119)*(1-IF(59&gt;=BE64,Seasonality!$D$95*BE120,0))</f>
        <v/>
      </c>
    </row>
    <row r="311">
      <c r="B311" s="7" t="inlineStr">
        <is>
          <t>Cumulative discounted contribution · month 1</t>
        </is>
      </c>
      <c r="C311" s="5" t="inlineStr">
        <is>
          <t>₹</t>
        </is>
      </c>
      <c r="D311" s="50">
        <f>D251*D191*Seasonality!$E$37</f>
        <v/>
      </c>
      <c r="E311" s="50">
        <f>E251*E191*Seasonality!$E$37</f>
        <v/>
      </c>
      <c r="F311" s="50">
        <f>F251*F191*Seasonality!$E$37</f>
        <v/>
      </c>
      <c r="G311" s="50">
        <f>G251*G191*Seasonality!$E$37</f>
        <v/>
      </c>
      <c r="H311" s="50">
        <f>H251*H191*Seasonality!$E$37</f>
        <v/>
      </c>
      <c r="I311" s="50">
        <f>I251*I191*Seasonality!$E$37</f>
        <v/>
      </c>
      <c r="J311" s="50">
        <f>J251*J191*Seasonality!$E$37</f>
        <v/>
      </c>
      <c r="K311" s="50">
        <f>K251*K191*Seasonality!$E$37</f>
        <v/>
      </c>
      <c r="L311" s="50">
        <f>L251*L191*Seasonality!$E$37</f>
        <v/>
      </c>
      <c r="M311" s="50">
        <f>M251*M191*Seasonality!$E$37</f>
        <v/>
      </c>
      <c r="N311" s="50">
        <f>N251*N191*Seasonality!$E$37</f>
        <v/>
      </c>
      <c r="O311" s="50">
        <f>O251*O191*Seasonality!$E$37</f>
        <v/>
      </c>
      <c r="P311" s="50">
        <f>P251*P191*Seasonality!$E$37</f>
        <v/>
      </c>
      <c r="Q311" s="50">
        <f>Q251*Q191*Seasonality!$E$37</f>
        <v/>
      </c>
      <c r="R311" s="50">
        <f>R251*R191*Seasonality!$E$37</f>
        <v/>
      </c>
      <c r="S311" s="50">
        <f>S251*S191*Seasonality!$E$37</f>
        <v/>
      </c>
      <c r="T311" s="50">
        <f>T251*T191*Seasonality!$E$37</f>
        <v/>
      </c>
      <c r="U311" s="50">
        <f>U251*U191*Seasonality!$E$37</f>
        <v/>
      </c>
      <c r="V311" s="50">
        <f>V251*V191*Seasonality!$E$37</f>
        <v/>
      </c>
      <c r="W311" s="50">
        <f>W251*W191*Seasonality!$E$37</f>
        <v/>
      </c>
      <c r="X311" s="50">
        <f>X251*X191*Seasonality!$E$37</f>
        <v/>
      </c>
      <c r="Y311" s="50">
        <f>Y251*Y191*Seasonality!$E$37</f>
        <v/>
      </c>
      <c r="Z311" s="50">
        <f>Z251*Z191*Seasonality!$E$37</f>
        <v/>
      </c>
      <c r="AA311" s="50">
        <f>AA251*AA191*Seasonality!$E$37</f>
        <v/>
      </c>
      <c r="AB311" s="50">
        <f>AB251*AB191*Seasonality!$E$37</f>
        <v/>
      </c>
      <c r="AC311" s="50">
        <f>AC251*AC191*Seasonality!$E$37</f>
        <v/>
      </c>
      <c r="AD311" s="50">
        <f>AD251*AD191*Seasonality!$E$37</f>
        <v/>
      </c>
      <c r="AE311" s="50">
        <f>AE251*AE191*Seasonality!$E$37</f>
        <v/>
      </c>
      <c r="AF311" s="50">
        <f>AF251*AF191*Seasonality!$E$37</f>
        <v/>
      </c>
      <c r="AG311" s="50">
        <f>AG251*AG191*Seasonality!$E$37</f>
        <v/>
      </c>
      <c r="AH311" s="50">
        <f>AH251*AH191*Seasonality!$E$37</f>
        <v/>
      </c>
      <c r="AI311" s="50">
        <f>AI251*AI191*Seasonality!$E$37</f>
        <v/>
      </c>
      <c r="AJ311" s="50">
        <f>AJ251*AJ191*Seasonality!$E$37</f>
        <v/>
      </c>
      <c r="AK311" s="50">
        <f>AK251*AK191*Seasonality!$E$37</f>
        <v/>
      </c>
      <c r="AL311" s="50">
        <f>AL251*AL191*Seasonality!$E$37</f>
        <v/>
      </c>
      <c r="AM311" s="50">
        <f>AM251*AM191*Seasonality!$E$37</f>
        <v/>
      </c>
      <c r="AN311" s="50">
        <f>AN251*AN191*Seasonality!$E$37</f>
        <v/>
      </c>
      <c r="AO311" s="50">
        <f>AO251*AO191*Seasonality!$E$37</f>
        <v/>
      </c>
      <c r="AP311" s="50">
        <f>AP251*AP191*Seasonality!$E$37</f>
        <v/>
      </c>
      <c r="AQ311" s="50">
        <f>AQ251*AQ191*Seasonality!$E$37</f>
        <v/>
      </c>
      <c r="AR311" s="50">
        <f>AR251*AR191*Seasonality!$E$37</f>
        <v/>
      </c>
      <c r="AS311" s="50">
        <f>AS251*AS191*Seasonality!$E$37</f>
        <v/>
      </c>
      <c r="AT311" s="50">
        <f>AT251*AT191*Seasonality!$E$37</f>
        <v/>
      </c>
      <c r="AU311" s="50">
        <f>AU251*AU191*Seasonality!$E$37</f>
        <v/>
      </c>
      <c r="AV311" s="50">
        <f>AV251*AV191*Seasonality!$E$37</f>
        <v/>
      </c>
      <c r="AW311" s="50">
        <f>AW251*AW191*Seasonality!$E$37</f>
        <v/>
      </c>
      <c r="AX311" s="50">
        <f>AX251*AX191*Seasonality!$E$37</f>
        <v/>
      </c>
      <c r="AY311" s="50">
        <f>AY251*AY191*Seasonality!$E$37</f>
        <v/>
      </c>
      <c r="AZ311" s="50">
        <f>AZ251*AZ191*Seasonality!$E$37</f>
        <v/>
      </c>
      <c r="BA311" s="50">
        <f>BA251*BA191*Seasonality!$E$37</f>
        <v/>
      </c>
      <c r="BB311" s="50">
        <f>BB251*BB191*Seasonality!$E$37</f>
        <v/>
      </c>
      <c r="BC311" s="50">
        <f>BC251*BC191*Seasonality!$E$37</f>
        <v/>
      </c>
      <c r="BD311" s="50">
        <f>BD251*BD191*Seasonality!$E$37</f>
        <v/>
      </c>
      <c r="BE311" s="50">
        <f>BE251*BE191*Seasonality!$E$37</f>
        <v/>
      </c>
    </row>
    <row r="312">
      <c r="B312" s="7" t="inlineStr">
        <is>
          <t>Cumulative discounted contribution · month 2</t>
        </is>
      </c>
      <c r="C312" s="5" t="inlineStr">
        <is>
          <t>₹</t>
        </is>
      </c>
      <c r="D312" s="50">
        <f>D311+D252*D192*Seasonality!$E$38</f>
        <v/>
      </c>
      <c r="E312" s="50">
        <f>E311+E252*E192*Seasonality!$E$38</f>
        <v/>
      </c>
      <c r="F312" s="50">
        <f>F311+F252*F192*Seasonality!$E$38</f>
        <v/>
      </c>
      <c r="G312" s="50">
        <f>G311+G252*G192*Seasonality!$E$38</f>
        <v/>
      </c>
      <c r="H312" s="50">
        <f>H311+H252*H192*Seasonality!$E$38</f>
        <v/>
      </c>
      <c r="I312" s="50">
        <f>I311+I252*I192*Seasonality!$E$38</f>
        <v/>
      </c>
      <c r="J312" s="50">
        <f>J311+J252*J192*Seasonality!$E$38</f>
        <v/>
      </c>
      <c r="K312" s="50">
        <f>K311+K252*K192*Seasonality!$E$38</f>
        <v/>
      </c>
      <c r="L312" s="50">
        <f>L311+L252*L192*Seasonality!$E$38</f>
        <v/>
      </c>
      <c r="M312" s="50">
        <f>M311+M252*M192*Seasonality!$E$38</f>
        <v/>
      </c>
      <c r="N312" s="50">
        <f>N311+N252*N192*Seasonality!$E$38</f>
        <v/>
      </c>
      <c r="O312" s="50">
        <f>O311+O252*O192*Seasonality!$E$38</f>
        <v/>
      </c>
      <c r="P312" s="50">
        <f>P311+P252*P192*Seasonality!$E$38</f>
        <v/>
      </c>
      <c r="Q312" s="50">
        <f>Q311+Q252*Q192*Seasonality!$E$38</f>
        <v/>
      </c>
      <c r="R312" s="50">
        <f>R311+R252*R192*Seasonality!$E$38</f>
        <v/>
      </c>
      <c r="S312" s="50">
        <f>S311+S252*S192*Seasonality!$E$38</f>
        <v/>
      </c>
      <c r="T312" s="50">
        <f>T311+T252*T192*Seasonality!$E$38</f>
        <v/>
      </c>
      <c r="U312" s="50">
        <f>U311+U252*U192*Seasonality!$E$38</f>
        <v/>
      </c>
      <c r="V312" s="50">
        <f>V311+V252*V192*Seasonality!$E$38</f>
        <v/>
      </c>
      <c r="W312" s="50">
        <f>W311+W252*W192*Seasonality!$E$38</f>
        <v/>
      </c>
      <c r="X312" s="50">
        <f>X311+X252*X192*Seasonality!$E$38</f>
        <v/>
      </c>
      <c r="Y312" s="50">
        <f>Y311+Y252*Y192*Seasonality!$E$38</f>
        <v/>
      </c>
      <c r="Z312" s="50">
        <f>Z311+Z252*Z192*Seasonality!$E$38</f>
        <v/>
      </c>
      <c r="AA312" s="50">
        <f>AA311+AA252*AA192*Seasonality!$E$38</f>
        <v/>
      </c>
      <c r="AB312" s="50">
        <f>AB311+AB252*AB192*Seasonality!$E$38</f>
        <v/>
      </c>
      <c r="AC312" s="50">
        <f>AC311+AC252*AC192*Seasonality!$E$38</f>
        <v/>
      </c>
      <c r="AD312" s="50">
        <f>AD311+AD252*AD192*Seasonality!$E$38</f>
        <v/>
      </c>
      <c r="AE312" s="50">
        <f>AE311+AE252*AE192*Seasonality!$E$38</f>
        <v/>
      </c>
      <c r="AF312" s="50">
        <f>AF311+AF252*AF192*Seasonality!$E$38</f>
        <v/>
      </c>
      <c r="AG312" s="50">
        <f>AG311+AG252*AG192*Seasonality!$E$38</f>
        <v/>
      </c>
      <c r="AH312" s="50">
        <f>AH311+AH252*AH192*Seasonality!$E$38</f>
        <v/>
      </c>
      <c r="AI312" s="50">
        <f>AI311+AI252*AI192*Seasonality!$E$38</f>
        <v/>
      </c>
      <c r="AJ312" s="50">
        <f>AJ311+AJ252*AJ192*Seasonality!$E$38</f>
        <v/>
      </c>
      <c r="AK312" s="50">
        <f>AK311+AK252*AK192*Seasonality!$E$38</f>
        <v/>
      </c>
      <c r="AL312" s="50">
        <f>AL311+AL252*AL192*Seasonality!$E$38</f>
        <v/>
      </c>
      <c r="AM312" s="50">
        <f>AM311+AM252*AM192*Seasonality!$E$38</f>
        <v/>
      </c>
      <c r="AN312" s="50">
        <f>AN311+AN252*AN192*Seasonality!$E$38</f>
        <v/>
      </c>
      <c r="AO312" s="50">
        <f>AO311+AO252*AO192*Seasonality!$E$38</f>
        <v/>
      </c>
      <c r="AP312" s="50">
        <f>AP311+AP252*AP192*Seasonality!$E$38</f>
        <v/>
      </c>
      <c r="AQ312" s="50">
        <f>AQ311+AQ252*AQ192*Seasonality!$E$38</f>
        <v/>
      </c>
      <c r="AR312" s="50">
        <f>AR311+AR252*AR192*Seasonality!$E$38</f>
        <v/>
      </c>
      <c r="AS312" s="50">
        <f>AS311+AS252*AS192*Seasonality!$E$38</f>
        <v/>
      </c>
      <c r="AT312" s="50">
        <f>AT311+AT252*AT192*Seasonality!$E$38</f>
        <v/>
      </c>
      <c r="AU312" s="50">
        <f>AU311+AU252*AU192*Seasonality!$E$38</f>
        <v/>
      </c>
      <c r="AV312" s="50">
        <f>AV311+AV252*AV192*Seasonality!$E$38</f>
        <v/>
      </c>
      <c r="AW312" s="50">
        <f>AW311+AW252*AW192*Seasonality!$E$38</f>
        <v/>
      </c>
      <c r="AX312" s="50">
        <f>AX311+AX252*AX192*Seasonality!$E$38</f>
        <v/>
      </c>
      <c r="AY312" s="50">
        <f>AY311+AY252*AY192*Seasonality!$E$38</f>
        <v/>
      </c>
      <c r="AZ312" s="50">
        <f>AZ311+AZ252*AZ192*Seasonality!$E$38</f>
        <v/>
      </c>
      <c r="BA312" s="50">
        <f>BA311+BA252*BA192*Seasonality!$E$38</f>
        <v/>
      </c>
      <c r="BB312" s="50">
        <f>BB311+BB252*BB192*Seasonality!$E$38</f>
        <v/>
      </c>
      <c r="BC312" s="50">
        <f>BC311+BC252*BC192*Seasonality!$E$38</f>
        <v/>
      </c>
      <c r="BD312" s="50">
        <f>BD311+BD252*BD192*Seasonality!$E$38</f>
        <v/>
      </c>
      <c r="BE312" s="50">
        <f>BE311+BE252*BE192*Seasonality!$E$38</f>
        <v/>
      </c>
    </row>
    <row r="313">
      <c r="B313" s="7" t="inlineStr">
        <is>
          <t>Cumulative discounted contribution · month 3</t>
        </is>
      </c>
      <c r="C313" s="5" t="inlineStr">
        <is>
          <t>₹</t>
        </is>
      </c>
      <c r="D313" s="50">
        <f>D312+D253*D193*Seasonality!$E$39</f>
        <v/>
      </c>
      <c r="E313" s="50">
        <f>E312+E253*E193*Seasonality!$E$39</f>
        <v/>
      </c>
      <c r="F313" s="50">
        <f>F312+F253*F193*Seasonality!$E$39</f>
        <v/>
      </c>
      <c r="G313" s="50">
        <f>G312+G253*G193*Seasonality!$E$39</f>
        <v/>
      </c>
      <c r="H313" s="50">
        <f>H312+H253*H193*Seasonality!$E$39</f>
        <v/>
      </c>
      <c r="I313" s="50">
        <f>I312+I253*I193*Seasonality!$E$39</f>
        <v/>
      </c>
      <c r="J313" s="50">
        <f>J312+J253*J193*Seasonality!$E$39</f>
        <v/>
      </c>
      <c r="K313" s="50">
        <f>K312+K253*K193*Seasonality!$E$39</f>
        <v/>
      </c>
      <c r="L313" s="50">
        <f>L312+L253*L193*Seasonality!$E$39</f>
        <v/>
      </c>
      <c r="M313" s="50">
        <f>M312+M253*M193*Seasonality!$E$39</f>
        <v/>
      </c>
      <c r="N313" s="50">
        <f>N312+N253*N193*Seasonality!$E$39</f>
        <v/>
      </c>
      <c r="O313" s="50">
        <f>O312+O253*O193*Seasonality!$E$39</f>
        <v/>
      </c>
      <c r="P313" s="50">
        <f>P312+P253*P193*Seasonality!$E$39</f>
        <v/>
      </c>
      <c r="Q313" s="50">
        <f>Q312+Q253*Q193*Seasonality!$E$39</f>
        <v/>
      </c>
      <c r="R313" s="50">
        <f>R312+R253*R193*Seasonality!$E$39</f>
        <v/>
      </c>
      <c r="S313" s="50">
        <f>S312+S253*S193*Seasonality!$E$39</f>
        <v/>
      </c>
      <c r="T313" s="50">
        <f>T312+T253*T193*Seasonality!$E$39</f>
        <v/>
      </c>
      <c r="U313" s="50">
        <f>U312+U253*U193*Seasonality!$E$39</f>
        <v/>
      </c>
      <c r="V313" s="50">
        <f>V312+V253*V193*Seasonality!$E$39</f>
        <v/>
      </c>
      <c r="W313" s="50">
        <f>W312+W253*W193*Seasonality!$E$39</f>
        <v/>
      </c>
      <c r="X313" s="50">
        <f>X312+X253*X193*Seasonality!$E$39</f>
        <v/>
      </c>
      <c r="Y313" s="50">
        <f>Y312+Y253*Y193*Seasonality!$E$39</f>
        <v/>
      </c>
      <c r="Z313" s="50">
        <f>Z312+Z253*Z193*Seasonality!$E$39</f>
        <v/>
      </c>
      <c r="AA313" s="50">
        <f>AA312+AA253*AA193*Seasonality!$E$39</f>
        <v/>
      </c>
      <c r="AB313" s="50">
        <f>AB312+AB253*AB193*Seasonality!$E$39</f>
        <v/>
      </c>
      <c r="AC313" s="50">
        <f>AC312+AC253*AC193*Seasonality!$E$39</f>
        <v/>
      </c>
      <c r="AD313" s="50">
        <f>AD312+AD253*AD193*Seasonality!$E$39</f>
        <v/>
      </c>
      <c r="AE313" s="50">
        <f>AE312+AE253*AE193*Seasonality!$E$39</f>
        <v/>
      </c>
      <c r="AF313" s="50">
        <f>AF312+AF253*AF193*Seasonality!$E$39</f>
        <v/>
      </c>
      <c r="AG313" s="50">
        <f>AG312+AG253*AG193*Seasonality!$E$39</f>
        <v/>
      </c>
      <c r="AH313" s="50">
        <f>AH312+AH253*AH193*Seasonality!$E$39</f>
        <v/>
      </c>
      <c r="AI313" s="50">
        <f>AI312+AI253*AI193*Seasonality!$E$39</f>
        <v/>
      </c>
      <c r="AJ313" s="50">
        <f>AJ312+AJ253*AJ193*Seasonality!$E$39</f>
        <v/>
      </c>
      <c r="AK313" s="50">
        <f>AK312+AK253*AK193*Seasonality!$E$39</f>
        <v/>
      </c>
      <c r="AL313" s="50">
        <f>AL312+AL253*AL193*Seasonality!$E$39</f>
        <v/>
      </c>
      <c r="AM313" s="50">
        <f>AM312+AM253*AM193*Seasonality!$E$39</f>
        <v/>
      </c>
      <c r="AN313" s="50">
        <f>AN312+AN253*AN193*Seasonality!$E$39</f>
        <v/>
      </c>
      <c r="AO313" s="50">
        <f>AO312+AO253*AO193*Seasonality!$E$39</f>
        <v/>
      </c>
      <c r="AP313" s="50">
        <f>AP312+AP253*AP193*Seasonality!$E$39</f>
        <v/>
      </c>
      <c r="AQ313" s="50">
        <f>AQ312+AQ253*AQ193*Seasonality!$E$39</f>
        <v/>
      </c>
      <c r="AR313" s="50">
        <f>AR312+AR253*AR193*Seasonality!$E$39</f>
        <v/>
      </c>
      <c r="AS313" s="50">
        <f>AS312+AS253*AS193*Seasonality!$E$39</f>
        <v/>
      </c>
      <c r="AT313" s="50">
        <f>AT312+AT253*AT193*Seasonality!$E$39</f>
        <v/>
      </c>
      <c r="AU313" s="50">
        <f>AU312+AU253*AU193*Seasonality!$E$39</f>
        <v/>
      </c>
      <c r="AV313" s="50">
        <f>AV312+AV253*AV193*Seasonality!$E$39</f>
        <v/>
      </c>
      <c r="AW313" s="50">
        <f>AW312+AW253*AW193*Seasonality!$E$39</f>
        <v/>
      </c>
      <c r="AX313" s="50">
        <f>AX312+AX253*AX193*Seasonality!$E$39</f>
        <v/>
      </c>
      <c r="AY313" s="50">
        <f>AY312+AY253*AY193*Seasonality!$E$39</f>
        <v/>
      </c>
      <c r="AZ313" s="50">
        <f>AZ312+AZ253*AZ193*Seasonality!$E$39</f>
        <v/>
      </c>
      <c r="BA313" s="50">
        <f>BA312+BA253*BA193*Seasonality!$E$39</f>
        <v/>
      </c>
      <c r="BB313" s="50">
        <f>BB312+BB253*BB193*Seasonality!$E$39</f>
        <v/>
      </c>
      <c r="BC313" s="50">
        <f>BC312+BC253*BC193*Seasonality!$E$39</f>
        <v/>
      </c>
      <c r="BD313" s="50">
        <f>BD312+BD253*BD193*Seasonality!$E$39</f>
        <v/>
      </c>
      <c r="BE313" s="50">
        <f>BE312+BE253*BE193*Seasonality!$E$39</f>
        <v/>
      </c>
    </row>
    <row r="314">
      <c r="B314" s="7" t="inlineStr">
        <is>
          <t>Cumulative discounted contribution · month 4</t>
        </is>
      </c>
      <c r="C314" s="5" t="inlineStr">
        <is>
          <t>₹</t>
        </is>
      </c>
      <c r="D314" s="50">
        <f>D313+D254*D194*Seasonality!$E$40</f>
        <v/>
      </c>
      <c r="E314" s="50">
        <f>E313+E254*E194*Seasonality!$E$40</f>
        <v/>
      </c>
      <c r="F314" s="50">
        <f>F313+F254*F194*Seasonality!$E$40</f>
        <v/>
      </c>
      <c r="G314" s="50">
        <f>G313+G254*G194*Seasonality!$E$40</f>
        <v/>
      </c>
      <c r="H314" s="50">
        <f>H313+H254*H194*Seasonality!$E$40</f>
        <v/>
      </c>
      <c r="I314" s="50">
        <f>I313+I254*I194*Seasonality!$E$40</f>
        <v/>
      </c>
      <c r="J314" s="50">
        <f>J313+J254*J194*Seasonality!$E$40</f>
        <v/>
      </c>
      <c r="K314" s="50">
        <f>K313+K254*K194*Seasonality!$E$40</f>
        <v/>
      </c>
      <c r="L314" s="50">
        <f>L313+L254*L194*Seasonality!$E$40</f>
        <v/>
      </c>
      <c r="M314" s="50">
        <f>M313+M254*M194*Seasonality!$E$40</f>
        <v/>
      </c>
      <c r="N314" s="50">
        <f>N313+N254*N194*Seasonality!$E$40</f>
        <v/>
      </c>
      <c r="O314" s="50">
        <f>O313+O254*O194*Seasonality!$E$40</f>
        <v/>
      </c>
      <c r="P314" s="50">
        <f>P313+P254*P194*Seasonality!$E$40</f>
        <v/>
      </c>
      <c r="Q314" s="50">
        <f>Q313+Q254*Q194*Seasonality!$E$40</f>
        <v/>
      </c>
      <c r="R314" s="50">
        <f>R313+R254*R194*Seasonality!$E$40</f>
        <v/>
      </c>
      <c r="S314" s="50">
        <f>S313+S254*S194*Seasonality!$E$40</f>
        <v/>
      </c>
      <c r="T314" s="50">
        <f>T313+T254*T194*Seasonality!$E$40</f>
        <v/>
      </c>
      <c r="U314" s="50">
        <f>U313+U254*U194*Seasonality!$E$40</f>
        <v/>
      </c>
      <c r="V314" s="50">
        <f>V313+V254*V194*Seasonality!$E$40</f>
        <v/>
      </c>
      <c r="W314" s="50">
        <f>W313+W254*W194*Seasonality!$E$40</f>
        <v/>
      </c>
      <c r="X314" s="50">
        <f>X313+X254*X194*Seasonality!$E$40</f>
        <v/>
      </c>
      <c r="Y314" s="50">
        <f>Y313+Y254*Y194*Seasonality!$E$40</f>
        <v/>
      </c>
      <c r="Z314" s="50">
        <f>Z313+Z254*Z194*Seasonality!$E$40</f>
        <v/>
      </c>
      <c r="AA314" s="50">
        <f>AA313+AA254*AA194*Seasonality!$E$40</f>
        <v/>
      </c>
      <c r="AB314" s="50">
        <f>AB313+AB254*AB194*Seasonality!$E$40</f>
        <v/>
      </c>
      <c r="AC314" s="50">
        <f>AC313+AC254*AC194*Seasonality!$E$40</f>
        <v/>
      </c>
      <c r="AD314" s="50">
        <f>AD313+AD254*AD194*Seasonality!$E$40</f>
        <v/>
      </c>
      <c r="AE314" s="50">
        <f>AE313+AE254*AE194*Seasonality!$E$40</f>
        <v/>
      </c>
      <c r="AF314" s="50">
        <f>AF313+AF254*AF194*Seasonality!$E$40</f>
        <v/>
      </c>
      <c r="AG314" s="50">
        <f>AG313+AG254*AG194*Seasonality!$E$40</f>
        <v/>
      </c>
      <c r="AH314" s="50">
        <f>AH313+AH254*AH194*Seasonality!$E$40</f>
        <v/>
      </c>
      <c r="AI314" s="50">
        <f>AI313+AI254*AI194*Seasonality!$E$40</f>
        <v/>
      </c>
      <c r="AJ314" s="50">
        <f>AJ313+AJ254*AJ194*Seasonality!$E$40</f>
        <v/>
      </c>
      <c r="AK314" s="50">
        <f>AK313+AK254*AK194*Seasonality!$E$40</f>
        <v/>
      </c>
      <c r="AL314" s="50">
        <f>AL313+AL254*AL194*Seasonality!$E$40</f>
        <v/>
      </c>
      <c r="AM314" s="50">
        <f>AM313+AM254*AM194*Seasonality!$E$40</f>
        <v/>
      </c>
      <c r="AN314" s="50">
        <f>AN313+AN254*AN194*Seasonality!$E$40</f>
        <v/>
      </c>
      <c r="AO314" s="50">
        <f>AO313+AO254*AO194*Seasonality!$E$40</f>
        <v/>
      </c>
      <c r="AP314" s="50">
        <f>AP313+AP254*AP194*Seasonality!$E$40</f>
        <v/>
      </c>
      <c r="AQ314" s="50">
        <f>AQ313+AQ254*AQ194*Seasonality!$E$40</f>
        <v/>
      </c>
      <c r="AR314" s="50">
        <f>AR313+AR254*AR194*Seasonality!$E$40</f>
        <v/>
      </c>
      <c r="AS314" s="50">
        <f>AS313+AS254*AS194*Seasonality!$E$40</f>
        <v/>
      </c>
      <c r="AT314" s="50">
        <f>AT313+AT254*AT194*Seasonality!$E$40</f>
        <v/>
      </c>
      <c r="AU314" s="50">
        <f>AU313+AU254*AU194*Seasonality!$E$40</f>
        <v/>
      </c>
      <c r="AV314" s="50">
        <f>AV313+AV254*AV194*Seasonality!$E$40</f>
        <v/>
      </c>
      <c r="AW314" s="50">
        <f>AW313+AW254*AW194*Seasonality!$E$40</f>
        <v/>
      </c>
      <c r="AX314" s="50">
        <f>AX313+AX254*AX194*Seasonality!$E$40</f>
        <v/>
      </c>
      <c r="AY314" s="50">
        <f>AY313+AY254*AY194*Seasonality!$E$40</f>
        <v/>
      </c>
      <c r="AZ314" s="50">
        <f>AZ313+AZ254*AZ194*Seasonality!$E$40</f>
        <v/>
      </c>
      <c r="BA314" s="50">
        <f>BA313+BA254*BA194*Seasonality!$E$40</f>
        <v/>
      </c>
      <c r="BB314" s="50">
        <f>BB313+BB254*BB194*Seasonality!$E$40</f>
        <v/>
      </c>
      <c r="BC314" s="50">
        <f>BC313+BC254*BC194*Seasonality!$E$40</f>
        <v/>
      </c>
      <c r="BD314" s="50">
        <f>BD313+BD254*BD194*Seasonality!$E$40</f>
        <v/>
      </c>
      <c r="BE314" s="50">
        <f>BE313+BE254*BE194*Seasonality!$E$40</f>
        <v/>
      </c>
    </row>
    <row r="315">
      <c r="B315" s="7" t="inlineStr">
        <is>
          <t>Cumulative discounted contribution · month 5</t>
        </is>
      </c>
      <c r="C315" s="5" t="inlineStr">
        <is>
          <t>₹</t>
        </is>
      </c>
      <c r="D315" s="50">
        <f>D314+D255*D195*Seasonality!$E$41</f>
        <v/>
      </c>
      <c r="E315" s="50">
        <f>E314+E255*E195*Seasonality!$E$41</f>
        <v/>
      </c>
      <c r="F315" s="50">
        <f>F314+F255*F195*Seasonality!$E$41</f>
        <v/>
      </c>
      <c r="G315" s="50">
        <f>G314+G255*G195*Seasonality!$E$41</f>
        <v/>
      </c>
      <c r="H315" s="50">
        <f>H314+H255*H195*Seasonality!$E$41</f>
        <v/>
      </c>
      <c r="I315" s="50">
        <f>I314+I255*I195*Seasonality!$E$41</f>
        <v/>
      </c>
      <c r="J315" s="50">
        <f>J314+J255*J195*Seasonality!$E$41</f>
        <v/>
      </c>
      <c r="K315" s="50">
        <f>K314+K255*K195*Seasonality!$E$41</f>
        <v/>
      </c>
      <c r="L315" s="50">
        <f>L314+L255*L195*Seasonality!$E$41</f>
        <v/>
      </c>
      <c r="M315" s="50">
        <f>M314+M255*M195*Seasonality!$E$41</f>
        <v/>
      </c>
      <c r="N315" s="50">
        <f>N314+N255*N195*Seasonality!$E$41</f>
        <v/>
      </c>
      <c r="O315" s="50">
        <f>O314+O255*O195*Seasonality!$E$41</f>
        <v/>
      </c>
      <c r="P315" s="50">
        <f>P314+P255*P195*Seasonality!$E$41</f>
        <v/>
      </c>
      <c r="Q315" s="50">
        <f>Q314+Q255*Q195*Seasonality!$E$41</f>
        <v/>
      </c>
      <c r="R315" s="50">
        <f>R314+R255*R195*Seasonality!$E$41</f>
        <v/>
      </c>
      <c r="S315" s="50">
        <f>S314+S255*S195*Seasonality!$E$41</f>
        <v/>
      </c>
      <c r="T315" s="50">
        <f>T314+T255*T195*Seasonality!$E$41</f>
        <v/>
      </c>
      <c r="U315" s="50">
        <f>U314+U255*U195*Seasonality!$E$41</f>
        <v/>
      </c>
      <c r="V315" s="50">
        <f>V314+V255*V195*Seasonality!$E$41</f>
        <v/>
      </c>
      <c r="W315" s="50">
        <f>W314+W255*W195*Seasonality!$E$41</f>
        <v/>
      </c>
      <c r="X315" s="50">
        <f>X314+X255*X195*Seasonality!$E$41</f>
        <v/>
      </c>
      <c r="Y315" s="50">
        <f>Y314+Y255*Y195*Seasonality!$E$41</f>
        <v/>
      </c>
      <c r="Z315" s="50">
        <f>Z314+Z255*Z195*Seasonality!$E$41</f>
        <v/>
      </c>
      <c r="AA315" s="50">
        <f>AA314+AA255*AA195*Seasonality!$E$41</f>
        <v/>
      </c>
      <c r="AB315" s="50">
        <f>AB314+AB255*AB195*Seasonality!$E$41</f>
        <v/>
      </c>
      <c r="AC315" s="50">
        <f>AC314+AC255*AC195*Seasonality!$E$41</f>
        <v/>
      </c>
      <c r="AD315" s="50">
        <f>AD314+AD255*AD195*Seasonality!$E$41</f>
        <v/>
      </c>
      <c r="AE315" s="50">
        <f>AE314+AE255*AE195*Seasonality!$E$41</f>
        <v/>
      </c>
      <c r="AF315" s="50">
        <f>AF314+AF255*AF195*Seasonality!$E$41</f>
        <v/>
      </c>
      <c r="AG315" s="50">
        <f>AG314+AG255*AG195*Seasonality!$E$41</f>
        <v/>
      </c>
      <c r="AH315" s="50">
        <f>AH314+AH255*AH195*Seasonality!$E$41</f>
        <v/>
      </c>
      <c r="AI315" s="50">
        <f>AI314+AI255*AI195*Seasonality!$E$41</f>
        <v/>
      </c>
      <c r="AJ315" s="50">
        <f>AJ314+AJ255*AJ195*Seasonality!$E$41</f>
        <v/>
      </c>
      <c r="AK315" s="50">
        <f>AK314+AK255*AK195*Seasonality!$E$41</f>
        <v/>
      </c>
      <c r="AL315" s="50">
        <f>AL314+AL255*AL195*Seasonality!$E$41</f>
        <v/>
      </c>
      <c r="AM315" s="50">
        <f>AM314+AM255*AM195*Seasonality!$E$41</f>
        <v/>
      </c>
      <c r="AN315" s="50">
        <f>AN314+AN255*AN195*Seasonality!$E$41</f>
        <v/>
      </c>
      <c r="AO315" s="50">
        <f>AO314+AO255*AO195*Seasonality!$E$41</f>
        <v/>
      </c>
      <c r="AP315" s="50">
        <f>AP314+AP255*AP195*Seasonality!$E$41</f>
        <v/>
      </c>
      <c r="AQ315" s="50">
        <f>AQ314+AQ255*AQ195*Seasonality!$E$41</f>
        <v/>
      </c>
      <c r="AR315" s="50">
        <f>AR314+AR255*AR195*Seasonality!$E$41</f>
        <v/>
      </c>
      <c r="AS315" s="50">
        <f>AS314+AS255*AS195*Seasonality!$E$41</f>
        <v/>
      </c>
      <c r="AT315" s="50">
        <f>AT314+AT255*AT195*Seasonality!$E$41</f>
        <v/>
      </c>
      <c r="AU315" s="50">
        <f>AU314+AU255*AU195*Seasonality!$E$41</f>
        <v/>
      </c>
      <c r="AV315" s="50">
        <f>AV314+AV255*AV195*Seasonality!$E$41</f>
        <v/>
      </c>
      <c r="AW315" s="50">
        <f>AW314+AW255*AW195*Seasonality!$E$41</f>
        <v/>
      </c>
      <c r="AX315" s="50">
        <f>AX314+AX255*AX195*Seasonality!$E$41</f>
        <v/>
      </c>
      <c r="AY315" s="50">
        <f>AY314+AY255*AY195*Seasonality!$E$41</f>
        <v/>
      </c>
      <c r="AZ315" s="50">
        <f>AZ314+AZ255*AZ195*Seasonality!$E$41</f>
        <v/>
      </c>
      <c r="BA315" s="50">
        <f>BA314+BA255*BA195*Seasonality!$E$41</f>
        <v/>
      </c>
      <c r="BB315" s="50">
        <f>BB314+BB255*BB195*Seasonality!$E$41</f>
        <v/>
      </c>
      <c r="BC315" s="50">
        <f>BC314+BC255*BC195*Seasonality!$E$41</f>
        <v/>
      </c>
      <c r="BD315" s="50">
        <f>BD314+BD255*BD195*Seasonality!$E$41</f>
        <v/>
      </c>
      <c r="BE315" s="50">
        <f>BE314+BE255*BE195*Seasonality!$E$41</f>
        <v/>
      </c>
    </row>
    <row r="316">
      <c r="B316" s="7" t="inlineStr">
        <is>
          <t>Cumulative discounted contribution · month 6</t>
        </is>
      </c>
      <c r="C316" s="5" t="inlineStr">
        <is>
          <t>₹</t>
        </is>
      </c>
      <c r="D316" s="50">
        <f>D315+D256*D196*Seasonality!$E$42</f>
        <v/>
      </c>
      <c r="E316" s="50">
        <f>E315+E256*E196*Seasonality!$E$42</f>
        <v/>
      </c>
      <c r="F316" s="50">
        <f>F315+F256*F196*Seasonality!$E$42</f>
        <v/>
      </c>
      <c r="G316" s="50">
        <f>G315+G256*G196*Seasonality!$E$42</f>
        <v/>
      </c>
      <c r="H316" s="50">
        <f>H315+H256*H196*Seasonality!$E$42</f>
        <v/>
      </c>
      <c r="I316" s="50">
        <f>I315+I256*I196*Seasonality!$E$42</f>
        <v/>
      </c>
      <c r="J316" s="50">
        <f>J315+J256*J196*Seasonality!$E$42</f>
        <v/>
      </c>
      <c r="K316" s="50">
        <f>K315+K256*K196*Seasonality!$E$42</f>
        <v/>
      </c>
      <c r="L316" s="50">
        <f>L315+L256*L196*Seasonality!$E$42</f>
        <v/>
      </c>
      <c r="M316" s="50">
        <f>M315+M256*M196*Seasonality!$E$42</f>
        <v/>
      </c>
      <c r="N316" s="50">
        <f>N315+N256*N196*Seasonality!$E$42</f>
        <v/>
      </c>
      <c r="O316" s="50">
        <f>O315+O256*O196*Seasonality!$E$42</f>
        <v/>
      </c>
      <c r="P316" s="50">
        <f>P315+P256*P196*Seasonality!$E$42</f>
        <v/>
      </c>
      <c r="Q316" s="50">
        <f>Q315+Q256*Q196*Seasonality!$E$42</f>
        <v/>
      </c>
      <c r="R316" s="50">
        <f>R315+R256*R196*Seasonality!$E$42</f>
        <v/>
      </c>
      <c r="S316" s="50">
        <f>S315+S256*S196*Seasonality!$E$42</f>
        <v/>
      </c>
      <c r="T316" s="50">
        <f>T315+T256*T196*Seasonality!$E$42</f>
        <v/>
      </c>
      <c r="U316" s="50">
        <f>U315+U256*U196*Seasonality!$E$42</f>
        <v/>
      </c>
      <c r="V316" s="50">
        <f>V315+V256*V196*Seasonality!$E$42</f>
        <v/>
      </c>
      <c r="W316" s="50">
        <f>W315+W256*W196*Seasonality!$E$42</f>
        <v/>
      </c>
      <c r="X316" s="50">
        <f>X315+X256*X196*Seasonality!$E$42</f>
        <v/>
      </c>
      <c r="Y316" s="50">
        <f>Y315+Y256*Y196*Seasonality!$E$42</f>
        <v/>
      </c>
      <c r="Z316" s="50">
        <f>Z315+Z256*Z196*Seasonality!$E$42</f>
        <v/>
      </c>
      <c r="AA316" s="50">
        <f>AA315+AA256*AA196*Seasonality!$E$42</f>
        <v/>
      </c>
      <c r="AB316" s="50">
        <f>AB315+AB256*AB196*Seasonality!$E$42</f>
        <v/>
      </c>
      <c r="AC316" s="50">
        <f>AC315+AC256*AC196*Seasonality!$E$42</f>
        <v/>
      </c>
      <c r="AD316" s="50">
        <f>AD315+AD256*AD196*Seasonality!$E$42</f>
        <v/>
      </c>
      <c r="AE316" s="50">
        <f>AE315+AE256*AE196*Seasonality!$E$42</f>
        <v/>
      </c>
      <c r="AF316" s="50">
        <f>AF315+AF256*AF196*Seasonality!$E$42</f>
        <v/>
      </c>
      <c r="AG316" s="50">
        <f>AG315+AG256*AG196*Seasonality!$E$42</f>
        <v/>
      </c>
      <c r="AH316" s="50">
        <f>AH315+AH256*AH196*Seasonality!$E$42</f>
        <v/>
      </c>
      <c r="AI316" s="50">
        <f>AI315+AI256*AI196*Seasonality!$E$42</f>
        <v/>
      </c>
      <c r="AJ316" s="50">
        <f>AJ315+AJ256*AJ196*Seasonality!$E$42</f>
        <v/>
      </c>
      <c r="AK316" s="50">
        <f>AK315+AK256*AK196*Seasonality!$E$42</f>
        <v/>
      </c>
      <c r="AL316" s="50">
        <f>AL315+AL256*AL196*Seasonality!$E$42</f>
        <v/>
      </c>
      <c r="AM316" s="50">
        <f>AM315+AM256*AM196*Seasonality!$E$42</f>
        <v/>
      </c>
      <c r="AN316" s="50">
        <f>AN315+AN256*AN196*Seasonality!$E$42</f>
        <v/>
      </c>
      <c r="AO316" s="50">
        <f>AO315+AO256*AO196*Seasonality!$E$42</f>
        <v/>
      </c>
      <c r="AP316" s="50">
        <f>AP315+AP256*AP196*Seasonality!$E$42</f>
        <v/>
      </c>
      <c r="AQ316" s="50">
        <f>AQ315+AQ256*AQ196*Seasonality!$E$42</f>
        <v/>
      </c>
      <c r="AR316" s="50">
        <f>AR315+AR256*AR196*Seasonality!$E$42</f>
        <v/>
      </c>
      <c r="AS316" s="50">
        <f>AS315+AS256*AS196*Seasonality!$E$42</f>
        <v/>
      </c>
      <c r="AT316" s="50">
        <f>AT315+AT256*AT196*Seasonality!$E$42</f>
        <v/>
      </c>
      <c r="AU316" s="50">
        <f>AU315+AU256*AU196*Seasonality!$E$42</f>
        <v/>
      </c>
      <c r="AV316" s="50">
        <f>AV315+AV256*AV196*Seasonality!$E$42</f>
        <v/>
      </c>
      <c r="AW316" s="50">
        <f>AW315+AW256*AW196*Seasonality!$E$42</f>
        <v/>
      </c>
      <c r="AX316" s="50">
        <f>AX315+AX256*AX196*Seasonality!$E$42</f>
        <v/>
      </c>
      <c r="AY316" s="50">
        <f>AY315+AY256*AY196*Seasonality!$E$42</f>
        <v/>
      </c>
      <c r="AZ316" s="50">
        <f>AZ315+AZ256*AZ196*Seasonality!$E$42</f>
        <v/>
      </c>
      <c r="BA316" s="50">
        <f>BA315+BA256*BA196*Seasonality!$E$42</f>
        <v/>
      </c>
      <c r="BB316" s="50">
        <f>BB315+BB256*BB196*Seasonality!$E$42</f>
        <v/>
      </c>
      <c r="BC316" s="50">
        <f>BC315+BC256*BC196*Seasonality!$E$42</f>
        <v/>
      </c>
      <c r="BD316" s="50">
        <f>BD315+BD256*BD196*Seasonality!$E$42</f>
        <v/>
      </c>
      <c r="BE316" s="50">
        <f>BE315+BE256*BE196*Seasonality!$E$42</f>
        <v/>
      </c>
    </row>
    <row r="317">
      <c r="B317" s="7" t="inlineStr">
        <is>
          <t>Cumulative discounted contribution · month 7</t>
        </is>
      </c>
      <c r="C317" s="5" t="inlineStr">
        <is>
          <t>₹</t>
        </is>
      </c>
      <c r="D317" s="50">
        <f>D316+D257*D197*Seasonality!$E$43</f>
        <v/>
      </c>
      <c r="E317" s="50">
        <f>E316+E257*E197*Seasonality!$E$43</f>
        <v/>
      </c>
      <c r="F317" s="50">
        <f>F316+F257*F197*Seasonality!$E$43</f>
        <v/>
      </c>
      <c r="G317" s="50">
        <f>G316+G257*G197*Seasonality!$E$43</f>
        <v/>
      </c>
      <c r="H317" s="50">
        <f>H316+H257*H197*Seasonality!$E$43</f>
        <v/>
      </c>
      <c r="I317" s="50">
        <f>I316+I257*I197*Seasonality!$E$43</f>
        <v/>
      </c>
      <c r="J317" s="50">
        <f>J316+J257*J197*Seasonality!$E$43</f>
        <v/>
      </c>
      <c r="K317" s="50">
        <f>K316+K257*K197*Seasonality!$E$43</f>
        <v/>
      </c>
      <c r="L317" s="50">
        <f>L316+L257*L197*Seasonality!$E$43</f>
        <v/>
      </c>
      <c r="M317" s="50">
        <f>M316+M257*M197*Seasonality!$E$43</f>
        <v/>
      </c>
      <c r="N317" s="50">
        <f>N316+N257*N197*Seasonality!$E$43</f>
        <v/>
      </c>
      <c r="O317" s="50">
        <f>O316+O257*O197*Seasonality!$E$43</f>
        <v/>
      </c>
      <c r="P317" s="50">
        <f>P316+P257*P197*Seasonality!$E$43</f>
        <v/>
      </c>
      <c r="Q317" s="50">
        <f>Q316+Q257*Q197*Seasonality!$E$43</f>
        <v/>
      </c>
      <c r="R317" s="50">
        <f>R316+R257*R197*Seasonality!$E$43</f>
        <v/>
      </c>
      <c r="S317" s="50">
        <f>S316+S257*S197*Seasonality!$E$43</f>
        <v/>
      </c>
      <c r="T317" s="50">
        <f>T316+T257*T197*Seasonality!$E$43</f>
        <v/>
      </c>
      <c r="U317" s="50">
        <f>U316+U257*U197*Seasonality!$E$43</f>
        <v/>
      </c>
      <c r="V317" s="50">
        <f>V316+V257*V197*Seasonality!$E$43</f>
        <v/>
      </c>
      <c r="W317" s="50">
        <f>W316+W257*W197*Seasonality!$E$43</f>
        <v/>
      </c>
      <c r="X317" s="50">
        <f>X316+X257*X197*Seasonality!$E$43</f>
        <v/>
      </c>
      <c r="Y317" s="50">
        <f>Y316+Y257*Y197*Seasonality!$E$43</f>
        <v/>
      </c>
      <c r="Z317" s="50">
        <f>Z316+Z257*Z197*Seasonality!$E$43</f>
        <v/>
      </c>
      <c r="AA317" s="50">
        <f>AA316+AA257*AA197*Seasonality!$E$43</f>
        <v/>
      </c>
      <c r="AB317" s="50">
        <f>AB316+AB257*AB197*Seasonality!$E$43</f>
        <v/>
      </c>
      <c r="AC317" s="50">
        <f>AC316+AC257*AC197*Seasonality!$E$43</f>
        <v/>
      </c>
      <c r="AD317" s="50">
        <f>AD316+AD257*AD197*Seasonality!$E$43</f>
        <v/>
      </c>
      <c r="AE317" s="50">
        <f>AE316+AE257*AE197*Seasonality!$E$43</f>
        <v/>
      </c>
      <c r="AF317" s="50">
        <f>AF316+AF257*AF197*Seasonality!$E$43</f>
        <v/>
      </c>
      <c r="AG317" s="50">
        <f>AG316+AG257*AG197*Seasonality!$E$43</f>
        <v/>
      </c>
      <c r="AH317" s="50">
        <f>AH316+AH257*AH197*Seasonality!$E$43</f>
        <v/>
      </c>
      <c r="AI317" s="50">
        <f>AI316+AI257*AI197*Seasonality!$E$43</f>
        <v/>
      </c>
      <c r="AJ317" s="50">
        <f>AJ316+AJ257*AJ197*Seasonality!$E$43</f>
        <v/>
      </c>
      <c r="AK317" s="50">
        <f>AK316+AK257*AK197*Seasonality!$E$43</f>
        <v/>
      </c>
      <c r="AL317" s="50">
        <f>AL316+AL257*AL197*Seasonality!$E$43</f>
        <v/>
      </c>
      <c r="AM317" s="50">
        <f>AM316+AM257*AM197*Seasonality!$E$43</f>
        <v/>
      </c>
      <c r="AN317" s="50">
        <f>AN316+AN257*AN197*Seasonality!$E$43</f>
        <v/>
      </c>
      <c r="AO317" s="50">
        <f>AO316+AO257*AO197*Seasonality!$E$43</f>
        <v/>
      </c>
      <c r="AP317" s="50">
        <f>AP316+AP257*AP197*Seasonality!$E$43</f>
        <v/>
      </c>
      <c r="AQ317" s="50">
        <f>AQ316+AQ257*AQ197*Seasonality!$E$43</f>
        <v/>
      </c>
      <c r="AR317" s="50">
        <f>AR316+AR257*AR197*Seasonality!$E$43</f>
        <v/>
      </c>
      <c r="AS317" s="50">
        <f>AS316+AS257*AS197*Seasonality!$E$43</f>
        <v/>
      </c>
      <c r="AT317" s="50">
        <f>AT316+AT257*AT197*Seasonality!$E$43</f>
        <v/>
      </c>
      <c r="AU317" s="50">
        <f>AU316+AU257*AU197*Seasonality!$E$43</f>
        <v/>
      </c>
      <c r="AV317" s="50">
        <f>AV316+AV257*AV197*Seasonality!$E$43</f>
        <v/>
      </c>
      <c r="AW317" s="50">
        <f>AW316+AW257*AW197*Seasonality!$E$43</f>
        <v/>
      </c>
      <c r="AX317" s="50">
        <f>AX316+AX257*AX197*Seasonality!$E$43</f>
        <v/>
      </c>
      <c r="AY317" s="50">
        <f>AY316+AY257*AY197*Seasonality!$E$43</f>
        <v/>
      </c>
      <c r="AZ317" s="50">
        <f>AZ316+AZ257*AZ197*Seasonality!$E$43</f>
        <v/>
      </c>
      <c r="BA317" s="50">
        <f>BA316+BA257*BA197*Seasonality!$E$43</f>
        <v/>
      </c>
      <c r="BB317" s="50">
        <f>BB316+BB257*BB197*Seasonality!$E$43</f>
        <v/>
      </c>
      <c r="BC317" s="50">
        <f>BC316+BC257*BC197*Seasonality!$E$43</f>
        <v/>
      </c>
      <c r="BD317" s="50">
        <f>BD316+BD257*BD197*Seasonality!$E$43</f>
        <v/>
      </c>
      <c r="BE317" s="50">
        <f>BE316+BE257*BE197*Seasonality!$E$43</f>
        <v/>
      </c>
    </row>
    <row r="318">
      <c r="B318" s="7" t="inlineStr">
        <is>
          <t>Cumulative discounted contribution · month 8</t>
        </is>
      </c>
      <c r="C318" s="5" t="inlineStr">
        <is>
          <t>₹</t>
        </is>
      </c>
      <c r="D318" s="50">
        <f>D317+D258*D198*Seasonality!$E$44</f>
        <v/>
      </c>
      <c r="E318" s="50">
        <f>E317+E258*E198*Seasonality!$E$44</f>
        <v/>
      </c>
      <c r="F318" s="50">
        <f>F317+F258*F198*Seasonality!$E$44</f>
        <v/>
      </c>
      <c r="G318" s="50">
        <f>G317+G258*G198*Seasonality!$E$44</f>
        <v/>
      </c>
      <c r="H318" s="50">
        <f>H317+H258*H198*Seasonality!$E$44</f>
        <v/>
      </c>
      <c r="I318" s="50">
        <f>I317+I258*I198*Seasonality!$E$44</f>
        <v/>
      </c>
      <c r="J318" s="50">
        <f>J317+J258*J198*Seasonality!$E$44</f>
        <v/>
      </c>
      <c r="K318" s="50">
        <f>K317+K258*K198*Seasonality!$E$44</f>
        <v/>
      </c>
      <c r="L318" s="50">
        <f>L317+L258*L198*Seasonality!$E$44</f>
        <v/>
      </c>
      <c r="M318" s="50">
        <f>M317+M258*M198*Seasonality!$E$44</f>
        <v/>
      </c>
      <c r="N318" s="50">
        <f>N317+N258*N198*Seasonality!$E$44</f>
        <v/>
      </c>
      <c r="O318" s="50">
        <f>O317+O258*O198*Seasonality!$E$44</f>
        <v/>
      </c>
      <c r="P318" s="50">
        <f>P317+P258*P198*Seasonality!$E$44</f>
        <v/>
      </c>
      <c r="Q318" s="50">
        <f>Q317+Q258*Q198*Seasonality!$E$44</f>
        <v/>
      </c>
      <c r="R318" s="50">
        <f>R317+R258*R198*Seasonality!$E$44</f>
        <v/>
      </c>
      <c r="S318" s="50">
        <f>S317+S258*S198*Seasonality!$E$44</f>
        <v/>
      </c>
      <c r="T318" s="50">
        <f>T317+T258*T198*Seasonality!$E$44</f>
        <v/>
      </c>
      <c r="U318" s="50">
        <f>U317+U258*U198*Seasonality!$E$44</f>
        <v/>
      </c>
      <c r="V318" s="50">
        <f>V317+V258*V198*Seasonality!$E$44</f>
        <v/>
      </c>
      <c r="W318" s="50">
        <f>W317+W258*W198*Seasonality!$E$44</f>
        <v/>
      </c>
      <c r="X318" s="50">
        <f>X317+X258*X198*Seasonality!$E$44</f>
        <v/>
      </c>
      <c r="Y318" s="50">
        <f>Y317+Y258*Y198*Seasonality!$E$44</f>
        <v/>
      </c>
      <c r="Z318" s="50">
        <f>Z317+Z258*Z198*Seasonality!$E$44</f>
        <v/>
      </c>
      <c r="AA318" s="50">
        <f>AA317+AA258*AA198*Seasonality!$E$44</f>
        <v/>
      </c>
      <c r="AB318" s="50">
        <f>AB317+AB258*AB198*Seasonality!$E$44</f>
        <v/>
      </c>
      <c r="AC318" s="50">
        <f>AC317+AC258*AC198*Seasonality!$E$44</f>
        <v/>
      </c>
      <c r="AD318" s="50">
        <f>AD317+AD258*AD198*Seasonality!$E$44</f>
        <v/>
      </c>
      <c r="AE318" s="50">
        <f>AE317+AE258*AE198*Seasonality!$E$44</f>
        <v/>
      </c>
      <c r="AF318" s="50">
        <f>AF317+AF258*AF198*Seasonality!$E$44</f>
        <v/>
      </c>
      <c r="AG318" s="50">
        <f>AG317+AG258*AG198*Seasonality!$E$44</f>
        <v/>
      </c>
      <c r="AH318" s="50">
        <f>AH317+AH258*AH198*Seasonality!$E$44</f>
        <v/>
      </c>
      <c r="AI318" s="50">
        <f>AI317+AI258*AI198*Seasonality!$E$44</f>
        <v/>
      </c>
      <c r="AJ318" s="50">
        <f>AJ317+AJ258*AJ198*Seasonality!$E$44</f>
        <v/>
      </c>
      <c r="AK318" s="50">
        <f>AK317+AK258*AK198*Seasonality!$E$44</f>
        <v/>
      </c>
      <c r="AL318" s="50">
        <f>AL317+AL258*AL198*Seasonality!$E$44</f>
        <v/>
      </c>
      <c r="AM318" s="50">
        <f>AM317+AM258*AM198*Seasonality!$E$44</f>
        <v/>
      </c>
      <c r="AN318" s="50">
        <f>AN317+AN258*AN198*Seasonality!$E$44</f>
        <v/>
      </c>
      <c r="AO318" s="50">
        <f>AO317+AO258*AO198*Seasonality!$E$44</f>
        <v/>
      </c>
      <c r="AP318" s="50">
        <f>AP317+AP258*AP198*Seasonality!$E$44</f>
        <v/>
      </c>
      <c r="AQ318" s="50">
        <f>AQ317+AQ258*AQ198*Seasonality!$E$44</f>
        <v/>
      </c>
      <c r="AR318" s="50">
        <f>AR317+AR258*AR198*Seasonality!$E$44</f>
        <v/>
      </c>
      <c r="AS318" s="50">
        <f>AS317+AS258*AS198*Seasonality!$E$44</f>
        <v/>
      </c>
      <c r="AT318" s="50">
        <f>AT317+AT258*AT198*Seasonality!$E$44</f>
        <v/>
      </c>
      <c r="AU318" s="50">
        <f>AU317+AU258*AU198*Seasonality!$E$44</f>
        <v/>
      </c>
      <c r="AV318" s="50">
        <f>AV317+AV258*AV198*Seasonality!$E$44</f>
        <v/>
      </c>
      <c r="AW318" s="50">
        <f>AW317+AW258*AW198*Seasonality!$E$44</f>
        <v/>
      </c>
      <c r="AX318" s="50">
        <f>AX317+AX258*AX198*Seasonality!$E$44</f>
        <v/>
      </c>
      <c r="AY318" s="50">
        <f>AY317+AY258*AY198*Seasonality!$E$44</f>
        <v/>
      </c>
      <c r="AZ318" s="50">
        <f>AZ317+AZ258*AZ198*Seasonality!$E$44</f>
        <v/>
      </c>
      <c r="BA318" s="50">
        <f>BA317+BA258*BA198*Seasonality!$E$44</f>
        <v/>
      </c>
      <c r="BB318" s="50">
        <f>BB317+BB258*BB198*Seasonality!$E$44</f>
        <v/>
      </c>
      <c r="BC318" s="50">
        <f>BC317+BC258*BC198*Seasonality!$E$44</f>
        <v/>
      </c>
      <c r="BD318" s="50">
        <f>BD317+BD258*BD198*Seasonality!$E$44</f>
        <v/>
      </c>
      <c r="BE318" s="50">
        <f>BE317+BE258*BE198*Seasonality!$E$44</f>
        <v/>
      </c>
    </row>
    <row r="319">
      <c r="B319" s="7" t="inlineStr">
        <is>
          <t>Cumulative discounted contribution · month 9</t>
        </is>
      </c>
      <c r="C319" s="5" t="inlineStr">
        <is>
          <t>₹</t>
        </is>
      </c>
      <c r="D319" s="50">
        <f>D318+D259*D199*Seasonality!$E$45</f>
        <v/>
      </c>
      <c r="E319" s="50">
        <f>E318+E259*E199*Seasonality!$E$45</f>
        <v/>
      </c>
      <c r="F319" s="50">
        <f>F318+F259*F199*Seasonality!$E$45</f>
        <v/>
      </c>
      <c r="G319" s="50">
        <f>G318+G259*G199*Seasonality!$E$45</f>
        <v/>
      </c>
      <c r="H319" s="50">
        <f>H318+H259*H199*Seasonality!$E$45</f>
        <v/>
      </c>
      <c r="I319" s="50">
        <f>I318+I259*I199*Seasonality!$E$45</f>
        <v/>
      </c>
      <c r="J319" s="50">
        <f>J318+J259*J199*Seasonality!$E$45</f>
        <v/>
      </c>
      <c r="K319" s="50">
        <f>K318+K259*K199*Seasonality!$E$45</f>
        <v/>
      </c>
      <c r="L319" s="50">
        <f>L318+L259*L199*Seasonality!$E$45</f>
        <v/>
      </c>
      <c r="M319" s="50">
        <f>M318+M259*M199*Seasonality!$E$45</f>
        <v/>
      </c>
      <c r="N319" s="50">
        <f>N318+N259*N199*Seasonality!$E$45</f>
        <v/>
      </c>
      <c r="O319" s="50">
        <f>O318+O259*O199*Seasonality!$E$45</f>
        <v/>
      </c>
      <c r="P319" s="50">
        <f>P318+P259*P199*Seasonality!$E$45</f>
        <v/>
      </c>
      <c r="Q319" s="50">
        <f>Q318+Q259*Q199*Seasonality!$E$45</f>
        <v/>
      </c>
      <c r="R319" s="50">
        <f>R318+R259*R199*Seasonality!$E$45</f>
        <v/>
      </c>
      <c r="S319" s="50">
        <f>S318+S259*S199*Seasonality!$E$45</f>
        <v/>
      </c>
      <c r="T319" s="50">
        <f>T318+T259*T199*Seasonality!$E$45</f>
        <v/>
      </c>
      <c r="U319" s="50">
        <f>U318+U259*U199*Seasonality!$E$45</f>
        <v/>
      </c>
      <c r="V319" s="50">
        <f>V318+V259*V199*Seasonality!$E$45</f>
        <v/>
      </c>
      <c r="W319" s="50">
        <f>W318+W259*W199*Seasonality!$E$45</f>
        <v/>
      </c>
      <c r="X319" s="50">
        <f>X318+X259*X199*Seasonality!$E$45</f>
        <v/>
      </c>
      <c r="Y319" s="50">
        <f>Y318+Y259*Y199*Seasonality!$E$45</f>
        <v/>
      </c>
      <c r="Z319" s="50">
        <f>Z318+Z259*Z199*Seasonality!$E$45</f>
        <v/>
      </c>
      <c r="AA319" s="50">
        <f>AA318+AA259*AA199*Seasonality!$E$45</f>
        <v/>
      </c>
      <c r="AB319" s="50">
        <f>AB318+AB259*AB199*Seasonality!$E$45</f>
        <v/>
      </c>
      <c r="AC319" s="50">
        <f>AC318+AC259*AC199*Seasonality!$E$45</f>
        <v/>
      </c>
      <c r="AD319" s="50">
        <f>AD318+AD259*AD199*Seasonality!$E$45</f>
        <v/>
      </c>
      <c r="AE319" s="50">
        <f>AE318+AE259*AE199*Seasonality!$E$45</f>
        <v/>
      </c>
      <c r="AF319" s="50">
        <f>AF318+AF259*AF199*Seasonality!$E$45</f>
        <v/>
      </c>
      <c r="AG319" s="50">
        <f>AG318+AG259*AG199*Seasonality!$E$45</f>
        <v/>
      </c>
      <c r="AH319" s="50">
        <f>AH318+AH259*AH199*Seasonality!$E$45</f>
        <v/>
      </c>
      <c r="AI319" s="50">
        <f>AI318+AI259*AI199*Seasonality!$E$45</f>
        <v/>
      </c>
      <c r="AJ319" s="50">
        <f>AJ318+AJ259*AJ199*Seasonality!$E$45</f>
        <v/>
      </c>
      <c r="AK319" s="50">
        <f>AK318+AK259*AK199*Seasonality!$E$45</f>
        <v/>
      </c>
      <c r="AL319" s="50">
        <f>AL318+AL259*AL199*Seasonality!$E$45</f>
        <v/>
      </c>
      <c r="AM319" s="50">
        <f>AM318+AM259*AM199*Seasonality!$E$45</f>
        <v/>
      </c>
      <c r="AN319" s="50">
        <f>AN318+AN259*AN199*Seasonality!$E$45</f>
        <v/>
      </c>
      <c r="AO319" s="50">
        <f>AO318+AO259*AO199*Seasonality!$E$45</f>
        <v/>
      </c>
      <c r="AP319" s="50">
        <f>AP318+AP259*AP199*Seasonality!$E$45</f>
        <v/>
      </c>
      <c r="AQ319" s="50">
        <f>AQ318+AQ259*AQ199*Seasonality!$E$45</f>
        <v/>
      </c>
      <c r="AR319" s="50">
        <f>AR318+AR259*AR199*Seasonality!$E$45</f>
        <v/>
      </c>
      <c r="AS319" s="50">
        <f>AS318+AS259*AS199*Seasonality!$E$45</f>
        <v/>
      </c>
      <c r="AT319" s="50">
        <f>AT318+AT259*AT199*Seasonality!$E$45</f>
        <v/>
      </c>
      <c r="AU319" s="50">
        <f>AU318+AU259*AU199*Seasonality!$E$45</f>
        <v/>
      </c>
      <c r="AV319" s="50">
        <f>AV318+AV259*AV199*Seasonality!$E$45</f>
        <v/>
      </c>
      <c r="AW319" s="50">
        <f>AW318+AW259*AW199*Seasonality!$E$45</f>
        <v/>
      </c>
      <c r="AX319" s="50">
        <f>AX318+AX259*AX199*Seasonality!$E$45</f>
        <v/>
      </c>
      <c r="AY319" s="50">
        <f>AY318+AY259*AY199*Seasonality!$E$45</f>
        <v/>
      </c>
      <c r="AZ319" s="50">
        <f>AZ318+AZ259*AZ199*Seasonality!$E$45</f>
        <v/>
      </c>
      <c r="BA319" s="50">
        <f>BA318+BA259*BA199*Seasonality!$E$45</f>
        <v/>
      </c>
      <c r="BB319" s="50">
        <f>BB318+BB259*BB199*Seasonality!$E$45</f>
        <v/>
      </c>
      <c r="BC319" s="50">
        <f>BC318+BC259*BC199*Seasonality!$E$45</f>
        <v/>
      </c>
      <c r="BD319" s="50">
        <f>BD318+BD259*BD199*Seasonality!$E$45</f>
        <v/>
      </c>
      <c r="BE319" s="50">
        <f>BE318+BE259*BE199*Seasonality!$E$45</f>
        <v/>
      </c>
    </row>
    <row r="320">
      <c r="B320" s="7" t="inlineStr">
        <is>
          <t>Cumulative discounted contribution · month 10</t>
        </is>
      </c>
      <c r="C320" s="5" t="inlineStr">
        <is>
          <t>₹</t>
        </is>
      </c>
      <c r="D320" s="50">
        <f>D319+D260*D200*Seasonality!$E$46</f>
        <v/>
      </c>
      <c r="E320" s="50">
        <f>E319+E260*E200*Seasonality!$E$46</f>
        <v/>
      </c>
      <c r="F320" s="50">
        <f>F319+F260*F200*Seasonality!$E$46</f>
        <v/>
      </c>
      <c r="G320" s="50">
        <f>G319+G260*G200*Seasonality!$E$46</f>
        <v/>
      </c>
      <c r="H320" s="50">
        <f>H319+H260*H200*Seasonality!$E$46</f>
        <v/>
      </c>
      <c r="I320" s="50">
        <f>I319+I260*I200*Seasonality!$E$46</f>
        <v/>
      </c>
      <c r="J320" s="50">
        <f>J319+J260*J200*Seasonality!$E$46</f>
        <v/>
      </c>
      <c r="K320" s="50">
        <f>K319+K260*K200*Seasonality!$E$46</f>
        <v/>
      </c>
      <c r="L320" s="50">
        <f>L319+L260*L200*Seasonality!$E$46</f>
        <v/>
      </c>
      <c r="M320" s="50">
        <f>M319+M260*M200*Seasonality!$E$46</f>
        <v/>
      </c>
      <c r="N320" s="50">
        <f>N319+N260*N200*Seasonality!$E$46</f>
        <v/>
      </c>
      <c r="O320" s="50">
        <f>O319+O260*O200*Seasonality!$E$46</f>
        <v/>
      </c>
      <c r="P320" s="50">
        <f>P319+P260*P200*Seasonality!$E$46</f>
        <v/>
      </c>
      <c r="Q320" s="50">
        <f>Q319+Q260*Q200*Seasonality!$E$46</f>
        <v/>
      </c>
      <c r="R320" s="50">
        <f>R319+R260*R200*Seasonality!$E$46</f>
        <v/>
      </c>
      <c r="S320" s="50">
        <f>S319+S260*S200*Seasonality!$E$46</f>
        <v/>
      </c>
      <c r="T320" s="50">
        <f>T319+T260*T200*Seasonality!$E$46</f>
        <v/>
      </c>
      <c r="U320" s="50">
        <f>U319+U260*U200*Seasonality!$E$46</f>
        <v/>
      </c>
      <c r="V320" s="50">
        <f>V319+V260*V200*Seasonality!$E$46</f>
        <v/>
      </c>
      <c r="W320" s="50">
        <f>W319+W260*W200*Seasonality!$E$46</f>
        <v/>
      </c>
      <c r="X320" s="50">
        <f>X319+X260*X200*Seasonality!$E$46</f>
        <v/>
      </c>
      <c r="Y320" s="50">
        <f>Y319+Y260*Y200*Seasonality!$E$46</f>
        <v/>
      </c>
      <c r="Z320" s="50">
        <f>Z319+Z260*Z200*Seasonality!$E$46</f>
        <v/>
      </c>
      <c r="AA320" s="50">
        <f>AA319+AA260*AA200*Seasonality!$E$46</f>
        <v/>
      </c>
      <c r="AB320" s="50">
        <f>AB319+AB260*AB200*Seasonality!$E$46</f>
        <v/>
      </c>
      <c r="AC320" s="50">
        <f>AC319+AC260*AC200*Seasonality!$E$46</f>
        <v/>
      </c>
      <c r="AD320" s="50">
        <f>AD319+AD260*AD200*Seasonality!$E$46</f>
        <v/>
      </c>
      <c r="AE320" s="50">
        <f>AE319+AE260*AE200*Seasonality!$E$46</f>
        <v/>
      </c>
      <c r="AF320" s="50">
        <f>AF319+AF260*AF200*Seasonality!$E$46</f>
        <v/>
      </c>
      <c r="AG320" s="50">
        <f>AG319+AG260*AG200*Seasonality!$E$46</f>
        <v/>
      </c>
      <c r="AH320" s="50">
        <f>AH319+AH260*AH200*Seasonality!$E$46</f>
        <v/>
      </c>
      <c r="AI320" s="50">
        <f>AI319+AI260*AI200*Seasonality!$E$46</f>
        <v/>
      </c>
      <c r="AJ320" s="50">
        <f>AJ319+AJ260*AJ200*Seasonality!$E$46</f>
        <v/>
      </c>
      <c r="AK320" s="50">
        <f>AK319+AK260*AK200*Seasonality!$E$46</f>
        <v/>
      </c>
      <c r="AL320" s="50">
        <f>AL319+AL260*AL200*Seasonality!$E$46</f>
        <v/>
      </c>
      <c r="AM320" s="50">
        <f>AM319+AM260*AM200*Seasonality!$E$46</f>
        <v/>
      </c>
      <c r="AN320" s="50">
        <f>AN319+AN260*AN200*Seasonality!$E$46</f>
        <v/>
      </c>
      <c r="AO320" s="50">
        <f>AO319+AO260*AO200*Seasonality!$E$46</f>
        <v/>
      </c>
      <c r="AP320" s="50">
        <f>AP319+AP260*AP200*Seasonality!$E$46</f>
        <v/>
      </c>
      <c r="AQ320" s="50">
        <f>AQ319+AQ260*AQ200*Seasonality!$E$46</f>
        <v/>
      </c>
      <c r="AR320" s="50">
        <f>AR319+AR260*AR200*Seasonality!$E$46</f>
        <v/>
      </c>
      <c r="AS320" s="50">
        <f>AS319+AS260*AS200*Seasonality!$E$46</f>
        <v/>
      </c>
      <c r="AT320" s="50">
        <f>AT319+AT260*AT200*Seasonality!$E$46</f>
        <v/>
      </c>
      <c r="AU320" s="50">
        <f>AU319+AU260*AU200*Seasonality!$E$46</f>
        <v/>
      </c>
      <c r="AV320" s="50">
        <f>AV319+AV260*AV200*Seasonality!$E$46</f>
        <v/>
      </c>
      <c r="AW320" s="50">
        <f>AW319+AW260*AW200*Seasonality!$E$46</f>
        <v/>
      </c>
      <c r="AX320" s="50">
        <f>AX319+AX260*AX200*Seasonality!$E$46</f>
        <v/>
      </c>
      <c r="AY320" s="50">
        <f>AY319+AY260*AY200*Seasonality!$E$46</f>
        <v/>
      </c>
      <c r="AZ320" s="50">
        <f>AZ319+AZ260*AZ200*Seasonality!$E$46</f>
        <v/>
      </c>
      <c r="BA320" s="50">
        <f>BA319+BA260*BA200*Seasonality!$E$46</f>
        <v/>
      </c>
      <c r="BB320" s="50">
        <f>BB319+BB260*BB200*Seasonality!$E$46</f>
        <v/>
      </c>
      <c r="BC320" s="50">
        <f>BC319+BC260*BC200*Seasonality!$E$46</f>
        <v/>
      </c>
      <c r="BD320" s="50">
        <f>BD319+BD260*BD200*Seasonality!$E$46</f>
        <v/>
      </c>
      <c r="BE320" s="50">
        <f>BE319+BE260*BE200*Seasonality!$E$46</f>
        <v/>
      </c>
    </row>
    <row r="321">
      <c r="B321" s="7" t="inlineStr">
        <is>
          <t>Cumulative discounted contribution · month 11</t>
        </is>
      </c>
      <c r="C321" s="5" t="inlineStr">
        <is>
          <t>₹</t>
        </is>
      </c>
      <c r="D321" s="50">
        <f>D320+D261*D201*Seasonality!$E$47</f>
        <v/>
      </c>
      <c r="E321" s="50">
        <f>E320+E261*E201*Seasonality!$E$47</f>
        <v/>
      </c>
      <c r="F321" s="50">
        <f>F320+F261*F201*Seasonality!$E$47</f>
        <v/>
      </c>
      <c r="G321" s="50">
        <f>G320+G261*G201*Seasonality!$E$47</f>
        <v/>
      </c>
      <c r="H321" s="50">
        <f>H320+H261*H201*Seasonality!$E$47</f>
        <v/>
      </c>
      <c r="I321" s="50">
        <f>I320+I261*I201*Seasonality!$E$47</f>
        <v/>
      </c>
      <c r="J321" s="50">
        <f>J320+J261*J201*Seasonality!$E$47</f>
        <v/>
      </c>
      <c r="K321" s="50">
        <f>K320+K261*K201*Seasonality!$E$47</f>
        <v/>
      </c>
      <c r="L321" s="50">
        <f>L320+L261*L201*Seasonality!$E$47</f>
        <v/>
      </c>
      <c r="M321" s="50">
        <f>M320+M261*M201*Seasonality!$E$47</f>
        <v/>
      </c>
      <c r="N321" s="50">
        <f>N320+N261*N201*Seasonality!$E$47</f>
        <v/>
      </c>
      <c r="O321" s="50">
        <f>O320+O261*O201*Seasonality!$E$47</f>
        <v/>
      </c>
      <c r="P321" s="50">
        <f>P320+P261*P201*Seasonality!$E$47</f>
        <v/>
      </c>
      <c r="Q321" s="50">
        <f>Q320+Q261*Q201*Seasonality!$E$47</f>
        <v/>
      </c>
      <c r="R321" s="50">
        <f>R320+R261*R201*Seasonality!$E$47</f>
        <v/>
      </c>
      <c r="S321" s="50">
        <f>S320+S261*S201*Seasonality!$E$47</f>
        <v/>
      </c>
      <c r="T321" s="50">
        <f>T320+T261*T201*Seasonality!$E$47</f>
        <v/>
      </c>
      <c r="U321" s="50">
        <f>U320+U261*U201*Seasonality!$E$47</f>
        <v/>
      </c>
      <c r="V321" s="50">
        <f>V320+V261*V201*Seasonality!$E$47</f>
        <v/>
      </c>
      <c r="W321" s="50">
        <f>W320+W261*W201*Seasonality!$E$47</f>
        <v/>
      </c>
      <c r="X321" s="50">
        <f>X320+X261*X201*Seasonality!$E$47</f>
        <v/>
      </c>
      <c r="Y321" s="50">
        <f>Y320+Y261*Y201*Seasonality!$E$47</f>
        <v/>
      </c>
      <c r="Z321" s="50">
        <f>Z320+Z261*Z201*Seasonality!$E$47</f>
        <v/>
      </c>
      <c r="AA321" s="50">
        <f>AA320+AA261*AA201*Seasonality!$E$47</f>
        <v/>
      </c>
      <c r="AB321" s="50">
        <f>AB320+AB261*AB201*Seasonality!$E$47</f>
        <v/>
      </c>
      <c r="AC321" s="50">
        <f>AC320+AC261*AC201*Seasonality!$E$47</f>
        <v/>
      </c>
      <c r="AD321" s="50">
        <f>AD320+AD261*AD201*Seasonality!$E$47</f>
        <v/>
      </c>
      <c r="AE321" s="50">
        <f>AE320+AE261*AE201*Seasonality!$E$47</f>
        <v/>
      </c>
      <c r="AF321" s="50">
        <f>AF320+AF261*AF201*Seasonality!$E$47</f>
        <v/>
      </c>
      <c r="AG321" s="50">
        <f>AG320+AG261*AG201*Seasonality!$E$47</f>
        <v/>
      </c>
      <c r="AH321" s="50">
        <f>AH320+AH261*AH201*Seasonality!$E$47</f>
        <v/>
      </c>
      <c r="AI321" s="50">
        <f>AI320+AI261*AI201*Seasonality!$E$47</f>
        <v/>
      </c>
      <c r="AJ321" s="50">
        <f>AJ320+AJ261*AJ201*Seasonality!$E$47</f>
        <v/>
      </c>
      <c r="AK321" s="50">
        <f>AK320+AK261*AK201*Seasonality!$E$47</f>
        <v/>
      </c>
      <c r="AL321" s="50">
        <f>AL320+AL261*AL201*Seasonality!$E$47</f>
        <v/>
      </c>
      <c r="AM321" s="50">
        <f>AM320+AM261*AM201*Seasonality!$E$47</f>
        <v/>
      </c>
      <c r="AN321" s="50">
        <f>AN320+AN261*AN201*Seasonality!$E$47</f>
        <v/>
      </c>
      <c r="AO321" s="50">
        <f>AO320+AO261*AO201*Seasonality!$E$47</f>
        <v/>
      </c>
      <c r="AP321" s="50">
        <f>AP320+AP261*AP201*Seasonality!$E$47</f>
        <v/>
      </c>
      <c r="AQ321" s="50">
        <f>AQ320+AQ261*AQ201*Seasonality!$E$47</f>
        <v/>
      </c>
      <c r="AR321" s="50">
        <f>AR320+AR261*AR201*Seasonality!$E$47</f>
        <v/>
      </c>
      <c r="AS321" s="50">
        <f>AS320+AS261*AS201*Seasonality!$E$47</f>
        <v/>
      </c>
      <c r="AT321" s="50">
        <f>AT320+AT261*AT201*Seasonality!$E$47</f>
        <v/>
      </c>
      <c r="AU321" s="50">
        <f>AU320+AU261*AU201*Seasonality!$E$47</f>
        <v/>
      </c>
      <c r="AV321" s="50">
        <f>AV320+AV261*AV201*Seasonality!$E$47</f>
        <v/>
      </c>
      <c r="AW321" s="50">
        <f>AW320+AW261*AW201*Seasonality!$E$47</f>
        <v/>
      </c>
      <c r="AX321" s="50">
        <f>AX320+AX261*AX201*Seasonality!$E$47</f>
        <v/>
      </c>
      <c r="AY321" s="50">
        <f>AY320+AY261*AY201*Seasonality!$E$47</f>
        <v/>
      </c>
      <c r="AZ321" s="50">
        <f>AZ320+AZ261*AZ201*Seasonality!$E$47</f>
        <v/>
      </c>
      <c r="BA321" s="50">
        <f>BA320+BA261*BA201*Seasonality!$E$47</f>
        <v/>
      </c>
      <c r="BB321" s="50">
        <f>BB320+BB261*BB201*Seasonality!$E$47</f>
        <v/>
      </c>
      <c r="BC321" s="50">
        <f>BC320+BC261*BC201*Seasonality!$E$47</f>
        <v/>
      </c>
      <c r="BD321" s="50">
        <f>BD320+BD261*BD201*Seasonality!$E$47</f>
        <v/>
      </c>
      <c r="BE321" s="50">
        <f>BE320+BE261*BE201*Seasonality!$E$47</f>
        <v/>
      </c>
    </row>
    <row r="322">
      <c r="B322" s="7" t="inlineStr">
        <is>
          <t>Cumulative discounted contribution · month 12</t>
        </is>
      </c>
      <c r="C322" s="5" t="inlineStr">
        <is>
          <t>₹</t>
        </is>
      </c>
      <c r="D322" s="50">
        <f>D321+D262*D202*Seasonality!$E$48</f>
        <v/>
      </c>
      <c r="E322" s="50">
        <f>E321+E262*E202*Seasonality!$E$48</f>
        <v/>
      </c>
      <c r="F322" s="50">
        <f>F321+F262*F202*Seasonality!$E$48</f>
        <v/>
      </c>
      <c r="G322" s="50">
        <f>G321+G262*G202*Seasonality!$E$48</f>
        <v/>
      </c>
      <c r="H322" s="50">
        <f>H321+H262*H202*Seasonality!$E$48</f>
        <v/>
      </c>
      <c r="I322" s="50">
        <f>I321+I262*I202*Seasonality!$E$48</f>
        <v/>
      </c>
      <c r="J322" s="50">
        <f>J321+J262*J202*Seasonality!$E$48</f>
        <v/>
      </c>
      <c r="K322" s="50">
        <f>K321+K262*K202*Seasonality!$E$48</f>
        <v/>
      </c>
      <c r="L322" s="50">
        <f>L321+L262*L202*Seasonality!$E$48</f>
        <v/>
      </c>
      <c r="M322" s="50">
        <f>M321+M262*M202*Seasonality!$E$48</f>
        <v/>
      </c>
      <c r="N322" s="50">
        <f>N321+N262*N202*Seasonality!$E$48</f>
        <v/>
      </c>
      <c r="O322" s="50">
        <f>O321+O262*O202*Seasonality!$E$48</f>
        <v/>
      </c>
      <c r="P322" s="50">
        <f>P321+P262*P202*Seasonality!$E$48</f>
        <v/>
      </c>
      <c r="Q322" s="50">
        <f>Q321+Q262*Q202*Seasonality!$E$48</f>
        <v/>
      </c>
      <c r="R322" s="50">
        <f>R321+R262*R202*Seasonality!$E$48</f>
        <v/>
      </c>
      <c r="S322" s="50">
        <f>S321+S262*S202*Seasonality!$E$48</f>
        <v/>
      </c>
      <c r="T322" s="50">
        <f>T321+T262*T202*Seasonality!$E$48</f>
        <v/>
      </c>
      <c r="U322" s="50">
        <f>U321+U262*U202*Seasonality!$E$48</f>
        <v/>
      </c>
      <c r="V322" s="50">
        <f>V321+V262*V202*Seasonality!$E$48</f>
        <v/>
      </c>
      <c r="W322" s="50">
        <f>W321+W262*W202*Seasonality!$E$48</f>
        <v/>
      </c>
      <c r="X322" s="50">
        <f>X321+X262*X202*Seasonality!$E$48</f>
        <v/>
      </c>
      <c r="Y322" s="50">
        <f>Y321+Y262*Y202*Seasonality!$E$48</f>
        <v/>
      </c>
      <c r="Z322" s="50">
        <f>Z321+Z262*Z202*Seasonality!$E$48</f>
        <v/>
      </c>
      <c r="AA322" s="50">
        <f>AA321+AA262*AA202*Seasonality!$E$48</f>
        <v/>
      </c>
      <c r="AB322" s="50">
        <f>AB321+AB262*AB202*Seasonality!$E$48</f>
        <v/>
      </c>
      <c r="AC322" s="50">
        <f>AC321+AC262*AC202*Seasonality!$E$48</f>
        <v/>
      </c>
      <c r="AD322" s="50">
        <f>AD321+AD262*AD202*Seasonality!$E$48</f>
        <v/>
      </c>
      <c r="AE322" s="50">
        <f>AE321+AE262*AE202*Seasonality!$E$48</f>
        <v/>
      </c>
      <c r="AF322" s="50">
        <f>AF321+AF262*AF202*Seasonality!$E$48</f>
        <v/>
      </c>
      <c r="AG322" s="50">
        <f>AG321+AG262*AG202*Seasonality!$E$48</f>
        <v/>
      </c>
      <c r="AH322" s="50">
        <f>AH321+AH262*AH202*Seasonality!$E$48</f>
        <v/>
      </c>
      <c r="AI322" s="50">
        <f>AI321+AI262*AI202*Seasonality!$E$48</f>
        <v/>
      </c>
      <c r="AJ322" s="50">
        <f>AJ321+AJ262*AJ202*Seasonality!$E$48</f>
        <v/>
      </c>
      <c r="AK322" s="50">
        <f>AK321+AK262*AK202*Seasonality!$E$48</f>
        <v/>
      </c>
      <c r="AL322" s="50">
        <f>AL321+AL262*AL202*Seasonality!$E$48</f>
        <v/>
      </c>
      <c r="AM322" s="50">
        <f>AM321+AM262*AM202*Seasonality!$E$48</f>
        <v/>
      </c>
      <c r="AN322" s="50">
        <f>AN321+AN262*AN202*Seasonality!$E$48</f>
        <v/>
      </c>
      <c r="AO322" s="50">
        <f>AO321+AO262*AO202*Seasonality!$E$48</f>
        <v/>
      </c>
      <c r="AP322" s="50">
        <f>AP321+AP262*AP202*Seasonality!$E$48</f>
        <v/>
      </c>
      <c r="AQ322" s="50">
        <f>AQ321+AQ262*AQ202*Seasonality!$E$48</f>
        <v/>
      </c>
      <c r="AR322" s="50">
        <f>AR321+AR262*AR202*Seasonality!$E$48</f>
        <v/>
      </c>
      <c r="AS322" s="50">
        <f>AS321+AS262*AS202*Seasonality!$E$48</f>
        <v/>
      </c>
      <c r="AT322" s="50">
        <f>AT321+AT262*AT202*Seasonality!$E$48</f>
        <v/>
      </c>
      <c r="AU322" s="50">
        <f>AU321+AU262*AU202*Seasonality!$E$48</f>
        <v/>
      </c>
      <c r="AV322" s="50">
        <f>AV321+AV262*AV202*Seasonality!$E$48</f>
        <v/>
      </c>
      <c r="AW322" s="50">
        <f>AW321+AW262*AW202*Seasonality!$E$48</f>
        <v/>
      </c>
      <c r="AX322" s="50">
        <f>AX321+AX262*AX202*Seasonality!$E$48</f>
        <v/>
      </c>
      <c r="AY322" s="50">
        <f>AY321+AY262*AY202*Seasonality!$E$48</f>
        <v/>
      </c>
      <c r="AZ322" s="50">
        <f>AZ321+AZ262*AZ202*Seasonality!$E$48</f>
        <v/>
      </c>
      <c r="BA322" s="50">
        <f>BA321+BA262*BA202*Seasonality!$E$48</f>
        <v/>
      </c>
      <c r="BB322" s="50">
        <f>BB321+BB262*BB202*Seasonality!$E$48</f>
        <v/>
      </c>
      <c r="BC322" s="50">
        <f>BC321+BC262*BC202*Seasonality!$E$48</f>
        <v/>
      </c>
      <c r="BD322" s="50">
        <f>BD321+BD262*BD202*Seasonality!$E$48</f>
        <v/>
      </c>
      <c r="BE322" s="50">
        <f>BE321+BE262*BE202*Seasonality!$E$48</f>
        <v/>
      </c>
    </row>
    <row r="323">
      <c r="B323" s="7" t="inlineStr">
        <is>
          <t>Cumulative discounted contribution · month 13</t>
        </is>
      </c>
      <c r="C323" s="5" t="inlineStr">
        <is>
          <t>₹</t>
        </is>
      </c>
      <c r="D323" s="50">
        <f>D322+D263*D203*Seasonality!$E$49</f>
        <v/>
      </c>
      <c r="E323" s="50">
        <f>E322+E263*E203*Seasonality!$E$49</f>
        <v/>
      </c>
      <c r="F323" s="50">
        <f>F322+F263*F203*Seasonality!$E$49</f>
        <v/>
      </c>
      <c r="G323" s="50">
        <f>G322+G263*G203*Seasonality!$E$49</f>
        <v/>
      </c>
      <c r="H323" s="50">
        <f>H322+H263*H203*Seasonality!$E$49</f>
        <v/>
      </c>
      <c r="I323" s="50">
        <f>I322+I263*I203*Seasonality!$E$49</f>
        <v/>
      </c>
      <c r="J323" s="50">
        <f>J322+J263*J203*Seasonality!$E$49</f>
        <v/>
      </c>
      <c r="K323" s="50">
        <f>K322+K263*K203*Seasonality!$E$49</f>
        <v/>
      </c>
      <c r="L323" s="50">
        <f>L322+L263*L203*Seasonality!$E$49</f>
        <v/>
      </c>
      <c r="M323" s="50">
        <f>M322+M263*M203*Seasonality!$E$49</f>
        <v/>
      </c>
      <c r="N323" s="50">
        <f>N322+N263*N203*Seasonality!$E$49</f>
        <v/>
      </c>
      <c r="O323" s="50">
        <f>O322+O263*O203*Seasonality!$E$49</f>
        <v/>
      </c>
      <c r="P323" s="50">
        <f>P322+P263*P203*Seasonality!$E$49</f>
        <v/>
      </c>
      <c r="Q323" s="50">
        <f>Q322+Q263*Q203*Seasonality!$E$49</f>
        <v/>
      </c>
      <c r="R323" s="50">
        <f>R322+R263*R203*Seasonality!$E$49</f>
        <v/>
      </c>
      <c r="S323" s="50">
        <f>S322+S263*S203*Seasonality!$E$49</f>
        <v/>
      </c>
      <c r="T323" s="50">
        <f>T322+T263*T203*Seasonality!$E$49</f>
        <v/>
      </c>
      <c r="U323" s="50">
        <f>U322+U263*U203*Seasonality!$E$49</f>
        <v/>
      </c>
      <c r="V323" s="50">
        <f>V322+V263*V203*Seasonality!$E$49</f>
        <v/>
      </c>
      <c r="W323" s="50">
        <f>W322+W263*W203*Seasonality!$E$49</f>
        <v/>
      </c>
      <c r="X323" s="50">
        <f>X322+X263*X203*Seasonality!$E$49</f>
        <v/>
      </c>
      <c r="Y323" s="50">
        <f>Y322+Y263*Y203*Seasonality!$E$49</f>
        <v/>
      </c>
      <c r="Z323" s="50">
        <f>Z322+Z263*Z203*Seasonality!$E$49</f>
        <v/>
      </c>
      <c r="AA323" s="50">
        <f>AA322+AA263*AA203*Seasonality!$E$49</f>
        <v/>
      </c>
      <c r="AB323" s="50">
        <f>AB322+AB263*AB203*Seasonality!$E$49</f>
        <v/>
      </c>
      <c r="AC323" s="50">
        <f>AC322+AC263*AC203*Seasonality!$E$49</f>
        <v/>
      </c>
      <c r="AD323" s="50">
        <f>AD322+AD263*AD203*Seasonality!$E$49</f>
        <v/>
      </c>
      <c r="AE323" s="50">
        <f>AE322+AE263*AE203*Seasonality!$E$49</f>
        <v/>
      </c>
      <c r="AF323" s="50">
        <f>AF322+AF263*AF203*Seasonality!$E$49</f>
        <v/>
      </c>
      <c r="AG323" s="50">
        <f>AG322+AG263*AG203*Seasonality!$E$49</f>
        <v/>
      </c>
      <c r="AH323" s="50">
        <f>AH322+AH263*AH203*Seasonality!$E$49</f>
        <v/>
      </c>
      <c r="AI323" s="50">
        <f>AI322+AI263*AI203*Seasonality!$E$49</f>
        <v/>
      </c>
      <c r="AJ323" s="50">
        <f>AJ322+AJ263*AJ203*Seasonality!$E$49</f>
        <v/>
      </c>
      <c r="AK323" s="50">
        <f>AK322+AK263*AK203*Seasonality!$E$49</f>
        <v/>
      </c>
      <c r="AL323" s="50">
        <f>AL322+AL263*AL203*Seasonality!$E$49</f>
        <v/>
      </c>
      <c r="AM323" s="50">
        <f>AM322+AM263*AM203*Seasonality!$E$49</f>
        <v/>
      </c>
      <c r="AN323" s="50">
        <f>AN322+AN263*AN203*Seasonality!$E$49</f>
        <v/>
      </c>
      <c r="AO323" s="50">
        <f>AO322+AO263*AO203*Seasonality!$E$49</f>
        <v/>
      </c>
      <c r="AP323" s="50">
        <f>AP322+AP263*AP203*Seasonality!$E$49</f>
        <v/>
      </c>
      <c r="AQ323" s="50">
        <f>AQ322+AQ263*AQ203*Seasonality!$E$49</f>
        <v/>
      </c>
      <c r="AR323" s="50">
        <f>AR322+AR263*AR203*Seasonality!$E$49</f>
        <v/>
      </c>
      <c r="AS323" s="50">
        <f>AS322+AS263*AS203*Seasonality!$E$49</f>
        <v/>
      </c>
      <c r="AT323" s="50">
        <f>AT322+AT263*AT203*Seasonality!$E$49</f>
        <v/>
      </c>
      <c r="AU323" s="50">
        <f>AU322+AU263*AU203*Seasonality!$E$49</f>
        <v/>
      </c>
      <c r="AV323" s="50">
        <f>AV322+AV263*AV203*Seasonality!$E$49</f>
        <v/>
      </c>
      <c r="AW323" s="50">
        <f>AW322+AW263*AW203*Seasonality!$E$49</f>
        <v/>
      </c>
      <c r="AX323" s="50">
        <f>AX322+AX263*AX203*Seasonality!$E$49</f>
        <v/>
      </c>
      <c r="AY323" s="50">
        <f>AY322+AY263*AY203*Seasonality!$E$49</f>
        <v/>
      </c>
      <c r="AZ323" s="50">
        <f>AZ322+AZ263*AZ203*Seasonality!$E$49</f>
        <v/>
      </c>
      <c r="BA323" s="50">
        <f>BA322+BA263*BA203*Seasonality!$E$49</f>
        <v/>
      </c>
      <c r="BB323" s="50">
        <f>BB322+BB263*BB203*Seasonality!$E$49</f>
        <v/>
      </c>
      <c r="BC323" s="50">
        <f>BC322+BC263*BC203*Seasonality!$E$49</f>
        <v/>
      </c>
      <c r="BD323" s="50">
        <f>BD322+BD263*BD203*Seasonality!$E$49</f>
        <v/>
      </c>
      <c r="BE323" s="50">
        <f>BE322+BE263*BE203*Seasonality!$E$49</f>
        <v/>
      </c>
    </row>
    <row r="324">
      <c r="B324" s="7" t="inlineStr">
        <is>
          <t>Cumulative discounted contribution · month 14</t>
        </is>
      </c>
      <c r="C324" s="5" t="inlineStr">
        <is>
          <t>₹</t>
        </is>
      </c>
      <c r="D324" s="50">
        <f>D323+D264*D204*Seasonality!$E$50</f>
        <v/>
      </c>
      <c r="E324" s="50">
        <f>E323+E264*E204*Seasonality!$E$50</f>
        <v/>
      </c>
      <c r="F324" s="50">
        <f>F323+F264*F204*Seasonality!$E$50</f>
        <v/>
      </c>
      <c r="G324" s="50">
        <f>G323+G264*G204*Seasonality!$E$50</f>
        <v/>
      </c>
      <c r="H324" s="50">
        <f>H323+H264*H204*Seasonality!$E$50</f>
        <v/>
      </c>
      <c r="I324" s="50">
        <f>I323+I264*I204*Seasonality!$E$50</f>
        <v/>
      </c>
      <c r="J324" s="50">
        <f>J323+J264*J204*Seasonality!$E$50</f>
        <v/>
      </c>
      <c r="K324" s="50">
        <f>K323+K264*K204*Seasonality!$E$50</f>
        <v/>
      </c>
      <c r="L324" s="50">
        <f>L323+L264*L204*Seasonality!$E$50</f>
        <v/>
      </c>
      <c r="M324" s="50">
        <f>M323+M264*M204*Seasonality!$E$50</f>
        <v/>
      </c>
      <c r="N324" s="50">
        <f>N323+N264*N204*Seasonality!$E$50</f>
        <v/>
      </c>
      <c r="O324" s="50">
        <f>O323+O264*O204*Seasonality!$E$50</f>
        <v/>
      </c>
      <c r="P324" s="50">
        <f>P323+P264*P204*Seasonality!$E$50</f>
        <v/>
      </c>
      <c r="Q324" s="50">
        <f>Q323+Q264*Q204*Seasonality!$E$50</f>
        <v/>
      </c>
      <c r="R324" s="50">
        <f>R323+R264*R204*Seasonality!$E$50</f>
        <v/>
      </c>
      <c r="S324" s="50">
        <f>S323+S264*S204*Seasonality!$E$50</f>
        <v/>
      </c>
      <c r="T324" s="50">
        <f>T323+T264*T204*Seasonality!$E$50</f>
        <v/>
      </c>
      <c r="U324" s="50">
        <f>U323+U264*U204*Seasonality!$E$50</f>
        <v/>
      </c>
      <c r="V324" s="50">
        <f>V323+V264*V204*Seasonality!$E$50</f>
        <v/>
      </c>
      <c r="W324" s="50">
        <f>W323+W264*W204*Seasonality!$E$50</f>
        <v/>
      </c>
      <c r="X324" s="50">
        <f>X323+X264*X204*Seasonality!$E$50</f>
        <v/>
      </c>
      <c r="Y324" s="50">
        <f>Y323+Y264*Y204*Seasonality!$E$50</f>
        <v/>
      </c>
      <c r="Z324" s="50">
        <f>Z323+Z264*Z204*Seasonality!$E$50</f>
        <v/>
      </c>
      <c r="AA324" s="50">
        <f>AA323+AA264*AA204*Seasonality!$E$50</f>
        <v/>
      </c>
      <c r="AB324" s="50">
        <f>AB323+AB264*AB204*Seasonality!$E$50</f>
        <v/>
      </c>
      <c r="AC324" s="50">
        <f>AC323+AC264*AC204*Seasonality!$E$50</f>
        <v/>
      </c>
      <c r="AD324" s="50">
        <f>AD323+AD264*AD204*Seasonality!$E$50</f>
        <v/>
      </c>
      <c r="AE324" s="50">
        <f>AE323+AE264*AE204*Seasonality!$E$50</f>
        <v/>
      </c>
      <c r="AF324" s="50">
        <f>AF323+AF264*AF204*Seasonality!$E$50</f>
        <v/>
      </c>
      <c r="AG324" s="50">
        <f>AG323+AG264*AG204*Seasonality!$E$50</f>
        <v/>
      </c>
      <c r="AH324" s="50">
        <f>AH323+AH264*AH204*Seasonality!$E$50</f>
        <v/>
      </c>
      <c r="AI324" s="50">
        <f>AI323+AI264*AI204*Seasonality!$E$50</f>
        <v/>
      </c>
      <c r="AJ324" s="50">
        <f>AJ323+AJ264*AJ204*Seasonality!$E$50</f>
        <v/>
      </c>
      <c r="AK324" s="50">
        <f>AK323+AK264*AK204*Seasonality!$E$50</f>
        <v/>
      </c>
      <c r="AL324" s="50">
        <f>AL323+AL264*AL204*Seasonality!$E$50</f>
        <v/>
      </c>
      <c r="AM324" s="50">
        <f>AM323+AM264*AM204*Seasonality!$E$50</f>
        <v/>
      </c>
      <c r="AN324" s="50">
        <f>AN323+AN264*AN204*Seasonality!$E$50</f>
        <v/>
      </c>
      <c r="AO324" s="50">
        <f>AO323+AO264*AO204*Seasonality!$E$50</f>
        <v/>
      </c>
      <c r="AP324" s="50">
        <f>AP323+AP264*AP204*Seasonality!$E$50</f>
        <v/>
      </c>
      <c r="AQ324" s="50">
        <f>AQ323+AQ264*AQ204*Seasonality!$E$50</f>
        <v/>
      </c>
      <c r="AR324" s="50">
        <f>AR323+AR264*AR204*Seasonality!$E$50</f>
        <v/>
      </c>
      <c r="AS324" s="50">
        <f>AS323+AS264*AS204*Seasonality!$E$50</f>
        <v/>
      </c>
      <c r="AT324" s="50">
        <f>AT323+AT264*AT204*Seasonality!$E$50</f>
        <v/>
      </c>
      <c r="AU324" s="50">
        <f>AU323+AU264*AU204*Seasonality!$E$50</f>
        <v/>
      </c>
      <c r="AV324" s="50">
        <f>AV323+AV264*AV204*Seasonality!$E$50</f>
        <v/>
      </c>
      <c r="AW324" s="50">
        <f>AW323+AW264*AW204*Seasonality!$E$50</f>
        <v/>
      </c>
      <c r="AX324" s="50">
        <f>AX323+AX264*AX204*Seasonality!$E$50</f>
        <v/>
      </c>
      <c r="AY324" s="50">
        <f>AY323+AY264*AY204*Seasonality!$E$50</f>
        <v/>
      </c>
      <c r="AZ324" s="50">
        <f>AZ323+AZ264*AZ204*Seasonality!$E$50</f>
        <v/>
      </c>
      <c r="BA324" s="50">
        <f>BA323+BA264*BA204*Seasonality!$E$50</f>
        <v/>
      </c>
      <c r="BB324" s="50">
        <f>BB323+BB264*BB204*Seasonality!$E$50</f>
        <v/>
      </c>
      <c r="BC324" s="50">
        <f>BC323+BC264*BC204*Seasonality!$E$50</f>
        <v/>
      </c>
      <c r="BD324" s="50">
        <f>BD323+BD264*BD204*Seasonality!$E$50</f>
        <v/>
      </c>
      <c r="BE324" s="50">
        <f>BE323+BE264*BE204*Seasonality!$E$50</f>
        <v/>
      </c>
    </row>
    <row r="325">
      <c r="B325" s="7" t="inlineStr">
        <is>
          <t>Cumulative discounted contribution · month 15</t>
        </is>
      </c>
      <c r="C325" s="5" t="inlineStr">
        <is>
          <t>₹</t>
        </is>
      </c>
      <c r="D325" s="50">
        <f>D324+D265*D205*Seasonality!$E$51</f>
        <v/>
      </c>
      <c r="E325" s="50">
        <f>E324+E265*E205*Seasonality!$E$51</f>
        <v/>
      </c>
      <c r="F325" s="50">
        <f>F324+F265*F205*Seasonality!$E$51</f>
        <v/>
      </c>
      <c r="G325" s="50">
        <f>G324+G265*G205*Seasonality!$E$51</f>
        <v/>
      </c>
      <c r="H325" s="50">
        <f>H324+H265*H205*Seasonality!$E$51</f>
        <v/>
      </c>
      <c r="I325" s="50">
        <f>I324+I265*I205*Seasonality!$E$51</f>
        <v/>
      </c>
      <c r="J325" s="50">
        <f>J324+J265*J205*Seasonality!$E$51</f>
        <v/>
      </c>
      <c r="K325" s="50">
        <f>K324+K265*K205*Seasonality!$E$51</f>
        <v/>
      </c>
      <c r="L325" s="50">
        <f>L324+L265*L205*Seasonality!$E$51</f>
        <v/>
      </c>
      <c r="M325" s="50">
        <f>M324+M265*M205*Seasonality!$E$51</f>
        <v/>
      </c>
      <c r="N325" s="50">
        <f>N324+N265*N205*Seasonality!$E$51</f>
        <v/>
      </c>
      <c r="O325" s="50">
        <f>O324+O265*O205*Seasonality!$E$51</f>
        <v/>
      </c>
      <c r="P325" s="50">
        <f>P324+P265*P205*Seasonality!$E$51</f>
        <v/>
      </c>
      <c r="Q325" s="50">
        <f>Q324+Q265*Q205*Seasonality!$E$51</f>
        <v/>
      </c>
      <c r="R325" s="50">
        <f>R324+R265*R205*Seasonality!$E$51</f>
        <v/>
      </c>
      <c r="S325" s="50">
        <f>S324+S265*S205*Seasonality!$E$51</f>
        <v/>
      </c>
      <c r="T325" s="50">
        <f>T324+T265*T205*Seasonality!$E$51</f>
        <v/>
      </c>
      <c r="U325" s="50">
        <f>U324+U265*U205*Seasonality!$E$51</f>
        <v/>
      </c>
      <c r="V325" s="50">
        <f>V324+V265*V205*Seasonality!$E$51</f>
        <v/>
      </c>
      <c r="W325" s="50">
        <f>W324+W265*W205*Seasonality!$E$51</f>
        <v/>
      </c>
      <c r="X325" s="50">
        <f>X324+X265*X205*Seasonality!$E$51</f>
        <v/>
      </c>
      <c r="Y325" s="50">
        <f>Y324+Y265*Y205*Seasonality!$E$51</f>
        <v/>
      </c>
      <c r="Z325" s="50">
        <f>Z324+Z265*Z205*Seasonality!$E$51</f>
        <v/>
      </c>
      <c r="AA325" s="50">
        <f>AA324+AA265*AA205*Seasonality!$E$51</f>
        <v/>
      </c>
      <c r="AB325" s="50">
        <f>AB324+AB265*AB205*Seasonality!$E$51</f>
        <v/>
      </c>
      <c r="AC325" s="50">
        <f>AC324+AC265*AC205*Seasonality!$E$51</f>
        <v/>
      </c>
      <c r="AD325" s="50">
        <f>AD324+AD265*AD205*Seasonality!$E$51</f>
        <v/>
      </c>
      <c r="AE325" s="50">
        <f>AE324+AE265*AE205*Seasonality!$E$51</f>
        <v/>
      </c>
      <c r="AF325" s="50">
        <f>AF324+AF265*AF205*Seasonality!$E$51</f>
        <v/>
      </c>
      <c r="AG325" s="50">
        <f>AG324+AG265*AG205*Seasonality!$E$51</f>
        <v/>
      </c>
      <c r="AH325" s="50">
        <f>AH324+AH265*AH205*Seasonality!$E$51</f>
        <v/>
      </c>
      <c r="AI325" s="50">
        <f>AI324+AI265*AI205*Seasonality!$E$51</f>
        <v/>
      </c>
      <c r="AJ325" s="50">
        <f>AJ324+AJ265*AJ205*Seasonality!$E$51</f>
        <v/>
      </c>
      <c r="AK325" s="50">
        <f>AK324+AK265*AK205*Seasonality!$E$51</f>
        <v/>
      </c>
      <c r="AL325" s="50">
        <f>AL324+AL265*AL205*Seasonality!$E$51</f>
        <v/>
      </c>
      <c r="AM325" s="50">
        <f>AM324+AM265*AM205*Seasonality!$E$51</f>
        <v/>
      </c>
      <c r="AN325" s="50">
        <f>AN324+AN265*AN205*Seasonality!$E$51</f>
        <v/>
      </c>
      <c r="AO325" s="50">
        <f>AO324+AO265*AO205*Seasonality!$E$51</f>
        <v/>
      </c>
      <c r="AP325" s="50">
        <f>AP324+AP265*AP205*Seasonality!$E$51</f>
        <v/>
      </c>
      <c r="AQ325" s="50">
        <f>AQ324+AQ265*AQ205*Seasonality!$E$51</f>
        <v/>
      </c>
      <c r="AR325" s="50">
        <f>AR324+AR265*AR205*Seasonality!$E$51</f>
        <v/>
      </c>
      <c r="AS325" s="50">
        <f>AS324+AS265*AS205*Seasonality!$E$51</f>
        <v/>
      </c>
      <c r="AT325" s="50">
        <f>AT324+AT265*AT205*Seasonality!$E$51</f>
        <v/>
      </c>
      <c r="AU325" s="50">
        <f>AU324+AU265*AU205*Seasonality!$E$51</f>
        <v/>
      </c>
      <c r="AV325" s="50">
        <f>AV324+AV265*AV205*Seasonality!$E$51</f>
        <v/>
      </c>
      <c r="AW325" s="50">
        <f>AW324+AW265*AW205*Seasonality!$E$51</f>
        <v/>
      </c>
      <c r="AX325" s="50">
        <f>AX324+AX265*AX205*Seasonality!$E$51</f>
        <v/>
      </c>
      <c r="AY325" s="50">
        <f>AY324+AY265*AY205*Seasonality!$E$51</f>
        <v/>
      </c>
      <c r="AZ325" s="50">
        <f>AZ324+AZ265*AZ205*Seasonality!$E$51</f>
        <v/>
      </c>
      <c r="BA325" s="50">
        <f>BA324+BA265*BA205*Seasonality!$E$51</f>
        <v/>
      </c>
      <c r="BB325" s="50">
        <f>BB324+BB265*BB205*Seasonality!$E$51</f>
        <v/>
      </c>
      <c r="BC325" s="50">
        <f>BC324+BC265*BC205*Seasonality!$E$51</f>
        <v/>
      </c>
      <c r="BD325" s="50">
        <f>BD324+BD265*BD205*Seasonality!$E$51</f>
        <v/>
      </c>
      <c r="BE325" s="50">
        <f>BE324+BE265*BE205*Seasonality!$E$51</f>
        <v/>
      </c>
    </row>
    <row r="326">
      <c r="B326" s="7" t="inlineStr">
        <is>
          <t>Cumulative discounted contribution · month 16</t>
        </is>
      </c>
      <c r="C326" s="5" t="inlineStr">
        <is>
          <t>₹</t>
        </is>
      </c>
      <c r="D326" s="50">
        <f>D325+D266*D206*Seasonality!$E$52</f>
        <v/>
      </c>
      <c r="E326" s="50">
        <f>E325+E266*E206*Seasonality!$E$52</f>
        <v/>
      </c>
      <c r="F326" s="50">
        <f>F325+F266*F206*Seasonality!$E$52</f>
        <v/>
      </c>
      <c r="G326" s="50">
        <f>G325+G266*G206*Seasonality!$E$52</f>
        <v/>
      </c>
      <c r="H326" s="50">
        <f>H325+H266*H206*Seasonality!$E$52</f>
        <v/>
      </c>
      <c r="I326" s="50">
        <f>I325+I266*I206*Seasonality!$E$52</f>
        <v/>
      </c>
      <c r="J326" s="50">
        <f>J325+J266*J206*Seasonality!$E$52</f>
        <v/>
      </c>
      <c r="K326" s="50">
        <f>K325+K266*K206*Seasonality!$E$52</f>
        <v/>
      </c>
      <c r="L326" s="50">
        <f>L325+L266*L206*Seasonality!$E$52</f>
        <v/>
      </c>
      <c r="M326" s="50">
        <f>M325+M266*M206*Seasonality!$E$52</f>
        <v/>
      </c>
      <c r="N326" s="50">
        <f>N325+N266*N206*Seasonality!$E$52</f>
        <v/>
      </c>
      <c r="O326" s="50">
        <f>O325+O266*O206*Seasonality!$E$52</f>
        <v/>
      </c>
      <c r="P326" s="50">
        <f>P325+P266*P206*Seasonality!$E$52</f>
        <v/>
      </c>
      <c r="Q326" s="50">
        <f>Q325+Q266*Q206*Seasonality!$E$52</f>
        <v/>
      </c>
      <c r="R326" s="50">
        <f>R325+R266*R206*Seasonality!$E$52</f>
        <v/>
      </c>
      <c r="S326" s="50">
        <f>S325+S266*S206*Seasonality!$E$52</f>
        <v/>
      </c>
      <c r="T326" s="50">
        <f>T325+T266*T206*Seasonality!$E$52</f>
        <v/>
      </c>
      <c r="U326" s="50">
        <f>U325+U266*U206*Seasonality!$E$52</f>
        <v/>
      </c>
      <c r="V326" s="50">
        <f>V325+V266*V206*Seasonality!$E$52</f>
        <v/>
      </c>
      <c r="W326" s="50">
        <f>W325+W266*W206*Seasonality!$E$52</f>
        <v/>
      </c>
      <c r="X326" s="50">
        <f>X325+X266*X206*Seasonality!$E$52</f>
        <v/>
      </c>
      <c r="Y326" s="50">
        <f>Y325+Y266*Y206*Seasonality!$E$52</f>
        <v/>
      </c>
      <c r="Z326" s="50">
        <f>Z325+Z266*Z206*Seasonality!$E$52</f>
        <v/>
      </c>
      <c r="AA326" s="50">
        <f>AA325+AA266*AA206*Seasonality!$E$52</f>
        <v/>
      </c>
      <c r="AB326" s="50">
        <f>AB325+AB266*AB206*Seasonality!$E$52</f>
        <v/>
      </c>
      <c r="AC326" s="50">
        <f>AC325+AC266*AC206*Seasonality!$E$52</f>
        <v/>
      </c>
      <c r="AD326" s="50">
        <f>AD325+AD266*AD206*Seasonality!$E$52</f>
        <v/>
      </c>
      <c r="AE326" s="50">
        <f>AE325+AE266*AE206*Seasonality!$E$52</f>
        <v/>
      </c>
      <c r="AF326" s="50">
        <f>AF325+AF266*AF206*Seasonality!$E$52</f>
        <v/>
      </c>
      <c r="AG326" s="50">
        <f>AG325+AG266*AG206*Seasonality!$E$52</f>
        <v/>
      </c>
      <c r="AH326" s="50">
        <f>AH325+AH266*AH206*Seasonality!$E$52</f>
        <v/>
      </c>
      <c r="AI326" s="50">
        <f>AI325+AI266*AI206*Seasonality!$E$52</f>
        <v/>
      </c>
      <c r="AJ326" s="50">
        <f>AJ325+AJ266*AJ206*Seasonality!$E$52</f>
        <v/>
      </c>
      <c r="AK326" s="50">
        <f>AK325+AK266*AK206*Seasonality!$E$52</f>
        <v/>
      </c>
      <c r="AL326" s="50">
        <f>AL325+AL266*AL206*Seasonality!$E$52</f>
        <v/>
      </c>
      <c r="AM326" s="50">
        <f>AM325+AM266*AM206*Seasonality!$E$52</f>
        <v/>
      </c>
      <c r="AN326" s="50">
        <f>AN325+AN266*AN206*Seasonality!$E$52</f>
        <v/>
      </c>
      <c r="AO326" s="50">
        <f>AO325+AO266*AO206*Seasonality!$E$52</f>
        <v/>
      </c>
      <c r="AP326" s="50">
        <f>AP325+AP266*AP206*Seasonality!$E$52</f>
        <v/>
      </c>
      <c r="AQ326" s="50">
        <f>AQ325+AQ266*AQ206*Seasonality!$E$52</f>
        <v/>
      </c>
      <c r="AR326" s="50">
        <f>AR325+AR266*AR206*Seasonality!$E$52</f>
        <v/>
      </c>
      <c r="AS326" s="50">
        <f>AS325+AS266*AS206*Seasonality!$E$52</f>
        <v/>
      </c>
      <c r="AT326" s="50">
        <f>AT325+AT266*AT206*Seasonality!$E$52</f>
        <v/>
      </c>
      <c r="AU326" s="50">
        <f>AU325+AU266*AU206*Seasonality!$E$52</f>
        <v/>
      </c>
      <c r="AV326" s="50">
        <f>AV325+AV266*AV206*Seasonality!$E$52</f>
        <v/>
      </c>
      <c r="AW326" s="50">
        <f>AW325+AW266*AW206*Seasonality!$E$52</f>
        <v/>
      </c>
      <c r="AX326" s="50">
        <f>AX325+AX266*AX206*Seasonality!$E$52</f>
        <v/>
      </c>
      <c r="AY326" s="50">
        <f>AY325+AY266*AY206*Seasonality!$E$52</f>
        <v/>
      </c>
      <c r="AZ326" s="50">
        <f>AZ325+AZ266*AZ206*Seasonality!$E$52</f>
        <v/>
      </c>
      <c r="BA326" s="50">
        <f>BA325+BA266*BA206*Seasonality!$E$52</f>
        <v/>
      </c>
      <c r="BB326" s="50">
        <f>BB325+BB266*BB206*Seasonality!$E$52</f>
        <v/>
      </c>
      <c r="BC326" s="50">
        <f>BC325+BC266*BC206*Seasonality!$E$52</f>
        <v/>
      </c>
      <c r="BD326" s="50">
        <f>BD325+BD266*BD206*Seasonality!$E$52</f>
        <v/>
      </c>
      <c r="BE326" s="50">
        <f>BE325+BE266*BE206*Seasonality!$E$52</f>
        <v/>
      </c>
    </row>
    <row r="327">
      <c r="B327" s="7" t="inlineStr">
        <is>
          <t>Cumulative discounted contribution · month 17</t>
        </is>
      </c>
      <c r="C327" s="5" t="inlineStr">
        <is>
          <t>₹</t>
        </is>
      </c>
      <c r="D327" s="50">
        <f>D326+D267*D207*Seasonality!$E$53</f>
        <v/>
      </c>
      <c r="E327" s="50">
        <f>E326+E267*E207*Seasonality!$E$53</f>
        <v/>
      </c>
      <c r="F327" s="50">
        <f>F326+F267*F207*Seasonality!$E$53</f>
        <v/>
      </c>
      <c r="G327" s="50">
        <f>G326+G267*G207*Seasonality!$E$53</f>
        <v/>
      </c>
      <c r="H327" s="50">
        <f>H326+H267*H207*Seasonality!$E$53</f>
        <v/>
      </c>
      <c r="I327" s="50">
        <f>I326+I267*I207*Seasonality!$E$53</f>
        <v/>
      </c>
      <c r="J327" s="50">
        <f>J326+J267*J207*Seasonality!$E$53</f>
        <v/>
      </c>
      <c r="K327" s="50">
        <f>K326+K267*K207*Seasonality!$E$53</f>
        <v/>
      </c>
      <c r="L327" s="50">
        <f>L326+L267*L207*Seasonality!$E$53</f>
        <v/>
      </c>
      <c r="M327" s="50">
        <f>M326+M267*M207*Seasonality!$E$53</f>
        <v/>
      </c>
      <c r="N327" s="50">
        <f>N326+N267*N207*Seasonality!$E$53</f>
        <v/>
      </c>
      <c r="O327" s="50">
        <f>O326+O267*O207*Seasonality!$E$53</f>
        <v/>
      </c>
      <c r="P327" s="50">
        <f>P326+P267*P207*Seasonality!$E$53</f>
        <v/>
      </c>
      <c r="Q327" s="50">
        <f>Q326+Q267*Q207*Seasonality!$E$53</f>
        <v/>
      </c>
      <c r="R327" s="50">
        <f>R326+R267*R207*Seasonality!$E$53</f>
        <v/>
      </c>
      <c r="S327" s="50">
        <f>S326+S267*S207*Seasonality!$E$53</f>
        <v/>
      </c>
      <c r="T327" s="50">
        <f>T326+T267*T207*Seasonality!$E$53</f>
        <v/>
      </c>
      <c r="U327" s="50">
        <f>U326+U267*U207*Seasonality!$E$53</f>
        <v/>
      </c>
      <c r="V327" s="50">
        <f>V326+V267*V207*Seasonality!$E$53</f>
        <v/>
      </c>
      <c r="W327" s="50">
        <f>W326+W267*W207*Seasonality!$E$53</f>
        <v/>
      </c>
      <c r="X327" s="50">
        <f>X326+X267*X207*Seasonality!$E$53</f>
        <v/>
      </c>
      <c r="Y327" s="50">
        <f>Y326+Y267*Y207*Seasonality!$E$53</f>
        <v/>
      </c>
      <c r="Z327" s="50">
        <f>Z326+Z267*Z207*Seasonality!$E$53</f>
        <v/>
      </c>
      <c r="AA327" s="50">
        <f>AA326+AA267*AA207*Seasonality!$E$53</f>
        <v/>
      </c>
      <c r="AB327" s="50">
        <f>AB326+AB267*AB207*Seasonality!$E$53</f>
        <v/>
      </c>
      <c r="AC327" s="50">
        <f>AC326+AC267*AC207*Seasonality!$E$53</f>
        <v/>
      </c>
      <c r="AD327" s="50">
        <f>AD326+AD267*AD207*Seasonality!$E$53</f>
        <v/>
      </c>
      <c r="AE327" s="50">
        <f>AE326+AE267*AE207*Seasonality!$E$53</f>
        <v/>
      </c>
      <c r="AF327" s="50">
        <f>AF326+AF267*AF207*Seasonality!$E$53</f>
        <v/>
      </c>
      <c r="AG327" s="50">
        <f>AG326+AG267*AG207*Seasonality!$E$53</f>
        <v/>
      </c>
      <c r="AH327" s="50">
        <f>AH326+AH267*AH207*Seasonality!$E$53</f>
        <v/>
      </c>
      <c r="AI327" s="50">
        <f>AI326+AI267*AI207*Seasonality!$E$53</f>
        <v/>
      </c>
      <c r="AJ327" s="50">
        <f>AJ326+AJ267*AJ207*Seasonality!$E$53</f>
        <v/>
      </c>
      <c r="AK327" s="50">
        <f>AK326+AK267*AK207*Seasonality!$E$53</f>
        <v/>
      </c>
      <c r="AL327" s="50">
        <f>AL326+AL267*AL207*Seasonality!$E$53</f>
        <v/>
      </c>
      <c r="AM327" s="50">
        <f>AM326+AM267*AM207*Seasonality!$E$53</f>
        <v/>
      </c>
      <c r="AN327" s="50">
        <f>AN326+AN267*AN207*Seasonality!$E$53</f>
        <v/>
      </c>
      <c r="AO327" s="50">
        <f>AO326+AO267*AO207*Seasonality!$E$53</f>
        <v/>
      </c>
      <c r="AP327" s="50">
        <f>AP326+AP267*AP207*Seasonality!$E$53</f>
        <v/>
      </c>
      <c r="AQ327" s="50">
        <f>AQ326+AQ267*AQ207*Seasonality!$E$53</f>
        <v/>
      </c>
      <c r="AR327" s="50">
        <f>AR326+AR267*AR207*Seasonality!$E$53</f>
        <v/>
      </c>
      <c r="AS327" s="50">
        <f>AS326+AS267*AS207*Seasonality!$E$53</f>
        <v/>
      </c>
      <c r="AT327" s="50">
        <f>AT326+AT267*AT207*Seasonality!$E$53</f>
        <v/>
      </c>
      <c r="AU327" s="50">
        <f>AU326+AU267*AU207*Seasonality!$E$53</f>
        <v/>
      </c>
      <c r="AV327" s="50">
        <f>AV326+AV267*AV207*Seasonality!$E$53</f>
        <v/>
      </c>
      <c r="AW327" s="50">
        <f>AW326+AW267*AW207*Seasonality!$E$53</f>
        <v/>
      </c>
      <c r="AX327" s="50">
        <f>AX326+AX267*AX207*Seasonality!$E$53</f>
        <v/>
      </c>
      <c r="AY327" s="50">
        <f>AY326+AY267*AY207*Seasonality!$E$53</f>
        <v/>
      </c>
      <c r="AZ327" s="50">
        <f>AZ326+AZ267*AZ207*Seasonality!$E$53</f>
        <v/>
      </c>
      <c r="BA327" s="50">
        <f>BA326+BA267*BA207*Seasonality!$E$53</f>
        <v/>
      </c>
      <c r="BB327" s="50">
        <f>BB326+BB267*BB207*Seasonality!$E$53</f>
        <v/>
      </c>
      <c r="BC327" s="50">
        <f>BC326+BC267*BC207*Seasonality!$E$53</f>
        <v/>
      </c>
      <c r="BD327" s="50">
        <f>BD326+BD267*BD207*Seasonality!$E$53</f>
        <v/>
      </c>
      <c r="BE327" s="50">
        <f>BE326+BE267*BE207*Seasonality!$E$53</f>
        <v/>
      </c>
    </row>
    <row r="328">
      <c r="B328" s="7" t="inlineStr">
        <is>
          <t>Cumulative discounted contribution · month 18</t>
        </is>
      </c>
      <c r="C328" s="5" t="inlineStr">
        <is>
          <t>₹</t>
        </is>
      </c>
      <c r="D328" s="50">
        <f>D327+D268*D208*Seasonality!$E$54</f>
        <v/>
      </c>
      <c r="E328" s="50">
        <f>E327+E268*E208*Seasonality!$E$54</f>
        <v/>
      </c>
      <c r="F328" s="50">
        <f>F327+F268*F208*Seasonality!$E$54</f>
        <v/>
      </c>
      <c r="G328" s="50">
        <f>G327+G268*G208*Seasonality!$E$54</f>
        <v/>
      </c>
      <c r="H328" s="50">
        <f>H327+H268*H208*Seasonality!$E$54</f>
        <v/>
      </c>
      <c r="I328" s="50">
        <f>I327+I268*I208*Seasonality!$E$54</f>
        <v/>
      </c>
      <c r="J328" s="50">
        <f>J327+J268*J208*Seasonality!$E$54</f>
        <v/>
      </c>
      <c r="K328" s="50">
        <f>K327+K268*K208*Seasonality!$E$54</f>
        <v/>
      </c>
      <c r="L328" s="50">
        <f>L327+L268*L208*Seasonality!$E$54</f>
        <v/>
      </c>
      <c r="M328" s="50">
        <f>M327+M268*M208*Seasonality!$E$54</f>
        <v/>
      </c>
      <c r="N328" s="50">
        <f>N327+N268*N208*Seasonality!$E$54</f>
        <v/>
      </c>
      <c r="O328" s="50">
        <f>O327+O268*O208*Seasonality!$E$54</f>
        <v/>
      </c>
      <c r="P328" s="50">
        <f>P327+P268*P208*Seasonality!$E$54</f>
        <v/>
      </c>
      <c r="Q328" s="50">
        <f>Q327+Q268*Q208*Seasonality!$E$54</f>
        <v/>
      </c>
      <c r="R328" s="50">
        <f>R327+R268*R208*Seasonality!$E$54</f>
        <v/>
      </c>
      <c r="S328" s="50">
        <f>S327+S268*S208*Seasonality!$E$54</f>
        <v/>
      </c>
      <c r="T328" s="50">
        <f>T327+T268*T208*Seasonality!$E$54</f>
        <v/>
      </c>
      <c r="U328" s="50">
        <f>U327+U268*U208*Seasonality!$E$54</f>
        <v/>
      </c>
      <c r="V328" s="50">
        <f>V327+V268*V208*Seasonality!$E$54</f>
        <v/>
      </c>
      <c r="W328" s="50">
        <f>W327+W268*W208*Seasonality!$E$54</f>
        <v/>
      </c>
      <c r="X328" s="50">
        <f>X327+X268*X208*Seasonality!$E$54</f>
        <v/>
      </c>
      <c r="Y328" s="50">
        <f>Y327+Y268*Y208*Seasonality!$E$54</f>
        <v/>
      </c>
      <c r="Z328" s="50">
        <f>Z327+Z268*Z208*Seasonality!$E$54</f>
        <v/>
      </c>
      <c r="AA328" s="50">
        <f>AA327+AA268*AA208*Seasonality!$E$54</f>
        <v/>
      </c>
      <c r="AB328" s="50">
        <f>AB327+AB268*AB208*Seasonality!$E$54</f>
        <v/>
      </c>
      <c r="AC328" s="50">
        <f>AC327+AC268*AC208*Seasonality!$E$54</f>
        <v/>
      </c>
      <c r="AD328" s="50">
        <f>AD327+AD268*AD208*Seasonality!$E$54</f>
        <v/>
      </c>
      <c r="AE328" s="50">
        <f>AE327+AE268*AE208*Seasonality!$E$54</f>
        <v/>
      </c>
      <c r="AF328" s="50">
        <f>AF327+AF268*AF208*Seasonality!$E$54</f>
        <v/>
      </c>
      <c r="AG328" s="50">
        <f>AG327+AG268*AG208*Seasonality!$E$54</f>
        <v/>
      </c>
      <c r="AH328" s="50">
        <f>AH327+AH268*AH208*Seasonality!$E$54</f>
        <v/>
      </c>
      <c r="AI328" s="50">
        <f>AI327+AI268*AI208*Seasonality!$E$54</f>
        <v/>
      </c>
      <c r="AJ328" s="50">
        <f>AJ327+AJ268*AJ208*Seasonality!$E$54</f>
        <v/>
      </c>
      <c r="AK328" s="50">
        <f>AK327+AK268*AK208*Seasonality!$E$54</f>
        <v/>
      </c>
      <c r="AL328" s="50">
        <f>AL327+AL268*AL208*Seasonality!$E$54</f>
        <v/>
      </c>
      <c r="AM328" s="50">
        <f>AM327+AM268*AM208*Seasonality!$E$54</f>
        <v/>
      </c>
      <c r="AN328" s="50">
        <f>AN327+AN268*AN208*Seasonality!$E$54</f>
        <v/>
      </c>
      <c r="AO328" s="50">
        <f>AO327+AO268*AO208*Seasonality!$E$54</f>
        <v/>
      </c>
      <c r="AP328" s="50">
        <f>AP327+AP268*AP208*Seasonality!$E$54</f>
        <v/>
      </c>
      <c r="AQ328" s="50">
        <f>AQ327+AQ268*AQ208*Seasonality!$E$54</f>
        <v/>
      </c>
      <c r="AR328" s="50">
        <f>AR327+AR268*AR208*Seasonality!$E$54</f>
        <v/>
      </c>
      <c r="AS328" s="50">
        <f>AS327+AS268*AS208*Seasonality!$E$54</f>
        <v/>
      </c>
      <c r="AT328" s="50">
        <f>AT327+AT268*AT208*Seasonality!$E$54</f>
        <v/>
      </c>
      <c r="AU328" s="50">
        <f>AU327+AU268*AU208*Seasonality!$E$54</f>
        <v/>
      </c>
      <c r="AV328" s="50">
        <f>AV327+AV268*AV208*Seasonality!$E$54</f>
        <v/>
      </c>
      <c r="AW328" s="50">
        <f>AW327+AW268*AW208*Seasonality!$E$54</f>
        <v/>
      </c>
      <c r="AX328" s="50">
        <f>AX327+AX268*AX208*Seasonality!$E$54</f>
        <v/>
      </c>
      <c r="AY328" s="50">
        <f>AY327+AY268*AY208*Seasonality!$E$54</f>
        <v/>
      </c>
      <c r="AZ328" s="50">
        <f>AZ327+AZ268*AZ208*Seasonality!$E$54</f>
        <v/>
      </c>
      <c r="BA328" s="50">
        <f>BA327+BA268*BA208*Seasonality!$E$54</f>
        <v/>
      </c>
      <c r="BB328" s="50">
        <f>BB327+BB268*BB208*Seasonality!$E$54</f>
        <v/>
      </c>
      <c r="BC328" s="50">
        <f>BC327+BC268*BC208*Seasonality!$E$54</f>
        <v/>
      </c>
      <c r="BD328" s="50">
        <f>BD327+BD268*BD208*Seasonality!$E$54</f>
        <v/>
      </c>
      <c r="BE328" s="50">
        <f>BE327+BE268*BE208*Seasonality!$E$54</f>
        <v/>
      </c>
    </row>
    <row r="329">
      <c r="B329" s="7" t="inlineStr">
        <is>
          <t>Cumulative discounted contribution · month 19</t>
        </is>
      </c>
      <c r="C329" s="5" t="inlineStr">
        <is>
          <t>₹</t>
        </is>
      </c>
      <c r="D329" s="50">
        <f>D328+D269*D209*Seasonality!$E$55</f>
        <v/>
      </c>
      <c r="E329" s="50">
        <f>E328+E269*E209*Seasonality!$E$55</f>
        <v/>
      </c>
      <c r="F329" s="50">
        <f>F328+F269*F209*Seasonality!$E$55</f>
        <v/>
      </c>
      <c r="G329" s="50">
        <f>G328+G269*G209*Seasonality!$E$55</f>
        <v/>
      </c>
      <c r="H329" s="50">
        <f>H328+H269*H209*Seasonality!$E$55</f>
        <v/>
      </c>
      <c r="I329" s="50">
        <f>I328+I269*I209*Seasonality!$E$55</f>
        <v/>
      </c>
      <c r="J329" s="50">
        <f>J328+J269*J209*Seasonality!$E$55</f>
        <v/>
      </c>
      <c r="K329" s="50">
        <f>K328+K269*K209*Seasonality!$E$55</f>
        <v/>
      </c>
      <c r="L329" s="50">
        <f>L328+L269*L209*Seasonality!$E$55</f>
        <v/>
      </c>
      <c r="M329" s="50">
        <f>M328+M269*M209*Seasonality!$E$55</f>
        <v/>
      </c>
      <c r="N329" s="50">
        <f>N328+N269*N209*Seasonality!$E$55</f>
        <v/>
      </c>
      <c r="O329" s="50">
        <f>O328+O269*O209*Seasonality!$E$55</f>
        <v/>
      </c>
      <c r="P329" s="50">
        <f>P328+P269*P209*Seasonality!$E$55</f>
        <v/>
      </c>
      <c r="Q329" s="50">
        <f>Q328+Q269*Q209*Seasonality!$E$55</f>
        <v/>
      </c>
      <c r="R329" s="50">
        <f>R328+R269*R209*Seasonality!$E$55</f>
        <v/>
      </c>
      <c r="S329" s="50">
        <f>S328+S269*S209*Seasonality!$E$55</f>
        <v/>
      </c>
      <c r="T329" s="50">
        <f>T328+T269*T209*Seasonality!$E$55</f>
        <v/>
      </c>
      <c r="U329" s="50">
        <f>U328+U269*U209*Seasonality!$E$55</f>
        <v/>
      </c>
      <c r="V329" s="50">
        <f>V328+V269*V209*Seasonality!$E$55</f>
        <v/>
      </c>
      <c r="W329" s="50">
        <f>W328+W269*W209*Seasonality!$E$55</f>
        <v/>
      </c>
      <c r="X329" s="50">
        <f>X328+X269*X209*Seasonality!$E$55</f>
        <v/>
      </c>
      <c r="Y329" s="50">
        <f>Y328+Y269*Y209*Seasonality!$E$55</f>
        <v/>
      </c>
      <c r="Z329" s="50">
        <f>Z328+Z269*Z209*Seasonality!$E$55</f>
        <v/>
      </c>
      <c r="AA329" s="50">
        <f>AA328+AA269*AA209*Seasonality!$E$55</f>
        <v/>
      </c>
      <c r="AB329" s="50">
        <f>AB328+AB269*AB209*Seasonality!$E$55</f>
        <v/>
      </c>
      <c r="AC329" s="50">
        <f>AC328+AC269*AC209*Seasonality!$E$55</f>
        <v/>
      </c>
      <c r="AD329" s="50">
        <f>AD328+AD269*AD209*Seasonality!$E$55</f>
        <v/>
      </c>
      <c r="AE329" s="50">
        <f>AE328+AE269*AE209*Seasonality!$E$55</f>
        <v/>
      </c>
      <c r="AF329" s="50">
        <f>AF328+AF269*AF209*Seasonality!$E$55</f>
        <v/>
      </c>
      <c r="AG329" s="50">
        <f>AG328+AG269*AG209*Seasonality!$E$55</f>
        <v/>
      </c>
      <c r="AH329" s="50">
        <f>AH328+AH269*AH209*Seasonality!$E$55</f>
        <v/>
      </c>
      <c r="AI329" s="50">
        <f>AI328+AI269*AI209*Seasonality!$E$55</f>
        <v/>
      </c>
      <c r="AJ329" s="50">
        <f>AJ328+AJ269*AJ209*Seasonality!$E$55</f>
        <v/>
      </c>
      <c r="AK329" s="50">
        <f>AK328+AK269*AK209*Seasonality!$E$55</f>
        <v/>
      </c>
      <c r="AL329" s="50">
        <f>AL328+AL269*AL209*Seasonality!$E$55</f>
        <v/>
      </c>
      <c r="AM329" s="50">
        <f>AM328+AM269*AM209*Seasonality!$E$55</f>
        <v/>
      </c>
      <c r="AN329" s="50">
        <f>AN328+AN269*AN209*Seasonality!$E$55</f>
        <v/>
      </c>
      <c r="AO329" s="50">
        <f>AO328+AO269*AO209*Seasonality!$E$55</f>
        <v/>
      </c>
      <c r="AP329" s="50">
        <f>AP328+AP269*AP209*Seasonality!$E$55</f>
        <v/>
      </c>
      <c r="AQ329" s="50">
        <f>AQ328+AQ269*AQ209*Seasonality!$E$55</f>
        <v/>
      </c>
      <c r="AR329" s="50">
        <f>AR328+AR269*AR209*Seasonality!$E$55</f>
        <v/>
      </c>
      <c r="AS329" s="50">
        <f>AS328+AS269*AS209*Seasonality!$E$55</f>
        <v/>
      </c>
      <c r="AT329" s="50">
        <f>AT328+AT269*AT209*Seasonality!$E$55</f>
        <v/>
      </c>
      <c r="AU329" s="50">
        <f>AU328+AU269*AU209*Seasonality!$E$55</f>
        <v/>
      </c>
      <c r="AV329" s="50">
        <f>AV328+AV269*AV209*Seasonality!$E$55</f>
        <v/>
      </c>
      <c r="AW329" s="50">
        <f>AW328+AW269*AW209*Seasonality!$E$55</f>
        <v/>
      </c>
      <c r="AX329" s="50">
        <f>AX328+AX269*AX209*Seasonality!$E$55</f>
        <v/>
      </c>
      <c r="AY329" s="50">
        <f>AY328+AY269*AY209*Seasonality!$E$55</f>
        <v/>
      </c>
      <c r="AZ329" s="50">
        <f>AZ328+AZ269*AZ209*Seasonality!$E$55</f>
        <v/>
      </c>
      <c r="BA329" s="50">
        <f>BA328+BA269*BA209*Seasonality!$E$55</f>
        <v/>
      </c>
      <c r="BB329" s="50">
        <f>BB328+BB269*BB209*Seasonality!$E$55</f>
        <v/>
      </c>
      <c r="BC329" s="50">
        <f>BC328+BC269*BC209*Seasonality!$E$55</f>
        <v/>
      </c>
      <c r="BD329" s="50">
        <f>BD328+BD269*BD209*Seasonality!$E$55</f>
        <v/>
      </c>
      <c r="BE329" s="50">
        <f>BE328+BE269*BE209*Seasonality!$E$55</f>
        <v/>
      </c>
    </row>
    <row r="330">
      <c r="B330" s="7" t="inlineStr">
        <is>
          <t>Cumulative discounted contribution · month 20</t>
        </is>
      </c>
      <c r="C330" s="5" t="inlineStr">
        <is>
          <t>₹</t>
        </is>
      </c>
      <c r="D330" s="50">
        <f>D329+D270*D210*Seasonality!$E$56</f>
        <v/>
      </c>
      <c r="E330" s="50">
        <f>E329+E270*E210*Seasonality!$E$56</f>
        <v/>
      </c>
      <c r="F330" s="50">
        <f>F329+F270*F210*Seasonality!$E$56</f>
        <v/>
      </c>
      <c r="G330" s="50">
        <f>G329+G270*G210*Seasonality!$E$56</f>
        <v/>
      </c>
      <c r="H330" s="50">
        <f>H329+H270*H210*Seasonality!$E$56</f>
        <v/>
      </c>
      <c r="I330" s="50">
        <f>I329+I270*I210*Seasonality!$E$56</f>
        <v/>
      </c>
      <c r="J330" s="50">
        <f>J329+J270*J210*Seasonality!$E$56</f>
        <v/>
      </c>
      <c r="K330" s="50">
        <f>K329+K270*K210*Seasonality!$E$56</f>
        <v/>
      </c>
      <c r="L330" s="50">
        <f>L329+L270*L210*Seasonality!$E$56</f>
        <v/>
      </c>
      <c r="M330" s="50">
        <f>M329+M270*M210*Seasonality!$E$56</f>
        <v/>
      </c>
      <c r="N330" s="50">
        <f>N329+N270*N210*Seasonality!$E$56</f>
        <v/>
      </c>
      <c r="O330" s="50">
        <f>O329+O270*O210*Seasonality!$E$56</f>
        <v/>
      </c>
      <c r="P330" s="50">
        <f>P329+P270*P210*Seasonality!$E$56</f>
        <v/>
      </c>
      <c r="Q330" s="50">
        <f>Q329+Q270*Q210*Seasonality!$E$56</f>
        <v/>
      </c>
      <c r="R330" s="50">
        <f>R329+R270*R210*Seasonality!$E$56</f>
        <v/>
      </c>
      <c r="S330" s="50">
        <f>S329+S270*S210*Seasonality!$E$56</f>
        <v/>
      </c>
      <c r="T330" s="50">
        <f>T329+T270*T210*Seasonality!$E$56</f>
        <v/>
      </c>
      <c r="U330" s="50">
        <f>U329+U270*U210*Seasonality!$E$56</f>
        <v/>
      </c>
      <c r="V330" s="50">
        <f>V329+V270*V210*Seasonality!$E$56</f>
        <v/>
      </c>
      <c r="W330" s="50">
        <f>W329+W270*W210*Seasonality!$E$56</f>
        <v/>
      </c>
      <c r="X330" s="50">
        <f>X329+X270*X210*Seasonality!$E$56</f>
        <v/>
      </c>
      <c r="Y330" s="50">
        <f>Y329+Y270*Y210*Seasonality!$E$56</f>
        <v/>
      </c>
      <c r="Z330" s="50">
        <f>Z329+Z270*Z210*Seasonality!$E$56</f>
        <v/>
      </c>
      <c r="AA330" s="50">
        <f>AA329+AA270*AA210*Seasonality!$E$56</f>
        <v/>
      </c>
      <c r="AB330" s="50">
        <f>AB329+AB270*AB210*Seasonality!$E$56</f>
        <v/>
      </c>
      <c r="AC330" s="50">
        <f>AC329+AC270*AC210*Seasonality!$E$56</f>
        <v/>
      </c>
      <c r="AD330" s="50">
        <f>AD329+AD270*AD210*Seasonality!$E$56</f>
        <v/>
      </c>
      <c r="AE330" s="50">
        <f>AE329+AE270*AE210*Seasonality!$E$56</f>
        <v/>
      </c>
      <c r="AF330" s="50">
        <f>AF329+AF270*AF210*Seasonality!$E$56</f>
        <v/>
      </c>
      <c r="AG330" s="50">
        <f>AG329+AG270*AG210*Seasonality!$E$56</f>
        <v/>
      </c>
      <c r="AH330" s="50">
        <f>AH329+AH270*AH210*Seasonality!$E$56</f>
        <v/>
      </c>
      <c r="AI330" s="50">
        <f>AI329+AI270*AI210*Seasonality!$E$56</f>
        <v/>
      </c>
      <c r="AJ330" s="50">
        <f>AJ329+AJ270*AJ210*Seasonality!$E$56</f>
        <v/>
      </c>
      <c r="AK330" s="50">
        <f>AK329+AK270*AK210*Seasonality!$E$56</f>
        <v/>
      </c>
      <c r="AL330" s="50">
        <f>AL329+AL270*AL210*Seasonality!$E$56</f>
        <v/>
      </c>
      <c r="AM330" s="50">
        <f>AM329+AM270*AM210*Seasonality!$E$56</f>
        <v/>
      </c>
      <c r="AN330" s="50">
        <f>AN329+AN270*AN210*Seasonality!$E$56</f>
        <v/>
      </c>
      <c r="AO330" s="50">
        <f>AO329+AO270*AO210*Seasonality!$E$56</f>
        <v/>
      </c>
      <c r="AP330" s="50">
        <f>AP329+AP270*AP210*Seasonality!$E$56</f>
        <v/>
      </c>
      <c r="AQ330" s="50">
        <f>AQ329+AQ270*AQ210*Seasonality!$E$56</f>
        <v/>
      </c>
      <c r="AR330" s="50">
        <f>AR329+AR270*AR210*Seasonality!$E$56</f>
        <v/>
      </c>
      <c r="AS330" s="50">
        <f>AS329+AS270*AS210*Seasonality!$E$56</f>
        <v/>
      </c>
      <c r="AT330" s="50">
        <f>AT329+AT270*AT210*Seasonality!$E$56</f>
        <v/>
      </c>
      <c r="AU330" s="50">
        <f>AU329+AU270*AU210*Seasonality!$E$56</f>
        <v/>
      </c>
      <c r="AV330" s="50">
        <f>AV329+AV270*AV210*Seasonality!$E$56</f>
        <v/>
      </c>
      <c r="AW330" s="50">
        <f>AW329+AW270*AW210*Seasonality!$E$56</f>
        <v/>
      </c>
      <c r="AX330" s="50">
        <f>AX329+AX270*AX210*Seasonality!$E$56</f>
        <v/>
      </c>
      <c r="AY330" s="50">
        <f>AY329+AY270*AY210*Seasonality!$E$56</f>
        <v/>
      </c>
      <c r="AZ330" s="50">
        <f>AZ329+AZ270*AZ210*Seasonality!$E$56</f>
        <v/>
      </c>
      <c r="BA330" s="50">
        <f>BA329+BA270*BA210*Seasonality!$E$56</f>
        <v/>
      </c>
      <c r="BB330" s="50">
        <f>BB329+BB270*BB210*Seasonality!$E$56</f>
        <v/>
      </c>
      <c r="BC330" s="50">
        <f>BC329+BC270*BC210*Seasonality!$E$56</f>
        <v/>
      </c>
      <c r="BD330" s="50">
        <f>BD329+BD270*BD210*Seasonality!$E$56</f>
        <v/>
      </c>
      <c r="BE330" s="50">
        <f>BE329+BE270*BE210*Seasonality!$E$56</f>
        <v/>
      </c>
    </row>
    <row r="331">
      <c r="B331" s="7" t="inlineStr">
        <is>
          <t>Cumulative discounted contribution · month 21</t>
        </is>
      </c>
      <c r="C331" s="5" t="inlineStr">
        <is>
          <t>₹</t>
        </is>
      </c>
      <c r="D331" s="50">
        <f>D330+D271*D211*Seasonality!$E$57</f>
        <v/>
      </c>
      <c r="E331" s="50">
        <f>E330+E271*E211*Seasonality!$E$57</f>
        <v/>
      </c>
      <c r="F331" s="50">
        <f>F330+F271*F211*Seasonality!$E$57</f>
        <v/>
      </c>
      <c r="G331" s="50">
        <f>G330+G271*G211*Seasonality!$E$57</f>
        <v/>
      </c>
      <c r="H331" s="50">
        <f>H330+H271*H211*Seasonality!$E$57</f>
        <v/>
      </c>
      <c r="I331" s="50">
        <f>I330+I271*I211*Seasonality!$E$57</f>
        <v/>
      </c>
      <c r="J331" s="50">
        <f>J330+J271*J211*Seasonality!$E$57</f>
        <v/>
      </c>
      <c r="K331" s="50">
        <f>K330+K271*K211*Seasonality!$E$57</f>
        <v/>
      </c>
      <c r="L331" s="50">
        <f>L330+L271*L211*Seasonality!$E$57</f>
        <v/>
      </c>
      <c r="M331" s="50">
        <f>M330+M271*M211*Seasonality!$E$57</f>
        <v/>
      </c>
      <c r="N331" s="50">
        <f>N330+N271*N211*Seasonality!$E$57</f>
        <v/>
      </c>
      <c r="O331" s="50">
        <f>O330+O271*O211*Seasonality!$E$57</f>
        <v/>
      </c>
      <c r="P331" s="50">
        <f>P330+P271*P211*Seasonality!$E$57</f>
        <v/>
      </c>
      <c r="Q331" s="50">
        <f>Q330+Q271*Q211*Seasonality!$E$57</f>
        <v/>
      </c>
      <c r="R331" s="50">
        <f>R330+R271*R211*Seasonality!$E$57</f>
        <v/>
      </c>
      <c r="S331" s="50">
        <f>S330+S271*S211*Seasonality!$E$57</f>
        <v/>
      </c>
      <c r="T331" s="50">
        <f>T330+T271*T211*Seasonality!$E$57</f>
        <v/>
      </c>
      <c r="U331" s="50">
        <f>U330+U271*U211*Seasonality!$E$57</f>
        <v/>
      </c>
      <c r="V331" s="50">
        <f>V330+V271*V211*Seasonality!$E$57</f>
        <v/>
      </c>
      <c r="W331" s="50">
        <f>W330+W271*W211*Seasonality!$E$57</f>
        <v/>
      </c>
      <c r="X331" s="50">
        <f>X330+X271*X211*Seasonality!$E$57</f>
        <v/>
      </c>
      <c r="Y331" s="50">
        <f>Y330+Y271*Y211*Seasonality!$E$57</f>
        <v/>
      </c>
      <c r="Z331" s="50">
        <f>Z330+Z271*Z211*Seasonality!$E$57</f>
        <v/>
      </c>
      <c r="AA331" s="50">
        <f>AA330+AA271*AA211*Seasonality!$E$57</f>
        <v/>
      </c>
      <c r="AB331" s="50">
        <f>AB330+AB271*AB211*Seasonality!$E$57</f>
        <v/>
      </c>
      <c r="AC331" s="50">
        <f>AC330+AC271*AC211*Seasonality!$E$57</f>
        <v/>
      </c>
      <c r="AD331" s="50">
        <f>AD330+AD271*AD211*Seasonality!$E$57</f>
        <v/>
      </c>
      <c r="AE331" s="50">
        <f>AE330+AE271*AE211*Seasonality!$E$57</f>
        <v/>
      </c>
      <c r="AF331" s="50">
        <f>AF330+AF271*AF211*Seasonality!$E$57</f>
        <v/>
      </c>
      <c r="AG331" s="50">
        <f>AG330+AG271*AG211*Seasonality!$E$57</f>
        <v/>
      </c>
      <c r="AH331" s="50">
        <f>AH330+AH271*AH211*Seasonality!$E$57</f>
        <v/>
      </c>
      <c r="AI331" s="50">
        <f>AI330+AI271*AI211*Seasonality!$E$57</f>
        <v/>
      </c>
      <c r="AJ331" s="50">
        <f>AJ330+AJ271*AJ211*Seasonality!$E$57</f>
        <v/>
      </c>
      <c r="AK331" s="50">
        <f>AK330+AK271*AK211*Seasonality!$E$57</f>
        <v/>
      </c>
      <c r="AL331" s="50">
        <f>AL330+AL271*AL211*Seasonality!$E$57</f>
        <v/>
      </c>
      <c r="AM331" s="50">
        <f>AM330+AM271*AM211*Seasonality!$E$57</f>
        <v/>
      </c>
      <c r="AN331" s="50">
        <f>AN330+AN271*AN211*Seasonality!$E$57</f>
        <v/>
      </c>
      <c r="AO331" s="50">
        <f>AO330+AO271*AO211*Seasonality!$E$57</f>
        <v/>
      </c>
      <c r="AP331" s="50">
        <f>AP330+AP271*AP211*Seasonality!$E$57</f>
        <v/>
      </c>
      <c r="AQ331" s="50">
        <f>AQ330+AQ271*AQ211*Seasonality!$E$57</f>
        <v/>
      </c>
      <c r="AR331" s="50">
        <f>AR330+AR271*AR211*Seasonality!$E$57</f>
        <v/>
      </c>
      <c r="AS331" s="50">
        <f>AS330+AS271*AS211*Seasonality!$E$57</f>
        <v/>
      </c>
      <c r="AT331" s="50">
        <f>AT330+AT271*AT211*Seasonality!$E$57</f>
        <v/>
      </c>
      <c r="AU331" s="50">
        <f>AU330+AU271*AU211*Seasonality!$E$57</f>
        <v/>
      </c>
      <c r="AV331" s="50">
        <f>AV330+AV271*AV211*Seasonality!$E$57</f>
        <v/>
      </c>
      <c r="AW331" s="50">
        <f>AW330+AW271*AW211*Seasonality!$E$57</f>
        <v/>
      </c>
      <c r="AX331" s="50">
        <f>AX330+AX271*AX211*Seasonality!$E$57</f>
        <v/>
      </c>
      <c r="AY331" s="50">
        <f>AY330+AY271*AY211*Seasonality!$E$57</f>
        <v/>
      </c>
      <c r="AZ331" s="50">
        <f>AZ330+AZ271*AZ211*Seasonality!$E$57</f>
        <v/>
      </c>
      <c r="BA331" s="50">
        <f>BA330+BA271*BA211*Seasonality!$E$57</f>
        <v/>
      </c>
      <c r="BB331" s="50">
        <f>BB330+BB271*BB211*Seasonality!$E$57</f>
        <v/>
      </c>
      <c r="BC331" s="50">
        <f>BC330+BC271*BC211*Seasonality!$E$57</f>
        <v/>
      </c>
      <c r="BD331" s="50">
        <f>BD330+BD271*BD211*Seasonality!$E$57</f>
        <v/>
      </c>
      <c r="BE331" s="50">
        <f>BE330+BE271*BE211*Seasonality!$E$57</f>
        <v/>
      </c>
    </row>
    <row r="332">
      <c r="B332" s="7" t="inlineStr">
        <is>
          <t>Cumulative discounted contribution · month 22</t>
        </is>
      </c>
      <c r="C332" s="5" t="inlineStr">
        <is>
          <t>₹</t>
        </is>
      </c>
      <c r="D332" s="50">
        <f>D331+D272*D212*Seasonality!$E$58</f>
        <v/>
      </c>
      <c r="E332" s="50">
        <f>E331+E272*E212*Seasonality!$E$58</f>
        <v/>
      </c>
      <c r="F332" s="50">
        <f>F331+F272*F212*Seasonality!$E$58</f>
        <v/>
      </c>
      <c r="G332" s="50">
        <f>G331+G272*G212*Seasonality!$E$58</f>
        <v/>
      </c>
      <c r="H332" s="50">
        <f>H331+H272*H212*Seasonality!$E$58</f>
        <v/>
      </c>
      <c r="I332" s="50">
        <f>I331+I272*I212*Seasonality!$E$58</f>
        <v/>
      </c>
      <c r="J332" s="50">
        <f>J331+J272*J212*Seasonality!$E$58</f>
        <v/>
      </c>
      <c r="K332" s="50">
        <f>K331+K272*K212*Seasonality!$E$58</f>
        <v/>
      </c>
      <c r="L332" s="50">
        <f>L331+L272*L212*Seasonality!$E$58</f>
        <v/>
      </c>
      <c r="M332" s="50">
        <f>M331+M272*M212*Seasonality!$E$58</f>
        <v/>
      </c>
      <c r="N332" s="50">
        <f>N331+N272*N212*Seasonality!$E$58</f>
        <v/>
      </c>
      <c r="O332" s="50">
        <f>O331+O272*O212*Seasonality!$E$58</f>
        <v/>
      </c>
      <c r="P332" s="50">
        <f>P331+P272*P212*Seasonality!$E$58</f>
        <v/>
      </c>
      <c r="Q332" s="50">
        <f>Q331+Q272*Q212*Seasonality!$E$58</f>
        <v/>
      </c>
      <c r="R332" s="50">
        <f>R331+R272*R212*Seasonality!$E$58</f>
        <v/>
      </c>
      <c r="S332" s="50">
        <f>S331+S272*S212*Seasonality!$E$58</f>
        <v/>
      </c>
      <c r="T332" s="50">
        <f>T331+T272*T212*Seasonality!$E$58</f>
        <v/>
      </c>
      <c r="U332" s="50">
        <f>U331+U272*U212*Seasonality!$E$58</f>
        <v/>
      </c>
      <c r="V332" s="50">
        <f>V331+V272*V212*Seasonality!$E$58</f>
        <v/>
      </c>
      <c r="W332" s="50">
        <f>W331+W272*W212*Seasonality!$E$58</f>
        <v/>
      </c>
      <c r="X332" s="50">
        <f>X331+X272*X212*Seasonality!$E$58</f>
        <v/>
      </c>
      <c r="Y332" s="50">
        <f>Y331+Y272*Y212*Seasonality!$E$58</f>
        <v/>
      </c>
      <c r="Z332" s="50">
        <f>Z331+Z272*Z212*Seasonality!$E$58</f>
        <v/>
      </c>
      <c r="AA332" s="50">
        <f>AA331+AA272*AA212*Seasonality!$E$58</f>
        <v/>
      </c>
      <c r="AB332" s="50">
        <f>AB331+AB272*AB212*Seasonality!$E$58</f>
        <v/>
      </c>
      <c r="AC332" s="50">
        <f>AC331+AC272*AC212*Seasonality!$E$58</f>
        <v/>
      </c>
      <c r="AD332" s="50">
        <f>AD331+AD272*AD212*Seasonality!$E$58</f>
        <v/>
      </c>
      <c r="AE332" s="50">
        <f>AE331+AE272*AE212*Seasonality!$E$58</f>
        <v/>
      </c>
      <c r="AF332" s="50">
        <f>AF331+AF272*AF212*Seasonality!$E$58</f>
        <v/>
      </c>
      <c r="AG332" s="50">
        <f>AG331+AG272*AG212*Seasonality!$E$58</f>
        <v/>
      </c>
      <c r="AH332" s="50">
        <f>AH331+AH272*AH212*Seasonality!$E$58</f>
        <v/>
      </c>
      <c r="AI332" s="50">
        <f>AI331+AI272*AI212*Seasonality!$E$58</f>
        <v/>
      </c>
      <c r="AJ332" s="50">
        <f>AJ331+AJ272*AJ212*Seasonality!$E$58</f>
        <v/>
      </c>
      <c r="AK332" s="50">
        <f>AK331+AK272*AK212*Seasonality!$E$58</f>
        <v/>
      </c>
      <c r="AL332" s="50">
        <f>AL331+AL272*AL212*Seasonality!$E$58</f>
        <v/>
      </c>
      <c r="AM332" s="50">
        <f>AM331+AM272*AM212*Seasonality!$E$58</f>
        <v/>
      </c>
      <c r="AN332" s="50">
        <f>AN331+AN272*AN212*Seasonality!$E$58</f>
        <v/>
      </c>
      <c r="AO332" s="50">
        <f>AO331+AO272*AO212*Seasonality!$E$58</f>
        <v/>
      </c>
      <c r="AP332" s="50">
        <f>AP331+AP272*AP212*Seasonality!$E$58</f>
        <v/>
      </c>
      <c r="AQ332" s="50">
        <f>AQ331+AQ272*AQ212*Seasonality!$E$58</f>
        <v/>
      </c>
      <c r="AR332" s="50">
        <f>AR331+AR272*AR212*Seasonality!$E$58</f>
        <v/>
      </c>
      <c r="AS332" s="50">
        <f>AS331+AS272*AS212*Seasonality!$E$58</f>
        <v/>
      </c>
      <c r="AT332" s="50">
        <f>AT331+AT272*AT212*Seasonality!$E$58</f>
        <v/>
      </c>
      <c r="AU332" s="50">
        <f>AU331+AU272*AU212*Seasonality!$E$58</f>
        <v/>
      </c>
      <c r="AV332" s="50">
        <f>AV331+AV272*AV212*Seasonality!$E$58</f>
        <v/>
      </c>
      <c r="AW332" s="50">
        <f>AW331+AW272*AW212*Seasonality!$E$58</f>
        <v/>
      </c>
      <c r="AX332" s="50">
        <f>AX331+AX272*AX212*Seasonality!$E$58</f>
        <v/>
      </c>
      <c r="AY332" s="50">
        <f>AY331+AY272*AY212*Seasonality!$E$58</f>
        <v/>
      </c>
      <c r="AZ332" s="50">
        <f>AZ331+AZ272*AZ212*Seasonality!$E$58</f>
        <v/>
      </c>
      <c r="BA332" s="50">
        <f>BA331+BA272*BA212*Seasonality!$E$58</f>
        <v/>
      </c>
      <c r="BB332" s="50">
        <f>BB331+BB272*BB212*Seasonality!$E$58</f>
        <v/>
      </c>
      <c r="BC332" s="50">
        <f>BC331+BC272*BC212*Seasonality!$E$58</f>
        <v/>
      </c>
      <c r="BD332" s="50">
        <f>BD331+BD272*BD212*Seasonality!$E$58</f>
        <v/>
      </c>
      <c r="BE332" s="50">
        <f>BE331+BE272*BE212*Seasonality!$E$58</f>
        <v/>
      </c>
    </row>
    <row r="333">
      <c r="B333" s="7" t="inlineStr">
        <is>
          <t>Cumulative discounted contribution · month 23</t>
        </is>
      </c>
      <c r="C333" s="5" t="inlineStr">
        <is>
          <t>₹</t>
        </is>
      </c>
      <c r="D333" s="50">
        <f>D332+D273*D213*Seasonality!$E$59</f>
        <v/>
      </c>
      <c r="E333" s="50">
        <f>E332+E273*E213*Seasonality!$E$59</f>
        <v/>
      </c>
      <c r="F333" s="50">
        <f>F332+F273*F213*Seasonality!$E$59</f>
        <v/>
      </c>
      <c r="G333" s="50">
        <f>G332+G273*G213*Seasonality!$E$59</f>
        <v/>
      </c>
      <c r="H333" s="50">
        <f>H332+H273*H213*Seasonality!$E$59</f>
        <v/>
      </c>
      <c r="I333" s="50">
        <f>I332+I273*I213*Seasonality!$E$59</f>
        <v/>
      </c>
      <c r="J333" s="50">
        <f>J332+J273*J213*Seasonality!$E$59</f>
        <v/>
      </c>
      <c r="K333" s="50">
        <f>K332+K273*K213*Seasonality!$E$59</f>
        <v/>
      </c>
      <c r="L333" s="50">
        <f>L332+L273*L213*Seasonality!$E$59</f>
        <v/>
      </c>
      <c r="M333" s="50">
        <f>M332+M273*M213*Seasonality!$E$59</f>
        <v/>
      </c>
      <c r="N333" s="50">
        <f>N332+N273*N213*Seasonality!$E$59</f>
        <v/>
      </c>
      <c r="O333" s="50">
        <f>O332+O273*O213*Seasonality!$E$59</f>
        <v/>
      </c>
      <c r="P333" s="50">
        <f>P332+P273*P213*Seasonality!$E$59</f>
        <v/>
      </c>
      <c r="Q333" s="50">
        <f>Q332+Q273*Q213*Seasonality!$E$59</f>
        <v/>
      </c>
      <c r="R333" s="50">
        <f>R332+R273*R213*Seasonality!$E$59</f>
        <v/>
      </c>
      <c r="S333" s="50">
        <f>S332+S273*S213*Seasonality!$E$59</f>
        <v/>
      </c>
      <c r="T333" s="50">
        <f>T332+T273*T213*Seasonality!$E$59</f>
        <v/>
      </c>
      <c r="U333" s="50">
        <f>U332+U273*U213*Seasonality!$E$59</f>
        <v/>
      </c>
      <c r="V333" s="50">
        <f>V332+V273*V213*Seasonality!$E$59</f>
        <v/>
      </c>
      <c r="W333" s="50">
        <f>W332+W273*W213*Seasonality!$E$59</f>
        <v/>
      </c>
      <c r="X333" s="50">
        <f>X332+X273*X213*Seasonality!$E$59</f>
        <v/>
      </c>
      <c r="Y333" s="50">
        <f>Y332+Y273*Y213*Seasonality!$E$59</f>
        <v/>
      </c>
      <c r="Z333" s="50">
        <f>Z332+Z273*Z213*Seasonality!$E$59</f>
        <v/>
      </c>
      <c r="AA333" s="50">
        <f>AA332+AA273*AA213*Seasonality!$E$59</f>
        <v/>
      </c>
      <c r="AB333" s="50">
        <f>AB332+AB273*AB213*Seasonality!$E$59</f>
        <v/>
      </c>
      <c r="AC333" s="50">
        <f>AC332+AC273*AC213*Seasonality!$E$59</f>
        <v/>
      </c>
      <c r="AD333" s="50">
        <f>AD332+AD273*AD213*Seasonality!$E$59</f>
        <v/>
      </c>
      <c r="AE333" s="50">
        <f>AE332+AE273*AE213*Seasonality!$E$59</f>
        <v/>
      </c>
      <c r="AF333" s="50">
        <f>AF332+AF273*AF213*Seasonality!$E$59</f>
        <v/>
      </c>
      <c r="AG333" s="50">
        <f>AG332+AG273*AG213*Seasonality!$E$59</f>
        <v/>
      </c>
      <c r="AH333" s="50">
        <f>AH332+AH273*AH213*Seasonality!$E$59</f>
        <v/>
      </c>
      <c r="AI333" s="50">
        <f>AI332+AI273*AI213*Seasonality!$E$59</f>
        <v/>
      </c>
      <c r="AJ333" s="50">
        <f>AJ332+AJ273*AJ213*Seasonality!$E$59</f>
        <v/>
      </c>
      <c r="AK333" s="50">
        <f>AK332+AK273*AK213*Seasonality!$E$59</f>
        <v/>
      </c>
      <c r="AL333" s="50">
        <f>AL332+AL273*AL213*Seasonality!$E$59</f>
        <v/>
      </c>
      <c r="AM333" s="50">
        <f>AM332+AM273*AM213*Seasonality!$E$59</f>
        <v/>
      </c>
      <c r="AN333" s="50">
        <f>AN332+AN273*AN213*Seasonality!$E$59</f>
        <v/>
      </c>
      <c r="AO333" s="50">
        <f>AO332+AO273*AO213*Seasonality!$E$59</f>
        <v/>
      </c>
      <c r="AP333" s="50">
        <f>AP332+AP273*AP213*Seasonality!$E$59</f>
        <v/>
      </c>
      <c r="AQ333" s="50">
        <f>AQ332+AQ273*AQ213*Seasonality!$E$59</f>
        <v/>
      </c>
      <c r="AR333" s="50">
        <f>AR332+AR273*AR213*Seasonality!$E$59</f>
        <v/>
      </c>
      <c r="AS333" s="50">
        <f>AS332+AS273*AS213*Seasonality!$E$59</f>
        <v/>
      </c>
      <c r="AT333" s="50">
        <f>AT332+AT273*AT213*Seasonality!$E$59</f>
        <v/>
      </c>
      <c r="AU333" s="50">
        <f>AU332+AU273*AU213*Seasonality!$E$59</f>
        <v/>
      </c>
      <c r="AV333" s="50">
        <f>AV332+AV273*AV213*Seasonality!$E$59</f>
        <v/>
      </c>
      <c r="AW333" s="50">
        <f>AW332+AW273*AW213*Seasonality!$E$59</f>
        <v/>
      </c>
      <c r="AX333" s="50">
        <f>AX332+AX273*AX213*Seasonality!$E$59</f>
        <v/>
      </c>
      <c r="AY333" s="50">
        <f>AY332+AY273*AY213*Seasonality!$E$59</f>
        <v/>
      </c>
      <c r="AZ333" s="50">
        <f>AZ332+AZ273*AZ213*Seasonality!$E$59</f>
        <v/>
      </c>
      <c r="BA333" s="50">
        <f>BA332+BA273*BA213*Seasonality!$E$59</f>
        <v/>
      </c>
      <c r="BB333" s="50">
        <f>BB332+BB273*BB213*Seasonality!$E$59</f>
        <v/>
      </c>
      <c r="BC333" s="50">
        <f>BC332+BC273*BC213*Seasonality!$E$59</f>
        <v/>
      </c>
      <c r="BD333" s="50">
        <f>BD332+BD273*BD213*Seasonality!$E$59</f>
        <v/>
      </c>
      <c r="BE333" s="50">
        <f>BE332+BE273*BE213*Seasonality!$E$59</f>
        <v/>
      </c>
    </row>
    <row r="334">
      <c r="B334" s="7" t="inlineStr">
        <is>
          <t>Cumulative discounted contribution · month 24</t>
        </is>
      </c>
      <c r="C334" s="5" t="inlineStr">
        <is>
          <t>₹</t>
        </is>
      </c>
      <c r="D334" s="50">
        <f>D333+D274*D214*Seasonality!$E$60</f>
        <v/>
      </c>
      <c r="E334" s="50">
        <f>E333+E274*E214*Seasonality!$E$60</f>
        <v/>
      </c>
      <c r="F334" s="50">
        <f>F333+F274*F214*Seasonality!$E$60</f>
        <v/>
      </c>
      <c r="G334" s="50">
        <f>G333+G274*G214*Seasonality!$E$60</f>
        <v/>
      </c>
      <c r="H334" s="50">
        <f>H333+H274*H214*Seasonality!$E$60</f>
        <v/>
      </c>
      <c r="I334" s="50">
        <f>I333+I274*I214*Seasonality!$E$60</f>
        <v/>
      </c>
      <c r="J334" s="50">
        <f>J333+J274*J214*Seasonality!$E$60</f>
        <v/>
      </c>
      <c r="K334" s="50">
        <f>K333+K274*K214*Seasonality!$E$60</f>
        <v/>
      </c>
      <c r="L334" s="50">
        <f>L333+L274*L214*Seasonality!$E$60</f>
        <v/>
      </c>
      <c r="M334" s="50">
        <f>M333+M274*M214*Seasonality!$E$60</f>
        <v/>
      </c>
      <c r="N334" s="50">
        <f>N333+N274*N214*Seasonality!$E$60</f>
        <v/>
      </c>
      <c r="O334" s="50">
        <f>O333+O274*O214*Seasonality!$E$60</f>
        <v/>
      </c>
      <c r="P334" s="50">
        <f>P333+P274*P214*Seasonality!$E$60</f>
        <v/>
      </c>
      <c r="Q334" s="50">
        <f>Q333+Q274*Q214*Seasonality!$E$60</f>
        <v/>
      </c>
      <c r="R334" s="50">
        <f>R333+R274*R214*Seasonality!$E$60</f>
        <v/>
      </c>
      <c r="S334" s="50">
        <f>S333+S274*S214*Seasonality!$E$60</f>
        <v/>
      </c>
      <c r="T334" s="50">
        <f>T333+T274*T214*Seasonality!$E$60</f>
        <v/>
      </c>
      <c r="U334" s="50">
        <f>U333+U274*U214*Seasonality!$E$60</f>
        <v/>
      </c>
      <c r="V334" s="50">
        <f>V333+V274*V214*Seasonality!$E$60</f>
        <v/>
      </c>
      <c r="W334" s="50">
        <f>W333+W274*W214*Seasonality!$E$60</f>
        <v/>
      </c>
      <c r="X334" s="50">
        <f>X333+X274*X214*Seasonality!$E$60</f>
        <v/>
      </c>
      <c r="Y334" s="50">
        <f>Y333+Y274*Y214*Seasonality!$E$60</f>
        <v/>
      </c>
      <c r="Z334" s="50">
        <f>Z333+Z274*Z214*Seasonality!$E$60</f>
        <v/>
      </c>
      <c r="AA334" s="50">
        <f>AA333+AA274*AA214*Seasonality!$E$60</f>
        <v/>
      </c>
      <c r="AB334" s="50">
        <f>AB333+AB274*AB214*Seasonality!$E$60</f>
        <v/>
      </c>
      <c r="AC334" s="50">
        <f>AC333+AC274*AC214*Seasonality!$E$60</f>
        <v/>
      </c>
      <c r="AD334" s="50">
        <f>AD333+AD274*AD214*Seasonality!$E$60</f>
        <v/>
      </c>
      <c r="AE334" s="50">
        <f>AE333+AE274*AE214*Seasonality!$E$60</f>
        <v/>
      </c>
      <c r="AF334" s="50">
        <f>AF333+AF274*AF214*Seasonality!$E$60</f>
        <v/>
      </c>
      <c r="AG334" s="50">
        <f>AG333+AG274*AG214*Seasonality!$E$60</f>
        <v/>
      </c>
      <c r="AH334" s="50">
        <f>AH333+AH274*AH214*Seasonality!$E$60</f>
        <v/>
      </c>
      <c r="AI334" s="50">
        <f>AI333+AI274*AI214*Seasonality!$E$60</f>
        <v/>
      </c>
      <c r="AJ334" s="50">
        <f>AJ333+AJ274*AJ214*Seasonality!$E$60</f>
        <v/>
      </c>
      <c r="AK334" s="50">
        <f>AK333+AK274*AK214*Seasonality!$E$60</f>
        <v/>
      </c>
      <c r="AL334" s="50">
        <f>AL333+AL274*AL214*Seasonality!$E$60</f>
        <v/>
      </c>
      <c r="AM334" s="50">
        <f>AM333+AM274*AM214*Seasonality!$E$60</f>
        <v/>
      </c>
      <c r="AN334" s="50">
        <f>AN333+AN274*AN214*Seasonality!$E$60</f>
        <v/>
      </c>
      <c r="AO334" s="50">
        <f>AO333+AO274*AO214*Seasonality!$E$60</f>
        <v/>
      </c>
      <c r="AP334" s="50">
        <f>AP333+AP274*AP214*Seasonality!$E$60</f>
        <v/>
      </c>
      <c r="AQ334" s="50">
        <f>AQ333+AQ274*AQ214*Seasonality!$E$60</f>
        <v/>
      </c>
      <c r="AR334" s="50">
        <f>AR333+AR274*AR214*Seasonality!$E$60</f>
        <v/>
      </c>
      <c r="AS334" s="50">
        <f>AS333+AS274*AS214*Seasonality!$E$60</f>
        <v/>
      </c>
      <c r="AT334" s="50">
        <f>AT333+AT274*AT214*Seasonality!$E$60</f>
        <v/>
      </c>
      <c r="AU334" s="50">
        <f>AU333+AU274*AU214*Seasonality!$E$60</f>
        <v/>
      </c>
      <c r="AV334" s="50">
        <f>AV333+AV274*AV214*Seasonality!$E$60</f>
        <v/>
      </c>
      <c r="AW334" s="50">
        <f>AW333+AW274*AW214*Seasonality!$E$60</f>
        <v/>
      </c>
      <c r="AX334" s="50">
        <f>AX333+AX274*AX214*Seasonality!$E$60</f>
        <v/>
      </c>
      <c r="AY334" s="50">
        <f>AY333+AY274*AY214*Seasonality!$E$60</f>
        <v/>
      </c>
      <c r="AZ334" s="50">
        <f>AZ333+AZ274*AZ214*Seasonality!$E$60</f>
        <v/>
      </c>
      <c r="BA334" s="50">
        <f>BA333+BA274*BA214*Seasonality!$E$60</f>
        <v/>
      </c>
      <c r="BB334" s="50">
        <f>BB333+BB274*BB214*Seasonality!$E$60</f>
        <v/>
      </c>
      <c r="BC334" s="50">
        <f>BC333+BC274*BC214*Seasonality!$E$60</f>
        <v/>
      </c>
      <c r="BD334" s="50">
        <f>BD333+BD274*BD214*Seasonality!$E$60</f>
        <v/>
      </c>
      <c r="BE334" s="50">
        <f>BE333+BE274*BE214*Seasonality!$E$60</f>
        <v/>
      </c>
    </row>
    <row r="335">
      <c r="B335" s="7" t="inlineStr">
        <is>
          <t>Cumulative discounted contribution · month 25</t>
        </is>
      </c>
      <c r="C335" s="5" t="inlineStr">
        <is>
          <t>₹</t>
        </is>
      </c>
      <c r="D335" s="50">
        <f>D334+D275*D215*Seasonality!$E$61</f>
        <v/>
      </c>
      <c r="E335" s="50">
        <f>E334+E275*E215*Seasonality!$E$61</f>
        <v/>
      </c>
      <c r="F335" s="50">
        <f>F334+F275*F215*Seasonality!$E$61</f>
        <v/>
      </c>
      <c r="G335" s="50">
        <f>G334+G275*G215*Seasonality!$E$61</f>
        <v/>
      </c>
      <c r="H335" s="50">
        <f>H334+H275*H215*Seasonality!$E$61</f>
        <v/>
      </c>
      <c r="I335" s="50">
        <f>I334+I275*I215*Seasonality!$E$61</f>
        <v/>
      </c>
      <c r="J335" s="50">
        <f>J334+J275*J215*Seasonality!$E$61</f>
        <v/>
      </c>
      <c r="K335" s="50">
        <f>K334+K275*K215*Seasonality!$E$61</f>
        <v/>
      </c>
      <c r="L335" s="50">
        <f>L334+L275*L215*Seasonality!$E$61</f>
        <v/>
      </c>
      <c r="M335" s="50">
        <f>M334+M275*M215*Seasonality!$E$61</f>
        <v/>
      </c>
      <c r="N335" s="50">
        <f>N334+N275*N215*Seasonality!$E$61</f>
        <v/>
      </c>
      <c r="O335" s="50">
        <f>O334+O275*O215*Seasonality!$E$61</f>
        <v/>
      </c>
      <c r="P335" s="50">
        <f>P334+P275*P215*Seasonality!$E$61</f>
        <v/>
      </c>
      <c r="Q335" s="50">
        <f>Q334+Q275*Q215*Seasonality!$E$61</f>
        <v/>
      </c>
      <c r="R335" s="50">
        <f>R334+R275*R215*Seasonality!$E$61</f>
        <v/>
      </c>
      <c r="S335" s="50">
        <f>S334+S275*S215*Seasonality!$E$61</f>
        <v/>
      </c>
      <c r="T335" s="50">
        <f>T334+T275*T215*Seasonality!$E$61</f>
        <v/>
      </c>
      <c r="U335" s="50">
        <f>U334+U275*U215*Seasonality!$E$61</f>
        <v/>
      </c>
      <c r="V335" s="50">
        <f>V334+V275*V215*Seasonality!$E$61</f>
        <v/>
      </c>
      <c r="W335" s="50">
        <f>W334+W275*W215*Seasonality!$E$61</f>
        <v/>
      </c>
      <c r="X335" s="50">
        <f>X334+X275*X215*Seasonality!$E$61</f>
        <v/>
      </c>
      <c r="Y335" s="50">
        <f>Y334+Y275*Y215*Seasonality!$E$61</f>
        <v/>
      </c>
      <c r="Z335" s="50">
        <f>Z334+Z275*Z215*Seasonality!$E$61</f>
        <v/>
      </c>
      <c r="AA335" s="50">
        <f>AA334+AA275*AA215*Seasonality!$E$61</f>
        <v/>
      </c>
      <c r="AB335" s="50">
        <f>AB334+AB275*AB215*Seasonality!$E$61</f>
        <v/>
      </c>
      <c r="AC335" s="50">
        <f>AC334+AC275*AC215*Seasonality!$E$61</f>
        <v/>
      </c>
      <c r="AD335" s="50">
        <f>AD334+AD275*AD215*Seasonality!$E$61</f>
        <v/>
      </c>
      <c r="AE335" s="50">
        <f>AE334+AE275*AE215*Seasonality!$E$61</f>
        <v/>
      </c>
      <c r="AF335" s="50">
        <f>AF334+AF275*AF215*Seasonality!$E$61</f>
        <v/>
      </c>
      <c r="AG335" s="50">
        <f>AG334+AG275*AG215*Seasonality!$E$61</f>
        <v/>
      </c>
      <c r="AH335" s="50">
        <f>AH334+AH275*AH215*Seasonality!$E$61</f>
        <v/>
      </c>
      <c r="AI335" s="50">
        <f>AI334+AI275*AI215*Seasonality!$E$61</f>
        <v/>
      </c>
      <c r="AJ335" s="50">
        <f>AJ334+AJ275*AJ215*Seasonality!$E$61</f>
        <v/>
      </c>
      <c r="AK335" s="50">
        <f>AK334+AK275*AK215*Seasonality!$E$61</f>
        <v/>
      </c>
      <c r="AL335" s="50">
        <f>AL334+AL275*AL215*Seasonality!$E$61</f>
        <v/>
      </c>
      <c r="AM335" s="50">
        <f>AM334+AM275*AM215*Seasonality!$E$61</f>
        <v/>
      </c>
      <c r="AN335" s="50">
        <f>AN334+AN275*AN215*Seasonality!$E$61</f>
        <v/>
      </c>
      <c r="AO335" s="50">
        <f>AO334+AO275*AO215*Seasonality!$E$61</f>
        <v/>
      </c>
      <c r="AP335" s="50">
        <f>AP334+AP275*AP215*Seasonality!$E$61</f>
        <v/>
      </c>
      <c r="AQ335" s="50">
        <f>AQ334+AQ275*AQ215*Seasonality!$E$61</f>
        <v/>
      </c>
      <c r="AR335" s="50">
        <f>AR334+AR275*AR215*Seasonality!$E$61</f>
        <v/>
      </c>
      <c r="AS335" s="50">
        <f>AS334+AS275*AS215*Seasonality!$E$61</f>
        <v/>
      </c>
      <c r="AT335" s="50">
        <f>AT334+AT275*AT215*Seasonality!$E$61</f>
        <v/>
      </c>
      <c r="AU335" s="50">
        <f>AU334+AU275*AU215*Seasonality!$E$61</f>
        <v/>
      </c>
      <c r="AV335" s="50">
        <f>AV334+AV275*AV215*Seasonality!$E$61</f>
        <v/>
      </c>
      <c r="AW335" s="50">
        <f>AW334+AW275*AW215*Seasonality!$E$61</f>
        <v/>
      </c>
      <c r="AX335" s="50">
        <f>AX334+AX275*AX215*Seasonality!$E$61</f>
        <v/>
      </c>
      <c r="AY335" s="50">
        <f>AY334+AY275*AY215*Seasonality!$E$61</f>
        <v/>
      </c>
      <c r="AZ335" s="50">
        <f>AZ334+AZ275*AZ215*Seasonality!$E$61</f>
        <v/>
      </c>
      <c r="BA335" s="50">
        <f>BA334+BA275*BA215*Seasonality!$E$61</f>
        <v/>
      </c>
      <c r="BB335" s="50">
        <f>BB334+BB275*BB215*Seasonality!$E$61</f>
        <v/>
      </c>
      <c r="BC335" s="50">
        <f>BC334+BC275*BC215*Seasonality!$E$61</f>
        <v/>
      </c>
      <c r="BD335" s="50">
        <f>BD334+BD275*BD215*Seasonality!$E$61</f>
        <v/>
      </c>
      <c r="BE335" s="50">
        <f>BE334+BE275*BE215*Seasonality!$E$61</f>
        <v/>
      </c>
    </row>
    <row r="336">
      <c r="B336" s="7" t="inlineStr">
        <is>
          <t>Cumulative discounted contribution · month 26</t>
        </is>
      </c>
      <c r="C336" s="5" t="inlineStr">
        <is>
          <t>₹</t>
        </is>
      </c>
      <c r="D336" s="50">
        <f>D335+D276*D216*Seasonality!$E$62</f>
        <v/>
      </c>
      <c r="E336" s="50">
        <f>E335+E276*E216*Seasonality!$E$62</f>
        <v/>
      </c>
      <c r="F336" s="50">
        <f>F335+F276*F216*Seasonality!$E$62</f>
        <v/>
      </c>
      <c r="G336" s="50">
        <f>G335+G276*G216*Seasonality!$E$62</f>
        <v/>
      </c>
      <c r="H336" s="50">
        <f>H335+H276*H216*Seasonality!$E$62</f>
        <v/>
      </c>
      <c r="I336" s="50">
        <f>I335+I276*I216*Seasonality!$E$62</f>
        <v/>
      </c>
      <c r="J336" s="50">
        <f>J335+J276*J216*Seasonality!$E$62</f>
        <v/>
      </c>
      <c r="K336" s="50">
        <f>K335+K276*K216*Seasonality!$E$62</f>
        <v/>
      </c>
      <c r="L336" s="50">
        <f>L335+L276*L216*Seasonality!$E$62</f>
        <v/>
      </c>
      <c r="M336" s="50">
        <f>M335+M276*M216*Seasonality!$E$62</f>
        <v/>
      </c>
      <c r="N336" s="50">
        <f>N335+N276*N216*Seasonality!$E$62</f>
        <v/>
      </c>
      <c r="O336" s="50">
        <f>O335+O276*O216*Seasonality!$E$62</f>
        <v/>
      </c>
      <c r="P336" s="50">
        <f>P335+P276*P216*Seasonality!$E$62</f>
        <v/>
      </c>
      <c r="Q336" s="50">
        <f>Q335+Q276*Q216*Seasonality!$E$62</f>
        <v/>
      </c>
      <c r="R336" s="50">
        <f>R335+R276*R216*Seasonality!$E$62</f>
        <v/>
      </c>
      <c r="S336" s="50">
        <f>S335+S276*S216*Seasonality!$E$62</f>
        <v/>
      </c>
      <c r="T336" s="50">
        <f>T335+T276*T216*Seasonality!$E$62</f>
        <v/>
      </c>
      <c r="U336" s="50">
        <f>U335+U276*U216*Seasonality!$E$62</f>
        <v/>
      </c>
      <c r="V336" s="50">
        <f>V335+V276*V216*Seasonality!$E$62</f>
        <v/>
      </c>
      <c r="W336" s="50">
        <f>W335+W276*W216*Seasonality!$E$62</f>
        <v/>
      </c>
      <c r="X336" s="50">
        <f>X335+X276*X216*Seasonality!$E$62</f>
        <v/>
      </c>
      <c r="Y336" s="50">
        <f>Y335+Y276*Y216*Seasonality!$E$62</f>
        <v/>
      </c>
      <c r="Z336" s="50">
        <f>Z335+Z276*Z216*Seasonality!$E$62</f>
        <v/>
      </c>
      <c r="AA336" s="50">
        <f>AA335+AA276*AA216*Seasonality!$E$62</f>
        <v/>
      </c>
      <c r="AB336" s="50">
        <f>AB335+AB276*AB216*Seasonality!$E$62</f>
        <v/>
      </c>
      <c r="AC336" s="50">
        <f>AC335+AC276*AC216*Seasonality!$E$62</f>
        <v/>
      </c>
      <c r="AD336" s="50">
        <f>AD335+AD276*AD216*Seasonality!$E$62</f>
        <v/>
      </c>
      <c r="AE336" s="50">
        <f>AE335+AE276*AE216*Seasonality!$E$62</f>
        <v/>
      </c>
      <c r="AF336" s="50">
        <f>AF335+AF276*AF216*Seasonality!$E$62</f>
        <v/>
      </c>
      <c r="AG336" s="50">
        <f>AG335+AG276*AG216*Seasonality!$E$62</f>
        <v/>
      </c>
      <c r="AH336" s="50">
        <f>AH335+AH276*AH216*Seasonality!$E$62</f>
        <v/>
      </c>
      <c r="AI336" s="50">
        <f>AI335+AI276*AI216*Seasonality!$E$62</f>
        <v/>
      </c>
      <c r="AJ336" s="50">
        <f>AJ335+AJ276*AJ216*Seasonality!$E$62</f>
        <v/>
      </c>
      <c r="AK336" s="50">
        <f>AK335+AK276*AK216*Seasonality!$E$62</f>
        <v/>
      </c>
      <c r="AL336" s="50">
        <f>AL335+AL276*AL216*Seasonality!$E$62</f>
        <v/>
      </c>
      <c r="AM336" s="50">
        <f>AM335+AM276*AM216*Seasonality!$E$62</f>
        <v/>
      </c>
      <c r="AN336" s="50">
        <f>AN335+AN276*AN216*Seasonality!$E$62</f>
        <v/>
      </c>
      <c r="AO336" s="50">
        <f>AO335+AO276*AO216*Seasonality!$E$62</f>
        <v/>
      </c>
      <c r="AP336" s="50">
        <f>AP335+AP276*AP216*Seasonality!$E$62</f>
        <v/>
      </c>
      <c r="AQ336" s="50">
        <f>AQ335+AQ276*AQ216*Seasonality!$E$62</f>
        <v/>
      </c>
      <c r="AR336" s="50">
        <f>AR335+AR276*AR216*Seasonality!$E$62</f>
        <v/>
      </c>
      <c r="AS336" s="50">
        <f>AS335+AS276*AS216*Seasonality!$E$62</f>
        <v/>
      </c>
      <c r="AT336" s="50">
        <f>AT335+AT276*AT216*Seasonality!$E$62</f>
        <v/>
      </c>
      <c r="AU336" s="50">
        <f>AU335+AU276*AU216*Seasonality!$E$62</f>
        <v/>
      </c>
      <c r="AV336" s="50">
        <f>AV335+AV276*AV216*Seasonality!$E$62</f>
        <v/>
      </c>
      <c r="AW336" s="50">
        <f>AW335+AW276*AW216*Seasonality!$E$62</f>
        <v/>
      </c>
      <c r="AX336" s="50">
        <f>AX335+AX276*AX216*Seasonality!$E$62</f>
        <v/>
      </c>
      <c r="AY336" s="50">
        <f>AY335+AY276*AY216*Seasonality!$E$62</f>
        <v/>
      </c>
      <c r="AZ336" s="50">
        <f>AZ335+AZ276*AZ216*Seasonality!$E$62</f>
        <v/>
      </c>
      <c r="BA336" s="50">
        <f>BA335+BA276*BA216*Seasonality!$E$62</f>
        <v/>
      </c>
      <c r="BB336" s="50">
        <f>BB335+BB276*BB216*Seasonality!$E$62</f>
        <v/>
      </c>
      <c r="BC336" s="50">
        <f>BC335+BC276*BC216*Seasonality!$E$62</f>
        <v/>
      </c>
      <c r="BD336" s="50">
        <f>BD335+BD276*BD216*Seasonality!$E$62</f>
        <v/>
      </c>
      <c r="BE336" s="50">
        <f>BE335+BE276*BE216*Seasonality!$E$62</f>
        <v/>
      </c>
    </row>
    <row r="337">
      <c r="B337" s="7" t="inlineStr">
        <is>
          <t>Cumulative discounted contribution · month 27</t>
        </is>
      </c>
      <c r="C337" s="5" t="inlineStr">
        <is>
          <t>₹</t>
        </is>
      </c>
      <c r="D337" s="50">
        <f>D336+D277*D217*Seasonality!$E$63</f>
        <v/>
      </c>
      <c r="E337" s="50">
        <f>E336+E277*E217*Seasonality!$E$63</f>
        <v/>
      </c>
      <c r="F337" s="50">
        <f>F336+F277*F217*Seasonality!$E$63</f>
        <v/>
      </c>
      <c r="G337" s="50">
        <f>G336+G277*G217*Seasonality!$E$63</f>
        <v/>
      </c>
      <c r="H337" s="50">
        <f>H336+H277*H217*Seasonality!$E$63</f>
        <v/>
      </c>
      <c r="I337" s="50">
        <f>I336+I277*I217*Seasonality!$E$63</f>
        <v/>
      </c>
      <c r="J337" s="50">
        <f>J336+J277*J217*Seasonality!$E$63</f>
        <v/>
      </c>
      <c r="K337" s="50">
        <f>K336+K277*K217*Seasonality!$E$63</f>
        <v/>
      </c>
      <c r="L337" s="50">
        <f>L336+L277*L217*Seasonality!$E$63</f>
        <v/>
      </c>
      <c r="M337" s="50">
        <f>M336+M277*M217*Seasonality!$E$63</f>
        <v/>
      </c>
      <c r="N337" s="50">
        <f>N336+N277*N217*Seasonality!$E$63</f>
        <v/>
      </c>
      <c r="O337" s="50">
        <f>O336+O277*O217*Seasonality!$E$63</f>
        <v/>
      </c>
      <c r="P337" s="50">
        <f>P336+P277*P217*Seasonality!$E$63</f>
        <v/>
      </c>
      <c r="Q337" s="50">
        <f>Q336+Q277*Q217*Seasonality!$E$63</f>
        <v/>
      </c>
      <c r="R337" s="50">
        <f>R336+R277*R217*Seasonality!$E$63</f>
        <v/>
      </c>
      <c r="S337" s="50">
        <f>S336+S277*S217*Seasonality!$E$63</f>
        <v/>
      </c>
      <c r="T337" s="50">
        <f>T336+T277*T217*Seasonality!$E$63</f>
        <v/>
      </c>
      <c r="U337" s="50">
        <f>U336+U277*U217*Seasonality!$E$63</f>
        <v/>
      </c>
      <c r="V337" s="50">
        <f>V336+V277*V217*Seasonality!$E$63</f>
        <v/>
      </c>
      <c r="W337" s="50">
        <f>W336+W277*W217*Seasonality!$E$63</f>
        <v/>
      </c>
      <c r="X337" s="50">
        <f>X336+X277*X217*Seasonality!$E$63</f>
        <v/>
      </c>
      <c r="Y337" s="50">
        <f>Y336+Y277*Y217*Seasonality!$E$63</f>
        <v/>
      </c>
      <c r="Z337" s="50">
        <f>Z336+Z277*Z217*Seasonality!$E$63</f>
        <v/>
      </c>
      <c r="AA337" s="50">
        <f>AA336+AA277*AA217*Seasonality!$E$63</f>
        <v/>
      </c>
      <c r="AB337" s="50">
        <f>AB336+AB277*AB217*Seasonality!$E$63</f>
        <v/>
      </c>
      <c r="AC337" s="50">
        <f>AC336+AC277*AC217*Seasonality!$E$63</f>
        <v/>
      </c>
      <c r="AD337" s="50">
        <f>AD336+AD277*AD217*Seasonality!$E$63</f>
        <v/>
      </c>
      <c r="AE337" s="50">
        <f>AE336+AE277*AE217*Seasonality!$E$63</f>
        <v/>
      </c>
      <c r="AF337" s="50">
        <f>AF336+AF277*AF217*Seasonality!$E$63</f>
        <v/>
      </c>
      <c r="AG337" s="50">
        <f>AG336+AG277*AG217*Seasonality!$E$63</f>
        <v/>
      </c>
      <c r="AH337" s="50">
        <f>AH336+AH277*AH217*Seasonality!$E$63</f>
        <v/>
      </c>
      <c r="AI337" s="50">
        <f>AI336+AI277*AI217*Seasonality!$E$63</f>
        <v/>
      </c>
      <c r="AJ337" s="50">
        <f>AJ336+AJ277*AJ217*Seasonality!$E$63</f>
        <v/>
      </c>
      <c r="AK337" s="50">
        <f>AK336+AK277*AK217*Seasonality!$E$63</f>
        <v/>
      </c>
      <c r="AL337" s="50">
        <f>AL336+AL277*AL217*Seasonality!$E$63</f>
        <v/>
      </c>
      <c r="AM337" s="50">
        <f>AM336+AM277*AM217*Seasonality!$E$63</f>
        <v/>
      </c>
      <c r="AN337" s="50">
        <f>AN336+AN277*AN217*Seasonality!$E$63</f>
        <v/>
      </c>
      <c r="AO337" s="50">
        <f>AO336+AO277*AO217*Seasonality!$E$63</f>
        <v/>
      </c>
      <c r="AP337" s="50">
        <f>AP336+AP277*AP217*Seasonality!$E$63</f>
        <v/>
      </c>
      <c r="AQ337" s="50">
        <f>AQ336+AQ277*AQ217*Seasonality!$E$63</f>
        <v/>
      </c>
      <c r="AR337" s="50">
        <f>AR336+AR277*AR217*Seasonality!$E$63</f>
        <v/>
      </c>
      <c r="AS337" s="50">
        <f>AS336+AS277*AS217*Seasonality!$E$63</f>
        <v/>
      </c>
      <c r="AT337" s="50">
        <f>AT336+AT277*AT217*Seasonality!$E$63</f>
        <v/>
      </c>
      <c r="AU337" s="50">
        <f>AU336+AU277*AU217*Seasonality!$E$63</f>
        <v/>
      </c>
      <c r="AV337" s="50">
        <f>AV336+AV277*AV217*Seasonality!$E$63</f>
        <v/>
      </c>
      <c r="AW337" s="50">
        <f>AW336+AW277*AW217*Seasonality!$E$63</f>
        <v/>
      </c>
      <c r="AX337" s="50">
        <f>AX336+AX277*AX217*Seasonality!$E$63</f>
        <v/>
      </c>
      <c r="AY337" s="50">
        <f>AY336+AY277*AY217*Seasonality!$E$63</f>
        <v/>
      </c>
      <c r="AZ337" s="50">
        <f>AZ336+AZ277*AZ217*Seasonality!$E$63</f>
        <v/>
      </c>
      <c r="BA337" s="50">
        <f>BA336+BA277*BA217*Seasonality!$E$63</f>
        <v/>
      </c>
      <c r="BB337" s="50">
        <f>BB336+BB277*BB217*Seasonality!$E$63</f>
        <v/>
      </c>
      <c r="BC337" s="50">
        <f>BC336+BC277*BC217*Seasonality!$E$63</f>
        <v/>
      </c>
      <c r="BD337" s="50">
        <f>BD336+BD277*BD217*Seasonality!$E$63</f>
        <v/>
      </c>
      <c r="BE337" s="50">
        <f>BE336+BE277*BE217*Seasonality!$E$63</f>
        <v/>
      </c>
    </row>
    <row r="338">
      <c r="B338" s="7" t="inlineStr">
        <is>
          <t>Cumulative discounted contribution · month 28</t>
        </is>
      </c>
      <c r="C338" s="5" t="inlineStr">
        <is>
          <t>₹</t>
        </is>
      </c>
      <c r="D338" s="50">
        <f>D337+D278*D218*Seasonality!$E$64</f>
        <v/>
      </c>
      <c r="E338" s="50">
        <f>E337+E278*E218*Seasonality!$E$64</f>
        <v/>
      </c>
      <c r="F338" s="50">
        <f>F337+F278*F218*Seasonality!$E$64</f>
        <v/>
      </c>
      <c r="G338" s="50">
        <f>G337+G278*G218*Seasonality!$E$64</f>
        <v/>
      </c>
      <c r="H338" s="50">
        <f>H337+H278*H218*Seasonality!$E$64</f>
        <v/>
      </c>
      <c r="I338" s="50">
        <f>I337+I278*I218*Seasonality!$E$64</f>
        <v/>
      </c>
      <c r="J338" s="50">
        <f>J337+J278*J218*Seasonality!$E$64</f>
        <v/>
      </c>
      <c r="K338" s="50">
        <f>K337+K278*K218*Seasonality!$E$64</f>
        <v/>
      </c>
      <c r="L338" s="50">
        <f>L337+L278*L218*Seasonality!$E$64</f>
        <v/>
      </c>
      <c r="M338" s="50">
        <f>M337+M278*M218*Seasonality!$E$64</f>
        <v/>
      </c>
      <c r="N338" s="50">
        <f>N337+N278*N218*Seasonality!$E$64</f>
        <v/>
      </c>
      <c r="O338" s="50">
        <f>O337+O278*O218*Seasonality!$E$64</f>
        <v/>
      </c>
      <c r="P338" s="50">
        <f>P337+P278*P218*Seasonality!$E$64</f>
        <v/>
      </c>
      <c r="Q338" s="50">
        <f>Q337+Q278*Q218*Seasonality!$E$64</f>
        <v/>
      </c>
      <c r="R338" s="50">
        <f>R337+R278*R218*Seasonality!$E$64</f>
        <v/>
      </c>
      <c r="S338" s="50">
        <f>S337+S278*S218*Seasonality!$E$64</f>
        <v/>
      </c>
      <c r="T338" s="50">
        <f>T337+T278*T218*Seasonality!$E$64</f>
        <v/>
      </c>
      <c r="U338" s="50">
        <f>U337+U278*U218*Seasonality!$E$64</f>
        <v/>
      </c>
      <c r="V338" s="50">
        <f>V337+V278*V218*Seasonality!$E$64</f>
        <v/>
      </c>
      <c r="W338" s="50">
        <f>W337+W278*W218*Seasonality!$E$64</f>
        <v/>
      </c>
      <c r="X338" s="50">
        <f>X337+X278*X218*Seasonality!$E$64</f>
        <v/>
      </c>
      <c r="Y338" s="50">
        <f>Y337+Y278*Y218*Seasonality!$E$64</f>
        <v/>
      </c>
      <c r="Z338" s="50">
        <f>Z337+Z278*Z218*Seasonality!$E$64</f>
        <v/>
      </c>
      <c r="AA338" s="50">
        <f>AA337+AA278*AA218*Seasonality!$E$64</f>
        <v/>
      </c>
      <c r="AB338" s="50">
        <f>AB337+AB278*AB218*Seasonality!$E$64</f>
        <v/>
      </c>
      <c r="AC338" s="50">
        <f>AC337+AC278*AC218*Seasonality!$E$64</f>
        <v/>
      </c>
      <c r="AD338" s="50">
        <f>AD337+AD278*AD218*Seasonality!$E$64</f>
        <v/>
      </c>
      <c r="AE338" s="50">
        <f>AE337+AE278*AE218*Seasonality!$E$64</f>
        <v/>
      </c>
      <c r="AF338" s="50">
        <f>AF337+AF278*AF218*Seasonality!$E$64</f>
        <v/>
      </c>
      <c r="AG338" s="50">
        <f>AG337+AG278*AG218*Seasonality!$E$64</f>
        <v/>
      </c>
      <c r="AH338" s="50">
        <f>AH337+AH278*AH218*Seasonality!$E$64</f>
        <v/>
      </c>
      <c r="AI338" s="50">
        <f>AI337+AI278*AI218*Seasonality!$E$64</f>
        <v/>
      </c>
      <c r="AJ338" s="50">
        <f>AJ337+AJ278*AJ218*Seasonality!$E$64</f>
        <v/>
      </c>
      <c r="AK338" s="50">
        <f>AK337+AK278*AK218*Seasonality!$E$64</f>
        <v/>
      </c>
      <c r="AL338" s="50">
        <f>AL337+AL278*AL218*Seasonality!$E$64</f>
        <v/>
      </c>
      <c r="AM338" s="50">
        <f>AM337+AM278*AM218*Seasonality!$E$64</f>
        <v/>
      </c>
      <c r="AN338" s="50">
        <f>AN337+AN278*AN218*Seasonality!$E$64</f>
        <v/>
      </c>
      <c r="AO338" s="50">
        <f>AO337+AO278*AO218*Seasonality!$E$64</f>
        <v/>
      </c>
      <c r="AP338" s="50">
        <f>AP337+AP278*AP218*Seasonality!$E$64</f>
        <v/>
      </c>
      <c r="AQ338" s="50">
        <f>AQ337+AQ278*AQ218*Seasonality!$E$64</f>
        <v/>
      </c>
      <c r="AR338" s="50">
        <f>AR337+AR278*AR218*Seasonality!$E$64</f>
        <v/>
      </c>
      <c r="AS338" s="50">
        <f>AS337+AS278*AS218*Seasonality!$E$64</f>
        <v/>
      </c>
      <c r="AT338" s="50">
        <f>AT337+AT278*AT218*Seasonality!$E$64</f>
        <v/>
      </c>
      <c r="AU338" s="50">
        <f>AU337+AU278*AU218*Seasonality!$E$64</f>
        <v/>
      </c>
      <c r="AV338" s="50">
        <f>AV337+AV278*AV218*Seasonality!$E$64</f>
        <v/>
      </c>
      <c r="AW338" s="50">
        <f>AW337+AW278*AW218*Seasonality!$E$64</f>
        <v/>
      </c>
      <c r="AX338" s="50">
        <f>AX337+AX278*AX218*Seasonality!$E$64</f>
        <v/>
      </c>
      <c r="AY338" s="50">
        <f>AY337+AY278*AY218*Seasonality!$E$64</f>
        <v/>
      </c>
      <c r="AZ338" s="50">
        <f>AZ337+AZ278*AZ218*Seasonality!$E$64</f>
        <v/>
      </c>
      <c r="BA338" s="50">
        <f>BA337+BA278*BA218*Seasonality!$E$64</f>
        <v/>
      </c>
      <c r="BB338" s="50">
        <f>BB337+BB278*BB218*Seasonality!$E$64</f>
        <v/>
      </c>
      <c r="BC338" s="50">
        <f>BC337+BC278*BC218*Seasonality!$E$64</f>
        <v/>
      </c>
      <c r="BD338" s="50">
        <f>BD337+BD278*BD218*Seasonality!$E$64</f>
        <v/>
      </c>
      <c r="BE338" s="50">
        <f>BE337+BE278*BE218*Seasonality!$E$64</f>
        <v/>
      </c>
    </row>
    <row r="339">
      <c r="B339" s="7" t="inlineStr">
        <is>
          <t>Cumulative discounted contribution · month 29</t>
        </is>
      </c>
      <c r="C339" s="5" t="inlineStr">
        <is>
          <t>₹</t>
        </is>
      </c>
      <c r="D339" s="50">
        <f>D338+D279*D219*Seasonality!$E$65</f>
        <v/>
      </c>
      <c r="E339" s="50">
        <f>E338+E279*E219*Seasonality!$E$65</f>
        <v/>
      </c>
      <c r="F339" s="50">
        <f>F338+F279*F219*Seasonality!$E$65</f>
        <v/>
      </c>
      <c r="G339" s="50">
        <f>G338+G279*G219*Seasonality!$E$65</f>
        <v/>
      </c>
      <c r="H339" s="50">
        <f>H338+H279*H219*Seasonality!$E$65</f>
        <v/>
      </c>
      <c r="I339" s="50">
        <f>I338+I279*I219*Seasonality!$E$65</f>
        <v/>
      </c>
      <c r="J339" s="50">
        <f>J338+J279*J219*Seasonality!$E$65</f>
        <v/>
      </c>
      <c r="K339" s="50">
        <f>K338+K279*K219*Seasonality!$E$65</f>
        <v/>
      </c>
      <c r="L339" s="50">
        <f>L338+L279*L219*Seasonality!$E$65</f>
        <v/>
      </c>
      <c r="M339" s="50">
        <f>M338+M279*M219*Seasonality!$E$65</f>
        <v/>
      </c>
      <c r="N339" s="50">
        <f>N338+N279*N219*Seasonality!$E$65</f>
        <v/>
      </c>
      <c r="O339" s="50">
        <f>O338+O279*O219*Seasonality!$E$65</f>
        <v/>
      </c>
      <c r="P339" s="50">
        <f>P338+P279*P219*Seasonality!$E$65</f>
        <v/>
      </c>
      <c r="Q339" s="50">
        <f>Q338+Q279*Q219*Seasonality!$E$65</f>
        <v/>
      </c>
      <c r="R339" s="50">
        <f>R338+R279*R219*Seasonality!$E$65</f>
        <v/>
      </c>
      <c r="S339" s="50">
        <f>S338+S279*S219*Seasonality!$E$65</f>
        <v/>
      </c>
      <c r="T339" s="50">
        <f>T338+T279*T219*Seasonality!$E$65</f>
        <v/>
      </c>
      <c r="U339" s="50">
        <f>U338+U279*U219*Seasonality!$E$65</f>
        <v/>
      </c>
      <c r="V339" s="50">
        <f>V338+V279*V219*Seasonality!$E$65</f>
        <v/>
      </c>
      <c r="W339" s="50">
        <f>W338+W279*W219*Seasonality!$E$65</f>
        <v/>
      </c>
      <c r="X339" s="50">
        <f>X338+X279*X219*Seasonality!$E$65</f>
        <v/>
      </c>
      <c r="Y339" s="50">
        <f>Y338+Y279*Y219*Seasonality!$E$65</f>
        <v/>
      </c>
      <c r="Z339" s="50">
        <f>Z338+Z279*Z219*Seasonality!$E$65</f>
        <v/>
      </c>
      <c r="AA339" s="50">
        <f>AA338+AA279*AA219*Seasonality!$E$65</f>
        <v/>
      </c>
      <c r="AB339" s="50">
        <f>AB338+AB279*AB219*Seasonality!$E$65</f>
        <v/>
      </c>
      <c r="AC339" s="50">
        <f>AC338+AC279*AC219*Seasonality!$E$65</f>
        <v/>
      </c>
      <c r="AD339" s="50">
        <f>AD338+AD279*AD219*Seasonality!$E$65</f>
        <v/>
      </c>
      <c r="AE339" s="50">
        <f>AE338+AE279*AE219*Seasonality!$E$65</f>
        <v/>
      </c>
      <c r="AF339" s="50">
        <f>AF338+AF279*AF219*Seasonality!$E$65</f>
        <v/>
      </c>
      <c r="AG339" s="50">
        <f>AG338+AG279*AG219*Seasonality!$E$65</f>
        <v/>
      </c>
      <c r="AH339" s="50">
        <f>AH338+AH279*AH219*Seasonality!$E$65</f>
        <v/>
      </c>
      <c r="AI339" s="50">
        <f>AI338+AI279*AI219*Seasonality!$E$65</f>
        <v/>
      </c>
      <c r="AJ339" s="50">
        <f>AJ338+AJ279*AJ219*Seasonality!$E$65</f>
        <v/>
      </c>
      <c r="AK339" s="50">
        <f>AK338+AK279*AK219*Seasonality!$E$65</f>
        <v/>
      </c>
      <c r="AL339" s="50">
        <f>AL338+AL279*AL219*Seasonality!$E$65</f>
        <v/>
      </c>
      <c r="AM339" s="50">
        <f>AM338+AM279*AM219*Seasonality!$E$65</f>
        <v/>
      </c>
      <c r="AN339" s="50">
        <f>AN338+AN279*AN219*Seasonality!$E$65</f>
        <v/>
      </c>
      <c r="AO339" s="50">
        <f>AO338+AO279*AO219*Seasonality!$E$65</f>
        <v/>
      </c>
      <c r="AP339" s="50">
        <f>AP338+AP279*AP219*Seasonality!$E$65</f>
        <v/>
      </c>
      <c r="AQ339" s="50">
        <f>AQ338+AQ279*AQ219*Seasonality!$E$65</f>
        <v/>
      </c>
      <c r="AR339" s="50">
        <f>AR338+AR279*AR219*Seasonality!$E$65</f>
        <v/>
      </c>
      <c r="AS339" s="50">
        <f>AS338+AS279*AS219*Seasonality!$E$65</f>
        <v/>
      </c>
      <c r="AT339" s="50">
        <f>AT338+AT279*AT219*Seasonality!$E$65</f>
        <v/>
      </c>
      <c r="AU339" s="50">
        <f>AU338+AU279*AU219*Seasonality!$E$65</f>
        <v/>
      </c>
      <c r="AV339" s="50">
        <f>AV338+AV279*AV219*Seasonality!$E$65</f>
        <v/>
      </c>
      <c r="AW339" s="50">
        <f>AW338+AW279*AW219*Seasonality!$E$65</f>
        <v/>
      </c>
      <c r="AX339" s="50">
        <f>AX338+AX279*AX219*Seasonality!$E$65</f>
        <v/>
      </c>
      <c r="AY339" s="50">
        <f>AY338+AY279*AY219*Seasonality!$E$65</f>
        <v/>
      </c>
      <c r="AZ339" s="50">
        <f>AZ338+AZ279*AZ219*Seasonality!$E$65</f>
        <v/>
      </c>
      <c r="BA339" s="50">
        <f>BA338+BA279*BA219*Seasonality!$E$65</f>
        <v/>
      </c>
      <c r="BB339" s="50">
        <f>BB338+BB279*BB219*Seasonality!$E$65</f>
        <v/>
      </c>
      <c r="BC339" s="50">
        <f>BC338+BC279*BC219*Seasonality!$E$65</f>
        <v/>
      </c>
      <c r="BD339" s="50">
        <f>BD338+BD279*BD219*Seasonality!$E$65</f>
        <v/>
      </c>
      <c r="BE339" s="50">
        <f>BE338+BE279*BE219*Seasonality!$E$65</f>
        <v/>
      </c>
    </row>
    <row r="340">
      <c r="B340" s="7" t="inlineStr">
        <is>
          <t>Cumulative discounted contribution · month 30</t>
        </is>
      </c>
      <c r="C340" s="5" t="inlineStr">
        <is>
          <t>₹</t>
        </is>
      </c>
      <c r="D340" s="50">
        <f>D339+D280*D220*Seasonality!$E$66</f>
        <v/>
      </c>
      <c r="E340" s="50">
        <f>E339+E280*E220*Seasonality!$E$66</f>
        <v/>
      </c>
      <c r="F340" s="50">
        <f>F339+F280*F220*Seasonality!$E$66</f>
        <v/>
      </c>
      <c r="G340" s="50">
        <f>G339+G280*G220*Seasonality!$E$66</f>
        <v/>
      </c>
      <c r="H340" s="50">
        <f>H339+H280*H220*Seasonality!$E$66</f>
        <v/>
      </c>
      <c r="I340" s="50">
        <f>I339+I280*I220*Seasonality!$E$66</f>
        <v/>
      </c>
      <c r="J340" s="50">
        <f>J339+J280*J220*Seasonality!$E$66</f>
        <v/>
      </c>
      <c r="K340" s="50">
        <f>K339+K280*K220*Seasonality!$E$66</f>
        <v/>
      </c>
      <c r="L340" s="50">
        <f>L339+L280*L220*Seasonality!$E$66</f>
        <v/>
      </c>
      <c r="M340" s="50">
        <f>M339+M280*M220*Seasonality!$E$66</f>
        <v/>
      </c>
      <c r="N340" s="50">
        <f>N339+N280*N220*Seasonality!$E$66</f>
        <v/>
      </c>
      <c r="O340" s="50">
        <f>O339+O280*O220*Seasonality!$E$66</f>
        <v/>
      </c>
      <c r="P340" s="50">
        <f>P339+P280*P220*Seasonality!$E$66</f>
        <v/>
      </c>
      <c r="Q340" s="50">
        <f>Q339+Q280*Q220*Seasonality!$E$66</f>
        <v/>
      </c>
      <c r="R340" s="50">
        <f>R339+R280*R220*Seasonality!$E$66</f>
        <v/>
      </c>
      <c r="S340" s="50">
        <f>S339+S280*S220*Seasonality!$E$66</f>
        <v/>
      </c>
      <c r="T340" s="50">
        <f>T339+T280*T220*Seasonality!$E$66</f>
        <v/>
      </c>
      <c r="U340" s="50">
        <f>U339+U280*U220*Seasonality!$E$66</f>
        <v/>
      </c>
      <c r="V340" s="50">
        <f>V339+V280*V220*Seasonality!$E$66</f>
        <v/>
      </c>
      <c r="W340" s="50">
        <f>W339+W280*W220*Seasonality!$E$66</f>
        <v/>
      </c>
      <c r="X340" s="50">
        <f>X339+X280*X220*Seasonality!$E$66</f>
        <v/>
      </c>
      <c r="Y340" s="50">
        <f>Y339+Y280*Y220*Seasonality!$E$66</f>
        <v/>
      </c>
      <c r="Z340" s="50">
        <f>Z339+Z280*Z220*Seasonality!$E$66</f>
        <v/>
      </c>
      <c r="AA340" s="50">
        <f>AA339+AA280*AA220*Seasonality!$E$66</f>
        <v/>
      </c>
      <c r="AB340" s="50">
        <f>AB339+AB280*AB220*Seasonality!$E$66</f>
        <v/>
      </c>
      <c r="AC340" s="50">
        <f>AC339+AC280*AC220*Seasonality!$E$66</f>
        <v/>
      </c>
      <c r="AD340" s="50">
        <f>AD339+AD280*AD220*Seasonality!$E$66</f>
        <v/>
      </c>
      <c r="AE340" s="50">
        <f>AE339+AE280*AE220*Seasonality!$E$66</f>
        <v/>
      </c>
      <c r="AF340" s="50">
        <f>AF339+AF280*AF220*Seasonality!$E$66</f>
        <v/>
      </c>
      <c r="AG340" s="50">
        <f>AG339+AG280*AG220*Seasonality!$E$66</f>
        <v/>
      </c>
      <c r="AH340" s="50">
        <f>AH339+AH280*AH220*Seasonality!$E$66</f>
        <v/>
      </c>
      <c r="AI340" s="50">
        <f>AI339+AI280*AI220*Seasonality!$E$66</f>
        <v/>
      </c>
      <c r="AJ340" s="50">
        <f>AJ339+AJ280*AJ220*Seasonality!$E$66</f>
        <v/>
      </c>
      <c r="AK340" s="50">
        <f>AK339+AK280*AK220*Seasonality!$E$66</f>
        <v/>
      </c>
      <c r="AL340" s="50">
        <f>AL339+AL280*AL220*Seasonality!$E$66</f>
        <v/>
      </c>
      <c r="AM340" s="50">
        <f>AM339+AM280*AM220*Seasonality!$E$66</f>
        <v/>
      </c>
      <c r="AN340" s="50">
        <f>AN339+AN280*AN220*Seasonality!$E$66</f>
        <v/>
      </c>
      <c r="AO340" s="50">
        <f>AO339+AO280*AO220*Seasonality!$E$66</f>
        <v/>
      </c>
      <c r="AP340" s="50">
        <f>AP339+AP280*AP220*Seasonality!$E$66</f>
        <v/>
      </c>
      <c r="AQ340" s="50">
        <f>AQ339+AQ280*AQ220*Seasonality!$E$66</f>
        <v/>
      </c>
      <c r="AR340" s="50">
        <f>AR339+AR280*AR220*Seasonality!$E$66</f>
        <v/>
      </c>
      <c r="AS340" s="50">
        <f>AS339+AS280*AS220*Seasonality!$E$66</f>
        <v/>
      </c>
      <c r="AT340" s="50">
        <f>AT339+AT280*AT220*Seasonality!$E$66</f>
        <v/>
      </c>
      <c r="AU340" s="50">
        <f>AU339+AU280*AU220*Seasonality!$E$66</f>
        <v/>
      </c>
      <c r="AV340" s="50">
        <f>AV339+AV280*AV220*Seasonality!$E$66</f>
        <v/>
      </c>
      <c r="AW340" s="50">
        <f>AW339+AW280*AW220*Seasonality!$E$66</f>
        <v/>
      </c>
      <c r="AX340" s="50">
        <f>AX339+AX280*AX220*Seasonality!$E$66</f>
        <v/>
      </c>
      <c r="AY340" s="50">
        <f>AY339+AY280*AY220*Seasonality!$E$66</f>
        <v/>
      </c>
      <c r="AZ340" s="50">
        <f>AZ339+AZ280*AZ220*Seasonality!$E$66</f>
        <v/>
      </c>
      <c r="BA340" s="50">
        <f>BA339+BA280*BA220*Seasonality!$E$66</f>
        <v/>
      </c>
      <c r="BB340" s="50">
        <f>BB339+BB280*BB220*Seasonality!$E$66</f>
        <v/>
      </c>
      <c r="BC340" s="50">
        <f>BC339+BC280*BC220*Seasonality!$E$66</f>
        <v/>
      </c>
      <c r="BD340" s="50">
        <f>BD339+BD280*BD220*Seasonality!$E$66</f>
        <v/>
      </c>
      <c r="BE340" s="50">
        <f>BE339+BE280*BE220*Seasonality!$E$66</f>
        <v/>
      </c>
    </row>
    <row r="341">
      <c r="B341" s="7" t="inlineStr">
        <is>
          <t>Cumulative discounted contribution · month 31</t>
        </is>
      </c>
      <c r="C341" s="5" t="inlineStr">
        <is>
          <t>₹</t>
        </is>
      </c>
      <c r="D341" s="50">
        <f>D340+D281*D221*Seasonality!$E$67</f>
        <v/>
      </c>
      <c r="E341" s="50">
        <f>E340+E281*E221*Seasonality!$E$67</f>
        <v/>
      </c>
      <c r="F341" s="50">
        <f>F340+F281*F221*Seasonality!$E$67</f>
        <v/>
      </c>
      <c r="G341" s="50">
        <f>G340+G281*G221*Seasonality!$E$67</f>
        <v/>
      </c>
      <c r="H341" s="50">
        <f>H340+H281*H221*Seasonality!$E$67</f>
        <v/>
      </c>
      <c r="I341" s="50">
        <f>I340+I281*I221*Seasonality!$E$67</f>
        <v/>
      </c>
      <c r="J341" s="50">
        <f>J340+J281*J221*Seasonality!$E$67</f>
        <v/>
      </c>
      <c r="K341" s="50">
        <f>K340+K281*K221*Seasonality!$E$67</f>
        <v/>
      </c>
      <c r="L341" s="50">
        <f>L340+L281*L221*Seasonality!$E$67</f>
        <v/>
      </c>
      <c r="M341" s="50">
        <f>M340+M281*M221*Seasonality!$E$67</f>
        <v/>
      </c>
      <c r="N341" s="50">
        <f>N340+N281*N221*Seasonality!$E$67</f>
        <v/>
      </c>
      <c r="O341" s="50">
        <f>O340+O281*O221*Seasonality!$E$67</f>
        <v/>
      </c>
      <c r="P341" s="50">
        <f>P340+P281*P221*Seasonality!$E$67</f>
        <v/>
      </c>
      <c r="Q341" s="50">
        <f>Q340+Q281*Q221*Seasonality!$E$67</f>
        <v/>
      </c>
      <c r="R341" s="50">
        <f>R340+R281*R221*Seasonality!$E$67</f>
        <v/>
      </c>
      <c r="S341" s="50">
        <f>S340+S281*S221*Seasonality!$E$67</f>
        <v/>
      </c>
      <c r="T341" s="50">
        <f>T340+T281*T221*Seasonality!$E$67</f>
        <v/>
      </c>
      <c r="U341" s="50">
        <f>U340+U281*U221*Seasonality!$E$67</f>
        <v/>
      </c>
      <c r="V341" s="50">
        <f>V340+V281*V221*Seasonality!$E$67</f>
        <v/>
      </c>
      <c r="W341" s="50">
        <f>W340+W281*W221*Seasonality!$E$67</f>
        <v/>
      </c>
      <c r="X341" s="50">
        <f>X340+X281*X221*Seasonality!$E$67</f>
        <v/>
      </c>
      <c r="Y341" s="50">
        <f>Y340+Y281*Y221*Seasonality!$E$67</f>
        <v/>
      </c>
      <c r="Z341" s="50">
        <f>Z340+Z281*Z221*Seasonality!$E$67</f>
        <v/>
      </c>
      <c r="AA341" s="50">
        <f>AA340+AA281*AA221*Seasonality!$E$67</f>
        <v/>
      </c>
      <c r="AB341" s="50">
        <f>AB340+AB281*AB221*Seasonality!$E$67</f>
        <v/>
      </c>
      <c r="AC341" s="50">
        <f>AC340+AC281*AC221*Seasonality!$E$67</f>
        <v/>
      </c>
      <c r="AD341" s="50">
        <f>AD340+AD281*AD221*Seasonality!$E$67</f>
        <v/>
      </c>
      <c r="AE341" s="50">
        <f>AE340+AE281*AE221*Seasonality!$E$67</f>
        <v/>
      </c>
      <c r="AF341" s="50">
        <f>AF340+AF281*AF221*Seasonality!$E$67</f>
        <v/>
      </c>
      <c r="AG341" s="50">
        <f>AG340+AG281*AG221*Seasonality!$E$67</f>
        <v/>
      </c>
      <c r="AH341" s="50">
        <f>AH340+AH281*AH221*Seasonality!$E$67</f>
        <v/>
      </c>
      <c r="AI341" s="50">
        <f>AI340+AI281*AI221*Seasonality!$E$67</f>
        <v/>
      </c>
      <c r="AJ341" s="50">
        <f>AJ340+AJ281*AJ221*Seasonality!$E$67</f>
        <v/>
      </c>
      <c r="AK341" s="50">
        <f>AK340+AK281*AK221*Seasonality!$E$67</f>
        <v/>
      </c>
      <c r="AL341" s="50">
        <f>AL340+AL281*AL221*Seasonality!$E$67</f>
        <v/>
      </c>
      <c r="AM341" s="50">
        <f>AM340+AM281*AM221*Seasonality!$E$67</f>
        <v/>
      </c>
      <c r="AN341" s="50">
        <f>AN340+AN281*AN221*Seasonality!$E$67</f>
        <v/>
      </c>
      <c r="AO341" s="50">
        <f>AO340+AO281*AO221*Seasonality!$E$67</f>
        <v/>
      </c>
      <c r="AP341" s="50">
        <f>AP340+AP281*AP221*Seasonality!$E$67</f>
        <v/>
      </c>
      <c r="AQ341" s="50">
        <f>AQ340+AQ281*AQ221*Seasonality!$E$67</f>
        <v/>
      </c>
      <c r="AR341" s="50">
        <f>AR340+AR281*AR221*Seasonality!$E$67</f>
        <v/>
      </c>
      <c r="AS341" s="50">
        <f>AS340+AS281*AS221*Seasonality!$E$67</f>
        <v/>
      </c>
      <c r="AT341" s="50">
        <f>AT340+AT281*AT221*Seasonality!$E$67</f>
        <v/>
      </c>
      <c r="AU341" s="50">
        <f>AU340+AU281*AU221*Seasonality!$E$67</f>
        <v/>
      </c>
      <c r="AV341" s="50">
        <f>AV340+AV281*AV221*Seasonality!$E$67</f>
        <v/>
      </c>
      <c r="AW341" s="50">
        <f>AW340+AW281*AW221*Seasonality!$E$67</f>
        <v/>
      </c>
      <c r="AX341" s="50">
        <f>AX340+AX281*AX221*Seasonality!$E$67</f>
        <v/>
      </c>
      <c r="AY341" s="50">
        <f>AY340+AY281*AY221*Seasonality!$E$67</f>
        <v/>
      </c>
      <c r="AZ341" s="50">
        <f>AZ340+AZ281*AZ221*Seasonality!$E$67</f>
        <v/>
      </c>
      <c r="BA341" s="50">
        <f>BA340+BA281*BA221*Seasonality!$E$67</f>
        <v/>
      </c>
      <c r="BB341" s="50">
        <f>BB340+BB281*BB221*Seasonality!$E$67</f>
        <v/>
      </c>
      <c r="BC341" s="50">
        <f>BC340+BC281*BC221*Seasonality!$E$67</f>
        <v/>
      </c>
      <c r="BD341" s="50">
        <f>BD340+BD281*BD221*Seasonality!$E$67</f>
        <v/>
      </c>
      <c r="BE341" s="50">
        <f>BE340+BE281*BE221*Seasonality!$E$67</f>
        <v/>
      </c>
    </row>
    <row r="342">
      <c r="B342" s="7" t="inlineStr">
        <is>
          <t>Cumulative discounted contribution · month 32</t>
        </is>
      </c>
      <c r="C342" s="5" t="inlineStr">
        <is>
          <t>₹</t>
        </is>
      </c>
      <c r="D342" s="50">
        <f>D341+D282*D222*Seasonality!$E$68</f>
        <v/>
      </c>
      <c r="E342" s="50">
        <f>E341+E282*E222*Seasonality!$E$68</f>
        <v/>
      </c>
      <c r="F342" s="50">
        <f>F341+F282*F222*Seasonality!$E$68</f>
        <v/>
      </c>
      <c r="G342" s="50">
        <f>G341+G282*G222*Seasonality!$E$68</f>
        <v/>
      </c>
      <c r="H342" s="50">
        <f>H341+H282*H222*Seasonality!$E$68</f>
        <v/>
      </c>
      <c r="I342" s="50">
        <f>I341+I282*I222*Seasonality!$E$68</f>
        <v/>
      </c>
      <c r="J342" s="50">
        <f>J341+J282*J222*Seasonality!$E$68</f>
        <v/>
      </c>
      <c r="K342" s="50">
        <f>K341+K282*K222*Seasonality!$E$68</f>
        <v/>
      </c>
      <c r="L342" s="50">
        <f>L341+L282*L222*Seasonality!$E$68</f>
        <v/>
      </c>
      <c r="M342" s="50">
        <f>M341+M282*M222*Seasonality!$E$68</f>
        <v/>
      </c>
      <c r="N342" s="50">
        <f>N341+N282*N222*Seasonality!$E$68</f>
        <v/>
      </c>
      <c r="O342" s="50">
        <f>O341+O282*O222*Seasonality!$E$68</f>
        <v/>
      </c>
      <c r="P342" s="50">
        <f>P341+P282*P222*Seasonality!$E$68</f>
        <v/>
      </c>
      <c r="Q342" s="50">
        <f>Q341+Q282*Q222*Seasonality!$E$68</f>
        <v/>
      </c>
      <c r="R342" s="50">
        <f>R341+R282*R222*Seasonality!$E$68</f>
        <v/>
      </c>
      <c r="S342" s="50">
        <f>S341+S282*S222*Seasonality!$E$68</f>
        <v/>
      </c>
      <c r="T342" s="50">
        <f>T341+T282*T222*Seasonality!$E$68</f>
        <v/>
      </c>
      <c r="U342" s="50">
        <f>U341+U282*U222*Seasonality!$E$68</f>
        <v/>
      </c>
      <c r="V342" s="50">
        <f>V341+V282*V222*Seasonality!$E$68</f>
        <v/>
      </c>
      <c r="W342" s="50">
        <f>W341+W282*W222*Seasonality!$E$68</f>
        <v/>
      </c>
      <c r="X342" s="50">
        <f>X341+X282*X222*Seasonality!$E$68</f>
        <v/>
      </c>
      <c r="Y342" s="50">
        <f>Y341+Y282*Y222*Seasonality!$E$68</f>
        <v/>
      </c>
      <c r="Z342" s="50">
        <f>Z341+Z282*Z222*Seasonality!$E$68</f>
        <v/>
      </c>
      <c r="AA342" s="50">
        <f>AA341+AA282*AA222*Seasonality!$E$68</f>
        <v/>
      </c>
      <c r="AB342" s="50">
        <f>AB341+AB282*AB222*Seasonality!$E$68</f>
        <v/>
      </c>
      <c r="AC342" s="50">
        <f>AC341+AC282*AC222*Seasonality!$E$68</f>
        <v/>
      </c>
      <c r="AD342" s="50">
        <f>AD341+AD282*AD222*Seasonality!$E$68</f>
        <v/>
      </c>
      <c r="AE342" s="50">
        <f>AE341+AE282*AE222*Seasonality!$E$68</f>
        <v/>
      </c>
      <c r="AF342" s="50">
        <f>AF341+AF282*AF222*Seasonality!$E$68</f>
        <v/>
      </c>
      <c r="AG342" s="50">
        <f>AG341+AG282*AG222*Seasonality!$E$68</f>
        <v/>
      </c>
      <c r="AH342" s="50">
        <f>AH341+AH282*AH222*Seasonality!$E$68</f>
        <v/>
      </c>
      <c r="AI342" s="50">
        <f>AI341+AI282*AI222*Seasonality!$E$68</f>
        <v/>
      </c>
      <c r="AJ342" s="50">
        <f>AJ341+AJ282*AJ222*Seasonality!$E$68</f>
        <v/>
      </c>
      <c r="AK342" s="50">
        <f>AK341+AK282*AK222*Seasonality!$E$68</f>
        <v/>
      </c>
      <c r="AL342" s="50">
        <f>AL341+AL282*AL222*Seasonality!$E$68</f>
        <v/>
      </c>
      <c r="AM342" s="50">
        <f>AM341+AM282*AM222*Seasonality!$E$68</f>
        <v/>
      </c>
      <c r="AN342" s="50">
        <f>AN341+AN282*AN222*Seasonality!$E$68</f>
        <v/>
      </c>
      <c r="AO342" s="50">
        <f>AO341+AO282*AO222*Seasonality!$E$68</f>
        <v/>
      </c>
      <c r="AP342" s="50">
        <f>AP341+AP282*AP222*Seasonality!$E$68</f>
        <v/>
      </c>
      <c r="AQ342" s="50">
        <f>AQ341+AQ282*AQ222*Seasonality!$E$68</f>
        <v/>
      </c>
      <c r="AR342" s="50">
        <f>AR341+AR282*AR222*Seasonality!$E$68</f>
        <v/>
      </c>
      <c r="AS342" s="50">
        <f>AS341+AS282*AS222*Seasonality!$E$68</f>
        <v/>
      </c>
      <c r="AT342" s="50">
        <f>AT341+AT282*AT222*Seasonality!$E$68</f>
        <v/>
      </c>
      <c r="AU342" s="50">
        <f>AU341+AU282*AU222*Seasonality!$E$68</f>
        <v/>
      </c>
      <c r="AV342" s="50">
        <f>AV341+AV282*AV222*Seasonality!$E$68</f>
        <v/>
      </c>
      <c r="AW342" s="50">
        <f>AW341+AW282*AW222*Seasonality!$E$68</f>
        <v/>
      </c>
      <c r="AX342" s="50">
        <f>AX341+AX282*AX222*Seasonality!$E$68</f>
        <v/>
      </c>
      <c r="AY342" s="50">
        <f>AY341+AY282*AY222*Seasonality!$E$68</f>
        <v/>
      </c>
      <c r="AZ342" s="50">
        <f>AZ341+AZ282*AZ222*Seasonality!$E$68</f>
        <v/>
      </c>
      <c r="BA342" s="50">
        <f>BA341+BA282*BA222*Seasonality!$E$68</f>
        <v/>
      </c>
      <c r="BB342" s="50">
        <f>BB341+BB282*BB222*Seasonality!$E$68</f>
        <v/>
      </c>
      <c r="BC342" s="50">
        <f>BC341+BC282*BC222*Seasonality!$E$68</f>
        <v/>
      </c>
      <c r="BD342" s="50">
        <f>BD341+BD282*BD222*Seasonality!$E$68</f>
        <v/>
      </c>
      <c r="BE342" s="50">
        <f>BE341+BE282*BE222*Seasonality!$E$68</f>
        <v/>
      </c>
    </row>
    <row r="343">
      <c r="B343" s="7" t="inlineStr">
        <is>
          <t>Cumulative discounted contribution · month 33</t>
        </is>
      </c>
      <c r="C343" s="5" t="inlineStr">
        <is>
          <t>₹</t>
        </is>
      </c>
      <c r="D343" s="50">
        <f>D342+D283*D223*Seasonality!$E$69</f>
        <v/>
      </c>
      <c r="E343" s="50">
        <f>E342+E283*E223*Seasonality!$E$69</f>
        <v/>
      </c>
      <c r="F343" s="50">
        <f>F342+F283*F223*Seasonality!$E$69</f>
        <v/>
      </c>
      <c r="G343" s="50">
        <f>G342+G283*G223*Seasonality!$E$69</f>
        <v/>
      </c>
      <c r="H343" s="50">
        <f>H342+H283*H223*Seasonality!$E$69</f>
        <v/>
      </c>
      <c r="I343" s="50">
        <f>I342+I283*I223*Seasonality!$E$69</f>
        <v/>
      </c>
      <c r="J343" s="50">
        <f>J342+J283*J223*Seasonality!$E$69</f>
        <v/>
      </c>
      <c r="K343" s="50">
        <f>K342+K283*K223*Seasonality!$E$69</f>
        <v/>
      </c>
      <c r="L343" s="50">
        <f>L342+L283*L223*Seasonality!$E$69</f>
        <v/>
      </c>
      <c r="M343" s="50">
        <f>M342+M283*M223*Seasonality!$E$69</f>
        <v/>
      </c>
      <c r="N343" s="50">
        <f>N342+N283*N223*Seasonality!$E$69</f>
        <v/>
      </c>
      <c r="O343" s="50">
        <f>O342+O283*O223*Seasonality!$E$69</f>
        <v/>
      </c>
      <c r="P343" s="50">
        <f>P342+P283*P223*Seasonality!$E$69</f>
        <v/>
      </c>
      <c r="Q343" s="50">
        <f>Q342+Q283*Q223*Seasonality!$E$69</f>
        <v/>
      </c>
      <c r="R343" s="50">
        <f>R342+R283*R223*Seasonality!$E$69</f>
        <v/>
      </c>
      <c r="S343" s="50">
        <f>S342+S283*S223*Seasonality!$E$69</f>
        <v/>
      </c>
      <c r="T343" s="50">
        <f>T342+T283*T223*Seasonality!$E$69</f>
        <v/>
      </c>
      <c r="U343" s="50">
        <f>U342+U283*U223*Seasonality!$E$69</f>
        <v/>
      </c>
      <c r="V343" s="50">
        <f>V342+V283*V223*Seasonality!$E$69</f>
        <v/>
      </c>
      <c r="W343" s="50">
        <f>W342+W283*W223*Seasonality!$E$69</f>
        <v/>
      </c>
      <c r="X343" s="50">
        <f>X342+X283*X223*Seasonality!$E$69</f>
        <v/>
      </c>
      <c r="Y343" s="50">
        <f>Y342+Y283*Y223*Seasonality!$E$69</f>
        <v/>
      </c>
      <c r="Z343" s="50">
        <f>Z342+Z283*Z223*Seasonality!$E$69</f>
        <v/>
      </c>
      <c r="AA343" s="50">
        <f>AA342+AA283*AA223*Seasonality!$E$69</f>
        <v/>
      </c>
      <c r="AB343" s="50">
        <f>AB342+AB283*AB223*Seasonality!$E$69</f>
        <v/>
      </c>
      <c r="AC343" s="50">
        <f>AC342+AC283*AC223*Seasonality!$E$69</f>
        <v/>
      </c>
      <c r="AD343" s="50">
        <f>AD342+AD283*AD223*Seasonality!$E$69</f>
        <v/>
      </c>
      <c r="AE343" s="50">
        <f>AE342+AE283*AE223*Seasonality!$E$69</f>
        <v/>
      </c>
      <c r="AF343" s="50">
        <f>AF342+AF283*AF223*Seasonality!$E$69</f>
        <v/>
      </c>
      <c r="AG343" s="50">
        <f>AG342+AG283*AG223*Seasonality!$E$69</f>
        <v/>
      </c>
      <c r="AH343" s="50">
        <f>AH342+AH283*AH223*Seasonality!$E$69</f>
        <v/>
      </c>
      <c r="AI343" s="50">
        <f>AI342+AI283*AI223*Seasonality!$E$69</f>
        <v/>
      </c>
      <c r="AJ343" s="50">
        <f>AJ342+AJ283*AJ223*Seasonality!$E$69</f>
        <v/>
      </c>
      <c r="AK343" s="50">
        <f>AK342+AK283*AK223*Seasonality!$E$69</f>
        <v/>
      </c>
      <c r="AL343" s="50">
        <f>AL342+AL283*AL223*Seasonality!$E$69</f>
        <v/>
      </c>
      <c r="AM343" s="50">
        <f>AM342+AM283*AM223*Seasonality!$E$69</f>
        <v/>
      </c>
      <c r="AN343" s="50">
        <f>AN342+AN283*AN223*Seasonality!$E$69</f>
        <v/>
      </c>
      <c r="AO343" s="50">
        <f>AO342+AO283*AO223*Seasonality!$E$69</f>
        <v/>
      </c>
      <c r="AP343" s="50">
        <f>AP342+AP283*AP223*Seasonality!$E$69</f>
        <v/>
      </c>
      <c r="AQ343" s="50">
        <f>AQ342+AQ283*AQ223*Seasonality!$E$69</f>
        <v/>
      </c>
      <c r="AR343" s="50">
        <f>AR342+AR283*AR223*Seasonality!$E$69</f>
        <v/>
      </c>
      <c r="AS343" s="50">
        <f>AS342+AS283*AS223*Seasonality!$E$69</f>
        <v/>
      </c>
      <c r="AT343" s="50">
        <f>AT342+AT283*AT223*Seasonality!$E$69</f>
        <v/>
      </c>
      <c r="AU343" s="50">
        <f>AU342+AU283*AU223*Seasonality!$E$69</f>
        <v/>
      </c>
      <c r="AV343" s="50">
        <f>AV342+AV283*AV223*Seasonality!$E$69</f>
        <v/>
      </c>
      <c r="AW343" s="50">
        <f>AW342+AW283*AW223*Seasonality!$E$69</f>
        <v/>
      </c>
      <c r="AX343" s="50">
        <f>AX342+AX283*AX223*Seasonality!$E$69</f>
        <v/>
      </c>
      <c r="AY343" s="50">
        <f>AY342+AY283*AY223*Seasonality!$E$69</f>
        <v/>
      </c>
      <c r="AZ343" s="50">
        <f>AZ342+AZ283*AZ223*Seasonality!$E$69</f>
        <v/>
      </c>
      <c r="BA343" s="50">
        <f>BA342+BA283*BA223*Seasonality!$E$69</f>
        <v/>
      </c>
      <c r="BB343" s="50">
        <f>BB342+BB283*BB223*Seasonality!$E$69</f>
        <v/>
      </c>
      <c r="BC343" s="50">
        <f>BC342+BC283*BC223*Seasonality!$E$69</f>
        <v/>
      </c>
      <c r="BD343" s="50">
        <f>BD342+BD283*BD223*Seasonality!$E$69</f>
        <v/>
      </c>
      <c r="BE343" s="50">
        <f>BE342+BE283*BE223*Seasonality!$E$69</f>
        <v/>
      </c>
    </row>
    <row r="344">
      <c r="B344" s="7" t="inlineStr">
        <is>
          <t>Cumulative discounted contribution · month 34</t>
        </is>
      </c>
      <c r="C344" s="5" t="inlineStr">
        <is>
          <t>₹</t>
        </is>
      </c>
      <c r="D344" s="50">
        <f>D343+D284*D224*Seasonality!$E$70</f>
        <v/>
      </c>
      <c r="E344" s="50">
        <f>E343+E284*E224*Seasonality!$E$70</f>
        <v/>
      </c>
      <c r="F344" s="50">
        <f>F343+F284*F224*Seasonality!$E$70</f>
        <v/>
      </c>
      <c r="G344" s="50">
        <f>G343+G284*G224*Seasonality!$E$70</f>
        <v/>
      </c>
      <c r="H344" s="50">
        <f>H343+H284*H224*Seasonality!$E$70</f>
        <v/>
      </c>
      <c r="I344" s="50">
        <f>I343+I284*I224*Seasonality!$E$70</f>
        <v/>
      </c>
      <c r="J344" s="50">
        <f>J343+J284*J224*Seasonality!$E$70</f>
        <v/>
      </c>
      <c r="K344" s="50">
        <f>K343+K284*K224*Seasonality!$E$70</f>
        <v/>
      </c>
      <c r="L344" s="50">
        <f>L343+L284*L224*Seasonality!$E$70</f>
        <v/>
      </c>
      <c r="M344" s="50">
        <f>M343+M284*M224*Seasonality!$E$70</f>
        <v/>
      </c>
      <c r="N344" s="50">
        <f>N343+N284*N224*Seasonality!$E$70</f>
        <v/>
      </c>
      <c r="O344" s="50">
        <f>O343+O284*O224*Seasonality!$E$70</f>
        <v/>
      </c>
      <c r="P344" s="50">
        <f>P343+P284*P224*Seasonality!$E$70</f>
        <v/>
      </c>
      <c r="Q344" s="50">
        <f>Q343+Q284*Q224*Seasonality!$E$70</f>
        <v/>
      </c>
      <c r="R344" s="50">
        <f>R343+R284*R224*Seasonality!$E$70</f>
        <v/>
      </c>
      <c r="S344" s="50">
        <f>S343+S284*S224*Seasonality!$E$70</f>
        <v/>
      </c>
      <c r="T344" s="50">
        <f>T343+T284*T224*Seasonality!$E$70</f>
        <v/>
      </c>
      <c r="U344" s="50">
        <f>U343+U284*U224*Seasonality!$E$70</f>
        <v/>
      </c>
      <c r="V344" s="50">
        <f>V343+V284*V224*Seasonality!$E$70</f>
        <v/>
      </c>
      <c r="W344" s="50">
        <f>W343+W284*W224*Seasonality!$E$70</f>
        <v/>
      </c>
      <c r="X344" s="50">
        <f>X343+X284*X224*Seasonality!$E$70</f>
        <v/>
      </c>
      <c r="Y344" s="50">
        <f>Y343+Y284*Y224*Seasonality!$E$70</f>
        <v/>
      </c>
      <c r="Z344" s="50">
        <f>Z343+Z284*Z224*Seasonality!$E$70</f>
        <v/>
      </c>
      <c r="AA344" s="50">
        <f>AA343+AA284*AA224*Seasonality!$E$70</f>
        <v/>
      </c>
      <c r="AB344" s="50">
        <f>AB343+AB284*AB224*Seasonality!$E$70</f>
        <v/>
      </c>
      <c r="AC344" s="50">
        <f>AC343+AC284*AC224*Seasonality!$E$70</f>
        <v/>
      </c>
      <c r="AD344" s="50">
        <f>AD343+AD284*AD224*Seasonality!$E$70</f>
        <v/>
      </c>
      <c r="AE344" s="50">
        <f>AE343+AE284*AE224*Seasonality!$E$70</f>
        <v/>
      </c>
      <c r="AF344" s="50">
        <f>AF343+AF284*AF224*Seasonality!$E$70</f>
        <v/>
      </c>
      <c r="AG344" s="50">
        <f>AG343+AG284*AG224*Seasonality!$E$70</f>
        <v/>
      </c>
      <c r="AH344" s="50">
        <f>AH343+AH284*AH224*Seasonality!$E$70</f>
        <v/>
      </c>
      <c r="AI344" s="50">
        <f>AI343+AI284*AI224*Seasonality!$E$70</f>
        <v/>
      </c>
      <c r="AJ344" s="50">
        <f>AJ343+AJ284*AJ224*Seasonality!$E$70</f>
        <v/>
      </c>
      <c r="AK344" s="50">
        <f>AK343+AK284*AK224*Seasonality!$E$70</f>
        <v/>
      </c>
      <c r="AL344" s="50">
        <f>AL343+AL284*AL224*Seasonality!$E$70</f>
        <v/>
      </c>
      <c r="AM344" s="50">
        <f>AM343+AM284*AM224*Seasonality!$E$70</f>
        <v/>
      </c>
      <c r="AN344" s="50">
        <f>AN343+AN284*AN224*Seasonality!$E$70</f>
        <v/>
      </c>
      <c r="AO344" s="50">
        <f>AO343+AO284*AO224*Seasonality!$E$70</f>
        <v/>
      </c>
      <c r="AP344" s="50">
        <f>AP343+AP284*AP224*Seasonality!$E$70</f>
        <v/>
      </c>
      <c r="AQ344" s="50">
        <f>AQ343+AQ284*AQ224*Seasonality!$E$70</f>
        <v/>
      </c>
      <c r="AR344" s="50">
        <f>AR343+AR284*AR224*Seasonality!$E$70</f>
        <v/>
      </c>
      <c r="AS344" s="50">
        <f>AS343+AS284*AS224*Seasonality!$E$70</f>
        <v/>
      </c>
      <c r="AT344" s="50">
        <f>AT343+AT284*AT224*Seasonality!$E$70</f>
        <v/>
      </c>
      <c r="AU344" s="50">
        <f>AU343+AU284*AU224*Seasonality!$E$70</f>
        <v/>
      </c>
      <c r="AV344" s="50">
        <f>AV343+AV284*AV224*Seasonality!$E$70</f>
        <v/>
      </c>
      <c r="AW344" s="50">
        <f>AW343+AW284*AW224*Seasonality!$E$70</f>
        <v/>
      </c>
      <c r="AX344" s="50">
        <f>AX343+AX284*AX224*Seasonality!$E$70</f>
        <v/>
      </c>
      <c r="AY344" s="50">
        <f>AY343+AY284*AY224*Seasonality!$E$70</f>
        <v/>
      </c>
      <c r="AZ344" s="50">
        <f>AZ343+AZ284*AZ224*Seasonality!$E$70</f>
        <v/>
      </c>
      <c r="BA344" s="50">
        <f>BA343+BA284*BA224*Seasonality!$E$70</f>
        <v/>
      </c>
      <c r="BB344" s="50">
        <f>BB343+BB284*BB224*Seasonality!$E$70</f>
        <v/>
      </c>
      <c r="BC344" s="50">
        <f>BC343+BC284*BC224*Seasonality!$E$70</f>
        <v/>
      </c>
      <c r="BD344" s="50">
        <f>BD343+BD284*BD224*Seasonality!$E$70</f>
        <v/>
      </c>
      <c r="BE344" s="50">
        <f>BE343+BE284*BE224*Seasonality!$E$70</f>
        <v/>
      </c>
    </row>
    <row r="345">
      <c r="B345" s="7" t="inlineStr">
        <is>
          <t>Cumulative discounted contribution · month 35</t>
        </is>
      </c>
      <c r="C345" s="5" t="inlineStr">
        <is>
          <t>₹</t>
        </is>
      </c>
      <c r="D345" s="50">
        <f>D344+D285*D225*Seasonality!$E$71</f>
        <v/>
      </c>
      <c r="E345" s="50">
        <f>E344+E285*E225*Seasonality!$E$71</f>
        <v/>
      </c>
      <c r="F345" s="50">
        <f>F344+F285*F225*Seasonality!$E$71</f>
        <v/>
      </c>
      <c r="G345" s="50">
        <f>G344+G285*G225*Seasonality!$E$71</f>
        <v/>
      </c>
      <c r="H345" s="50">
        <f>H344+H285*H225*Seasonality!$E$71</f>
        <v/>
      </c>
      <c r="I345" s="50">
        <f>I344+I285*I225*Seasonality!$E$71</f>
        <v/>
      </c>
      <c r="J345" s="50">
        <f>J344+J285*J225*Seasonality!$E$71</f>
        <v/>
      </c>
      <c r="K345" s="50">
        <f>K344+K285*K225*Seasonality!$E$71</f>
        <v/>
      </c>
      <c r="L345" s="50">
        <f>L344+L285*L225*Seasonality!$E$71</f>
        <v/>
      </c>
      <c r="M345" s="50">
        <f>M344+M285*M225*Seasonality!$E$71</f>
        <v/>
      </c>
      <c r="N345" s="50">
        <f>N344+N285*N225*Seasonality!$E$71</f>
        <v/>
      </c>
      <c r="O345" s="50">
        <f>O344+O285*O225*Seasonality!$E$71</f>
        <v/>
      </c>
      <c r="P345" s="50">
        <f>P344+P285*P225*Seasonality!$E$71</f>
        <v/>
      </c>
      <c r="Q345" s="50">
        <f>Q344+Q285*Q225*Seasonality!$E$71</f>
        <v/>
      </c>
      <c r="R345" s="50">
        <f>R344+R285*R225*Seasonality!$E$71</f>
        <v/>
      </c>
      <c r="S345" s="50">
        <f>S344+S285*S225*Seasonality!$E$71</f>
        <v/>
      </c>
      <c r="T345" s="50">
        <f>T344+T285*T225*Seasonality!$E$71</f>
        <v/>
      </c>
      <c r="U345" s="50">
        <f>U344+U285*U225*Seasonality!$E$71</f>
        <v/>
      </c>
      <c r="V345" s="50">
        <f>V344+V285*V225*Seasonality!$E$71</f>
        <v/>
      </c>
      <c r="W345" s="50">
        <f>W344+W285*W225*Seasonality!$E$71</f>
        <v/>
      </c>
      <c r="X345" s="50">
        <f>X344+X285*X225*Seasonality!$E$71</f>
        <v/>
      </c>
      <c r="Y345" s="50">
        <f>Y344+Y285*Y225*Seasonality!$E$71</f>
        <v/>
      </c>
      <c r="Z345" s="50">
        <f>Z344+Z285*Z225*Seasonality!$E$71</f>
        <v/>
      </c>
      <c r="AA345" s="50">
        <f>AA344+AA285*AA225*Seasonality!$E$71</f>
        <v/>
      </c>
      <c r="AB345" s="50">
        <f>AB344+AB285*AB225*Seasonality!$E$71</f>
        <v/>
      </c>
      <c r="AC345" s="50">
        <f>AC344+AC285*AC225*Seasonality!$E$71</f>
        <v/>
      </c>
      <c r="AD345" s="50">
        <f>AD344+AD285*AD225*Seasonality!$E$71</f>
        <v/>
      </c>
      <c r="AE345" s="50">
        <f>AE344+AE285*AE225*Seasonality!$E$71</f>
        <v/>
      </c>
      <c r="AF345" s="50">
        <f>AF344+AF285*AF225*Seasonality!$E$71</f>
        <v/>
      </c>
      <c r="AG345" s="50">
        <f>AG344+AG285*AG225*Seasonality!$E$71</f>
        <v/>
      </c>
      <c r="AH345" s="50">
        <f>AH344+AH285*AH225*Seasonality!$E$71</f>
        <v/>
      </c>
      <c r="AI345" s="50">
        <f>AI344+AI285*AI225*Seasonality!$E$71</f>
        <v/>
      </c>
      <c r="AJ345" s="50">
        <f>AJ344+AJ285*AJ225*Seasonality!$E$71</f>
        <v/>
      </c>
      <c r="AK345" s="50">
        <f>AK344+AK285*AK225*Seasonality!$E$71</f>
        <v/>
      </c>
      <c r="AL345" s="50">
        <f>AL344+AL285*AL225*Seasonality!$E$71</f>
        <v/>
      </c>
      <c r="AM345" s="50">
        <f>AM344+AM285*AM225*Seasonality!$E$71</f>
        <v/>
      </c>
      <c r="AN345" s="50">
        <f>AN344+AN285*AN225*Seasonality!$E$71</f>
        <v/>
      </c>
      <c r="AO345" s="50">
        <f>AO344+AO285*AO225*Seasonality!$E$71</f>
        <v/>
      </c>
      <c r="AP345" s="50">
        <f>AP344+AP285*AP225*Seasonality!$E$71</f>
        <v/>
      </c>
      <c r="AQ345" s="50">
        <f>AQ344+AQ285*AQ225*Seasonality!$E$71</f>
        <v/>
      </c>
      <c r="AR345" s="50">
        <f>AR344+AR285*AR225*Seasonality!$E$71</f>
        <v/>
      </c>
      <c r="AS345" s="50">
        <f>AS344+AS285*AS225*Seasonality!$E$71</f>
        <v/>
      </c>
      <c r="AT345" s="50">
        <f>AT344+AT285*AT225*Seasonality!$E$71</f>
        <v/>
      </c>
      <c r="AU345" s="50">
        <f>AU344+AU285*AU225*Seasonality!$E$71</f>
        <v/>
      </c>
      <c r="AV345" s="50">
        <f>AV344+AV285*AV225*Seasonality!$E$71</f>
        <v/>
      </c>
      <c r="AW345" s="50">
        <f>AW344+AW285*AW225*Seasonality!$E$71</f>
        <v/>
      </c>
      <c r="AX345" s="50">
        <f>AX344+AX285*AX225*Seasonality!$E$71</f>
        <v/>
      </c>
      <c r="AY345" s="50">
        <f>AY344+AY285*AY225*Seasonality!$E$71</f>
        <v/>
      </c>
      <c r="AZ345" s="50">
        <f>AZ344+AZ285*AZ225*Seasonality!$E$71</f>
        <v/>
      </c>
      <c r="BA345" s="50">
        <f>BA344+BA285*BA225*Seasonality!$E$71</f>
        <v/>
      </c>
      <c r="BB345" s="50">
        <f>BB344+BB285*BB225*Seasonality!$E$71</f>
        <v/>
      </c>
      <c r="BC345" s="50">
        <f>BC344+BC285*BC225*Seasonality!$E$71</f>
        <v/>
      </c>
      <c r="BD345" s="50">
        <f>BD344+BD285*BD225*Seasonality!$E$71</f>
        <v/>
      </c>
      <c r="BE345" s="50">
        <f>BE344+BE285*BE225*Seasonality!$E$71</f>
        <v/>
      </c>
    </row>
    <row r="346">
      <c r="B346" s="7" t="inlineStr">
        <is>
          <t>Cumulative discounted contribution · month 36</t>
        </is>
      </c>
      <c r="C346" s="5" t="inlineStr">
        <is>
          <t>₹</t>
        </is>
      </c>
      <c r="D346" s="50">
        <f>D345+D286*D226*Seasonality!$E$72</f>
        <v/>
      </c>
      <c r="E346" s="50">
        <f>E345+E286*E226*Seasonality!$E$72</f>
        <v/>
      </c>
      <c r="F346" s="50">
        <f>F345+F286*F226*Seasonality!$E$72</f>
        <v/>
      </c>
      <c r="G346" s="50">
        <f>G345+G286*G226*Seasonality!$E$72</f>
        <v/>
      </c>
      <c r="H346" s="50">
        <f>H345+H286*H226*Seasonality!$E$72</f>
        <v/>
      </c>
      <c r="I346" s="50">
        <f>I345+I286*I226*Seasonality!$E$72</f>
        <v/>
      </c>
      <c r="J346" s="50">
        <f>J345+J286*J226*Seasonality!$E$72</f>
        <v/>
      </c>
      <c r="K346" s="50">
        <f>K345+K286*K226*Seasonality!$E$72</f>
        <v/>
      </c>
      <c r="L346" s="50">
        <f>L345+L286*L226*Seasonality!$E$72</f>
        <v/>
      </c>
      <c r="M346" s="50">
        <f>M345+M286*M226*Seasonality!$E$72</f>
        <v/>
      </c>
      <c r="N346" s="50">
        <f>N345+N286*N226*Seasonality!$E$72</f>
        <v/>
      </c>
      <c r="O346" s="50">
        <f>O345+O286*O226*Seasonality!$E$72</f>
        <v/>
      </c>
      <c r="P346" s="50">
        <f>P345+P286*P226*Seasonality!$E$72</f>
        <v/>
      </c>
      <c r="Q346" s="50">
        <f>Q345+Q286*Q226*Seasonality!$E$72</f>
        <v/>
      </c>
      <c r="R346" s="50">
        <f>R345+R286*R226*Seasonality!$E$72</f>
        <v/>
      </c>
      <c r="S346" s="50">
        <f>S345+S286*S226*Seasonality!$E$72</f>
        <v/>
      </c>
      <c r="T346" s="50">
        <f>T345+T286*T226*Seasonality!$E$72</f>
        <v/>
      </c>
      <c r="U346" s="50">
        <f>U345+U286*U226*Seasonality!$E$72</f>
        <v/>
      </c>
      <c r="V346" s="50">
        <f>V345+V286*V226*Seasonality!$E$72</f>
        <v/>
      </c>
      <c r="W346" s="50">
        <f>W345+W286*W226*Seasonality!$E$72</f>
        <v/>
      </c>
      <c r="X346" s="50">
        <f>X345+X286*X226*Seasonality!$E$72</f>
        <v/>
      </c>
      <c r="Y346" s="50">
        <f>Y345+Y286*Y226*Seasonality!$E$72</f>
        <v/>
      </c>
      <c r="Z346" s="50">
        <f>Z345+Z286*Z226*Seasonality!$E$72</f>
        <v/>
      </c>
      <c r="AA346" s="50">
        <f>AA345+AA286*AA226*Seasonality!$E$72</f>
        <v/>
      </c>
      <c r="AB346" s="50">
        <f>AB345+AB286*AB226*Seasonality!$E$72</f>
        <v/>
      </c>
      <c r="AC346" s="50">
        <f>AC345+AC286*AC226*Seasonality!$E$72</f>
        <v/>
      </c>
      <c r="AD346" s="50">
        <f>AD345+AD286*AD226*Seasonality!$E$72</f>
        <v/>
      </c>
      <c r="AE346" s="50">
        <f>AE345+AE286*AE226*Seasonality!$E$72</f>
        <v/>
      </c>
      <c r="AF346" s="50">
        <f>AF345+AF286*AF226*Seasonality!$E$72</f>
        <v/>
      </c>
      <c r="AG346" s="50">
        <f>AG345+AG286*AG226*Seasonality!$E$72</f>
        <v/>
      </c>
      <c r="AH346" s="50">
        <f>AH345+AH286*AH226*Seasonality!$E$72</f>
        <v/>
      </c>
      <c r="AI346" s="50">
        <f>AI345+AI286*AI226*Seasonality!$E$72</f>
        <v/>
      </c>
      <c r="AJ346" s="50">
        <f>AJ345+AJ286*AJ226*Seasonality!$E$72</f>
        <v/>
      </c>
      <c r="AK346" s="50">
        <f>AK345+AK286*AK226*Seasonality!$E$72</f>
        <v/>
      </c>
      <c r="AL346" s="50">
        <f>AL345+AL286*AL226*Seasonality!$E$72</f>
        <v/>
      </c>
      <c r="AM346" s="50">
        <f>AM345+AM286*AM226*Seasonality!$E$72</f>
        <v/>
      </c>
      <c r="AN346" s="50">
        <f>AN345+AN286*AN226*Seasonality!$E$72</f>
        <v/>
      </c>
      <c r="AO346" s="50">
        <f>AO345+AO286*AO226*Seasonality!$E$72</f>
        <v/>
      </c>
      <c r="AP346" s="50">
        <f>AP345+AP286*AP226*Seasonality!$E$72</f>
        <v/>
      </c>
      <c r="AQ346" s="50">
        <f>AQ345+AQ286*AQ226*Seasonality!$E$72</f>
        <v/>
      </c>
      <c r="AR346" s="50">
        <f>AR345+AR286*AR226*Seasonality!$E$72</f>
        <v/>
      </c>
      <c r="AS346" s="50">
        <f>AS345+AS286*AS226*Seasonality!$E$72</f>
        <v/>
      </c>
      <c r="AT346" s="50">
        <f>AT345+AT286*AT226*Seasonality!$E$72</f>
        <v/>
      </c>
      <c r="AU346" s="50">
        <f>AU345+AU286*AU226*Seasonality!$E$72</f>
        <v/>
      </c>
      <c r="AV346" s="50">
        <f>AV345+AV286*AV226*Seasonality!$E$72</f>
        <v/>
      </c>
      <c r="AW346" s="50">
        <f>AW345+AW286*AW226*Seasonality!$E$72</f>
        <v/>
      </c>
      <c r="AX346" s="50">
        <f>AX345+AX286*AX226*Seasonality!$E$72</f>
        <v/>
      </c>
      <c r="AY346" s="50">
        <f>AY345+AY286*AY226*Seasonality!$E$72</f>
        <v/>
      </c>
      <c r="AZ346" s="50">
        <f>AZ345+AZ286*AZ226*Seasonality!$E$72</f>
        <v/>
      </c>
      <c r="BA346" s="50">
        <f>BA345+BA286*BA226*Seasonality!$E$72</f>
        <v/>
      </c>
      <c r="BB346" s="50">
        <f>BB345+BB286*BB226*Seasonality!$E$72</f>
        <v/>
      </c>
      <c r="BC346" s="50">
        <f>BC345+BC286*BC226*Seasonality!$E$72</f>
        <v/>
      </c>
      <c r="BD346" s="50">
        <f>BD345+BD286*BD226*Seasonality!$E$72</f>
        <v/>
      </c>
      <c r="BE346" s="50">
        <f>BE345+BE286*BE226*Seasonality!$E$72</f>
        <v/>
      </c>
    </row>
    <row r="347">
      <c r="B347" s="7" t="inlineStr">
        <is>
          <t>Cumulative discounted contribution · month 37</t>
        </is>
      </c>
      <c r="C347" s="5" t="inlineStr">
        <is>
          <t>₹</t>
        </is>
      </c>
      <c r="D347" s="50">
        <f>D346+D287*D227*Seasonality!$E$73</f>
        <v/>
      </c>
      <c r="E347" s="50">
        <f>E346+E287*E227*Seasonality!$E$73</f>
        <v/>
      </c>
      <c r="F347" s="50">
        <f>F346+F287*F227*Seasonality!$E$73</f>
        <v/>
      </c>
      <c r="G347" s="50">
        <f>G346+G287*G227*Seasonality!$E$73</f>
        <v/>
      </c>
      <c r="H347" s="50">
        <f>H346+H287*H227*Seasonality!$E$73</f>
        <v/>
      </c>
      <c r="I347" s="50">
        <f>I346+I287*I227*Seasonality!$E$73</f>
        <v/>
      </c>
      <c r="J347" s="50">
        <f>J346+J287*J227*Seasonality!$E$73</f>
        <v/>
      </c>
      <c r="K347" s="50">
        <f>K346+K287*K227*Seasonality!$E$73</f>
        <v/>
      </c>
      <c r="L347" s="50">
        <f>L346+L287*L227*Seasonality!$E$73</f>
        <v/>
      </c>
      <c r="M347" s="50">
        <f>M346+M287*M227*Seasonality!$E$73</f>
        <v/>
      </c>
      <c r="N347" s="50">
        <f>N346+N287*N227*Seasonality!$E$73</f>
        <v/>
      </c>
      <c r="O347" s="50">
        <f>O346+O287*O227*Seasonality!$E$73</f>
        <v/>
      </c>
      <c r="P347" s="50">
        <f>P346+P287*P227*Seasonality!$E$73</f>
        <v/>
      </c>
      <c r="Q347" s="50">
        <f>Q346+Q287*Q227*Seasonality!$E$73</f>
        <v/>
      </c>
      <c r="R347" s="50">
        <f>R346+R287*R227*Seasonality!$E$73</f>
        <v/>
      </c>
      <c r="S347" s="50">
        <f>S346+S287*S227*Seasonality!$E$73</f>
        <v/>
      </c>
      <c r="T347" s="50">
        <f>T346+T287*T227*Seasonality!$E$73</f>
        <v/>
      </c>
      <c r="U347" s="50">
        <f>U346+U287*U227*Seasonality!$E$73</f>
        <v/>
      </c>
      <c r="V347" s="50">
        <f>V346+V287*V227*Seasonality!$E$73</f>
        <v/>
      </c>
      <c r="W347" s="50">
        <f>W346+W287*W227*Seasonality!$E$73</f>
        <v/>
      </c>
      <c r="X347" s="50">
        <f>X346+X287*X227*Seasonality!$E$73</f>
        <v/>
      </c>
      <c r="Y347" s="50">
        <f>Y346+Y287*Y227*Seasonality!$E$73</f>
        <v/>
      </c>
      <c r="Z347" s="50">
        <f>Z346+Z287*Z227*Seasonality!$E$73</f>
        <v/>
      </c>
      <c r="AA347" s="50">
        <f>AA346+AA287*AA227*Seasonality!$E$73</f>
        <v/>
      </c>
      <c r="AB347" s="50">
        <f>AB346+AB287*AB227*Seasonality!$E$73</f>
        <v/>
      </c>
      <c r="AC347" s="50">
        <f>AC346+AC287*AC227*Seasonality!$E$73</f>
        <v/>
      </c>
      <c r="AD347" s="50">
        <f>AD346+AD287*AD227*Seasonality!$E$73</f>
        <v/>
      </c>
      <c r="AE347" s="50">
        <f>AE346+AE287*AE227*Seasonality!$E$73</f>
        <v/>
      </c>
      <c r="AF347" s="50">
        <f>AF346+AF287*AF227*Seasonality!$E$73</f>
        <v/>
      </c>
      <c r="AG347" s="50">
        <f>AG346+AG287*AG227*Seasonality!$E$73</f>
        <v/>
      </c>
      <c r="AH347" s="50">
        <f>AH346+AH287*AH227*Seasonality!$E$73</f>
        <v/>
      </c>
      <c r="AI347" s="50">
        <f>AI346+AI287*AI227*Seasonality!$E$73</f>
        <v/>
      </c>
      <c r="AJ347" s="50">
        <f>AJ346+AJ287*AJ227*Seasonality!$E$73</f>
        <v/>
      </c>
      <c r="AK347" s="50">
        <f>AK346+AK287*AK227*Seasonality!$E$73</f>
        <v/>
      </c>
      <c r="AL347" s="50">
        <f>AL346+AL287*AL227*Seasonality!$E$73</f>
        <v/>
      </c>
      <c r="AM347" s="50">
        <f>AM346+AM287*AM227*Seasonality!$E$73</f>
        <v/>
      </c>
      <c r="AN347" s="50">
        <f>AN346+AN287*AN227*Seasonality!$E$73</f>
        <v/>
      </c>
      <c r="AO347" s="50">
        <f>AO346+AO287*AO227*Seasonality!$E$73</f>
        <v/>
      </c>
      <c r="AP347" s="50">
        <f>AP346+AP287*AP227*Seasonality!$E$73</f>
        <v/>
      </c>
      <c r="AQ347" s="50">
        <f>AQ346+AQ287*AQ227*Seasonality!$E$73</f>
        <v/>
      </c>
      <c r="AR347" s="50">
        <f>AR346+AR287*AR227*Seasonality!$E$73</f>
        <v/>
      </c>
      <c r="AS347" s="50">
        <f>AS346+AS287*AS227*Seasonality!$E$73</f>
        <v/>
      </c>
      <c r="AT347" s="50">
        <f>AT346+AT287*AT227*Seasonality!$E$73</f>
        <v/>
      </c>
      <c r="AU347" s="50">
        <f>AU346+AU287*AU227*Seasonality!$E$73</f>
        <v/>
      </c>
      <c r="AV347" s="50">
        <f>AV346+AV287*AV227*Seasonality!$E$73</f>
        <v/>
      </c>
      <c r="AW347" s="50">
        <f>AW346+AW287*AW227*Seasonality!$E$73</f>
        <v/>
      </c>
      <c r="AX347" s="50">
        <f>AX346+AX287*AX227*Seasonality!$E$73</f>
        <v/>
      </c>
      <c r="AY347" s="50">
        <f>AY346+AY287*AY227*Seasonality!$E$73</f>
        <v/>
      </c>
      <c r="AZ347" s="50">
        <f>AZ346+AZ287*AZ227*Seasonality!$E$73</f>
        <v/>
      </c>
      <c r="BA347" s="50">
        <f>BA346+BA287*BA227*Seasonality!$E$73</f>
        <v/>
      </c>
      <c r="BB347" s="50">
        <f>BB346+BB287*BB227*Seasonality!$E$73</f>
        <v/>
      </c>
      <c r="BC347" s="50">
        <f>BC346+BC287*BC227*Seasonality!$E$73</f>
        <v/>
      </c>
      <c r="BD347" s="50">
        <f>BD346+BD287*BD227*Seasonality!$E$73</f>
        <v/>
      </c>
      <c r="BE347" s="50">
        <f>BE346+BE287*BE227*Seasonality!$E$73</f>
        <v/>
      </c>
    </row>
    <row r="348">
      <c r="B348" s="7" t="inlineStr">
        <is>
          <t>Cumulative discounted contribution · month 38</t>
        </is>
      </c>
      <c r="C348" s="5" t="inlineStr">
        <is>
          <t>₹</t>
        </is>
      </c>
      <c r="D348" s="50">
        <f>D347+D288*D228*Seasonality!$E$74</f>
        <v/>
      </c>
      <c r="E348" s="50">
        <f>E347+E288*E228*Seasonality!$E$74</f>
        <v/>
      </c>
      <c r="F348" s="50">
        <f>F347+F288*F228*Seasonality!$E$74</f>
        <v/>
      </c>
      <c r="G348" s="50">
        <f>G347+G288*G228*Seasonality!$E$74</f>
        <v/>
      </c>
      <c r="H348" s="50">
        <f>H347+H288*H228*Seasonality!$E$74</f>
        <v/>
      </c>
      <c r="I348" s="50">
        <f>I347+I288*I228*Seasonality!$E$74</f>
        <v/>
      </c>
      <c r="J348" s="50">
        <f>J347+J288*J228*Seasonality!$E$74</f>
        <v/>
      </c>
      <c r="K348" s="50">
        <f>K347+K288*K228*Seasonality!$E$74</f>
        <v/>
      </c>
      <c r="L348" s="50">
        <f>L347+L288*L228*Seasonality!$E$74</f>
        <v/>
      </c>
      <c r="M348" s="50">
        <f>M347+M288*M228*Seasonality!$E$74</f>
        <v/>
      </c>
      <c r="N348" s="50">
        <f>N347+N288*N228*Seasonality!$E$74</f>
        <v/>
      </c>
      <c r="O348" s="50">
        <f>O347+O288*O228*Seasonality!$E$74</f>
        <v/>
      </c>
      <c r="P348" s="50">
        <f>P347+P288*P228*Seasonality!$E$74</f>
        <v/>
      </c>
      <c r="Q348" s="50">
        <f>Q347+Q288*Q228*Seasonality!$E$74</f>
        <v/>
      </c>
      <c r="R348" s="50">
        <f>R347+R288*R228*Seasonality!$E$74</f>
        <v/>
      </c>
      <c r="S348" s="50">
        <f>S347+S288*S228*Seasonality!$E$74</f>
        <v/>
      </c>
      <c r="T348" s="50">
        <f>T347+T288*T228*Seasonality!$E$74</f>
        <v/>
      </c>
      <c r="U348" s="50">
        <f>U347+U288*U228*Seasonality!$E$74</f>
        <v/>
      </c>
      <c r="V348" s="50">
        <f>V347+V288*V228*Seasonality!$E$74</f>
        <v/>
      </c>
      <c r="W348" s="50">
        <f>W347+W288*W228*Seasonality!$E$74</f>
        <v/>
      </c>
      <c r="X348" s="50">
        <f>X347+X288*X228*Seasonality!$E$74</f>
        <v/>
      </c>
      <c r="Y348" s="50">
        <f>Y347+Y288*Y228*Seasonality!$E$74</f>
        <v/>
      </c>
      <c r="Z348" s="50">
        <f>Z347+Z288*Z228*Seasonality!$E$74</f>
        <v/>
      </c>
      <c r="AA348" s="50">
        <f>AA347+AA288*AA228*Seasonality!$E$74</f>
        <v/>
      </c>
      <c r="AB348" s="50">
        <f>AB347+AB288*AB228*Seasonality!$E$74</f>
        <v/>
      </c>
      <c r="AC348" s="50">
        <f>AC347+AC288*AC228*Seasonality!$E$74</f>
        <v/>
      </c>
      <c r="AD348" s="50">
        <f>AD347+AD288*AD228*Seasonality!$E$74</f>
        <v/>
      </c>
      <c r="AE348" s="50">
        <f>AE347+AE288*AE228*Seasonality!$E$74</f>
        <v/>
      </c>
      <c r="AF348" s="50">
        <f>AF347+AF288*AF228*Seasonality!$E$74</f>
        <v/>
      </c>
      <c r="AG348" s="50">
        <f>AG347+AG288*AG228*Seasonality!$E$74</f>
        <v/>
      </c>
      <c r="AH348" s="50">
        <f>AH347+AH288*AH228*Seasonality!$E$74</f>
        <v/>
      </c>
      <c r="AI348" s="50">
        <f>AI347+AI288*AI228*Seasonality!$E$74</f>
        <v/>
      </c>
      <c r="AJ348" s="50">
        <f>AJ347+AJ288*AJ228*Seasonality!$E$74</f>
        <v/>
      </c>
      <c r="AK348" s="50">
        <f>AK347+AK288*AK228*Seasonality!$E$74</f>
        <v/>
      </c>
      <c r="AL348" s="50">
        <f>AL347+AL288*AL228*Seasonality!$E$74</f>
        <v/>
      </c>
      <c r="AM348" s="50">
        <f>AM347+AM288*AM228*Seasonality!$E$74</f>
        <v/>
      </c>
      <c r="AN348" s="50">
        <f>AN347+AN288*AN228*Seasonality!$E$74</f>
        <v/>
      </c>
      <c r="AO348" s="50">
        <f>AO347+AO288*AO228*Seasonality!$E$74</f>
        <v/>
      </c>
      <c r="AP348" s="50">
        <f>AP347+AP288*AP228*Seasonality!$E$74</f>
        <v/>
      </c>
      <c r="AQ348" s="50">
        <f>AQ347+AQ288*AQ228*Seasonality!$E$74</f>
        <v/>
      </c>
      <c r="AR348" s="50">
        <f>AR347+AR288*AR228*Seasonality!$E$74</f>
        <v/>
      </c>
      <c r="AS348" s="50">
        <f>AS347+AS288*AS228*Seasonality!$E$74</f>
        <v/>
      </c>
      <c r="AT348" s="50">
        <f>AT347+AT288*AT228*Seasonality!$E$74</f>
        <v/>
      </c>
      <c r="AU348" s="50">
        <f>AU347+AU288*AU228*Seasonality!$E$74</f>
        <v/>
      </c>
      <c r="AV348" s="50">
        <f>AV347+AV288*AV228*Seasonality!$E$74</f>
        <v/>
      </c>
      <c r="AW348" s="50">
        <f>AW347+AW288*AW228*Seasonality!$E$74</f>
        <v/>
      </c>
      <c r="AX348" s="50">
        <f>AX347+AX288*AX228*Seasonality!$E$74</f>
        <v/>
      </c>
      <c r="AY348" s="50">
        <f>AY347+AY288*AY228*Seasonality!$E$74</f>
        <v/>
      </c>
      <c r="AZ348" s="50">
        <f>AZ347+AZ288*AZ228*Seasonality!$E$74</f>
        <v/>
      </c>
      <c r="BA348" s="50">
        <f>BA347+BA288*BA228*Seasonality!$E$74</f>
        <v/>
      </c>
      <c r="BB348" s="50">
        <f>BB347+BB288*BB228*Seasonality!$E$74</f>
        <v/>
      </c>
      <c r="BC348" s="50">
        <f>BC347+BC288*BC228*Seasonality!$E$74</f>
        <v/>
      </c>
      <c r="BD348" s="50">
        <f>BD347+BD288*BD228*Seasonality!$E$74</f>
        <v/>
      </c>
      <c r="BE348" s="50">
        <f>BE347+BE288*BE228*Seasonality!$E$74</f>
        <v/>
      </c>
    </row>
    <row r="349">
      <c r="B349" s="7" t="inlineStr">
        <is>
          <t>Cumulative discounted contribution · month 39</t>
        </is>
      </c>
      <c r="C349" s="5" t="inlineStr">
        <is>
          <t>₹</t>
        </is>
      </c>
      <c r="D349" s="50">
        <f>D348+D289*D229*Seasonality!$E$75</f>
        <v/>
      </c>
      <c r="E349" s="50">
        <f>E348+E289*E229*Seasonality!$E$75</f>
        <v/>
      </c>
      <c r="F349" s="50">
        <f>F348+F289*F229*Seasonality!$E$75</f>
        <v/>
      </c>
      <c r="G349" s="50">
        <f>G348+G289*G229*Seasonality!$E$75</f>
        <v/>
      </c>
      <c r="H349" s="50">
        <f>H348+H289*H229*Seasonality!$E$75</f>
        <v/>
      </c>
      <c r="I349" s="50">
        <f>I348+I289*I229*Seasonality!$E$75</f>
        <v/>
      </c>
      <c r="J349" s="50">
        <f>J348+J289*J229*Seasonality!$E$75</f>
        <v/>
      </c>
      <c r="K349" s="50">
        <f>K348+K289*K229*Seasonality!$E$75</f>
        <v/>
      </c>
      <c r="L349" s="50">
        <f>L348+L289*L229*Seasonality!$E$75</f>
        <v/>
      </c>
      <c r="M349" s="50">
        <f>M348+M289*M229*Seasonality!$E$75</f>
        <v/>
      </c>
      <c r="N349" s="50">
        <f>N348+N289*N229*Seasonality!$E$75</f>
        <v/>
      </c>
      <c r="O349" s="50">
        <f>O348+O289*O229*Seasonality!$E$75</f>
        <v/>
      </c>
      <c r="P349" s="50">
        <f>P348+P289*P229*Seasonality!$E$75</f>
        <v/>
      </c>
      <c r="Q349" s="50">
        <f>Q348+Q289*Q229*Seasonality!$E$75</f>
        <v/>
      </c>
      <c r="R349" s="50">
        <f>R348+R289*R229*Seasonality!$E$75</f>
        <v/>
      </c>
      <c r="S349" s="50">
        <f>S348+S289*S229*Seasonality!$E$75</f>
        <v/>
      </c>
      <c r="T349" s="50">
        <f>T348+T289*T229*Seasonality!$E$75</f>
        <v/>
      </c>
      <c r="U349" s="50">
        <f>U348+U289*U229*Seasonality!$E$75</f>
        <v/>
      </c>
      <c r="V349" s="50">
        <f>V348+V289*V229*Seasonality!$E$75</f>
        <v/>
      </c>
      <c r="W349" s="50">
        <f>W348+W289*W229*Seasonality!$E$75</f>
        <v/>
      </c>
      <c r="X349" s="50">
        <f>X348+X289*X229*Seasonality!$E$75</f>
        <v/>
      </c>
      <c r="Y349" s="50">
        <f>Y348+Y289*Y229*Seasonality!$E$75</f>
        <v/>
      </c>
      <c r="Z349" s="50">
        <f>Z348+Z289*Z229*Seasonality!$E$75</f>
        <v/>
      </c>
      <c r="AA349" s="50">
        <f>AA348+AA289*AA229*Seasonality!$E$75</f>
        <v/>
      </c>
      <c r="AB349" s="50">
        <f>AB348+AB289*AB229*Seasonality!$E$75</f>
        <v/>
      </c>
      <c r="AC349" s="50">
        <f>AC348+AC289*AC229*Seasonality!$E$75</f>
        <v/>
      </c>
      <c r="AD349" s="50">
        <f>AD348+AD289*AD229*Seasonality!$E$75</f>
        <v/>
      </c>
      <c r="AE349" s="50">
        <f>AE348+AE289*AE229*Seasonality!$E$75</f>
        <v/>
      </c>
      <c r="AF349" s="50">
        <f>AF348+AF289*AF229*Seasonality!$E$75</f>
        <v/>
      </c>
      <c r="AG349" s="50">
        <f>AG348+AG289*AG229*Seasonality!$E$75</f>
        <v/>
      </c>
      <c r="AH349" s="50">
        <f>AH348+AH289*AH229*Seasonality!$E$75</f>
        <v/>
      </c>
      <c r="AI349" s="50">
        <f>AI348+AI289*AI229*Seasonality!$E$75</f>
        <v/>
      </c>
      <c r="AJ349" s="50">
        <f>AJ348+AJ289*AJ229*Seasonality!$E$75</f>
        <v/>
      </c>
      <c r="AK349" s="50">
        <f>AK348+AK289*AK229*Seasonality!$E$75</f>
        <v/>
      </c>
      <c r="AL349" s="50">
        <f>AL348+AL289*AL229*Seasonality!$E$75</f>
        <v/>
      </c>
      <c r="AM349" s="50">
        <f>AM348+AM289*AM229*Seasonality!$E$75</f>
        <v/>
      </c>
      <c r="AN349" s="50">
        <f>AN348+AN289*AN229*Seasonality!$E$75</f>
        <v/>
      </c>
      <c r="AO349" s="50">
        <f>AO348+AO289*AO229*Seasonality!$E$75</f>
        <v/>
      </c>
      <c r="AP349" s="50">
        <f>AP348+AP289*AP229*Seasonality!$E$75</f>
        <v/>
      </c>
      <c r="AQ349" s="50">
        <f>AQ348+AQ289*AQ229*Seasonality!$E$75</f>
        <v/>
      </c>
      <c r="AR349" s="50">
        <f>AR348+AR289*AR229*Seasonality!$E$75</f>
        <v/>
      </c>
      <c r="AS349" s="50">
        <f>AS348+AS289*AS229*Seasonality!$E$75</f>
        <v/>
      </c>
      <c r="AT349" s="50">
        <f>AT348+AT289*AT229*Seasonality!$E$75</f>
        <v/>
      </c>
      <c r="AU349" s="50">
        <f>AU348+AU289*AU229*Seasonality!$E$75</f>
        <v/>
      </c>
      <c r="AV349" s="50">
        <f>AV348+AV289*AV229*Seasonality!$E$75</f>
        <v/>
      </c>
      <c r="AW349" s="50">
        <f>AW348+AW289*AW229*Seasonality!$E$75</f>
        <v/>
      </c>
      <c r="AX349" s="50">
        <f>AX348+AX289*AX229*Seasonality!$E$75</f>
        <v/>
      </c>
      <c r="AY349" s="50">
        <f>AY348+AY289*AY229*Seasonality!$E$75</f>
        <v/>
      </c>
      <c r="AZ349" s="50">
        <f>AZ348+AZ289*AZ229*Seasonality!$E$75</f>
        <v/>
      </c>
      <c r="BA349" s="50">
        <f>BA348+BA289*BA229*Seasonality!$E$75</f>
        <v/>
      </c>
      <c r="BB349" s="50">
        <f>BB348+BB289*BB229*Seasonality!$E$75</f>
        <v/>
      </c>
      <c r="BC349" s="50">
        <f>BC348+BC289*BC229*Seasonality!$E$75</f>
        <v/>
      </c>
      <c r="BD349" s="50">
        <f>BD348+BD289*BD229*Seasonality!$E$75</f>
        <v/>
      </c>
      <c r="BE349" s="50">
        <f>BE348+BE289*BE229*Seasonality!$E$75</f>
        <v/>
      </c>
    </row>
    <row r="350">
      <c r="B350" s="7" t="inlineStr">
        <is>
          <t>Cumulative discounted contribution · month 40</t>
        </is>
      </c>
      <c r="C350" s="5" t="inlineStr">
        <is>
          <t>₹</t>
        </is>
      </c>
      <c r="D350" s="50">
        <f>D349+D290*D230*Seasonality!$E$76</f>
        <v/>
      </c>
      <c r="E350" s="50">
        <f>E349+E290*E230*Seasonality!$E$76</f>
        <v/>
      </c>
      <c r="F350" s="50">
        <f>F349+F290*F230*Seasonality!$E$76</f>
        <v/>
      </c>
      <c r="G350" s="50">
        <f>G349+G290*G230*Seasonality!$E$76</f>
        <v/>
      </c>
      <c r="H350" s="50">
        <f>H349+H290*H230*Seasonality!$E$76</f>
        <v/>
      </c>
      <c r="I350" s="50">
        <f>I349+I290*I230*Seasonality!$E$76</f>
        <v/>
      </c>
      <c r="J350" s="50">
        <f>J349+J290*J230*Seasonality!$E$76</f>
        <v/>
      </c>
      <c r="K350" s="50">
        <f>K349+K290*K230*Seasonality!$E$76</f>
        <v/>
      </c>
      <c r="L350" s="50">
        <f>L349+L290*L230*Seasonality!$E$76</f>
        <v/>
      </c>
      <c r="M350" s="50">
        <f>M349+M290*M230*Seasonality!$E$76</f>
        <v/>
      </c>
      <c r="N350" s="50">
        <f>N349+N290*N230*Seasonality!$E$76</f>
        <v/>
      </c>
      <c r="O350" s="50">
        <f>O349+O290*O230*Seasonality!$E$76</f>
        <v/>
      </c>
      <c r="P350" s="50">
        <f>P349+P290*P230*Seasonality!$E$76</f>
        <v/>
      </c>
      <c r="Q350" s="50">
        <f>Q349+Q290*Q230*Seasonality!$E$76</f>
        <v/>
      </c>
      <c r="R350" s="50">
        <f>R349+R290*R230*Seasonality!$E$76</f>
        <v/>
      </c>
      <c r="S350" s="50">
        <f>S349+S290*S230*Seasonality!$E$76</f>
        <v/>
      </c>
      <c r="T350" s="50">
        <f>T349+T290*T230*Seasonality!$E$76</f>
        <v/>
      </c>
      <c r="U350" s="50">
        <f>U349+U290*U230*Seasonality!$E$76</f>
        <v/>
      </c>
      <c r="V350" s="50">
        <f>V349+V290*V230*Seasonality!$E$76</f>
        <v/>
      </c>
      <c r="W350" s="50">
        <f>W349+W290*W230*Seasonality!$E$76</f>
        <v/>
      </c>
      <c r="X350" s="50">
        <f>X349+X290*X230*Seasonality!$E$76</f>
        <v/>
      </c>
      <c r="Y350" s="50">
        <f>Y349+Y290*Y230*Seasonality!$E$76</f>
        <v/>
      </c>
      <c r="Z350" s="50">
        <f>Z349+Z290*Z230*Seasonality!$E$76</f>
        <v/>
      </c>
      <c r="AA350" s="50">
        <f>AA349+AA290*AA230*Seasonality!$E$76</f>
        <v/>
      </c>
      <c r="AB350" s="50">
        <f>AB349+AB290*AB230*Seasonality!$E$76</f>
        <v/>
      </c>
      <c r="AC350" s="50">
        <f>AC349+AC290*AC230*Seasonality!$E$76</f>
        <v/>
      </c>
      <c r="AD350" s="50">
        <f>AD349+AD290*AD230*Seasonality!$E$76</f>
        <v/>
      </c>
      <c r="AE350" s="50">
        <f>AE349+AE290*AE230*Seasonality!$E$76</f>
        <v/>
      </c>
      <c r="AF350" s="50">
        <f>AF349+AF290*AF230*Seasonality!$E$76</f>
        <v/>
      </c>
      <c r="AG350" s="50">
        <f>AG349+AG290*AG230*Seasonality!$E$76</f>
        <v/>
      </c>
      <c r="AH350" s="50">
        <f>AH349+AH290*AH230*Seasonality!$E$76</f>
        <v/>
      </c>
      <c r="AI350" s="50">
        <f>AI349+AI290*AI230*Seasonality!$E$76</f>
        <v/>
      </c>
      <c r="AJ350" s="50">
        <f>AJ349+AJ290*AJ230*Seasonality!$E$76</f>
        <v/>
      </c>
      <c r="AK350" s="50">
        <f>AK349+AK290*AK230*Seasonality!$E$76</f>
        <v/>
      </c>
      <c r="AL350" s="50">
        <f>AL349+AL290*AL230*Seasonality!$E$76</f>
        <v/>
      </c>
      <c r="AM350" s="50">
        <f>AM349+AM290*AM230*Seasonality!$E$76</f>
        <v/>
      </c>
      <c r="AN350" s="50">
        <f>AN349+AN290*AN230*Seasonality!$E$76</f>
        <v/>
      </c>
      <c r="AO350" s="50">
        <f>AO349+AO290*AO230*Seasonality!$E$76</f>
        <v/>
      </c>
      <c r="AP350" s="50">
        <f>AP349+AP290*AP230*Seasonality!$E$76</f>
        <v/>
      </c>
      <c r="AQ350" s="50">
        <f>AQ349+AQ290*AQ230*Seasonality!$E$76</f>
        <v/>
      </c>
      <c r="AR350" s="50">
        <f>AR349+AR290*AR230*Seasonality!$E$76</f>
        <v/>
      </c>
      <c r="AS350" s="50">
        <f>AS349+AS290*AS230*Seasonality!$E$76</f>
        <v/>
      </c>
      <c r="AT350" s="50">
        <f>AT349+AT290*AT230*Seasonality!$E$76</f>
        <v/>
      </c>
      <c r="AU350" s="50">
        <f>AU349+AU290*AU230*Seasonality!$E$76</f>
        <v/>
      </c>
      <c r="AV350" s="50">
        <f>AV349+AV290*AV230*Seasonality!$E$76</f>
        <v/>
      </c>
      <c r="AW350" s="50">
        <f>AW349+AW290*AW230*Seasonality!$E$76</f>
        <v/>
      </c>
      <c r="AX350" s="50">
        <f>AX349+AX290*AX230*Seasonality!$E$76</f>
        <v/>
      </c>
      <c r="AY350" s="50">
        <f>AY349+AY290*AY230*Seasonality!$E$76</f>
        <v/>
      </c>
      <c r="AZ350" s="50">
        <f>AZ349+AZ290*AZ230*Seasonality!$E$76</f>
        <v/>
      </c>
      <c r="BA350" s="50">
        <f>BA349+BA290*BA230*Seasonality!$E$76</f>
        <v/>
      </c>
      <c r="BB350" s="50">
        <f>BB349+BB290*BB230*Seasonality!$E$76</f>
        <v/>
      </c>
      <c r="BC350" s="50">
        <f>BC349+BC290*BC230*Seasonality!$E$76</f>
        <v/>
      </c>
      <c r="BD350" s="50">
        <f>BD349+BD290*BD230*Seasonality!$E$76</f>
        <v/>
      </c>
      <c r="BE350" s="50">
        <f>BE349+BE290*BE230*Seasonality!$E$76</f>
        <v/>
      </c>
    </row>
    <row r="351">
      <c r="B351" s="7" t="inlineStr">
        <is>
          <t>Cumulative discounted contribution · month 41</t>
        </is>
      </c>
      <c r="C351" s="5" t="inlineStr">
        <is>
          <t>₹</t>
        </is>
      </c>
      <c r="D351" s="50">
        <f>D350+D291*D231*Seasonality!$E$77</f>
        <v/>
      </c>
      <c r="E351" s="50">
        <f>E350+E291*E231*Seasonality!$E$77</f>
        <v/>
      </c>
      <c r="F351" s="50">
        <f>F350+F291*F231*Seasonality!$E$77</f>
        <v/>
      </c>
      <c r="G351" s="50">
        <f>G350+G291*G231*Seasonality!$E$77</f>
        <v/>
      </c>
      <c r="H351" s="50">
        <f>H350+H291*H231*Seasonality!$E$77</f>
        <v/>
      </c>
      <c r="I351" s="50">
        <f>I350+I291*I231*Seasonality!$E$77</f>
        <v/>
      </c>
      <c r="J351" s="50">
        <f>J350+J291*J231*Seasonality!$E$77</f>
        <v/>
      </c>
      <c r="K351" s="50">
        <f>K350+K291*K231*Seasonality!$E$77</f>
        <v/>
      </c>
      <c r="L351" s="50">
        <f>L350+L291*L231*Seasonality!$E$77</f>
        <v/>
      </c>
      <c r="M351" s="50">
        <f>M350+M291*M231*Seasonality!$E$77</f>
        <v/>
      </c>
      <c r="N351" s="50">
        <f>N350+N291*N231*Seasonality!$E$77</f>
        <v/>
      </c>
      <c r="O351" s="50">
        <f>O350+O291*O231*Seasonality!$E$77</f>
        <v/>
      </c>
      <c r="P351" s="50">
        <f>P350+P291*P231*Seasonality!$E$77</f>
        <v/>
      </c>
      <c r="Q351" s="50">
        <f>Q350+Q291*Q231*Seasonality!$E$77</f>
        <v/>
      </c>
      <c r="R351" s="50">
        <f>R350+R291*R231*Seasonality!$E$77</f>
        <v/>
      </c>
      <c r="S351" s="50">
        <f>S350+S291*S231*Seasonality!$E$77</f>
        <v/>
      </c>
      <c r="T351" s="50">
        <f>T350+T291*T231*Seasonality!$E$77</f>
        <v/>
      </c>
      <c r="U351" s="50">
        <f>U350+U291*U231*Seasonality!$E$77</f>
        <v/>
      </c>
      <c r="V351" s="50">
        <f>V350+V291*V231*Seasonality!$E$77</f>
        <v/>
      </c>
      <c r="W351" s="50">
        <f>W350+W291*W231*Seasonality!$E$77</f>
        <v/>
      </c>
      <c r="X351" s="50">
        <f>X350+X291*X231*Seasonality!$E$77</f>
        <v/>
      </c>
      <c r="Y351" s="50">
        <f>Y350+Y291*Y231*Seasonality!$E$77</f>
        <v/>
      </c>
      <c r="Z351" s="50">
        <f>Z350+Z291*Z231*Seasonality!$E$77</f>
        <v/>
      </c>
      <c r="AA351" s="50">
        <f>AA350+AA291*AA231*Seasonality!$E$77</f>
        <v/>
      </c>
      <c r="AB351" s="50">
        <f>AB350+AB291*AB231*Seasonality!$E$77</f>
        <v/>
      </c>
      <c r="AC351" s="50">
        <f>AC350+AC291*AC231*Seasonality!$E$77</f>
        <v/>
      </c>
      <c r="AD351" s="50">
        <f>AD350+AD291*AD231*Seasonality!$E$77</f>
        <v/>
      </c>
      <c r="AE351" s="50">
        <f>AE350+AE291*AE231*Seasonality!$E$77</f>
        <v/>
      </c>
      <c r="AF351" s="50">
        <f>AF350+AF291*AF231*Seasonality!$E$77</f>
        <v/>
      </c>
      <c r="AG351" s="50">
        <f>AG350+AG291*AG231*Seasonality!$E$77</f>
        <v/>
      </c>
      <c r="AH351" s="50">
        <f>AH350+AH291*AH231*Seasonality!$E$77</f>
        <v/>
      </c>
      <c r="AI351" s="50">
        <f>AI350+AI291*AI231*Seasonality!$E$77</f>
        <v/>
      </c>
      <c r="AJ351" s="50">
        <f>AJ350+AJ291*AJ231*Seasonality!$E$77</f>
        <v/>
      </c>
      <c r="AK351" s="50">
        <f>AK350+AK291*AK231*Seasonality!$E$77</f>
        <v/>
      </c>
      <c r="AL351" s="50">
        <f>AL350+AL291*AL231*Seasonality!$E$77</f>
        <v/>
      </c>
      <c r="AM351" s="50">
        <f>AM350+AM291*AM231*Seasonality!$E$77</f>
        <v/>
      </c>
      <c r="AN351" s="50">
        <f>AN350+AN291*AN231*Seasonality!$E$77</f>
        <v/>
      </c>
      <c r="AO351" s="50">
        <f>AO350+AO291*AO231*Seasonality!$E$77</f>
        <v/>
      </c>
      <c r="AP351" s="50">
        <f>AP350+AP291*AP231*Seasonality!$E$77</f>
        <v/>
      </c>
      <c r="AQ351" s="50">
        <f>AQ350+AQ291*AQ231*Seasonality!$E$77</f>
        <v/>
      </c>
      <c r="AR351" s="50">
        <f>AR350+AR291*AR231*Seasonality!$E$77</f>
        <v/>
      </c>
      <c r="AS351" s="50">
        <f>AS350+AS291*AS231*Seasonality!$E$77</f>
        <v/>
      </c>
      <c r="AT351" s="50">
        <f>AT350+AT291*AT231*Seasonality!$E$77</f>
        <v/>
      </c>
      <c r="AU351" s="50">
        <f>AU350+AU291*AU231*Seasonality!$E$77</f>
        <v/>
      </c>
      <c r="AV351" s="50">
        <f>AV350+AV291*AV231*Seasonality!$E$77</f>
        <v/>
      </c>
      <c r="AW351" s="50">
        <f>AW350+AW291*AW231*Seasonality!$E$77</f>
        <v/>
      </c>
      <c r="AX351" s="50">
        <f>AX350+AX291*AX231*Seasonality!$E$77</f>
        <v/>
      </c>
      <c r="AY351" s="50">
        <f>AY350+AY291*AY231*Seasonality!$E$77</f>
        <v/>
      </c>
      <c r="AZ351" s="50">
        <f>AZ350+AZ291*AZ231*Seasonality!$E$77</f>
        <v/>
      </c>
      <c r="BA351" s="50">
        <f>BA350+BA291*BA231*Seasonality!$E$77</f>
        <v/>
      </c>
      <c r="BB351" s="50">
        <f>BB350+BB291*BB231*Seasonality!$E$77</f>
        <v/>
      </c>
      <c r="BC351" s="50">
        <f>BC350+BC291*BC231*Seasonality!$E$77</f>
        <v/>
      </c>
      <c r="BD351" s="50">
        <f>BD350+BD291*BD231*Seasonality!$E$77</f>
        <v/>
      </c>
      <c r="BE351" s="50">
        <f>BE350+BE291*BE231*Seasonality!$E$77</f>
        <v/>
      </c>
    </row>
    <row r="352">
      <c r="B352" s="7" t="inlineStr">
        <is>
          <t>Cumulative discounted contribution · month 42</t>
        </is>
      </c>
      <c r="C352" s="5" t="inlineStr">
        <is>
          <t>₹</t>
        </is>
      </c>
      <c r="D352" s="50">
        <f>D351+D292*D232*Seasonality!$E$78</f>
        <v/>
      </c>
      <c r="E352" s="50">
        <f>E351+E292*E232*Seasonality!$E$78</f>
        <v/>
      </c>
      <c r="F352" s="50">
        <f>F351+F292*F232*Seasonality!$E$78</f>
        <v/>
      </c>
      <c r="G352" s="50">
        <f>G351+G292*G232*Seasonality!$E$78</f>
        <v/>
      </c>
      <c r="H352" s="50">
        <f>H351+H292*H232*Seasonality!$E$78</f>
        <v/>
      </c>
      <c r="I352" s="50">
        <f>I351+I292*I232*Seasonality!$E$78</f>
        <v/>
      </c>
      <c r="J352" s="50">
        <f>J351+J292*J232*Seasonality!$E$78</f>
        <v/>
      </c>
      <c r="K352" s="50">
        <f>K351+K292*K232*Seasonality!$E$78</f>
        <v/>
      </c>
      <c r="L352" s="50">
        <f>L351+L292*L232*Seasonality!$E$78</f>
        <v/>
      </c>
      <c r="M352" s="50">
        <f>M351+M292*M232*Seasonality!$E$78</f>
        <v/>
      </c>
      <c r="N352" s="50">
        <f>N351+N292*N232*Seasonality!$E$78</f>
        <v/>
      </c>
      <c r="O352" s="50">
        <f>O351+O292*O232*Seasonality!$E$78</f>
        <v/>
      </c>
      <c r="P352" s="50">
        <f>P351+P292*P232*Seasonality!$E$78</f>
        <v/>
      </c>
      <c r="Q352" s="50">
        <f>Q351+Q292*Q232*Seasonality!$E$78</f>
        <v/>
      </c>
      <c r="R352" s="50">
        <f>R351+R292*R232*Seasonality!$E$78</f>
        <v/>
      </c>
      <c r="S352" s="50">
        <f>S351+S292*S232*Seasonality!$E$78</f>
        <v/>
      </c>
      <c r="T352" s="50">
        <f>T351+T292*T232*Seasonality!$E$78</f>
        <v/>
      </c>
      <c r="U352" s="50">
        <f>U351+U292*U232*Seasonality!$E$78</f>
        <v/>
      </c>
      <c r="V352" s="50">
        <f>V351+V292*V232*Seasonality!$E$78</f>
        <v/>
      </c>
      <c r="W352" s="50">
        <f>W351+W292*W232*Seasonality!$E$78</f>
        <v/>
      </c>
      <c r="X352" s="50">
        <f>X351+X292*X232*Seasonality!$E$78</f>
        <v/>
      </c>
      <c r="Y352" s="50">
        <f>Y351+Y292*Y232*Seasonality!$E$78</f>
        <v/>
      </c>
      <c r="Z352" s="50">
        <f>Z351+Z292*Z232*Seasonality!$E$78</f>
        <v/>
      </c>
      <c r="AA352" s="50">
        <f>AA351+AA292*AA232*Seasonality!$E$78</f>
        <v/>
      </c>
      <c r="AB352" s="50">
        <f>AB351+AB292*AB232*Seasonality!$E$78</f>
        <v/>
      </c>
      <c r="AC352" s="50">
        <f>AC351+AC292*AC232*Seasonality!$E$78</f>
        <v/>
      </c>
      <c r="AD352" s="50">
        <f>AD351+AD292*AD232*Seasonality!$E$78</f>
        <v/>
      </c>
      <c r="AE352" s="50">
        <f>AE351+AE292*AE232*Seasonality!$E$78</f>
        <v/>
      </c>
      <c r="AF352" s="50">
        <f>AF351+AF292*AF232*Seasonality!$E$78</f>
        <v/>
      </c>
      <c r="AG352" s="50">
        <f>AG351+AG292*AG232*Seasonality!$E$78</f>
        <v/>
      </c>
      <c r="AH352" s="50">
        <f>AH351+AH292*AH232*Seasonality!$E$78</f>
        <v/>
      </c>
      <c r="AI352" s="50">
        <f>AI351+AI292*AI232*Seasonality!$E$78</f>
        <v/>
      </c>
      <c r="AJ352" s="50">
        <f>AJ351+AJ292*AJ232*Seasonality!$E$78</f>
        <v/>
      </c>
      <c r="AK352" s="50">
        <f>AK351+AK292*AK232*Seasonality!$E$78</f>
        <v/>
      </c>
      <c r="AL352" s="50">
        <f>AL351+AL292*AL232*Seasonality!$E$78</f>
        <v/>
      </c>
      <c r="AM352" s="50">
        <f>AM351+AM292*AM232*Seasonality!$E$78</f>
        <v/>
      </c>
      <c r="AN352" s="50">
        <f>AN351+AN292*AN232*Seasonality!$E$78</f>
        <v/>
      </c>
      <c r="AO352" s="50">
        <f>AO351+AO292*AO232*Seasonality!$E$78</f>
        <v/>
      </c>
      <c r="AP352" s="50">
        <f>AP351+AP292*AP232*Seasonality!$E$78</f>
        <v/>
      </c>
      <c r="AQ352" s="50">
        <f>AQ351+AQ292*AQ232*Seasonality!$E$78</f>
        <v/>
      </c>
      <c r="AR352" s="50">
        <f>AR351+AR292*AR232*Seasonality!$E$78</f>
        <v/>
      </c>
      <c r="AS352" s="50">
        <f>AS351+AS292*AS232*Seasonality!$E$78</f>
        <v/>
      </c>
      <c r="AT352" s="50">
        <f>AT351+AT292*AT232*Seasonality!$E$78</f>
        <v/>
      </c>
      <c r="AU352" s="50">
        <f>AU351+AU292*AU232*Seasonality!$E$78</f>
        <v/>
      </c>
      <c r="AV352" s="50">
        <f>AV351+AV292*AV232*Seasonality!$E$78</f>
        <v/>
      </c>
      <c r="AW352" s="50">
        <f>AW351+AW292*AW232*Seasonality!$E$78</f>
        <v/>
      </c>
      <c r="AX352" s="50">
        <f>AX351+AX292*AX232*Seasonality!$E$78</f>
        <v/>
      </c>
      <c r="AY352" s="50">
        <f>AY351+AY292*AY232*Seasonality!$E$78</f>
        <v/>
      </c>
      <c r="AZ352" s="50">
        <f>AZ351+AZ292*AZ232*Seasonality!$E$78</f>
        <v/>
      </c>
      <c r="BA352" s="50">
        <f>BA351+BA292*BA232*Seasonality!$E$78</f>
        <v/>
      </c>
      <c r="BB352" s="50">
        <f>BB351+BB292*BB232*Seasonality!$E$78</f>
        <v/>
      </c>
      <c r="BC352" s="50">
        <f>BC351+BC292*BC232*Seasonality!$E$78</f>
        <v/>
      </c>
      <c r="BD352" s="50">
        <f>BD351+BD292*BD232*Seasonality!$E$78</f>
        <v/>
      </c>
      <c r="BE352" s="50">
        <f>BE351+BE292*BE232*Seasonality!$E$78</f>
        <v/>
      </c>
    </row>
    <row r="353">
      <c r="B353" s="7" t="inlineStr">
        <is>
          <t>Cumulative discounted contribution · month 43</t>
        </is>
      </c>
      <c r="C353" s="5" t="inlineStr">
        <is>
          <t>₹</t>
        </is>
      </c>
      <c r="D353" s="50">
        <f>D352+D293*D233*Seasonality!$E$79</f>
        <v/>
      </c>
      <c r="E353" s="50">
        <f>E352+E293*E233*Seasonality!$E$79</f>
        <v/>
      </c>
      <c r="F353" s="50">
        <f>F352+F293*F233*Seasonality!$E$79</f>
        <v/>
      </c>
      <c r="G353" s="50">
        <f>G352+G293*G233*Seasonality!$E$79</f>
        <v/>
      </c>
      <c r="H353" s="50">
        <f>H352+H293*H233*Seasonality!$E$79</f>
        <v/>
      </c>
      <c r="I353" s="50">
        <f>I352+I293*I233*Seasonality!$E$79</f>
        <v/>
      </c>
      <c r="J353" s="50">
        <f>J352+J293*J233*Seasonality!$E$79</f>
        <v/>
      </c>
      <c r="K353" s="50">
        <f>K352+K293*K233*Seasonality!$E$79</f>
        <v/>
      </c>
      <c r="L353" s="50">
        <f>L352+L293*L233*Seasonality!$E$79</f>
        <v/>
      </c>
      <c r="M353" s="50">
        <f>M352+M293*M233*Seasonality!$E$79</f>
        <v/>
      </c>
      <c r="N353" s="50">
        <f>N352+N293*N233*Seasonality!$E$79</f>
        <v/>
      </c>
      <c r="O353" s="50">
        <f>O352+O293*O233*Seasonality!$E$79</f>
        <v/>
      </c>
      <c r="P353" s="50">
        <f>P352+P293*P233*Seasonality!$E$79</f>
        <v/>
      </c>
      <c r="Q353" s="50">
        <f>Q352+Q293*Q233*Seasonality!$E$79</f>
        <v/>
      </c>
      <c r="R353" s="50">
        <f>R352+R293*R233*Seasonality!$E$79</f>
        <v/>
      </c>
      <c r="S353" s="50">
        <f>S352+S293*S233*Seasonality!$E$79</f>
        <v/>
      </c>
      <c r="T353" s="50">
        <f>T352+T293*T233*Seasonality!$E$79</f>
        <v/>
      </c>
      <c r="U353" s="50">
        <f>U352+U293*U233*Seasonality!$E$79</f>
        <v/>
      </c>
      <c r="V353" s="50">
        <f>V352+V293*V233*Seasonality!$E$79</f>
        <v/>
      </c>
      <c r="W353" s="50">
        <f>W352+W293*W233*Seasonality!$E$79</f>
        <v/>
      </c>
      <c r="X353" s="50">
        <f>X352+X293*X233*Seasonality!$E$79</f>
        <v/>
      </c>
      <c r="Y353" s="50">
        <f>Y352+Y293*Y233*Seasonality!$E$79</f>
        <v/>
      </c>
      <c r="Z353" s="50">
        <f>Z352+Z293*Z233*Seasonality!$E$79</f>
        <v/>
      </c>
      <c r="AA353" s="50">
        <f>AA352+AA293*AA233*Seasonality!$E$79</f>
        <v/>
      </c>
      <c r="AB353" s="50">
        <f>AB352+AB293*AB233*Seasonality!$E$79</f>
        <v/>
      </c>
      <c r="AC353" s="50">
        <f>AC352+AC293*AC233*Seasonality!$E$79</f>
        <v/>
      </c>
      <c r="AD353" s="50">
        <f>AD352+AD293*AD233*Seasonality!$E$79</f>
        <v/>
      </c>
      <c r="AE353" s="50">
        <f>AE352+AE293*AE233*Seasonality!$E$79</f>
        <v/>
      </c>
      <c r="AF353" s="50">
        <f>AF352+AF293*AF233*Seasonality!$E$79</f>
        <v/>
      </c>
      <c r="AG353" s="50">
        <f>AG352+AG293*AG233*Seasonality!$E$79</f>
        <v/>
      </c>
      <c r="AH353" s="50">
        <f>AH352+AH293*AH233*Seasonality!$E$79</f>
        <v/>
      </c>
      <c r="AI353" s="50">
        <f>AI352+AI293*AI233*Seasonality!$E$79</f>
        <v/>
      </c>
      <c r="AJ353" s="50">
        <f>AJ352+AJ293*AJ233*Seasonality!$E$79</f>
        <v/>
      </c>
      <c r="AK353" s="50">
        <f>AK352+AK293*AK233*Seasonality!$E$79</f>
        <v/>
      </c>
      <c r="AL353" s="50">
        <f>AL352+AL293*AL233*Seasonality!$E$79</f>
        <v/>
      </c>
      <c r="AM353" s="50">
        <f>AM352+AM293*AM233*Seasonality!$E$79</f>
        <v/>
      </c>
      <c r="AN353" s="50">
        <f>AN352+AN293*AN233*Seasonality!$E$79</f>
        <v/>
      </c>
      <c r="AO353" s="50">
        <f>AO352+AO293*AO233*Seasonality!$E$79</f>
        <v/>
      </c>
      <c r="AP353" s="50">
        <f>AP352+AP293*AP233*Seasonality!$E$79</f>
        <v/>
      </c>
      <c r="AQ353" s="50">
        <f>AQ352+AQ293*AQ233*Seasonality!$E$79</f>
        <v/>
      </c>
      <c r="AR353" s="50">
        <f>AR352+AR293*AR233*Seasonality!$E$79</f>
        <v/>
      </c>
      <c r="AS353" s="50">
        <f>AS352+AS293*AS233*Seasonality!$E$79</f>
        <v/>
      </c>
      <c r="AT353" s="50">
        <f>AT352+AT293*AT233*Seasonality!$E$79</f>
        <v/>
      </c>
      <c r="AU353" s="50">
        <f>AU352+AU293*AU233*Seasonality!$E$79</f>
        <v/>
      </c>
      <c r="AV353" s="50">
        <f>AV352+AV293*AV233*Seasonality!$E$79</f>
        <v/>
      </c>
      <c r="AW353" s="50">
        <f>AW352+AW293*AW233*Seasonality!$E$79</f>
        <v/>
      </c>
      <c r="AX353" s="50">
        <f>AX352+AX293*AX233*Seasonality!$E$79</f>
        <v/>
      </c>
      <c r="AY353" s="50">
        <f>AY352+AY293*AY233*Seasonality!$E$79</f>
        <v/>
      </c>
      <c r="AZ353" s="50">
        <f>AZ352+AZ293*AZ233*Seasonality!$E$79</f>
        <v/>
      </c>
      <c r="BA353" s="50">
        <f>BA352+BA293*BA233*Seasonality!$E$79</f>
        <v/>
      </c>
      <c r="BB353" s="50">
        <f>BB352+BB293*BB233*Seasonality!$E$79</f>
        <v/>
      </c>
      <c r="BC353" s="50">
        <f>BC352+BC293*BC233*Seasonality!$E$79</f>
        <v/>
      </c>
      <c r="BD353" s="50">
        <f>BD352+BD293*BD233*Seasonality!$E$79</f>
        <v/>
      </c>
      <c r="BE353" s="50">
        <f>BE352+BE293*BE233*Seasonality!$E$79</f>
        <v/>
      </c>
    </row>
    <row r="354">
      <c r="B354" s="7" t="inlineStr">
        <is>
          <t>Cumulative discounted contribution · month 44</t>
        </is>
      </c>
      <c r="C354" s="5" t="inlineStr">
        <is>
          <t>₹</t>
        </is>
      </c>
      <c r="D354" s="50">
        <f>D353+D294*D234*Seasonality!$E$80</f>
        <v/>
      </c>
      <c r="E354" s="50">
        <f>E353+E294*E234*Seasonality!$E$80</f>
        <v/>
      </c>
      <c r="F354" s="50">
        <f>F353+F294*F234*Seasonality!$E$80</f>
        <v/>
      </c>
      <c r="G354" s="50">
        <f>G353+G294*G234*Seasonality!$E$80</f>
        <v/>
      </c>
      <c r="H354" s="50">
        <f>H353+H294*H234*Seasonality!$E$80</f>
        <v/>
      </c>
      <c r="I354" s="50">
        <f>I353+I294*I234*Seasonality!$E$80</f>
        <v/>
      </c>
      <c r="J354" s="50">
        <f>J353+J294*J234*Seasonality!$E$80</f>
        <v/>
      </c>
      <c r="K354" s="50">
        <f>K353+K294*K234*Seasonality!$E$80</f>
        <v/>
      </c>
      <c r="L354" s="50">
        <f>L353+L294*L234*Seasonality!$E$80</f>
        <v/>
      </c>
      <c r="M354" s="50">
        <f>M353+M294*M234*Seasonality!$E$80</f>
        <v/>
      </c>
      <c r="N354" s="50">
        <f>N353+N294*N234*Seasonality!$E$80</f>
        <v/>
      </c>
      <c r="O354" s="50">
        <f>O353+O294*O234*Seasonality!$E$80</f>
        <v/>
      </c>
      <c r="P354" s="50">
        <f>P353+P294*P234*Seasonality!$E$80</f>
        <v/>
      </c>
      <c r="Q354" s="50">
        <f>Q353+Q294*Q234*Seasonality!$E$80</f>
        <v/>
      </c>
      <c r="R354" s="50">
        <f>R353+R294*R234*Seasonality!$E$80</f>
        <v/>
      </c>
      <c r="S354" s="50">
        <f>S353+S294*S234*Seasonality!$E$80</f>
        <v/>
      </c>
      <c r="T354" s="50">
        <f>T353+T294*T234*Seasonality!$E$80</f>
        <v/>
      </c>
      <c r="U354" s="50">
        <f>U353+U294*U234*Seasonality!$E$80</f>
        <v/>
      </c>
      <c r="V354" s="50">
        <f>V353+V294*V234*Seasonality!$E$80</f>
        <v/>
      </c>
      <c r="W354" s="50">
        <f>W353+W294*W234*Seasonality!$E$80</f>
        <v/>
      </c>
      <c r="X354" s="50">
        <f>X353+X294*X234*Seasonality!$E$80</f>
        <v/>
      </c>
      <c r="Y354" s="50">
        <f>Y353+Y294*Y234*Seasonality!$E$80</f>
        <v/>
      </c>
      <c r="Z354" s="50">
        <f>Z353+Z294*Z234*Seasonality!$E$80</f>
        <v/>
      </c>
      <c r="AA354" s="50">
        <f>AA353+AA294*AA234*Seasonality!$E$80</f>
        <v/>
      </c>
      <c r="AB354" s="50">
        <f>AB353+AB294*AB234*Seasonality!$E$80</f>
        <v/>
      </c>
      <c r="AC354" s="50">
        <f>AC353+AC294*AC234*Seasonality!$E$80</f>
        <v/>
      </c>
      <c r="AD354" s="50">
        <f>AD353+AD294*AD234*Seasonality!$E$80</f>
        <v/>
      </c>
      <c r="AE354" s="50">
        <f>AE353+AE294*AE234*Seasonality!$E$80</f>
        <v/>
      </c>
      <c r="AF354" s="50">
        <f>AF353+AF294*AF234*Seasonality!$E$80</f>
        <v/>
      </c>
      <c r="AG354" s="50">
        <f>AG353+AG294*AG234*Seasonality!$E$80</f>
        <v/>
      </c>
      <c r="AH354" s="50">
        <f>AH353+AH294*AH234*Seasonality!$E$80</f>
        <v/>
      </c>
      <c r="AI354" s="50">
        <f>AI353+AI294*AI234*Seasonality!$E$80</f>
        <v/>
      </c>
      <c r="AJ354" s="50">
        <f>AJ353+AJ294*AJ234*Seasonality!$E$80</f>
        <v/>
      </c>
      <c r="AK354" s="50">
        <f>AK353+AK294*AK234*Seasonality!$E$80</f>
        <v/>
      </c>
      <c r="AL354" s="50">
        <f>AL353+AL294*AL234*Seasonality!$E$80</f>
        <v/>
      </c>
      <c r="AM354" s="50">
        <f>AM353+AM294*AM234*Seasonality!$E$80</f>
        <v/>
      </c>
      <c r="AN354" s="50">
        <f>AN353+AN294*AN234*Seasonality!$E$80</f>
        <v/>
      </c>
      <c r="AO354" s="50">
        <f>AO353+AO294*AO234*Seasonality!$E$80</f>
        <v/>
      </c>
      <c r="AP354" s="50">
        <f>AP353+AP294*AP234*Seasonality!$E$80</f>
        <v/>
      </c>
      <c r="AQ354" s="50">
        <f>AQ353+AQ294*AQ234*Seasonality!$E$80</f>
        <v/>
      </c>
      <c r="AR354" s="50">
        <f>AR353+AR294*AR234*Seasonality!$E$80</f>
        <v/>
      </c>
      <c r="AS354" s="50">
        <f>AS353+AS294*AS234*Seasonality!$E$80</f>
        <v/>
      </c>
      <c r="AT354" s="50">
        <f>AT353+AT294*AT234*Seasonality!$E$80</f>
        <v/>
      </c>
      <c r="AU354" s="50">
        <f>AU353+AU294*AU234*Seasonality!$E$80</f>
        <v/>
      </c>
      <c r="AV354" s="50">
        <f>AV353+AV294*AV234*Seasonality!$E$80</f>
        <v/>
      </c>
      <c r="AW354" s="50">
        <f>AW353+AW294*AW234*Seasonality!$E$80</f>
        <v/>
      </c>
      <c r="AX354" s="50">
        <f>AX353+AX294*AX234*Seasonality!$E$80</f>
        <v/>
      </c>
      <c r="AY354" s="50">
        <f>AY353+AY294*AY234*Seasonality!$E$80</f>
        <v/>
      </c>
      <c r="AZ354" s="50">
        <f>AZ353+AZ294*AZ234*Seasonality!$E$80</f>
        <v/>
      </c>
      <c r="BA354" s="50">
        <f>BA353+BA294*BA234*Seasonality!$E$80</f>
        <v/>
      </c>
      <c r="BB354" s="50">
        <f>BB353+BB294*BB234*Seasonality!$E$80</f>
        <v/>
      </c>
      <c r="BC354" s="50">
        <f>BC353+BC294*BC234*Seasonality!$E$80</f>
        <v/>
      </c>
      <c r="BD354" s="50">
        <f>BD353+BD294*BD234*Seasonality!$E$80</f>
        <v/>
      </c>
      <c r="BE354" s="50">
        <f>BE353+BE294*BE234*Seasonality!$E$80</f>
        <v/>
      </c>
    </row>
    <row r="355">
      <c r="B355" s="7" t="inlineStr">
        <is>
          <t>Cumulative discounted contribution · month 45</t>
        </is>
      </c>
      <c r="C355" s="5" t="inlineStr">
        <is>
          <t>₹</t>
        </is>
      </c>
      <c r="D355" s="50">
        <f>D354+D295*D235*Seasonality!$E$81</f>
        <v/>
      </c>
      <c r="E355" s="50">
        <f>E354+E295*E235*Seasonality!$E$81</f>
        <v/>
      </c>
      <c r="F355" s="50">
        <f>F354+F295*F235*Seasonality!$E$81</f>
        <v/>
      </c>
      <c r="G355" s="50">
        <f>G354+G295*G235*Seasonality!$E$81</f>
        <v/>
      </c>
      <c r="H355" s="50">
        <f>H354+H295*H235*Seasonality!$E$81</f>
        <v/>
      </c>
      <c r="I355" s="50">
        <f>I354+I295*I235*Seasonality!$E$81</f>
        <v/>
      </c>
      <c r="J355" s="50">
        <f>J354+J295*J235*Seasonality!$E$81</f>
        <v/>
      </c>
      <c r="K355" s="50">
        <f>K354+K295*K235*Seasonality!$E$81</f>
        <v/>
      </c>
      <c r="L355" s="50">
        <f>L354+L295*L235*Seasonality!$E$81</f>
        <v/>
      </c>
      <c r="M355" s="50">
        <f>M354+M295*M235*Seasonality!$E$81</f>
        <v/>
      </c>
      <c r="N355" s="50">
        <f>N354+N295*N235*Seasonality!$E$81</f>
        <v/>
      </c>
      <c r="O355" s="50">
        <f>O354+O295*O235*Seasonality!$E$81</f>
        <v/>
      </c>
      <c r="P355" s="50">
        <f>P354+P295*P235*Seasonality!$E$81</f>
        <v/>
      </c>
      <c r="Q355" s="50">
        <f>Q354+Q295*Q235*Seasonality!$E$81</f>
        <v/>
      </c>
      <c r="R355" s="50">
        <f>R354+R295*R235*Seasonality!$E$81</f>
        <v/>
      </c>
      <c r="S355" s="50">
        <f>S354+S295*S235*Seasonality!$E$81</f>
        <v/>
      </c>
      <c r="T355" s="50">
        <f>T354+T295*T235*Seasonality!$E$81</f>
        <v/>
      </c>
      <c r="U355" s="50">
        <f>U354+U295*U235*Seasonality!$E$81</f>
        <v/>
      </c>
      <c r="V355" s="50">
        <f>V354+V295*V235*Seasonality!$E$81</f>
        <v/>
      </c>
      <c r="W355" s="50">
        <f>W354+W295*W235*Seasonality!$E$81</f>
        <v/>
      </c>
      <c r="X355" s="50">
        <f>X354+X295*X235*Seasonality!$E$81</f>
        <v/>
      </c>
      <c r="Y355" s="50">
        <f>Y354+Y295*Y235*Seasonality!$E$81</f>
        <v/>
      </c>
      <c r="Z355" s="50">
        <f>Z354+Z295*Z235*Seasonality!$E$81</f>
        <v/>
      </c>
      <c r="AA355" s="50">
        <f>AA354+AA295*AA235*Seasonality!$E$81</f>
        <v/>
      </c>
      <c r="AB355" s="50">
        <f>AB354+AB295*AB235*Seasonality!$E$81</f>
        <v/>
      </c>
      <c r="AC355" s="50">
        <f>AC354+AC295*AC235*Seasonality!$E$81</f>
        <v/>
      </c>
      <c r="AD355" s="50">
        <f>AD354+AD295*AD235*Seasonality!$E$81</f>
        <v/>
      </c>
      <c r="AE355" s="50">
        <f>AE354+AE295*AE235*Seasonality!$E$81</f>
        <v/>
      </c>
      <c r="AF355" s="50">
        <f>AF354+AF295*AF235*Seasonality!$E$81</f>
        <v/>
      </c>
      <c r="AG355" s="50">
        <f>AG354+AG295*AG235*Seasonality!$E$81</f>
        <v/>
      </c>
      <c r="AH355" s="50">
        <f>AH354+AH295*AH235*Seasonality!$E$81</f>
        <v/>
      </c>
      <c r="AI355" s="50">
        <f>AI354+AI295*AI235*Seasonality!$E$81</f>
        <v/>
      </c>
      <c r="AJ355" s="50">
        <f>AJ354+AJ295*AJ235*Seasonality!$E$81</f>
        <v/>
      </c>
      <c r="AK355" s="50">
        <f>AK354+AK295*AK235*Seasonality!$E$81</f>
        <v/>
      </c>
      <c r="AL355" s="50">
        <f>AL354+AL295*AL235*Seasonality!$E$81</f>
        <v/>
      </c>
      <c r="AM355" s="50">
        <f>AM354+AM295*AM235*Seasonality!$E$81</f>
        <v/>
      </c>
      <c r="AN355" s="50">
        <f>AN354+AN295*AN235*Seasonality!$E$81</f>
        <v/>
      </c>
      <c r="AO355" s="50">
        <f>AO354+AO295*AO235*Seasonality!$E$81</f>
        <v/>
      </c>
      <c r="AP355" s="50">
        <f>AP354+AP295*AP235*Seasonality!$E$81</f>
        <v/>
      </c>
      <c r="AQ355" s="50">
        <f>AQ354+AQ295*AQ235*Seasonality!$E$81</f>
        <v/>
      </c>
      <c r="AR355" s="50">
        <f>AR354+AR295*AR235*Seasonality!$E$81</f>
        <v/>
      </c>
      <c r="AS355" s="50">
        <f>AS354+AS295*AS235*Seasonality!$E$81</f>
        <v/>
      </c>
      <c r="AT355" s="50">
        <f>AT354+AT295*AT235*Seasonality!$E$81</f>
        <v/>
      </c>
      <c r="AU355" s="50">
        <f>AU354+AU295*AU235*Seasonality!$E$81</f>
        <v/>
      </c>
      <c r="AV355" s="50">
        <f>AV354+AV295*AV235*Seasonality!$E$81</f>
        <v/>
      </c>
      <c r="AW355" s="50">
        <f>AW354+AW295*AW235*Seasonality!$E$81</f>
        <v/>
      </c>
      <c r="AX355" s="50">
        <f>AX354+AX295*AX235*Seasonality!$E$81</f>
        <v/>
      </c>
      <c r="AY355" s="50">
        <f>AY354+AY295*AY235*Seasonality!$E$81</f>
        <v/>
      </c>
      <c r="AZ355" s="50">
        <f>AZ354+AZ295*AZ235*Seasonality!$E$81</f>
        <v/>
      </c>
      <c r="BA355" s="50">
        <f>BA354+BA295*BA235*Seasonality!$E$81</f>
        <v/>
      </c>
      <c r="BB355" s="50">
        <f>BB354+BB295*BB235*Seasonality!$E$81</f>
        <v/>
      </c>
      <c r="BC355" s="50">
        <f>BC354+BC295*BC235*Seasonality!$E$81</f>
        <v/>
      </c>
      <c r="BD355" s="50">
        <f>BD354+BD295*BD235*Seasonality!$E$81</f>
        <v/>
      </c>
      <c r="BE355" s="50">
        <f>BE354+BE295*BE235*Seasonality!$E$81</f>
        <v/>
      </c>
    </row>
    <row r="356">
      <c r="B356" s="7" t="inlineStr">
        <is>
          <t>Cumulative discounted contribution · month 46</t>
        </is>
      </c>
      <c r="C356" s="5" t="inlineStr">
        <is>
          <t>₹</t>
        </is>
      </c>
      <c r="D356" s="50">
        <f>D355+D296*D236*Seasonality!$E$82</f>
        <v/>
      </c>
      <c r="E356" s="50">
        <f>E355+E296*E236*Seasonality!$E$82</f>
        <v/>
      </c>
      <c r="F356" s="50">
        <f>F355+F296*F236*Seasonality!$E$82</f>
        <v/>
      </c>
      <c r="G356" s="50">
        <f>G355+G296*G236*Seasonality!$E$82</f>
        <v/>
      </c>
      <c r="H356" s="50">
        <f>H355+H296*H236*Seasonality!$E$82</f>
        <v/>
      </c>
      <c r="I356" s="50">
        <f>I355+I296*I236*Seasonality!$E$82</f>
        <v/>
      </c>
      <c r="J356" s="50">
        <f>J355+J296*J236*Seasonality!$E$82</f>
        <v/>
      </c>
      <c r="K356" s="50">
        <f>K355+K296*K236*Seasonality!$E$82</f>
        <v/>
      </c>
      <c r="L356" s="50">
        <f>L355+L296*L236*Seasonality!$E$82</f>
        <v/>
      </c>
      <c r="M356" s="50">
        <f>M355+M296*M236*Seasonality!$E$82</f>
        <v/>
      </c>
      <c r="N356" s="50">
        <f>N355+N296*N236*Seasonality!$E$82</f>
        <v/>
      </c>
      <c r="O356" s="50">
        <f>O355+O296*O236*Seasonality!$E$82</f>
        <v/>
      </c>
      <c r="P356" s="50">
        <f>P355+P296*P236*Seasonality!$E$82</f>
        <v/>
      </c>
      <c r="Q356" s="50">
        <f>Q355+Q296*Q236*Seasonality!$E$82</f>
        <v/>
      </c>
      <c r="R356" s="50">
        <f>R355+R296*R236*Seasonality!$E$82</f>
        <v/>
      </c>
      <c r="S356" s="50">
        <f>S355+S296*S236*Seasonality!$E$82</f>
        <v/>
      </c>
      <c r="T356" s="50">
        <f>T355+T296*T236*Seasonality!$E$82</f>
        <v/>
      </c>
      <c r="U356" s="50">
        <f>U355+U296*U236*Seasonality!$E$82</f>
        <v/>
      </c>
      <c r="V356" s="50">
        <f>V355+V296*V236*Seasonality!$E$82</f>
        <v/>
      </c>
      <c r="W356" s="50">
        <f>W355+W296*W236*Seasonality!$E$82</f>
        <v/>
      </c>
      <c r="X356" s="50">
        <f>X355+X296*X236*Seasonality!$E$82</f>
        <v/>
      </c>
      <c r="Y356" s="50">
        <f>Y355+Y296*Y236*Seasonality!$E$82</f>
        <v/>
      </c>
      <c r="Z356" s="50">
        <f>Z355+Z296*Z236*Seasonality!$E$82</f>
        <v/>
      </c>
      <c r="AA356" s="50">
        <f>AA355+AA296*AA236*Seasonality!$E$82</f>
        <v/>
      </c>
      <c r="AB356" s="50">
        <f>AB355+AB296*AB236*Seasonality!$E$82</f>
        <v/>
      </c>
      <c r="AC356" s="50">
        <f>AC355+AC296*AC236*Seasonality!$E$82</f>
        <v/>
      </c>
      <c r="AD356" s="50">
        <f>AD355+AD296*AD236*Seasonality!$E$82</f>
        <v/>
      </c>
      <c r="AE356" s="50">
        <f>AE355+AE296*AE236*Seasonality!$E$82</f>
        <v/>
      </c>
      <c r="AF356" s="50">
        <f>AF355+AF296*AF236*Seasonality!$E$82</f>
        <v/>
      </c>
      <c r="AG356" s="50">
        <f>AG355+AG296*AG236*Seasonality!$E$82</f>
        <v/>
      </c>
      <c r="AH356" s="50">
        <f>AH355+AH296*AH236*Seasonality!$E$82</f>
        <v/>
      </c>
      <c r="AI356" s="50">
        <f>AI355+AI296*AI236*Seasonality!$E$82</f>
        <v/>
      </c>
      <c r="AJ356" s="50">
        <f>AJ355+AJ296*AJ236*Seasonality!$E$82</f>
        <v/>
      </c>
      <c r="AK356" s="50">
        <f>AK355+AK296*AK236*Seasonality!$E$82</f>
        <v/>
      </c>
      <c r="AL356" s="50">
        <f>AL355+AL296*AL236*Seasonality!$E$82</f>
        <v/>
      </c>
      <c r="AM356" s="50">
        <f>AM355+AM296*AM236*Seasonality!$E$82</f>
        <v/>
      </c>
      <c r="AN356" s="50">
        <f>AN355+AN296*AN236*Seasonality!$E$82</f>
        <v/>
      </c>
      <c r="AO356" s="50">
        <f>AO355+AO296*AO236*Seasonality!$E$82</f>
        <v/>
      </c>
      <c r="AP356" s="50">
        <f>AP355+AP296*AP236*Seasonality!$E$82</f>
        <v/>
      </c>
      <c r="AQ356" s="50">
        <f>AQ355+AQ296*AQ236*Seasonality!$E$82</f>
        <v/>
      </c>
      <c r="AR356" s="50">
        <f>AR355+AR296*AR236*Seasonality!$E$82</f>
        <v/>
      </c>
      <c r="AS356" s="50">
        <f>AS355+AS296*AS236*Seasonality!$E$82</f>
        <v/>
      </c>
      <c r="AT356" s="50">
        <f>AT355+AT296*AT236*Seasonality!$E$82</f>
        <v/>
      </c>
      <c r="AU356" s="50">
        <f>AU355+AU296*AU236*Seasonality!$E$82</f>
        <v/>
      </c>
      <c r="AV356" s="50">
        <f>AV355+AV296*AV236*Seasonality!$E$82</f>
        <v/>
      </c>
      <c r="AW356" s="50">
        <f>AW355+AW296*AW236*Seasonality!$E$82</f>
        <v/>
      </c>
      <c r="AX356" s="50">
        <f>AX355+AX296*AX236*Seasonality!$E$82</f>
        <v/>
      </c>
      <c r="AY356" s="50">
        <f>AY355+AY296*AY236*Seasonality!$E$82</f>
        <v/>
      </c>
      <c r="AZ356" s="50">
        <f>AZ355+AZ296*AZ236*Seasonality!$E$82</f>
        <v/>
      </c>
      <c r="BA356" s="50">
        <f>BA355+BA296*BA236*Seasonality!$E$82</f>
        <v/>
      </c>
      <c r="BB356" s="50">
        <f>BB355+BB296*BB236*Seasonality!$E$82</f>
        <v/>
      </c>
      <c r="BC356" s="50">
        <f>BC355+BC296*BC236*Seasonality!$E$82</f>
        <v/>
      </c>
      <c r="BD356" s="50">
        <f>BD355+BD296*BD236*Seasonality!$E$82</f>
        <v/>
      </c>
      <c r="BE356" s="50">
        <f>BE355+BE296*BE236*Seasonality!$E$82</f>
        <v/>
      </c>
    </row>
    <row r="357">
      <c r="B357" s="7" t="inlineStr">
        <is>
          <t>Cumulative discounted contribution · month 47</t>
        </is>
      </c>
      <c r="C357" s="5" t="inlineStr">
        <is>
          <t>₹</t>
        </is>
      </c>
      <c r="D357" s="50">
        <f>D356+D297*D237*Seasonality!$E$83</f>
        <v/>
      </c>
      <c r="E357" s="50">
        <f>E356+E297*E237*Seasonality!$E$83</f>
        <v/>
      </c>
      <c r="F357" s="50">
        <f>F356+F297*F237*Seasonality!$E$83</f>
        <v/>
      </c>
      <c r="G357" s="50">
        <f>G356+G297*G237*Seasonality!$E$83</f>
        <v/>
      </c>
      <c r="H357" s="50">
        <f>H356+H297*H237*Seasonality!$E$83</f>
        <v/>
      </c>
      <c r="I357" s="50">
        <f>I356+I297*I237*Seasonality!$E$83</f>
        <v/>
      </c>
      <c r="J357" s="50">
        <f>J356+J297*J237*Seasonality!$E$83</f>
        <v/>
      </c>
      <c r="K357" s="50">
        <f>K356+K297*K237*Seasonality!$E$83</f>
        <v/>
      </c>
      <c r="L357" s="50">
        <f>L356+L297*L237*Seasonality!$E$83</f>
        <v/>
      </c>
      <c r="M357" s="50">
        <f>M356+M297*M237*Seasonality!$E$83</f>
        <v/>
      </c>
      <c r="N357" s="50">
        <f>N356+N297*N237*Seasonality!$E$83</f>
        <v/>
      </c>
      <c r="O357" s="50">
        <f>O356+O297*O237*Seasonality!$E$83</f>
        <v/>
      </c>
      <c r="P357" s="50">
        <f>P356+P297*P237*Seasonality!$E$83</f>
        <v/>
      </c>
      <c r="Q357" s="50">
        <f>Q356+Q297*Q237*Seasonality!$E$83</f>
        <v/>
      </c>
      <c r="R357" s="50">
        <f>R356+R297*R237*Seasonality!$E$83</f>
        <v/>
      </c>
      <c r="S357" s="50">
        <f>S356+S297*S237*Seasonality!$E$83</f>
        <v/>
      </c>
      <c r="T357" s="50">
        <f>T356+T297*T237*Seasonality!$E$83</f>
        <v/>
      </c>
      <c r="U357" s="50">
        <f>U356+U297*U237*Seasonality!$E$83</f>
        <v/>
      </c>
      <c r="V357" s="50">
        <f>V356+V297*V237*Seasonality!$E$83</f>
        <v/>
      </c>
      <c r="W357" s="50">
        <f>W356+W297*W237*Seasonality!$E$83</f>
        <v/>
      </c>
      <c r="X357" s="50">
        <f>X356+X297*X237*Seasonality!$E$83</f>
        <v/>
      </c>
      <c r="Y357" s="50">
        <f>Y356+Y297*Y237*Seasonality!$E$83</f>
        <v/>
      </c>
      <c r="Z357" s="50">
        <f>Z356+Z297*Z237*Seasonality!$E$83</f>
        <v/>
      </c>
      <c r="AA357" s="50">
        <f>AA356+AA297*AA237*Seasonality!$E$83</f>
        <v/>
      </c>
      <c r="AB357" s="50">
        <f>AB356+AB297*AB237*Seasonality!$E$83</f>
        <v/>
      </c>
      <c r="AC357" s="50">
        <f>AC356+AC297*AC237*Seasonality!$E$83</f>
        <v/>
      </c>
      <c r="AD357" s="50">
        <f>AD356+AD297*AD237*Seasonality!$E$83</f>
        <v/>
      </c>
      <c r="AE357" s="50">
        <f>AE356+AE297*AE237*Seasonality!$E$83</f>
        <v/>
      </c>
      <c r="AF357" s="50">
        <f>AF356+AF297*AF237*Seasonality!$E$83</f>
        <v/>
      </c>
      <c r="AG357" s="50">
        <f>AG356+AG297*AG237*Seasonality!$E$83</f>
        <v/>
      </c>
      <c r="AH357" s="50">
        <f>AH356+AH297*AH237*Seasonality!$E$83</f>
        <v/>
      </c>
      <c r="AI357" s="50">
        <f>AI356+AI297*AI237*Seasonality!$E$83</f>
        <v/>
      </c>
      <c r="AJ357" s="50">
        <f>AJ356+AJ297*AJ237*Seasonality!$E$83</f>
        <v/>
      </c>
      <c r="AK357" s="50">
        <f>AK356+AK297*AK237*Seasonality!$E$83</f>
        <v/>
      </c>
      <c r="AL357" s="50">
        <f>AL356+AL297*AL237*Seasonality!$E$83</f>
        <v/>
      </c>
      <c r="AM357" s="50">
        <f>AM356+AM297*AM237*Seasonality!$E$83</f>
        <v/>
      </c>
      <c r="AN357" s="50">
        <f>AN356+AN297*AN237*Seasonality!$E$83</f>
        <v/>
      </c>
      <c r="AO357" s="50">
        <f>AO356+AO297*AO237*Seasonality!$E$83</f>
        <v/>
      </c>
      <c r="AP357" s="50">
        <f>AP356+AP297*AP237*Seasonality!$E$83</f>
        <v/>
      </c>
      <c r="AQ357" s="50">
        <f>AQ356+AQ297*AQ237*Seasonality!$E$83</f>
        <v/>
      </c>
      <c r="AR357" s="50">
        <f>AR356+AR297*AR237*Seasonality!$E$83</f>
        <v/>
      </c>
      <c r="AS357" s="50">
        <f>AS356+AS297*AS237*Seasonality!$E$83</f>
        <v/>
      </c>
      <c r="AT357" s="50">
        <f>AT356+AT297*AT237*Seasonality!$E$83</f>
        <v/>
      </c>
      <c r="AU357" s="50">
        <f>AU356+AU297*AU237*Seasonality!$E$83</f>
        <v/>
      </c>
      <c r="AV357" s="50">
        <f>AV356+AV297*AV237*Seasonality!$E$83</f>
        <v/>
      </c>
      <c r="AW357" s="50">
        <f>AW356+AW297*AW237*Seasonality!$E$83</f>
        <v/>
      </c>
      <c r="AX357" s="50">
        <f>AX356+AX297*AX237*Seasonality!$E$83</f>
        <v/>
      </c>
      <c r="AY357" s="50">
        <f>AY356+AY297*AY237*Seasonality!$E$83</f>
        <v/>
      </c>
      <c r="AZ357" s="50">
        <f>AZ356+AZ297*AZ237*Seasonality!$E$83</f>
        <v/>
      </c>
      <c r="BA357" s="50">
        <f>BA356+BA297*BA237*Seasonality!$E$83</f>
        <v/>
      </c>
      <c r="BB357" s="50">
        <f>BB356+BB297*BB237*Seasonality!$E$83</f>
        <v/>
      </c>
      <c r="BC357" s="50">
        <f>BC356+BC297*BC237*Seasonality!$E$83</f>
        <v/>
      </c>
      <c r="BD357" s="50">
        <f>BD356+BD297*BD237*Seasonality!$E$83</f>
        <v/>
      </c>
      <c r="BE357" s="50">
        <f>BE356+BE297*BE237*Seasonality!$E$83</f>
        <v/>
      </c>
    </row>
    <row r="358">
      <c r="B358" s="7" t="inlineStr">
        <is>
          <t>Cumulative discounted contribution · month 48</t>
        </is>
      </c>
      <c r="C358" s="5" t="inlineStr">
        <is>
          <t>₹</t>
        </is>
      </c>
      <c r="D358" s="50">
        <f>D357+D298*D238*Seasonality!$E$84</f>
        <v/>
      </c>
      <c r="E358" s="50">
        <f>E357+E298*E238*Seasonality!$E$84</f>
        <v/>
      </c>
      <c r="F358" s="50">
        <f>F357+F298*F238*Seasonality!$E$84</f>
        <v/>
      </c>
      <c r="G358" s="50">
        <f>G357+G298*G238*Seasonality!$E$84</f>
        <v/>
      </c>
      <c r="H358" s="50">
        <f>H357+H298*H238*Seasonality!$E$84</f>
        <v/>
      </c>
      <c r="I358" s="50">
        <f>I357+I298*I238*Seasonality!$E$84</f>
        <v/>
      </c>
      <c r="J358" s="50">
        <f>J357+J298*J238*Seasonality!$E$84</f>
        <v/>
      </c>
      <c r="K358" s="50">
        <f>K357+K298*K238*Seasonality!$E$84</f>
        <v/>
      </c>
      <c r="L358" s="50">
        <f>L357+L298*L238*Seasonality!$E$84</f>
        <v/>
      </c>
      <c r="M358" s="50">
        <f>M357+M298*M238*Seasonality!$E$84</f>
        <v/>
      </c>
      <c r="N358" s="50">
        <f>N357+N298*N238*Seasonality!$E$84</f>
        <v/>
      </c>
      <c r="O358" s="50">
        <f>O357+O298*O238*Seasonality!$E$84</f>
        <v/>
      </c>
      <c r="P358" s="50">
        <f>P357+P298*P238*Seasonality!$E$84</f>
        <v/>
      </c>
      <c r="Q358" s="50">
        <f>Q357+Q298*Q238*Seasonality!$E$84</f>
        <v/>
      </c>
      <c r="R358" s="50">
        <f>R357+R298*R238*Seasonality!$E$84</f>
        <v/>
      </c>
      <c r="S358" s="50">
        <f>S357+S298*S238*Seasonality!$E$84</f>
        <v/>
      </c>
      <c r="T358" s="50">
        <f>T357+T298*T238*Seasonality!$E$84</f>
        <v/>
      </c>
      <c r="U358" s="50">
        <f>U357+U298*U238*Seasonality!$E$84</f>
        <v/>
      </c>
      <c r="V358" s="50">
        <f>V357+V298*V238*Seasonality!$E$84</f>
        <v/>
      </c>
      <c r="W358" s="50">
        <f>W357+W298*W238*Seasonality!$E$84</f>
        <v/>
      </c>
      <c r="X358" s="50">
        <f>X357+X298*X238*Seasonality!$E$84</f>
        <v/>
      </c>
      <c r="Y358" s="50">
        <f>Y357+Y298*Y238*Seasonality!$E$84</f>
        <v/>
      </c>
      <c r="Z358" s="50">
        <f>Z357+Z298*Z238*Seasonality!$E$84</f>
        <v/>
      </c>
      <c r="AA358" s="50">
        <f>AA357+AA298*AA238*Seasonality!$E$84</f>
        <v/>
      </c>
      <c r="AB358" s="50">
        <f>AB357+AB298*AB238*Seasonality!$E$84</f>
        <v/>
      </c>
      <c r="AC358" s="50">
        <f>AC357+AC298*AC238*Seasonality!$E$84</f>
        <v/>
      </c>
      <c r="AD358" s="50">
        <f>AD357+AD298*AD238*Seasonality!$E$84</f>
        <v/>
      </c>
      <c r="AE358" s="50">
        <f>AE357+AE298*AE238*Seasonality!$E$84</f>
        <v/>
      </c>
      <c r="AF358" s="50">
        <f>AF357+AF298*AF238*Seasonality!$E$84</f>
        <v/>
      </c>
      <c r="AG358" s="50">
        <f>AG357+AG298*AG238*Seasonality!$E$84</f>
        <v/>
      </c>
      <c r="AH358" s="50">
        <f>AH357+AH298*AH238*Seasonality!$E$84</f>
        <v/>
      </c>
      <c r="AI358" s="50">
        <f>AI357+AI298*AI238*Seasonality!$E$84</f>
        <v/>
      </c>
      <c r="AJ358" s="50">
        <f>AJ357+AJ298*AJ238*Seasonality!$E$84</f>
        <v/>
      </c>
      <c r="AK358" s="50">
        <f>AK357+AK298*AK238*Seasonality!$E$84</f>
        <v/>
      </c>
      <c r="AL358" s="50">
        <f>AL357+AL298*AL238*Seasonality!$E$84</f>
        <v/>
      </c>
      <c r="AM358" s="50">
        <f>AM357+AM298*AM238*Seasonality!$E$84</f>
        <v/>
      </c>
      <c r="AN358" s="50">
        <f>AN357+AN298*AN238*Seasonality!$E$84</f>
        <v/>
      </c>
      <c r="AO358" s="50">
        <f>AO357+AO298*AO238*Seasonality!$E$84</f>
        <v/>
      </c>
      <c r="AP358" s="50">
        <f>AP357+AP298*AP238*Seasonality!$E$84</f>
        <v/>
      </c>
      <c r="AQ358" s="50">
        <f>AQ357+AQ298*AQ238*Seasonality!$E$84</f>
        <v/>
      </c>
      <c r="AR358" s="50">
        <f>AR357+AR298*AR238*Seasonality!$E$84</f>
        <v/>
      </c>
      <c r="AS358" s="50">
        <f>AS357+AS298*AS238*Seasonality!$E$84</f>
        <v/>
      </c>
      <c r="AT358" s="50">
        <f>AT357+AT298*AT238*Seasonality!$E$84</f>
        <v/>
      </c>
      <c r="AU358" s="50">
        <f>AU357+AU298*AU238*Seasonality!$E$84</f>
        <v/>
      </c>
      <c r="AV358" s="50">
        <f>AV357+AV298*AV238*Seasonality!$E$84</f>
        <v/>
      </c>
      <c r="AW358" s="50">
        <f>AW357+AW298*AW238*Seasonality!$E$84</f>
        <v/>
      </c>
      <c r="AX358" s="50">
        <f>AX357+AX298*AX238*Seasonality!$E$84</f>
        <v/>
      </c>
      <c r="AY358" s="50">
        <f>AY357+AY298*AY238*Seasonality!$E$84</f>
        <v/>
      </c>
      <c r="AZ358" s="50">
        <f>AZ357+AZ298*AZ238*Seasonality!$E$84</f>
        <v/>
      </c>
      <c r="BA358" s="50">
        <f>BA357+BA298*BA238*Seasonality!$E$84</f>
        <v/>
      </c>
      <c r="BB358" s="50">
        <f>BB357+BB298*BB238*Seasonality!$E$84</f>
        <v/>
      </c>
      <c r="BC358" s="50">
        <f>BC357+BC298*BC238*Seasonality!$E$84</f>
        <v/>
      </c>
      <c r="BD358" s="50">
        <f>BD357+BD298*BD238*Seasonality!$E$84</f>
        <v/>
      </c>
      <c r="BE358" s="50">
        <f>BE357+BE298*BE238*Seasonality!$E$84</f>
        <v/>
      </c>
    </row>
    <row r="359">
      <c r="B359" s="7" t="inlineStr">
        <is>
          <t>Cumulative discounted contribution · month 49</t>
        </is>
      </c>
      <c r="C359" s="5" t="inlineStr">
        <is>
          <t>₹</t>
        </is>
      </c>
      <c r="D359" s="50">
        <f>D358+D299*D239*Seasonality!$E$85</f>
        <v/>
      </c>
      <c r="E359" s="50">
        <f>E358+E299*E239*Seasonality!$E$85</f>
        <v/>
      </c>
      <c r="F359" s="50">
        <f>F358+F299*F239*Seasonality!$E$85</f>
        <v/>
      </c>
      <c r="G359" s="50">
        <f>G358+G299*G239*Seasonality!$E$85</f>
        <v/>
      </c>
      <c r="H359" s="50">
        <f>H358+H299*H239*Seasonality!$E$85</f>
        <v/>
      </c>
      <c r="I359" s="50">
        <f>I358+I299*I239*Seasonality!$E$85</f>
        <v/>
      </c>
      <c r="J359" s="50">
        <f>J358+J299*J239*Seasonality!$E$85</f>
        <v/>
      </c>
      <c r="K359" s="50">
        <f>K358+K299*K239*Seasonality!$E$85</f>
        <v/>
      </c>
      <c r="L359" s="50">
        <f>L358+L299*L239*Seasonality!$E$85</f>
        <v/>
      </c>
      <c r="M359" s="50">
        <f>M358+M299*M239*Seasonality!$E$85</f>
        <v/>
      </c>
      <c r="N359" s="50">
        <f>N358+N299*N239*Seasonality!$E$85</f>
        <v/>
      </c>
      <c r="O359" s="50">
        <f>O358+O299*O239*Seasonality!$E$85</f>
        <v/>
      </c>
      <c r="P359" s="50">
        <f>P358+P299*P239*Seasonality!$E$85</f>
        <v/>
      </c>
      <c r="Q359" s="50">
        <f>Q358+Q299*Q239*Seasonality!$E$85</f>
        <v/>
      </c>
      <c r="R359" s="50">
        <f>R358+R299*R239*Seasonality!$E$85</f>
        <v/>
      </c>
      <c r="S359" s="50">
        <f>S358+S299*S239*Seasonality!$E$85</f>
        <v/>
      </c>
      <c r="T359" s="50">
        <f>T358+T299*T239*Seasonality!$E$85</f>
        <v/>
      </c>
      <c r="U359" s="50">
        <f>U358+U299*U239*Seasonality!$E$85</f>
        <v/>
      </c>
      <c r="V359" s="50">
        <f>V358+V299*V239*Seasonality!$E$85</f>
        <v/>
      </c>
      <c r="W359" s="50">
        <f>W358+W299*W239*Seasonality!$E$85</f>
        <v/>
      </c>
      <c r="X359" s="50">
        <f>X358+X299*X239*Seasonality!$E$85</f>
        <v/>
      </c>
      <c r="Y359" s="50">
        <f>Y358+Y299*Y239*Seasonality!$E$85</f>
        <v/>
      </c>
      <c r="Z359" s="50">
        <f>Z358+Z299*Z239*Seasonality!$E$85</f>
        <v/>
      </c>
      <c r="AA359" s="50">
        <f>AA358+AA299*AA239*Seasonality!$E$85</f>
        <v/>
      </c>
      <c r="AB359" s="50">
        <f>AB358+AB299*AB239*Seasonality!$E$85</f>
        <v/>
      </c>
      <c r="AC359" s="50">
        <f>AC358+AC299*AC239*Seasonality!$E$85</f>
        <v/>
      </c>
      <c r="AD359" s="50">
        <f>AD358+AD299*AD239*Seasonality!$E$85</f>
        <v/>
      </c>
      <c r="AE359" s="50">
        <f>AE358+AE299*AE239*Seasonality!$E$85</f>
        <v/>
      </c>
      <c r="AF359" s="50">
        <f>AF358+AF299*AF239*Seasonality!$E$85</f>
        <v/>
      </c>
      <c r="AG359" s="50">
        <f>AG358+AG299*AG239*Seasonality!$E$85</f>
        <v/>
      </c>
      <c r="AH359" s="50">
        <f>AH358+AH299*AH239*Seasonality!$E$85</f>
        <v/>
      </c>
      <c r="AI359" s="50">
        <f>AI358+AI299*AI239*Seasonality!$E$85</f>
        <v/>
      </c>
      <c r="AJ359" s="50">
        <f>AJ358+AJ299*AJ239*Seasonality!$E$85</f>
        <v/>
      </c>
      <c r="AK359" s="50">
        <f>AK358+AK299*AK239*Seasonality!$E$85</f>
        <v/>
      </c>
      <c r="AL359" s="50">
        <f>AL358+AL299*AL239*Seasonality!$E$85</f>
        <v/>
      </c>
      <c r="AM359" s="50">
        <f>AM358+AM299*AM239*Seasonality!$E$85</f>
        <v/>
      </c>
      <c r="AN359" s="50">
        <f>AN358+AN299*AN239*Seasonality!$E$85</f>
        <v/>
      </c>
      <c r="AO359" s="50">
        <f>AO358+AO299*AO239*Seasonality!$E$85</f>
        <v/>
      </c>
      <c r="AP359" s="50">
        <f>AP358+AP299*AP239*Seasonality!$E$85</f>
        <v/>
      </c>
      <c r="AQ359" s="50">
        <f>AQ358+AQ299*AQ239*Seasonality!$E$85</f>
        <v/>
      </c>
      <c r="AR359" s="50">
        <f>AR358+AR299*AR239*Seasonality!$E$85</f>
        <v/>
      </c>
      <c r="AS359" s="50">
        <f>AS358+AS299*AS239*Seasonality!$E$85</f>
        <v/>
      </c>
      <c r="AT359" s="50">
        <f>AT358+AT299*AT239*Seasonality!$E$85</f>
        <v/>
      </c>
      <c r="AU359" s="50">
        <f>AU358+AU299*AU239*Seasonality!$E$85</f>
        <v/>
      </c>
      <c r="AV359" s="50">
        <f>AV358+AV299*AV239*Seasonality!$E$85</f>
        <v/>
      </c>
      <c r="AW359" s="50">
        <f>AW358+AW299*AW239*Seasonality!$E$85</f>
        <v/>
      </c>
      <c r="AX359" s="50">
        <f>AX358+AX299*AX239*Seasonality!$E$85</f>
        <v/>
      </c>
      <c r="AY359" s="50">
        <f>AY358+AY299*AY239*Seasonality!$E$85</f>
        <v/>
      </c>
      <c r="AZ359" s="50">
        <f>AZ358+AZ299*AZ239*Seasonality!$E$85</f>
        <v/>
      </c>
      <c r="BA359" s="50">
        <f>BA358+BA299*BA239*Seasonality!$E$85</f>
        <v/>
      </c>
      <c r="BB359" s="50">
        <f>BB358+BB299*BB239*Seasonality!$E$85</f>
        <v/>
      </c>
      <c r="BC359" s="50">
        <f>BC358+BC299*BC239*Seasonality!$E$85</f>
        <v/>
      </c>
      <c r="BD359" s="50">
        <f>BD358+BD299*BD239*Seasonality!$E$85</f>
        <v/>
      </c>
      <c r="BE359" s="50">
        <f>BE358+BE299*BE239*Seasonality!$E$85</f>
        <v/>
      </c>
    </row>
    <row r="360">
      <c r="B360" s="7" t="inlineStr">
        <is>
          <t>Cumulative discounted contribution · month 50</t>
        </is>
      </c>
      <c r="C360" s="5" t="inlineStr">
        <is>
          <t>₹</t>
        </is>
      </c>
      <c r="D360" s="50">
        <f>D359+D300*D240*Seasonality!$E$86</f>
        <v/>
      </c>
      <c r="E360" s="50">
        <f>E359+E300*E240*Seasonality!$E$86</f>
        <v/>
      </c>
      <c r="F360" s="50">
        <f>F359+F300*F240*Seasonality!$E$86</f>
        <v/>
      </c>
      <c r="G360" s="50">
        <f>G359+G300*G240*Seasonality!$E$86</f>
        <v/>
      </c>
      <c r="H360" s="50">
        <f>H359+H300*H240*Seasonality!$E$86</f>
        <v/>
      </c>
      <c r="I360" s="50">
        <f>I359+I300*I240*Seasonality!$E$86</f>
        <v/>
      </c>
      <c r="J360" s="50">
        <f>J359+J300*J240*Seasonality!$E$86</f>
        <v/>
      </c>
      <c r="K360" s="50">
        <f>K359+K300*K240*Seasonality!$E$86</f>
        <v/>
      </c>
      <c r="L360" s="50">
        <f>L359+L300*L240*Seasonality!$E$86</f>
        <v/>
      </c>
      <c r="M360" s="50">
        <f>M359+M300*M240*Seasonality!$E$86</f>
        <v/>
      </c>
      <c r="N360" s="50">
        <f>N359+N300*N240*Seasonality!$E$86</f>
        <v/>
      </c>
      <c r="O360" s="50">
        <f>O359+O300*O240*Seasonality!$E$86</f>
        <v/>
      </c>
      <c r="P360" s="50">
        <f>P359+P300*P240*Seasonality!$E$86</f>
        <v/>
      </c>
      <c r="Q360" s="50">
        <f>Q359+Q300*Q240*Seasonality!$E$86</f>
        <v/>
      </c>
      <c r="R360" s="50">
        <f>R359+R300*R240*Seasonality!$E$86</f>
        <v/>
      </c>
      <c r="S360" s="50">
        <f>S359+S300*S240*Seasonality!$E$86</f>
        <v/>
      </c>
      <c r="T360" s="50">
        <f>T359+T300*T240*Seasonality!$E$86</f>
        <v/>
      </c>
      <c r="U360" s="50">
        <f>U359+U300*U240*Seasonality!$E$86</f>
        <v/>
      </c>
      <c r="V360" s="50">
        <f>V359+V300*V240*Seasonality!$E$86</f>
        <v/>
      </c>
      <c r="W360" s="50">
        <f>W359+W300*W240*Seasonality!$E$86</f>
        <v/>
      </c>
      <c r="X360" s="50">
        <f>X359+X300*X240*Seasonality!$E$86</f>
        <v/>
      </c>
      <c r="Y360" s="50">
        <f>Y359+Y300*Y240*Seasonality!$E$86</f>
        <v/>
      </c>
      <c r="Z360" s="50">
        <f>Z359+Z300*Z240*Seasonality!$E$86</f>
        <v/>
      </c>
      <c r="AA360" s="50">
        <f>AA359+AA300*AA240*Seasonality!$E$86</f>
        <v/>
      </c>
      <c r="AB360" s="50">
        <f>AB359+AB300*AB240*Seasonality!$E$86</f>
        <v/>
      </c>
      <c r="AC360" s="50">
        <f>AC359+AC300*AC240*Seasonality!$E$86</f>
        <v/>
      </c>
      <c r="AD360" s="50">
        <f>AD359+AD300*AD240*Seasonality!$E$86</f>
        <v/>
      </c>
      <c r="AE360" s="50">
        <f>AE359+AE300*AE240*Seasonality!$E$86</f>
        <v/>
      </c>
      <c r="AF360" s="50">
        <f>AF359+AF300*AF240*Seasonality!$E$86</f>
        <v/>
      </c>
      <c r="AG360" s="50">
        <f>AG359+AG300*AG240*Seasonality!$E$86</f>
        <v/>
      </c>
      <c r="AH360" s="50">
        <f>AH359+AH300*AH240*Seasonality!$E$86</f>
        <v/>
      </c>
      <c r="AI360" s="50">
        <f>AI359+AI300*AI240*Seasonality!$E$86</f>
        <v/>
      </c>
      <c r="AJ360" s="50">
        <f>AJ359+AJ300*AJ240*Seasonality!$E$86</f>
        <v/>
      </c>
      <c r="AK360" s="50">
        <f>AK359+AK300*AK240*Seasonality!$E$86</f>
        <v/>
      </c>
      <c r="AL360" s="50">
        <f>AL359+AL300*AL240*Seasonality!$E$86</f>
        <v/>
      </c>
      <c r="AM360" s="50">
        <f>AM359+AM300*AM240*Seasonality!$E$86</f>
        <v/>
      </c>
      <c r="AN360" s="50">
        <f>AN359+AN300*AN240*Seasonality!$E$86</f>
        <v/>
      </c>
      <c r="AO360" s="50">
        <f>AO359+AO300*AO240*Seasonality!$E$86</f>
        <v/>
      </c>
      <c r="AP360" s="50">
        <f>AP359+AP300*AP240*Seasonality!$E$86</f>
        <v/>
      </c>
      <c r="AQ360" s="50">
        <f>AQ359+AQ300*AQ240*Seasonality!$E$86</f>
        <v/>
      </c>
      <c r="AR360" s="50">
        <f>AR359+AR300*AR240*Seasonality!$E$86</f>
        <v/>
      </c>
      <c r="AS360" s="50">
        <f>AS359+AS300*AS240*Seasonality!$E$86</f>
        <v/>
      </c>
      <c r="AT360" s="50">
        <f>AT359+AT300*AT240*Seasonality!$E$86</f>
        <v/>
      </c>
      <c r="AU360" s="50">
        <f>AU359+AU300*AU240*Seasonality!$E$86</f>
        <v/>
      </c>
      <c r="AV360" s="50">
        <f>AV359+AV300*AV240*Seasonality!$E$86</f>
        <v/>
      </c>
      <c r="AW360" s="50">
        <f>AW359+AW300*AW240*Seasonality!$E$86</f>
        <v/>
      </c>
      <c r="AX360" s="50">
        <f>AX359+AX300*AX240*Seasonality!$E$86</f>
        <v/>
      </c>
      <c r="AY360" s="50">
        <f>AY359+AY300*AY240*Seasonality!$E$86</f>
        <v/>
      </c>
      <c r="AZ360" s="50">
        <f>AZ359+AZ300*AZ240*Seasonality!$E$86</f>
        <v/>
      </c>
      <c r="BA360" s="50">
        <f>BA359+BA300*BA240*Seasonality!$E$86</f>
        <v/>
      </c>
      <c r="BB360" s="50">
        <f>BB359+BB300*BB240*Seasonality!$E$86</f>
        <v/>
      </c>
      <c r="BC360" s="50">
        <f>BC359+BC300*BC240*Seasonality!$E$86</f>
        <v/>
      </c>
      <c r="BD360" s="50">
        <f>BD359+BD300*BD240*Seasonality!$E$86</f>
        <v/>
      </c>
      <c r="BE360" s="50">
        <f>BE359+BE300*BE240*Seasonality!$E$86</f>
        <v/>
      </c>
    </row>
    <row r="361">
      <c r="B361" s="7" t="inlineStr">
        <is>
          <t>Cumulative discounted contribution · month 51</t>
        </is>
      </c>
      <c r="C361" s="5" t="inlineStr">
        <is>
          <t>₹</t>
        </is>
      </c>
      <c r="D361" s="50">
        <f>D360+D301*D241*Seasonality!$E$87</f>
        <v/>
      </c>
      <c r="E361" s="50">
        <f>E360+E301*E241*Seasonality!$E$87</f>
        <v/>
      </c>
      <c r="F361" s="50">
        <f>F360+F301*F241*Seasonality!$E$87</f>
        <v/>
      </c>
      <c r="G361" s="50">
        <f>G360+G301*G241*Seasonality!$E$87</f>
        <v/>
      </c>
      <c r="H361" s="50">
        <f>H360+H301*H241*Seasonality!$E$87</f>
        <v/>
      </c>
      <c r="I361" s="50">
        <f>I360+I301*I241*Seasonality!$E$87</f>
        <v/>
      </c>
      <c r="J361" s="50">
        <f>J360+J301*J241*Seasonality!$E$87</f>
        <v/>
      </c>
      <c r="K361" s="50">
        <f>K360+K301*K241*Seasonality!$E$87</f>
        <v/>
      </c>
      <c r="L361" s="50">
        <f>L360+L301*L241*Seasonality!$E$87</f>
        <v/>
      </c>
      <c r="M361" s="50">
        <f>M360+M301*M241*Seasonality!$E$87</f>
        <v/>
      </c>
      <c r="N361" s="50">
        <f>N360+N301*N241*Seasonality!$E$87</f>
        <v/>
      </c>
      <c r="O361" s="50">
        <f>O360+O301*O241*Seasonality!$E$87</f>
        <v/>
      </c>
      <c r="P361" s="50">
        <f>P360+P301*P241*Seasonality!$E$87</f>
        <v/>
      </c>
      <c r="Q361" s="50">
        <f>Q360+Q301*Q241*Seasonality!$E$87</f>
        <v/>
      </c>
      <c r="R361" s="50">
        <f>R360+R301*R241*Seasonality!$E$87</f>
        <v/>
      </c>
      <c r="S361" s="50">
        <f>S360+S301*S241*Seasonality!$E$87</f>
        <v/>
      </c>
      <c r="T361" s="50">
        <f>T360+T301*T241*Seasonality!$E$87</f>
        <v/>
      </c>
      <c r="U361" s="50">
        <f>U360+U301*U241*Seasonality!$E$87</f>
        <v/>
      </c>
      <c r="V361" s="50">
        <f>V360+V301*V241*Seasonality!$E$87</f>
        <v/>
      </c>
      <c r="W361" s="50">
        <f>W360+W301*W241*Seasonality!$E$87</f>
        <v/>
      </c>
      <c r="X361" s="50">
        <f>X360+X301*X241*Seasonality!$E$87</f>
        <v/>
      </c>
      <c r="Y361" s="50">
        <f>Y360+Y301*Y241*Seasonality!$E$87</f>
        <v/>
      </c>
      <c r="Z361" s="50">
        <f>Z360+Z301*Z241*Seasonality!$E$87</f>
        <v/>
      </c>
      <c r="AA361" s="50">
        <f>AA360+AA301*AA241*Seasonality!$E$87</f>
        <v/>
      </c>
      <c r="AB361" s="50">
        <f>AB360+AB301*AB241*Seasonality!$E$87</f>
        <v/>
      </c>
      <c r="AC361" s="50">
        <f>AC360+AC301*AC241*Seasonality!$E$87</f>
        <v/>
      </c>
      <c r="AD361" s="50">
        <f>AD360+AD301*AD241*Seasonality!$E$87</f>
        <v/>
      </c>
      <c r="AE361" s="50">
        <f>AE360+AE301*AE241*Seasonality!$E$87</f>
        <v/>
      </c>
      <c r="AF361" s="50">
        <f>AF360+AF301*AF241*Seasonality!$E$87</f>
        <v/>
      </c>
      <c r="AG361" s="50">
        <f>AG360+AG301*AG241*Seasonality!$E$87</f>
        <v/>
      </c>
      <c r="AH361" s="50">
        <f>AH360+AH301*AH241*Seasonality!$E$87</f>
        <v/>
      </c>
      <c r="AI361" s="50">
        <f>AI360+AI301*AI241*Seasonality!$E$87</f>
        <v/>
      </c>
      <c r="AJ361" s="50">
        <f>AJ360+AJ301*AJ241*Seasonality!$E$87</f>
        <v/>
      </c>
      <c r="AK361" s="50">
        <f>AK360+AK301*AK241*Seasonality!$E$87</f>
        <v/>
      </c>
      <c r="AL361" s="50">
        <f>AL360+AL301*AL241*Seasonality!$E$87</f>
        <v/>
      </c>
      <c r="AM361" s="50">
        <f>AM360+AM301*AM241*Seasonality!$E$87</f>
        <v/>
      </c>
      <c r="AN361" s="50">
        <f>AN360+AN301*AN241*Seasonality!$E$87</f>
        <v/>
      </c>
      <c r="AO361" s="50">
        <f>AO360+AO301*AO241*Seasonality!$E$87</f>
        <v/>
      </c>
      <c r="AP361" s="50">
        <f>AP360+AP301*AP241*Seasonality!$E$87</f>
        <v/>
      </c>
      <c r="AQ361" s="50">
        <f>AQ360+AQ301*AQ241*Seasonality!$E$87</f>
        <v/>
      </c>
      <c r="AR361" s="50">
        <f>AR360+AR301*AR241*Seasonality!$E$87</f>
        <v/>
      </c>
      <c r="AS361" s="50">
        <f>AS360+AS301*AS241*Seasonality!$E$87</f>
        <v/>
      </c>
      <c r="AT361" s="50">
        <f>AT360+AT301*AT241*Seasonality!$E$87</f>
        <v/>
      </c>
      <c r="AU361" s="50">
        <f>AU360+AU301*AU241*Seasonality!$E$87</f>
        <v/>
      </c>
      <c r="AV361" s="50">
        <f>AV360+AV301*AV241*Seasonality!$E$87</f>
        <v/>
      </c>
      <c r="AW361" s="50">
        <f>AW360+AW301*AW241*Seasonality!$E$87</f>
        <v/>
      </c>
      <c r="AX361" s="50">
        <f>AX360+AX301*AX241*Seasonality!$E$87</f>
        <v/>
      </c>
      <c r="AY361" s="50">
        <f>AY360+AY301*AY241*Seasonality!$E$87</f>
        <v/>
      </c>
      <c r="AZ361" s="50">
        <f>AZ360+AZ301*AZ241*Seasonality!$E$87</f>
        <v/>
      </c>
      <c r="BA361" s="50">
        <f>BA360+BA301*BA241*Seasonality!$E$87</f>
        <v/>
      </c>
      <c r="BB361" s="50">
        <f>BB360+BB301*BB241*Seasonality!$E$87</f>
        <v/>
      </c>
      <c r="BC361" s="50">
        <f>BC360+BC301*BC241*Seasonality!$E$87</f>
        <v/>
      </c>
      <c r="BD361" s="50">
        <f>BD360+BD301*BD241*Seasonality!$E$87</f>
        <v/>
      </c>
      <c r="BE361" s="50">
        <f>BE360+BE301*BE241*Seasonality!$E$87</f>
        <v/>
      </c>
    </row>
    <row r="362">
      <c r="B362" s="7" t="inlineStr">
        <is>
          <t>Cumulative discounted contribution · month 52</t>
        </is>
      </c>
      <c r="C362" s="5" t="inlineStr">
        <is>
          <t>₹</t>
        </is>
      </c>
      <c r="D362" s="50">
        <f>D361+D302*D242*Seasonality!$E$88</f>
        <v/>
      </c>
      <c r="E362" s="50">
        <f>E361+E302*E242*Seasonality!$E$88</f>
        <v/>
      </c>
      <c r="F362" s="50">
        <f>F361+F302*F242*Seasonality!$E$88</f>
        <v/>
      </c>
      <c r="G362" s="50">
        <f>G361+G302*G242*Seasonality!$E$88</f>
        <v/>
      </c>
      <c r="H362" s="50">
        <f>H361+H302*H242*Seasonality!$E$88</f>
        <v/>
      </c>
      <c r="I362" s="50">
        <f>I361+I302*I242*Seasonality!$E$88</f>
        <v/>
      </c>
      <c r="J362" s="50">
        <f>J361+J302*J242*Seasonality!$E$88</f>
        <v/>
      </c>
      <c r="K362" s="50">
        <f>K361+K302*K242*Seasonality!$E$88</f>
        <v/>
      </c>
      <c r="L362" s="50">
        <f>L361+L302*L242*Seasonality!$E$88</f>
        <v/>
      </c>
      <c r="M362" s="50">
        <f>M361+M302*M242*Seasonality!$E$88</f>
        <v/>
      </c>
      <c r="N362" s="50">
        <f>N361+N302*N242*Seasonality!$E$88</f>
        <v/>
      </c>
      <c r="O362" s="50">
        <f>O361+O302*O242*Seasonality!$E$88</f>
        <v/>
      </c>
      <c r="P362" s="50">
        <f>P361+P302*P242*Seasonality!$E$88</f>
        <v/>
      </c>
      <c r="Q362" s="50">
        <f>Q361+Q302*Q242*Seasonality!$E$88</f>
        <v/>
      </c>
      <c r="R362" s="50">
        <f>R361+R302*R242*Seasonality!$E$88</f>
        <v/>
      </c>
      <c r="S362" s="50">
        <f>S361+S302*S242*Seasonality!$E$88</f>
        <v/>
      </c>
      <c r="T362" s="50">
        <f>T361+T302*T242*Seasonality!$E$88</f>
        <v/>
      </c>
      <c r="U362" s="50">
        <f>U361+U302*U242*Seasonality!$E$88</f>
        <v/>
      </c>
      <c r="V362" s="50">
        <f>V361+V302*V242*Seasonality!$E$88</f>
        <v/>
      </c>
      <c r="W362" s="50">
        <f>W361+W302*W242*Seasonality!$E$88</f>
        <v/>
      </c>
      <c r="X362" s="50">
        <f>X361+X302*X242*Seasonality!$E$88</f>
        <v/>
      </c>
      <c r="Y362" s="50">
        <f>Y361+Y302*Y242*Seasonality!$E$88</f>
        <v/>
      </c>
      <c r="Z362" s="50">
        <f>Z361+Z302*Z242*Seasonality!$E$88</f>
        <v/>
      </c>
      <c r="AA362" s="50">
        <f>AA361+AA302*AA242*Seasonality!$E$88</f>
        <v/>
      </c>
      <c r="AB362" s="50">
        <f>AB361+AB302*AB242*Seasonality!$E$88</f>
        <v/>
      </c>
      <c r="AC362" s="50">
        <f>AC361+AC302*AC242*Seasonality!$E$88</f>
        <v/>
      </c>
      <c r="AD362" s="50">
        <f>AD361+AD302*AD242*Seasonality!$E$88</f>
        <v/>
      </c>
      <c r="AE362" s="50">
        <f>AE361+AE302*AE242*Seasonality!$E$88</f>
        <v/>
      </c>
      <c r="AF362" s="50">
        <f>AF361+AF302*AF242*Seasonality!$E$88</f>
        <v/>
      </c>
      <c r="AG362" s="50">
        <f>AG361+AG302*AG242*Seasonality!$E$88</f>
        <v/>
      </c>
      <c r="AH362" s="50">
        <f>AH361+AH302*AH242*Seasonality!$E$88</f>
        <v/>
      </c>
      <c r="AI362" s="50">
        <f>AI361+AI302*AI242*Seasonality!$E$88</f>
        <v/>
      </c>
      <c r="AJ362" s="50">
        <f>AJ361+AJ302*AJ242*Seasonality!$E$88</f>
        <v/>
      </c>
      <c r="AK362" s="50">
        <f>AK361+AK302*AK242*Seasonality!$E$88</f>
        <v/>
      </c>
      <c r="AL362" s="50">
        <f>AL361+AL302*AL242*Seasonality!$E$88</f>
        <v/>
      </c>
      <c r="AM362" s="50">
        <f>AM361+AM302*AM242*Seasonality!$E$88</f>
        <v/>
      </c>
      <c r="AN362" s="50">
        <f>AN361+AN302*AN242*Seasonality!$E$88</f>
        <v/>
      </c>
      <c r="AO362" s="50">
        <f>AO361+AO302*AO242*Seasonality!$E$88</f>
        <v/>
      </c>
      <c r="AP362" s="50">
        <f>AP361+AP302*AP242*Seasonality!$E$88</f>
        <v/>
      </c>
      <c r="AQ362" s="50">
        <f>AQ361+AQ302*AQ242*Seasonality!$E$88</f>
        <v/>
      </c>
      <c r="AR362" s="50">
        <f>AR361+AR302*AR242*Seasonality!$E$88</f>
        <v/>
      </c>
      <c r="AS362" s="50">
        <f>AS361+AS302*AS242*Seasonality!$E$88</f>
        <v/>
      </c>
      <c r="AT362" s="50">
        <f>AT361+AT302*AT242*Seasonality!$E$88</f>
        <v/>
      </c>
      <c r="AU362" s="50">
        <f>AU361+AU302*AU242*Seasonality!$E$88</f>
        <v/>
      </c>
      <c r="AV362" s="50">
        <f>AV361+AV302*AV242*Seasonality!$E$88</f>
        <v/>
      </c>
      <c r="AW362" s="50">
        <f>AW361+AW302*AW242*Seasonality!$E$88</f>
        <v/>
      </c>
      <c r="AX362" s="50">
        <f>AX361+AX302*AX242*Seasonality!$E$88</f>
        <v/>
      </c>
      <c r="AY362" s="50">
        <f>AY361+AY302*AY242*Seasonality!$E$88</f>
        <v/>
      </c>
      <c r="AZ362" s="50">
        <f>AZ361+AZ302*AZ242*Seasonality!$E$88</f>
        <v/>
      </c>
      <c r="BA362" s="50">
        <f>BA361+BA302*BA242*Seasonality!$E$88</f>
        <v/>
      </c>
      <c r="BB362" s="50">
        <f>BB361+BB302*BB242*Seasonality!$E$88</f>
        <v/>
      </c>
      <c r="BC362" s="50">
        <f>BC361+BC302*BC242*Seasonality!$E$88</f>
        <v/>
      </c>
      <c r="BD362" s="50">
        <f>BD361+BD302*BD242*Seasonality!$E$88</f>
        <v/>
      </c>
      <c r="BE362" s="50">
        <f>BE361+BE302*BE242*Seasonality!$E$88</f>
        <v/>
      </c>
    </row>
    <row r="363">
      <c r="B363" s="7" t="inlineStr">
        <is>
          <t>Cumulative discounted contribution · month 53</t>
        </is>
      </c>
      <c r="C363" s="5" t="inlineStr">
        <is>
          <t>₹</t>
        </is>
      </c>
      <c r="D363" s="50">
        <f>D362+D303*D243*Seasonality!$E$89</f>
        <v/>
      </c>
      <c r="E363" s="50">
        <f>E362+E303*E243*Seasonality!$E$89</f>
        <v/>
      </c>
      <c r="F363" s="50">
        <f>F362+F303*F243*Seasonality!$E$89</f>
        <v/>
      </c>
      <c r="G363" s="50">
        <f>G362+G303*G243*Seasonality!$E$89</f>
        <v/>
      </c>
      <c r="H363" s="50">
        <f>H362+H303*H243*Seasonality!$E$89</f>
        <v/>
      </c>
      <c r="I363" s="50">
        <f>I362+I303*I243*Seasonality!$E$89</f>
        <v/>
      </c>
      <c r="J363" s="50">
        <f>J362+J303*J243*Seasonality!$E$89</f>
        <v/>
      </c>
      <c r="K363" s="50">
        <f>K362+K303*K243*Seasonality!$E$89</f>
        <v/>
      </c>
      <c r="L363" s="50">
        <f>L362+L303*L243*Seasonality!$E$89</f>
        <v/>
      </c>
      <c r="M363" s="50">
        <f>M362+M303*M243*Seasonality!$E$89</f>
        <v/>
      </c>
      <c r="N363" s="50">
        <f>N362+N303*N243*Seasonality!$E$89</f>
        <v/>
      </c>
      <c r="O363" s="50">
        <f>O362+O303*O243*Seasonality!$E$89</f>
        <v/>
      </c>
      <c r="P363" s="50">
        <f>P362+P303*P243*Seasonality!$E$89</f>
        <v/>
      </c>
      <c r="Q363" s="50">
        <f>Q362+Q303*Q243*Seasonality!$E$89</f>
        <v/>
      </c>
      <c r="R363" s="50">
        <f>R362+R303*R243*Seasonality!$E$89</f>
        <v/>
      </c>
      <c r="S363" s="50">
        <f>S362+S303*S243*Seasonality!$E$89</f>
        <v/>
      </c>
      <c r="T363" s="50">
        <f>T362+T303*T243*Seasonality!$E$89</f>
        <v/>
      </c>
      <c r="U363" s="50">
        <f>U362+U303*U243*Seasonality!$E$89</f>
        <v/>
      </c>
      <c r="V363" s="50">
        <f>V362+V303*V243*Seasonality!$E$89</f>
        <v/>
      </c>
      <c r="W363" s="50">
        <f>W362+W303*W243*Seasonality!$E$89</f>
        <v/>
      </c>
      <c r="X363" s="50">
        <f>X362+X303*X243*Seasonality!$E$89</f>
        <v/>
      </c>
      <c r="Y363" s="50">
        <f>Y362+Y303*Y243*Seasonality!$E$89</f>
        <v/>
      </c>
      <c r="Z363" s="50">
        <f>Z362+Z303*Z243*Seasonality!$E$89</f>
        <v/>
      </c>
      <c r="AA363" s="50">
        <f>AA362+AA303*AA243*Seasonality!$E$89</f>
        <v/>
      </c>
      <c r="AB363" s="50">
        <f>AB362+AB303*AB243*Seasonality!$E$89</f>
        <v/>
      </c>
      <c r="AC363" s="50">
        <f>AC362+AC303*AC243*Seasonality!$E$89</f>
        <v/>
      </c>
      <c r="AD363" s="50">
        <f>AD362+AD303*AD243*Seasonality!$E$89</f>
        <v/>
      </c>
      <c r="AE363" s="50">
        <f>AE362+AE303*AE243*Seasonality!$E$89</f>
        <v/>
      </c>
      <c r="AF363" s="50">
        <f>AF362+AF303*AF243*Seasonality!$E$89</f>
        <v/>
      </c>
      <c r="AG363" s="50">
        <f>AG362+AG303*AG243*Seasonality!$E$89</f>
        <v/>
      </c>
      <c r="AH363" s="50">
        <f>AH362+AH303*AH243*Seasonality!$E$89</f>
        <v/>
      </c>
      <c r="AI363" s="50">
        <f>AI362+AI303*AI243*Seasonality!$E$89</f>
        <v/>
      </c>
      <c r="AJ363" s="50">
        <f>AJ362+AJ303*AJ243*Seasonality!$E$89</f>
        <v/>
      </c>
      <c r="AK363" s="50">
        <f>AK362+AK303*AK243*Seasonality!$E$89</f>
        <v/>
      </c>
      <c r="AL363" s="50">
        <f>AL362+AL303*AL243*Seasonality!$E$89</f>
        <v/>
      </c>
      <c r="AM363" s="50">
        <f>AM362+AM303*AM243*Seasonality!$E$89</f>
        <v/>
      </c>
      <c r="AN363" s="50">
        <f>AN362+AN303*AN243*Seasonality!$E$89</f>
        <v/>
      </c>
      <c r="AO363" s="50">
        <f>AO362+AO303*AO243*Seasonality!$E$89</f>
        <v/>
      </c>
      <c r="AP363" s="50">
        <f>AP362+AP303*AP243*Seasonality!$E$89</f>
        <v/>
      </c>
      <c r="AQ363" s="50">
        <f>AQ362+AQ303*AQ243*Seasonality!$E$89</f>
        <v/>
      </c>
      <c r="AR363" s="50">
        <f>AR362+AR303*AR243*Seasonality!$E$89</f>
        <v/>
      </c>
      <c r="AS363" s="50">
        <f>AS362+AS303*AS243*Seasonality!$E$89</f>
        <v/>
      </c>
      <c r="AT363" s="50">
        <f>AT362+AT303*AT243*Seasonality!$E$89</f>
        <v/>
      </c>
      <c r="AU363" s="50">
        <f>AU362+AU303*AU243*Seasonality!$E$89</f>
        <v/>
      </c>
      <c r="AV363" s="50">
        <f>AV362+AV303*AV243*Seasonality!$E$89</f>
        <v/>
      </c>
      <c r="AW363" s="50">
        <f>AW362+AW303*AW243*Seasonality!$E$89</f>
        <v/>
      </c>
      <c r="AX363" s="50">
        <f>AX362+AX303*AX243*Seasonality!$E$89</f>
        <v/>
      </c>
      <c r="AY363" s="50">
        <f>AY362+AY303*AY243*Seasonality!$E$89</f>
        <v/>
      </c>
      <c r="AZ363" s="50">
        <f>AZ362+AZ303*AZ243*Seasonality!$E$89</f>
        <v/>
      </c>
      <c r="BA363" s="50">
        <f>BA362+BA303*BA243*Seasonality!$E$89</f>
        <v/>
      </c>
      <c r="BB363" s="50">
        <f>BB362+BB303*BB243*Seasonality!$E$89</f>
        <v/>
      </c>
      <c r="BC363" s="50">
        <f>BC362+BC303*BC243*Seasonality!$E$89</f>
        <v/>
      </c>
      <c r="BD363" s="50">
        <f>BD362+BD303*BD243*Seasonality!$E$89</f>
        <v/>
      </c>
      <c r="BE363" s="50">
        <f>BE362+BE303*BE243*Seasonality!$E$89</f>
        <v/>
      </c>
    </row>
    <row r="364">
      <c r="B364" s="7" t="inlineStr">
        <is>
          <t>Cumulative discounted contribution · month 54</t>
        </is>
      </c>
      <c r="C364" s="5" t="inlineStr">
        <is>
          <t>₹</t>
        </is>
      </c>
      <c r="D364" s="50">
        <f>D363+D304*D244*Seasonality!$E$90</f>
        <v/>
      </c>
      <c r="E364" s="50">
        <f>E363+E304*E244*Seasonality!$E$90</f>
        <v/>
      </c>
      <c r="F364" s="50">
        <f>F363+F304*F244*Seasonality!$E$90</f>
        <v/>
      </c>
      <c r="G364" s="50">
        <f>G363+G304*G244*Seasonality!$E$90</f>
        <v/>
      </c>
      <c r="H364" s="50">
        <f>H363+H304*H244*Seasonality!$E$90</f>
        <v/>
      </c>
      <c r="I364" s="50">
        <f>I363+I304*I244*Seasonality!$E$90</f>
        <v/>
      </c>
      <c r="J364" s="50">
        <f>J363+J304*J244*Seasonality!$E$90</f>
        <v/>
      </c>
      <c r="K364" s="50">
        <f>K363+K304*K244*Seasonality!$E$90</f>
        <v/>
      </c>
      <c r="L364" s="50">
        <f>L363+L304*L244*Seasonality!$E$90</f>
        <v/>
      </c>
      <c r="M364" s="50">
        <f>M363+M304*M244*Seasonality!$E$90</f>
        <v/>
      </c>
      <c r="N364" s="50">
        <f>N363+N304*N244*Seasonality!$E$90</f>
        <v/>
      </c>
      <c r="O364" s="50">
        <f>O363+O304*O244*Seasonality!$E$90</f>
        <v/>
      </c>
      <c r="P364" s="50">
        <f>P363+P304*P244*Seasonality!$E$90</f>
        <v/>
      </c>
      <c r="Q364" s="50">
        <f>Q363+Q304*Q244*Seasonality!$E$90</f>
        <v/>
      </c>
      <c r="R364" s="50">
        <f>R363+R304*R244*Seasonality!$E$90</f>
        <v/>
      </c>
      <c r="S364" s="50">
        <f>S363+S304*S244*Seasonality!$E$90</f>
        <v/>
      </c>
      <c r="T364" s="50">
        <f>T363+T304*T244*Seasonality!$E$90</f>
        <v/>
      </c>
      <c r="U364" s="50">
        <f>U363+U304*U244*Seasonality!$E$90</f>
        <v/>
      </c>
      <c r="V364" s="50">
        <f>V363+V304*V244*Seasonality!$E$90</f>
        <v/>
      </c>
      <c r="W364" s="50">
        <f>W363+W304*W244*Seasonality!$E$90</f>
        <v/>
      </c>
      <c r="X364" s="50">
        <f>X363+X304*X244*Seasonality!$E$90</f>
        <v/>
      </c>
      <c r="Y364" s="50">
        <f>Y363+Y304*Y244*Seasonality!$E$90</f>
        <v/>
      </c>
      <c r="Z364" s="50">
        <f>Z363+Z304*Z244*Seasonality!$E$90</f>
        <v/>
      </c>
      <c r="AA364" s="50">
        <f>AA363+AA304*AA244*Seasonality!$E$90</f>
        <v/>
      </c>
      <c r="AB364" s="50">
        <f>AB363+AB304*AB244*Seasonality!$E$90</f>
        <v/>
      </c>
      <c r="AC364" s="50">
        <f>AC363+AC304*AC244*Seasonality!$E$90</f>
        <v/>
      </c>
      <c r="AD364" s="50">
        <f>AD363+AD304*AD244*Seasonality!$E$90</f>
        <v/>
      </c>
      <c r="AE364" s="50">
        <f>AE363+AE304*AE244*Seasonality!$E$90</f>
        <v/>
      </c>
      <c r="AF364" s="50">
        <f>AF363+AF304*AF244*Seasonality!$E$90</f>
        <v/>
      </c>
      <c r="AG364" s="50">
        <f>AG363+AG304*AG244*Seasonality!$E$90</f>
        <v/>
      </c>
      <c r="AH364" s="50">
        <f>AH363+AH304*AH244*Seasonality!$E$90</f>
        <v/>
      </c>
      <c r="AI364" s="50">
        <f>AI363+AI304*AI244*Seasonality!$E$90</f>
        <v/>
      </c>
      <c r="AJ364" s="50">
        <f>AJ363+AJ304*AJ244*Seasonality!$E$90</f>
        <v/>
      </c>
      <c r="AK364" s="50">
        <f>AK363+AK304*AK244*Seasonality!$E$90</f>
        <v/>
      </c>
      <c r="AL364" s="50">
        <f>AL363+AL304*AL244*Seasonality!$E$90</f>
        <v/>
      </c>
      <c r="AM364" s="50">
        <f>AM363+AM304*AM244*Seasonality!$E$90</f>
        <v/>
      </c>
      <c r="AN364" s="50">
        <f>AN363+AN304*AN244*Seasonality!$E$90</f>
        <v/>
      </c>
      <c r="AO364" s="50">
        <f>AO363+AO304*AO244*Seasonality!$E$90</f>
        <v/>
      </c>
      <c r="AP364" s="50">
        <f>AP363+AP304*AP244*Seasonality!$E$90</f>
        <v/>
      </c>
      <c r="AQ364" s="50">
        <f>AQ363+AQ304*AQ244*Seasonality!$E$90</f>
        <v/>
      </c>
      <c r="AR364" s="50">
        <f>AR363+AR304*AR244*Seasonality!$E$90</f>
        <v/>
      </c>
      <c r="AS364" s="50">
        <f>AS363+AS304*AS244*Seasonality!$E$90</f>
        <v/>
      </c>
      <c r="AT364" s="50">
        <f>AT363+AT304*AT244*Seasonality!$E$90</f>
        <v/>
      </c>
      <c r="AU364" s="50">
        <f>AU363+AU304*AU244*Seasonality!$E$90</f>
        <v/>
      </c>
      <c r="AV364" s="50">
        <f>AV363+AV304*AV244*Seasonality!$E$90</f>
        <v/>
      </c>
      <c r="AW364" s="50">
        <f>AW363+AW304*AW244*Seasonality!$E$90</f>
        <v/>
      </c>
      <c r="AX364" s="50">
        <f>AX363+AX304*AX244*Seasonality!$E$90</f>
        <v/>
      </c>
      <c r="AY364" s="50">
        <f>AY363+AY304*AY244*Seasonality!$E$90</f>
        <v/>
      </c>
      <c r="AZ364" s="50">
        <f>AZ363+AZ304*AZ244*Seasonality!$E$90</f>
        <v/>
      </c>
      <c r="BA364" s="50">
        <f>BA363+BA304*BA244*Seasonality!$E$90</f>
        <v/>
      </c>
      <c r="BB364" s="50">
        <f>BB363+BB304*BB244*Seasonality!$E$90</f>
        <v/>
      </c>
      <c r="BC364" s="50">
        <f>BC363+BC304*BC244*Seasonality!$E$90</f>
        <v/>
      </c>
      <c r="BD364" s="50">
        <f>BD363+BD304*BD244*Seasonality!$E$90</f>
        <v/>
      </c>
      <c r="BE364" s="50">
        <f>BE363+BE304*BE244*Seasonality!$E$90</f>
        <v/>
      </c>
    </row>
    <row r="365">
      <c r="B365" s="7" t="inlineStr">
        <is>
          <t>Cumulative discounted contribution · month 55</t>
        </is>
      </c>
      <c r="C365" s="5" t="inlineStr">
        <is>
          <t>₹</t>
        </is>
      </c>
      <c r="D365" s="50">
        <f>D364+D305*D245*Seasonality!$E$91</f>
        <v/>
      </c>
      <c r="E365" s="50">
        <f>E364+E305*E245*Seasonality!$E$91</f>
        <v/>
      </c>
      <c r="F365" s="50">
        <f>F364+F305*F245*Seasonality!$E$91</f>
        <v/>
      </c>
      <c r="G365" s="50">
        <f>G364+G305*G245*Seasonality!$E$91</f>
        <v/>
      </c>
      <c r="H365" s="50">
        <f>H364+H305*H245*Seasonality!$E$91</f>
        <v/>
      </c>
      <c r="I365" s="50">
        <f>I364+I305*I245*Seasonality!$E$91</f>
        <v/>
      </c>
      <c r="J365" s="50">
        <f>J364+J305*J245*Seasonality!$E$91</f>
        <v/>
      </c>
      <c r="K365" s="50">
        <f>K364+K305*K245*Seasonality!$E$91</f>
        <v/>
      </c>
      <c r="L365" s="50">
        <f>L364+L305*L245*Seasonality!$E$91</f>
        <v/>
      </c>
      <c r="M365" s="50">
        <f>M364+M305*M245*Seasonality!$E$91</f>
        <v/>
      </c>
      <c r="N365" s="50">
        <f>N364+N305*N245*Seasonality!$E$91</f>
        <v/>
      </c>
      <c r="O365" s="50">
        <f>O364+O305*O245*Seasonality!$E$91</f>
        <v/>
      </c>
      <c r="P365" s="50">
        <f>P364+P305*P245*Seasonality!$E$91</f>
        <v/>
      </c>
      <c r="Q365" s="50">
        <f>Q364+Q305*Q245*Seasonality!$E$91</f>
        <v/>
      </c>
      <c r="R365" s="50">
        <f>R364+R305*R245*Seasonality!$E$91</f>
        <v/>
      </c>
      <c r="S365" s="50">
        <f>S364+S305*S245*Seasonality!$E$91</f>
        <v/>
      </c>
      <c r="T365" s="50">
        <f>T364+T305*T245*Seasonality!$E$91</f>
        <v/>
      </c>
      <c r="U365" s="50">
        <f>U364+U305*U245*Seasonality!$E$91</f>
        <v/>
      </c>
      <c r="V365" s="50">
        <f>V364+V305*V245*Seasonality!$E$91</f>
        <v/>
      </c>
      <c r="W365" s="50">
        <f>W364+W305*W245*Seasonality!$E$91</f>
        <v/>
      </c>
      <c r="X365" s="50">
        <f>X364+X305*X245*Seasonality!$E$91</f>
        <v/>
      </c>
      <c r="Y365" s="50">
        <f>Y364+Y305*Y245*Seasonality!$E$91</f>
        <v/>
      </c>
      <c r="Z365" s="50">
        <f>Z364+Z305*Z245*Seasonality!$E$91</f>
        <v/>
      </c>
      <c r="AA365" s="50">
        <f>AA364+AA305*AA245*Seasonality!$E$91</f>
        <v/>
      </c>
      <c r="AB365" s="50">
        <f>AB364+AB305*AB245*Seasonality!$E$91</f>
        <v/>
      </c>
      <c r="AC365" s="50">
        <f>AC364+AC305*AC245*Seasonality!$E$91</f>
        <v/>
      </c>
      <c r="AD365" s="50">
        <f>AD364+AD305*AD245*Seasonality!$E$91</f>
        <v/>
      </c>
      <c r="AE365" s="50">
        <f>AE364+AE305*AE245*Seasonality!$E$91</f>
        <v/>
      </c>
      <c r="AF365" s="50">
        <f>AF364+AF305*AF245*Seasonality!$E$91</f>
        <v/>
      </c>
      <c r="AG365" s="50">
        <f>AG364+AG305*AG245*Seasonality!$E$91</f>
        <v/>
      </c>
      <c r="AH365" s="50">
        <f>AH364+AH305*AH245*Seasonality!$E$91</f>
        <v/>
      </c>
      <c r="AI365" s="50">
        <f>AI364+AI305*AI245*Seasonality!$E$91</f>
        <v/>
      </c>
      <c r="AJ365" s="50">
        <f>AJ364+AJ305*AJ245*Seasonality!$E$91</f>
        <v/>
      </c>
      <c r="AK365" s="50">
        <f>AK364+AK305*AK245*Seasonality!$E$91</f>
        <v/>
      </c>
      <c r="AL365" s="50">
        <f>AL364+AL305*AL245*Seasonality!$E$91</f>
        <v/>
      </c>
      <c r="AM365" s="50">
        <f>AM364+AM305*AM245*Seasonality!$E$91</f>
        <v/>
      </c>
      <c r="AN365" s="50">
        <f>AN364+AN305*AN245*Seasonality!$E$91</f>
        <v/>
      </c>
      <c r="AO365" s="50">
        <f>AO364+AO305*AO245*Seasonality!$E$91</f>
        <v/>
      </c>
      <c r="AP365" s="50">
        <f>AP364+AP305*AP245*Seasonality!$E$91</f>
        <v/>
      </c>
      <c r="AQ365" s="50">
        <f>AQ364+AQ305*AQ245*Seasonality!$E$91</f>
        <v/>
      </c>
      <c r="AR365" s="50">
        <f>AR364+AR305*AR245*Seasonality!$E$91</f>
        <v/>
      </c>
      <c r="AS365" s="50">
        <f>AS364+AS305*AS245*Seasonality!$E$91</f>
        <v/>
      </c>
      <c r="AT365" s="50">
        <f>AT364+AT305*AT245*Seasonality!$E$91</f>
        <v/>
      </c>
      <c r="AU365" s="50">
        <f>AU364+AU305*AU245*Seasonality!$E$91</f>
        <v/>
      </c>
      <c r="AV365" s="50">
        <f>AV364+AV305*AV245*Seasonality!$E$91</f>
        <v/>
      </c>
      <c r="AW365" s="50">
        <f>AW364+AW305*AW245*Seasonality!$E$91</f>
        <v/>
      </c>
      <c r="AX365" s="50">
        <f>AX364+AX305*AX245*Seasonality!$E$91</f>
        <v/>
      </c>
      <c r="AY365" s="50">
        <f>AY364+AY305*AY245*Seasonality!$E$91</f>
        <v/>
      </c>
      <c r="AZ365" s="50">
        <f>AZ364+AZ305*AZ245*Seasonality!$E$91</f>
        <v/>
      </c>
      <c r="BA365" s="50">
        <f>BA364+BA305*BA245*Seasonality!$E$91</f>
        <v/>
      </c>
      <c r="BB365" s="50">
        <f>BB364+BB305*BB245*Seasonality!$E$91</f>
        <v/>
      </c>
      <c r="BC365" s="50">
        <f>BC364+BC305*BC245*Seasonality!$E$91</f>
        <v/>
      </c>
      <c r="BD365" s="50">
        <f>BD364+BD305*BD245*Seasonality!$E$91</f>
        <v/>
      </c>
      <c r="BE365" s="50">
        <f>BE364+BE305*BE245*Seasonality!$E$91</f>
        <v/>
      </c>
    </row>
    <row r="366">
      <c r="B366" s="7" t="inlineStr">
        <is>
          <t>Cumulative discounted contribution · month 56</t>
        </is>
      </c>
      <c r="C366" s="5" t="inlineStr">
        <is>
          <t>₹</t>
        </is>
      </c>
      <c r="D366" s="50">
        <f>D365+D306*D246*Seasonality!$E$92</f>
        <v/>
      </c>
      <c r="E366" s="50">
        <f>E365+E306*E246*Seasonality!$E$92</f>
        <v/>
      </c>
      <c r="F366" s="50">
        <f>F365+F306*F246*Seasonality!$E$92</f>
        <v/>
      </c>
      <c r="G366" s="50">
        <f>G365+G306*G246*Seasonality!$E$92</f>
        <v/>
      </c>
      <c r="H366" s="50">
        <f>H365+H306*H246*Seasonality!$E$92</f>
        <v/>
      </c>
      <c r="I366" s="50">
        <f>I365+I306*I246*Seasonality!$E$92</f>
        <v/>
      </c>
      <c r="J366" s="50">
        <f>J365+J306*J246*Seasonality!$E$92</f>
        <v/>
      </c>
      <c r="K366" s="50">
        <f>K365+K306*K246*Seasonality!$E$92</f>
        <v/>
      </c>
      <c r="L366" s="50">
        <f>L365+L306*L246*Seasonality!$E$92</f>
        <v/>
      </c>
      <c r="M366" s="50">
        <f>M365+M306*M246*Seasonality!$E$92</f>
        <v/>
      </c>
      <c r="N366" s="50">
        <f>N365+N306*N246*Seasonality!$E$92</f>
        <v/>
      </c>
      <c r="O366" s="50">
        <f>O365+O306*O246*Seasonality!$E$92</f>
        <v/>
      </c>
      <c r="P366" s="50">
        <f>P365+P306*P246*Seasonality!$E$92</f>
        <v/>
      </c>
      <c r="Q366" s="50">
        <f>Q365+Q306*Q246*Seasonality!$E$92</f>
        <v/>
      </c>
      <c r="R366" s="50">
        <f>R365+R306*R246*Seasonality!$E$92</f>
        <v/>
      </c>
      <c r="S366" s="50">
        <f>S365+S306*S246*Seasonality!$E$92</f>
        <v/>
      </c>
      <c r="T366" s="50">
        <f>T365+T306*T246*Seasonality!$E$92</f>
        <v/>
      </c>
      <c r="U366" s="50">
        <f>U365+U306*U246*Seasonality!$E$92</f>
        <v/>
      </c>
      <c r="V366" s="50">
        <f>V365+V306*V246*Seasonality!$E$92</f>
        <v/>
      </c>
      <c r="W366" s="50">
        <f>W365+W306*W246*Seasonality!$E$92</f>
        <v/>
      </c>
      <c r="X366" s="50">
        <f>X365+X306*X246*Seasonality!$E$92</f>
        <v/>
      </c>
      <c r="Y366" s="50">
        <f>Y365+Y306*Y246*Seasonality!$E$92</f>
        <v/>
      </c>
      <c r="Z366" s="50">
        <f>Z365+Z306*Z246*Seasonality!$E$92</f>
        <v/>
      </c>
      <c r="AA366" s="50">
        <f>AA365+AA306*AA246*Seasonality!$E$92</f>
        <v/>
      </c>
      <c r="AB366" s="50">
        <f>AB365+AB306*AB246*Seasonality!$E$92</f>
        <v/>
      </c>
      <c r="AC366" s="50">
        <f>AC365+AC306*AC246*Seasonality!$E$92</f>
        <v/>
      </c>
      <c r="AD366" s="50">
        <f>AD365+AD306*AD246*Seasonality!$E$92</f>
        <v/>
      </c>
      <c r="AE366" s="50">
        <f>AE365+AE306*AE246*Seasonality!$E$92</f>
        <v/>
      </c>
      <c r="AF366" s="50">
        <f>AF365+AF306*AF246*Seasonality!$E$92</f>
        <v/>
      </c>
      <c r="AG366" s="50">
        <f>AG365+AG306*AG246*Seasonality!$E$92</f>
        <v/>
      </c>
      <c r="AH366" s="50">
        <f>AH365+AH306*AH246*Seasonality!$E$92</f>
        <v/>
      </c>
      <c r="AI366" s="50">
        <f>AI365+AI306*AI246*Seasonality!$E$92</f>
        <v/>
      </c>
      <c r="AJ366" s="50">
        <f>AJ365+AJ306*AJ246*Seasonality!$E$92</f>
        <v/>
      </c>
      <c r="AK366" s="50">
        <f>AK365+AK306*AK246*Seasonality!$E$92</f>
        <v/>
      </c>
      <c r="AL366" s="50">
        <f>AL365+AL306*AL246*Seasonality!$E$92</f>
        <v/>
      </c>
      <c r="AM366" s="50">
        <f>AM365+AM306*AM246*Seasonality!$E$92</f>
        <v/>
      </c>
      <c r="AN366" s="50">
        <f>AN365+AN306*AN246*Seasonality!$E$92</f>
        <v/>
      </c>
      <c r="AO366" s="50">
        <f>AO365+AO306*AO246*Seasonality!$E$92</f>
        <v/>
      </c>
      <c r="AP366" s="50">
        <f>AP365+AP306*AP246*Seasonality!$E$92</f>
        <v/>
      </c>
      <c r="AQ366" s="50">
        <f>AQ365+AQ306*AQ246*Seasonality!$E$92</f>
        <v/>
      </c>
      <c r="AR366" s="50">
        <f>AR365+AR306*AR246*Seasonality!$E$92</f>
        <v/>
      </c>
      <c r="AS366" s="50">
        <f>AS365+AS306*AS246*Seasonality!$E$92</f>
        <v/>
      </c>
      <c r="AT366" s="50">
        <f>AT365+AT306*AT246*Seasonality!$E$92</f>
        <v/>
      </c>
      <c r="AU366" s="50">
        <f>AU365+AU306*AU246*Seasonality!$E$92</f>
        <v/>
      </c>
      <c r="AV366" s="50">
        <f>AV365+AV306*AV246*Seasonality!$E$92</f>
        <v/>
      </c>
      <c r="AW366" s="50">
        <f>AW365+AW306*AW246*Seasonality!$E$92</f>
        <v/>
      </c>
      <c r="AX366" s="50">
        <f>AX365+AX306*AX246*Seasonality!$E$92</f>
        <v/>
      </c>
      <c r="AY366" s="50">
        <f>AY365+AY306*AY246*Seasonality!$E$92</f>
        <v/>
      </c>
      <c r="AZ366" s="50">
        <f>AZ365+AZ306*AZ246*Seasonality!$E$92</f>
        <v/>
      </c>
      <c r="BA366" s="50">
        <f>BA365+BA306*BA246*Seasonality!$E$92</f>
        <v/>
      </c>
      <c r="BB366" s="50">
        <f>BB365+BB306*BB246*Seasonality!$E$92</f>
        <v/>
      </c>
      <c r="BC366" s="50">
        <f>BC365+BC306*BC246*Seasonality!$E$92</f>
        <v/>
      </c>
      <c r="BD366" s="50">
        <f>BD365+BD306*BD246*Seasonality!$E$92</f>
        <v/>
      </c>
      <c r="BE366" s="50">
        <f>BE365+BE306*BE246*Seasonality!$E$92</f>
        <v/>
      </c>
    </row>
    <row r="367">
      <c r="B367" s="7" t="inlineStr">
        <is>
          <t>Cumulative discounted contribution · month 57</t>
        </is>
      </c>
      <c r="C367" s="5" t="inlineStr">
        <is>
          <t>₹</t>
        </is>
      </c>
      <c r="D367" s="50">
        <f>D366+D307*D247*Seasonality!$E$93</f>
        <v/>
      </c>
      <c r="E367" s="50">
        <f>E366+E307*E247*Seasonality!$E$93</f>
        <v/>
      </c>
      <c r="F367" s="50">
        <f>F366+F307*F247*Seasonality!$E$93</f>
        <v/>
      </c>
      <c r="G367" s="50">
        <f>G366+G307*G247*Seasonality!$E$93</f>
        <v/>
      </c>
      <c r="H367" s="50">
        <f>H366+H307*H247*Seasonality!$E$93</f>
        <v/>
      </c>
      <c r="I367" s="50">
        <f>I366+I307*I247*Seasonality!$E$93</f>
        <v/>
      </c>
      <c r="J367" s="50">
        <f>J366+J307*J247*Seasonality!$E$93</f>
        <v/>
      </c>
      <c r="K367" s="50">
        <f>K366+K307*K247*Seasonality!$E$93</f>
        <v/>
      </c>
      <c r="L367" s="50">
        <f>L366+L307*L247*Seasonality!$E$93</f>
        <v/>
      </c>
      <c r="M367" s="50">
        <f>M366+M307*M247*Seasonality!$E$93</f>
        <v/>
      </c>
      <c r="N367" s="50">
        <f>N366+N307*N247*Seasonality!$E$93</f>
        <v/>
      </c>
      <c r="O367" s="50">
        <f>O366+O307*O247*Seasonality!$E$93</f>
        <v/>
      </c>
      <c r="P367" s="50">
        <f>P366+P307*P247*Seasonality!$E$93</f>
        <v/>
      </c>
      <c r="Q367" s="50">
        <f>Q366+Q307*Q247*Seasonality!$E$93</f>
        <v/>
      </c>
      <c r="R367" s="50">
        <f>R366+R307*R247*Seasonality!$E$93</f>
        <v/>
      </c>
      <c r="S367" s="50">
        <f>S366+S307*S247*Seasonality!$E$93</f>
        <v/>
      </c>
      <c r="T367" s="50">
        <f>T366+T307*T247*Seasonality!$E$93</f>
        <v/>
      </c>
      <c r="U367" s="50">
        <f>U366+U307*U247*Seasonality!$E$93</f>
        <v/>
      </c>
      <c r="V367" s="50">
        <f>V366+V307*V247*Seasonality!$E$93</f>
        <v/>
      </c>
      <c r="W367" s="50">
        <f>W366+W307*W247*Seasonality!$E$93</f>
        <v/>
      </c>
      <c r="X367" s="50">
        <f>X366+X307*X247*Seasonality!$E$93</f>
        <v/>
      </c>
      <c r="Y367" s="50">
        <f>Y366+Y307*Y247*Seasonality!$E$93</f>
        <v/>
      </c>
      <c r="Z367" s="50">
        <f>Z366+Z307*Z247*Seasonality!$E$93</f>
        <v/>
      </c>
      <c r="AA367" s="50">
        <f>AA366+AA307*AA247*Seasonality!$E$93</f>
        <v/>
      </c>
      <c r="AB367" s="50">
        <f>AB366+AB307*AB247*Seasonality!$E$93</f>
        <v/>
      </c>
      <c r="AC367" s="50">
        <f>AC366+AC307*AC247*Seasonality!$E$93</f>
        <v/>
      </c>
      <c r="AD367" s="50">
        <f>AD366+AD307*AD247*Seasonality!$E$93</f>
        <v/>
      </c>
      <c r="AE367" s="50">
        <f>AE366+AE307*AE247*Seasonality!$E$93</f>
        <v/>
      </c>
      <c r="AF367" s="50">
        <f>AF366+AF307*AF247*Seasonality!$E$93</f>
        <v/>
      </c>
      <c r="AG367" s="50">
        <f>AG366+AG307*AG247*Seasonality!$E$93</f>
        <v/>
      </c>
      <c r="AH367" s="50">
        <f>AH366+AH307*AH247*Seasonality!$E$93</f>
        <v/>
      </c>
      <c r="AI367" s="50">
        <f>AI366+AI307*AI247*Seasonality!$E$93</f>
        <v/>
      </c>
      <c r="AJ367" s="50">
        <f>AJ366+AJ307*AJ247*Seasonality!$E$93</f>
        <v/>
      </c>
      <c r="AK367" s="50">
        <f>AK366+AK307*AK247*Seasonality!$E$93</f>
        <v/>
      </c>
      <c r="AL367" s="50">
        <f>AL366+AL307*AL247*Seasonality!$E$93</f>
        <v/>
      </c>
      <c r="AM367" s="50">
        <f>AM366+AM307*AM247*Seasonality!$E$93</f>
        <v/>
      </c>
      <c r="AN367" s="50">
        <f>AN366+AN307*AN247*Seasonality!$E$93</f>
        <v/>
      </c>
      <c r="AO367" s="50">
        <f>AO366+AO307*AO247*Seasonality!$E$93</f>
        <v/>
      </c>
      <c r="AP367" s="50">
        <f>AP366+AP307*AP247*Seasonality!$E$93</f>
        <v/>
      </c>
      <c r="AQ367" s="50">
        <f>AQ366+AQ307*AQ247*Seasonality!$E$93</f>
        <v/>
      </c>
      <c r="AR367" s="50">
        <f>AR366+AR307*AR247*Seasonality!$E$93</f>
        <v/>
      </c>
      <c r="AS367" s="50">
        <f>AS366+AS307*AS247*Seasonality!$E$93</f>
        <v/>
      </c>
      <c r="AT367" s="50">
        <f>AT366+AT307*AT247*Seasonality!$E$93</f>
        <v/>
      </c>
      <c r="AU367" s="50">
        <f>AU366+AU307*AU247*Seasonality!$E$93</f>
        <v/>
      </c>
      <c r="AV367" s="50">
        <f>AV366+AV307*AV247*Seasonality!$E$93</f>
        <v/>
      </c>
      <c r="AW367" s="50">
        <f>AW366+AW307*AW247*Seasonality!$E$93</f>
        <v/>
      </c>
      <c r="AX367" s="50">
        <f>AX366+AX307*AX247*Seasonality!$E$93</f>
        <v/>
      </c>
      <c r="AY367" s="50">
        <f>AY366+AY307*AY247*Seasonality!$E$93</f>
        <v/>
      </c>
      <c r="AZ367" s="50">
        <f>AZ366+AZ307*AZ247*Seasonality!$E$93</f>
        <v/>
      </c>
      <c r="BA367" s="50">
        <f>BA366+BA307*BA247*Seasonality!$E$93</f>
        <v/>
      </c>
      <c r="BB367" s="50">
        <f>BB366+BB307*BB247*Seasonality!$E$93</f>
        <v/>
      </c>
      <c r="BC367" s="50">
        <f>BC366+BC307*BC247*Seasonality!$E$93</f>
        <v/>
      </c>
      <c r="BD367" s="50">
        <f>BD366+BD307*BD247*Seasonality!$E$93</f>
        <v/>
      </c>
      <c r="BE367" s="50">
        <f>BE366+BE307*BE247*Seasonality!$E$93</f>
        <v/>
      </c>
    </row>
    <row r="368">
      <c r="B368" s="7" t="inlineStr">
        <is>
          <t>Cumulative discounted contribution · month 58</t>
        </is>
      </c>
      <c r="C368" s="5" t="inlineStr">
        <is>
          <t>₹</t>
        </is>
      </c>
      <c r="D368" s="50">
        <f>D367+D308*D248*Seasonality!$E$94</f>
        <v/>
      </c>
      <c r="E368" s="50">
        <f>E367+E308*E248*Seasonality!$E$94</f>
        <v/>
      </c>
      <c r="F368" s="50">
        <f>F367+F308*F248*Seasonality!$E$94</f>
        <v/>
      </c>
      <c r="G368" s="50">
        <f>G367+G308*G248*Seasonality!$E$94</f>
        <v/>
      </c>
      <c r="H368" s="50">
        <f>H367+H308*H248*Seasonality!$E$94</f>
        <v/>
      </c>
      <c r="I368" s="50">
        <f>I367+I308*I248*Seasonality!$E$94</f>
        <v/>
      </c>
      <c r="J368" s="50">
        <f>J367+J308*J248*Seasonality!$E$94</f>
        <v/>
      </c>
      <c r="K368" s="50">
        <f>K367+K308*K248*Seasonality!$E$94</f>
        <v/>
      </c>
      <c r="L368" s="50">
        <f>L367+L308*L248*Seasonality!$E$94</f>
        <v/>
      </c>
      <c r="M368" s="50">
        <f>M367+M308*M248*Seasonality!$E$94</f>
        <v/>
      </c>
      <c r="N368" s="50">
        <f>N367+N308*N248*Seasonality!$E$94</f>
        <v/>
      </c>
      <c r="O368" s="50">
        <f>O367+O308*O248*Seasonality!$E$94</f>
        <v/>
      </c>
      <c r="P368" s="50">
        <f>P367+P308*P248*Seasonality!$E$94</f>
        <v/>
      </c>
      <c r="Q368" s="50">
        <f>Q367+Q308*Q248*Seasonality!$E$94</f>
        <v/>
      </c>
      <c r="R368" s="50">
        <f>R367+R308*R248*Seasonality!$E$94</f>
        <v/>
      </c>
      <c r="S368" s="50">
        <f>S367+S308*S248*Seasonality!$E$94</f>
        <v/>
      </c>
      <c r="T368" s="50">
        <f>T367+T308*T248*Seasonality!$E$94</f>
        <v/>
      </c>
      <c r="U368" s="50">
        <f>U367+U308*U248*Seasonality!$E$94</f>
        <v/>
      </c>
      <c r="V368" s="50">
        <f>V367+V308*V248*Seasonality!$E$94</f>
        <v/>
      </c>
      <c r="W368" s="50">
        <f>W367+W308*W248*Seasonality!$E$94</f>
        <v/>
      </c>
      <c r="X368" s="50">
        <f>X367+X308*X248*Seasonality!$E$94</f>
        <v/>
      </c>
      <c r="Y368" s="50">
        <f>Y367+Y308*Y248*Seasonality!$E$94</f>
        <v/>
      </c>
      <c r="Z368" s="50">
        <f>Z367+Z308*Z248*Seasonality!$E$94</f>
        <v/>
      </c>
      <c r="AA368" s="50">
        <f>AA367+AA308*AA248*Seasonality!$E$94</f>
        <v/>
      </c>
      <c r="AB368" s="50">
        <f>AB367+AB308*AB248*Seasonality!$E$94</f>
        <v/>
      </c>
      <c r="AC368" s="50">
        <f>AC367+AC308*AC248*Seasonality!$E$94</f>
        <v/>
      </c>
      <c r="AD368" s="50">
        <f>AD367+AD308*AD248*Seasonality!$E$94</f>
        <v/>
      </c>
      <c r="AE368" s="50">
        <f>AE367+AE308*AE248*Seasonality!$E$94</f>
        <v/>
      </c>
      <c r="AF368" s="50">
        <f>AF367+AF308*AF248*Seasonality!$E$94</f>
        <v/>
      </c>
      <c r="AG368" s="50">
        <f>AG367+AG308*AG248*Seasonality!$E$94</f>
        <v/>
      </c>
      <c r="AH368" s="50">
        <f>AH367+AH308*AH248*Seasonality!$E$94</f>
        <v/>
      </c>
      <c r="AI368" s="50">
        <f>AI367+AI308*AI248*Seasonality!$E$94</f>
        <v/>
      </c>
      <c r="AJ368" s="50">
        <f>AJ367+AJ308*AJ248*Seasonality!$E$94</f>
        <v/>
      </c>
      <c r="AK368" s="50">
        <f>AK367+AK308*AK248*Seasonality!$E$94</f>
        <v/>
      </c>
      <c r="AL368" s="50">
        <f>AL367+AL308*AL248*Seasonality!$E$94</f>
        <v/>
      </c>
      <c r="AM368" s="50">
        <f>AM367+AM308*AM248*Seasonality!$E$94</f>
        <v/>
      </c>
      <c r="AN368" s="50">
        <f>AN367+AN308*AN248*Seasonality!$E$94</f>
        <v/>
      </c>
      <c r="AO368" s="50">
        <f>AO367+AO308*AO248*Seasonality!$E$94</f>
        <v/>
      </c>
      <c r="AP368" s="50">
        <f>AP367+AP308*AP248*Seasonality!$E$94</f>
        <v/>
      </c>
      <c r="AQ368" s="50">
        <f>AQ367+AQ308*AQ248*Seasonality!$E$94</f>
        <v/>
      </c>
      <c r="AR368" s="50">
        <f>AR367+AR308*AR248*Seasonality!$E$94</f>
        <v/>
      </c>
      <c r="AS368" s="50">
        <f>AS367+AS308*AS248*Seasonality!$E$94</f>
        <v/>
      </c>
      <c r="AT368" s="50">
        <f>AT367+AT308*AT248*Seasonality!$E$94</f>
        <v/>
      </c>
      <c r="AU368" s="50">
        <f>AU367+AU308*AU248*Seasonality!$E$94</f>
        <v/>
      </c>
      <c r="AV368" s="50">
        <f>AV367+AV308*AV248*Seasonality!$E$94</f>
        <v/>
      </c>
      <c r="AW368" s="50">
        <f>AW367+AW308*AW248*Seasonality!$E$94</f>
        <v/>
      </c>
      <c r="AX368" s="50">
        <f>AX367+AX308*AX248*Seasonality!$E$94</f>
        <v/>
      </c>
      <c r="AY368" s="50">
        <f>AY367+AY308*AY248*Seasonality!$E$94</f>
        <v/>
      </c>
      <c r="AZ368" s="50">
        <f>AZ367+AZ308*AZ248*Seasonality!$E$94</f>
        <v/>
      </c>
      <c r="BA368" s="50">
        <f>BA367+BA308*BA248*Seasonality!$E$94</f>
        <v/>
      </c>
      <c r="BB368" s="50">
        <f>BB367+BB308*BB248*Seasonality!$E$94</f>
        <v/>
      </c>
      <c r="BC368" s="50">
        <f>BC367+BC308*BC248*Seasonality!$E$94</f>
        <v/>
      </c>
      <c r="BD368" s="50">
        <f>BD367+BD308*BD248*Seasonality!$E$94</f>
        <v/>
      </c>
      <c r="BE368" s="50">
        <f>BE367+BE308*BE248*Seasonality!$E$94</f>
        <v/>
      </c>
    </row>
    <row r="369">
      <c r="B369" s="7" t="inlineStr">
        <is>
          <t>Cumulative discounted contribution · month 59</t>
        </is>
      </c>
      <c r="C369" s="5" t="inlineStr">
        <is>
          <t>₹</t>
        </is>
      </c>
      <c r="D369" s="50">
        <f>D368+D309*D249*Seasonality!$E$95</f>
        <v/>
      </c>
      <c r="E369" s="50">
        <f>E368+E309*E249*Seasonality!$E$95</f>
        <v/>
      </c>
      <c r="F369" s="50">
        <f>F368+F309*F249*Seasonality!$E$95</f>
        <v/>
      </c>
      <c r="G369" s="50">
        <f>G368+G309*G249*Seasonality!$E$95</f>
        <v/>
      </c>
      <c r="H369" s="50">
        <f>H368+H309*H249*Seasonality!$E$95</f>
        <v/>
      </c>
      <c r="I369" s="50">
        <f>I368+I309*I249*Seasonality!$E$95</f>
        <v/>
      </c>
      <c r="J369" s="50">
        <f>J368+J309*J249*Seasonality!$E$95</f>
        <v/>
      </c>
      <c r="K369" s="50">
        <f>K368+K309*K249*Seasonality!$E$95</f>
        <v/>
      </c>
      <c r="L369" s="50">
        <f>L368+L309*L249*Seasonality!$E$95</f>
        <v/>
      </c>
      <c r="M369" s="50">
        <f>M368+M309*M249*Seasonality!$E$95</f>
        <v/>
      </c>
      <c r="N369" s="50">
        <f>N368+N309*N249*Seasonality!$E$95</f>
        <v/>
      </c>
      <c r="O369" s="50">
        <f>O368+O309*O249*Seasonality!$E$95</f>
        <v/>
      </c>
      <c r="P369" s="50">
        <f>P368+P309*P249*Seasonality!$E$95</f>
        <v/>
      </c>
      <c r="Q369" s="50">
        <f>Q368+Q309*Q249*Seasonality!$E$95</f>
        <v/>
      </c>
      <c r="R369" s="50">
        <f>R368+R309*R249*Seasonality!$E$95</f>
        <v/>
      </c>
      <c r="S369" s="50">
        <f>S368+S309*S249*Seasonality!$E$95</f>
        <v/>
      </c>
      <c r="T369" s="50">
        <f>T368+T309*T249*Seasonality!$E$95</f>
        <v/>
      </c>
      <c r="U369" s="50">
        <f>U368+U309*U249*Seasonality!$E$95</f>
        <v/>
      </c>
      <c r="V369" s="50">
        <f>V368+V309*V249*Seasonality!$E$95</f>
        <v/>
      </c>
      <c r="W369" s="50">
        <f>W368+W309*W249*Seasonality!$E$95</f>
        <v/>
      </c>
      <c r="X369" s="50">
        <f>X368+X309*X249*Seasonality!$E$95</f>
        <v/>
      </c>
      <c r="Y369" s="50">
        <f>Y368+Y309*Y249*Seasonality!$E$95</f>
        <v/>
      </c>
      <c r="Z369" s="50">
        <f>Z368+Z309*Z249*Seasonality!$E$95</f>
        <v/>
      </c>
      <c r="AA369" s="50">
        <f>AA368+AA309*AA249*Seasonality!$E$95</f>
        <v/>
      </c>
      <c r="AB369" s="50">
        <f>AB368+AB309*AB249*Seasonality!$E$95</f>
        <v/>
      </c>
      <c r="AC369" s="50">
        <f>AC368+AC309*AC249*Seasonality!$E$95</f>
        <v/>
      </c>
      <c r="AD369" s="50">
        <f>AD368+AD309*AD249*Seasonality!$E$95</f>
        <v/>
      </c>
      <c r="AE369" s="50">
        <f>AE368+AE309*AE249*Seasonality!$E$95</f>
        <v/>
      </c>
      <c r="AF369" s="50">
        <f>AF368+AF309*AF249*Seasonality!$E$95</f>
        <v/>
      </c>
      <c r="AG369" s="50">
        <f>AG368+AG309*AG249*Seasonality!$E$95</f>
        <v/>
      </c>
      <c r="AH369" s="50">
        <f>AH368+AH309*AH249*Seasonality!$E$95</f>
        <v/>
      </c>
      <c r="AI369" s="50">
        <f>AI368+AI309*AI249*Seasonality!$E$95</f>
        <v/>
      </c>
      <c r="AJ369" s="50">
        <f>AJ368+AJ309*AJ249*Seasonality!$E$95</f>
        <v/>
      </c>
      <c r="AK369" s="50">
        <f>AK368+AK309*AK249*Seasonality!$E$95</f>
        <v/>
      </c>
      <c r="AL369" s="50">
        <f>AL368+AL309*AL249*Seasonality!$E$95</f>
        <v/>
      </c>
      <c r="AM369" s="50">
        <f>AM368+AM309*AM249*Seasonality!$E$95</f>
        <v/>
      </c>
      <c r="AN369" s="50">
        <f>AN368+AN309*AN249*Seasonality!$E$95</f>
        <v/>
      </c>
      <c r="AO369" s="50">
        <f>AO368+AO309*AO249*Seasonality!$E$95</f>
        <v/>
      </c>
      <c r="AP369" s="50">
        <f>AP368+AP309*AP249*Seasonality!$E$95</f>
        <v/>
      </c>
      <c r="AQ369" s="50">
        <f>AQ368+AQ309*AQ249*Seasonality!$E$95</f>
        <v/>
      </c>
      <c r="AR369" s="50">
        <f>AR368+AR309*AR249*Seasonality!$E$95</f>
        <v/>
      </c>
      <c r="AS369" s="50">
        <f>AS368+AS309*AS249*Seasonality!$E$95</f>
        <v/>
      </c>
      <c r="AT369" s="50">
        <f>AT368+AT309*AT249*Seasonality!$E$95</f>
        <v/>
      </c>
      <c r="AU369" s="50">
        <f>AU368+AU309*AU249*Seasonality!$E$95</f>
        <v/>
      </c>
      <c r="AV369" s="50">
        <f>AV368+AV309*AV249*Seasonality!$E$95</f>
        <v/>
      </c>
      <c r="AW369" s="50">
        <f>AW368+AW309*AW249*Seasonality!$E$95</f>
        <v/>
      </c>
      <c r="AX369" s="50">
        <f>AX368+AX309*AX249*Seasonality!$E$95</f>
        <v/>
      </c>
      <c r="AY369" s="50">
        <f>AY368+AY309*AY249*Seasonality!$E$95</f>
        <v/>
      </c>
      <c r="AZ369" s="50">
        <f>AZ368+AZ309*AZ249*Seasonality!$E$95</f>
        <v/>
      </c>
      <c r="BA369" s="50">
        <f>BA368+BA309*BA249*Seasonality!$E$95</f>
        <v/>
      </c>
      <c r="BB369" s="50">
        <f>BB368+BB309*BB249*Seasonality!$E$95</f>
        <v/>
      </c>
      <c r="BC369" s="50">
        <f>BC368+BC309*BC249*Seasonality!$E$95</f>
        <v/>
      </c>
      <c r="BD369" s="50">
        <f>BD368+BD309*BD249*Seasonality!$E$95</f>
        <v/>
      </c>
      <c r="BE369" s="50">
        <f>BE368+BE309*BE249*Seasonality!$E$95</f>
        <v/>
      </c>
    </row>
    <row r="370">
      <c r="B370" s="7" t="inlineStr">
        <is>
          <t>Cumulative discounted contribution · month 60</t>
        </is>
      </c>
      <c r="C370" s="5" t="inlineStr">
        <is>
          <t>₹</t>
        </is>
      </c>
      <c r="D370" s="50">
        <f>D369+D310*D250*Seasonality!$E$96</f>
        <v/>
      </c>
      <c r="E370" s="50">
        <f>E369+E310*E250*Seasonality!$E$96</f>
        <v/>
      </c>
      <c r="F370" s="50">
        <f>F369+F310*F250*Seasonality!$E$96</f>
        <v/>
      </c>
      <c r="G370" s="50">
        <f>G369+G310*G250*Seasonality!$E$96</f>
        <v/>
      </c>
      <c r="H370" s="50">
        <f>H369+H310*H250*Seasonality!$E$96</f>
        <v/>
      </c>
      <c r="I370" s="50">
        <f>I369+I310*I250*Seasonality!$E$96</f>
        <v/>
      </c>
      <c r="J370" s="50">
        <f>J369+J310*J250*Seasonality!$E$96</f>
        <v/>
      </c>
      <c r="K370" s="50">
        <f>K369+K310*K250*Seasonality!$E$96</f>
        <v/>
      </c>
      <c r="L370" s="50">
        <f>L369+L310*L250*Seasonality!$E$96</f>
        <v/>
      </c>
      <c r="M370" s="50">
        <f>M369+M310*M250*Seasonality!$E$96</f>
        <v/>
      </c>
      <c r="N370" s="50">
        <f>N369+N310*N250*Seasonality!$E$96</f>
        <v/>
      </c>
      <c r="O370" s="50">
        <f>O369+O310*O250*Seasonality!$E$96</f>
        <v/>
      </c>
      <c r="P370" s="50">
        <f>P369+P310*P250*Seasonality!$E$96</f>
        <v/>
      </c>
      <c r="Q370" s="50">
        <f>Q369+Q310*Q250*Seasonality!$E$96</f>
        <v/>
      </c>
      <c r="R370" s="50">
        <f>R369+R310*R250*Seasonality!$E$96</f>
        <v/>
      </c>
      <c r="S370" s="50">
        <f>S369+S310*S250*Seasonality!$E$96</f>
        <v/>
      </c>
      <c r="T370" s="50">
        <f>T369+T310*T250*Seasonality!$E$96</f>
        <v/>
      </c>
      <c r="U370" s="50">
        <f>U369+U310*U250*Seasonality!$E$96</f>
        <v/>
      </c>
      <c r="V370" s="50">
        <f>V369+V310*V250*Seasonality!$E$96</f>
        <v/>
      </c>
      <c r="W370" s="50">
        <f>W369+W310*W250*Seasonality!$E$96</f>
        <v/>
      </c>
      <c r="X370" s="50">
        <f>X369+X310*X250*Seasonality!$E$96</f>
        <v/>
      </c>
      <c r="Y370" s="50">
        <f>Y369+Y310*Y250*Seasonality!$E$96</f>
        <v/>
      </c>
      <c r="Z370" s="50">
        <f>Z369+Z310*Z250*Seasonality!$E$96</f>
        <v/>
      </c>
      <c r="AA370" s="50">
        <f>AA369+AA310*AA250*Seasonality!$E$96</f>
        <v/>
      </c>
      <c r="AB370" s="50">
        <f>AB369+AB310*AB250*Seasonality!$E$96</f>
        <v/>
      </c>
      <c r="AC370" s="50">
        <f>AC369+AC310*AC250*Seasonality!$E$96</f>
        <v/>
      </c>
      <c r="AD370" s="50">
        <f>AD369+AD310*AD250*Seasonality!$E$96</f>
        <v/>
      </c>
      <c r="AE370" s="50">
        <f>AE369+AE310*AE250*Seasonality!$E$96</f>
        <v/>
      </c>
      <c r="AF370" s="50">
        <f>AF369+AF310*AF250*Seasonality!$E$96</f>
        <v/>
      </c>
      <c r="AG370" s="50">
        <f>AG369+AG310*AG250*Seasonality!$E$96</f>
        <v/>
      </c>
      <c r="AH370" s="50">
        <f>AH369+AH310*AH250*Seasonality!$E$96</f>
        <v/>
      </c>
      <c r="AI370" s="50">
        <f>AI369+AI310*AI250*Seasonality!$E$96</f>
        <v/>
      </c>
      <c r="AJ370" s="50">
        <f>AJ369+AJ310*AJ250*Seasonality!$E$96</f>
        <v/>
      </c>
      <c r="AK370" s="50">
        <f>AK369+AK310*AK250*Seasonality!$E$96</f>
        <v/>
      </c>
      <c r="AL370" s="50">
        <f>AL369+AL310*AL250*Seasonality!$E$96</f>
        <v/>
      </c>
      <c r="AM370" s="50">
        <f>AM369+AM310*AM250*Seasonality!$E$96</f>
        <v/>
      </c>
      <c r="AN370" s="50">
        <f>AN369+AN310*AN250*Seasonality!$E$96</f>
        <v/>
      </c>
      <c r="AO370" s="50">
        <f>AO369+AO310*AO250*Seasonality!$E$96</f>
        <v/>
      </c>
      <c r="AP370" s="50">
        <f>AP369+AP310*AP250*Seasonality!$E$96</f>
        <v/>
      </c>
      <c r="AQ370" s="50">
        <f>AQ369+AQ310*AQ250*Seasonality!$E$96</f>
        <v/>
      </c>
      <c r="AR370" s="50">
        <f>AR369+AR310*AR250*Seasonality!$E$96</f>
        <v/>
      </c>
      <c r="AS370" s="50">
        <f>AS369+AS310*AS250*Seasonality!$E$96</f>
        <v/>
      </c>
      <c r="AT370" s="50">
        <f>AT369+AT310*AT250*Seasonality!$E$96</f>
        <v/>
      </c>
      <c r="AU370" s="50">
        <f>AU369+AU310*AU250*Seasonality!$E$96</f>
        <v/>
      </c>
      <c r="AV370" s="50">
        <f>AV369+AV310*AV250*Seasonality!$E$96</f>
        <v/>
      </c>
      <c r="AW370" s="50">
        <f>AW369+AW310*AW250*Seasonality!$E$96</f>
        <v/>
      </c>
      <c r="AX370" s="50">
        <f>AX369+AX310*AX250*Seasonality!$E$96</f>
        <v/>
      </c>
      <c r="AY370" s="50">
        <f>AY369+AY310*AY250*Seasonality!$E$96</f>
        <v/>
      </c>
      <c r="AZ370" s="50">
        <f>AZ369+AZ310*AZ250*Seasonality!$E$96</f>
        <v/>
      </c>
      <c r="BA370" s="50">
        <f>BA369+BA310*BA250*Seasonality!$E$96</f>
        <v/>
      </c>
      <c r="BB370" s="50">
        <f>BB369+BB310*BB250*Seasonality!$E$96</f>
        <v/>
      </c>
      <c r="BC370" s="50">
        <f>BC369+BC310*BC250*Seasonality!$E$96</f>
        <v/>
      </c>
      <c r="BD370" s="50">
        <f>BD369+BD310*BD250*Seasonality!$E$96</f>
        <v/>
      </c>
      <c r="BE370" s="50">
        <f>BE369+BE310*BE250*Seasonality!$E$96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N19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2" customWidth="1" min="2" max="2"/>
    <col width="14" customWidth="1" min="3" max="3"/>
    <col width="1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</cols>
  <sheetData>
    <row r="1">
      <c r="A1" s="1" t="inlineStr">
        <is>
          <t>3-year projection — Bear: sales capacity → cohorts → P&amp;L → cash → funding ask</t>
        </is>
      </c>
    </row>
    <row r="2">
      <c r="A2" s="2" t="inlineStr">
        <is>
          <t>Months run April to March. Revenue starts after the free pilot. New institutes are capped by the addressable market. Rows 6-80 (inputs and per-institute vectors) are grouped: use the +/- in the left margin.</t>
        </is>
      </c>
    </row>
    <row r="3">
      <c r="B3" s="3" t="inlineStr">
        <is>
          <t>Scenario (1 = Bear, 2 = Base, 3 = Bull)</t>
        </is>
      </c>
      <c r="D3" s="37" t="n">
        <v>1</v>
      </c>
    </row>
    <row r="5" hidden="1" outlineLevel="1">
      <c r="A5" s="23" t="n"/>
      <c r="B5" s="22" t="inlineStr">
        <is>
          <t>Inputs used (linked from Assumptions; Bear / Base / Bull chosen by the scenario)</t>
        </is>
      </c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</row>
    <row r="6" hidden="1" outlineLevel="1">
      <c r="B6" s="7" t="inlineStr">
        <is>
          <t>Students per institute - Small</t>
        </is>
      </c>
      <c r="C6" s="5" t="inlineStr">
        <is>
          <t>students</t>
        </is>
      </c>
      <c r="D6" s="51">
        <f>IF(Assumptions!$N$6="Y",INDEX(Assumptions!$D$6:$F$6,$D$3),Assumptions!$E$6)</f>
        <v/>
      </c>
    </row>
    <row r="7" hidden="1" outlineLevel="1">
      <c r="B7" s="7" t="inlineStr">
        <is>
          <t>Students per institute - Mid</t>
        </is>
      </c>
      <c r="C7" s="5" t="inlineStr">
        <is>
          <t>students</t>
        </is>
      </c>
      <c r="D7" s="51">
        <f>IF(Assumptions!$N$7="Y",INDEX(Assumptions!$D$7:$F$7,$D$3),Assumptions!$E$7)</f>
        <v/>
      </c>
    </row>
    <row r="8" hidden="1" outlineLevel="1">
      <c r="B8" s="7" t="inlineStr">
        <is>
          <t>Students per institute - Large</t>
        </is>
      </c>
      <c r="C8" s="5" t="inlineStr">
        <is>
          <t>students</t>
        </is>
      </c>
      <c r="D8" s="51">
        <f>IF(Assumptions!$N$8="Y",INDEX(Assumptions!$D$8:$F$8,$D$3),Assumptions!$E$8)</f>
        <v/>
      </c>
    </row>
    <row r="9" hidden="1" outlineLevel="1">
      <c r="B9" s="7" t="inlineStr">
        <is>
          <t>Onboarding cost multiplier - Small</t>
        </is>
      </c>
      <c r="C9" s="5" t="inlineStr">
        <is>
          <t>x</t>
        </is>
      </c>
      <c r="D9" s="59">
        <f>IF(Assumptions!$N$12="Y",INDEX(Assumptions!$D$12:$F$12,$D$3),Assumptions!$E$12)</f>
        <v/>
      </c>
    </row>
    <row r="10" hidden="1" outlineLevel="1">
      <c r="B10" s="7" t="inlineStr">
        <is>
          <t>Onboarding cost multiplier - Mid</t>
        </is>
      </c>
      <c r="C10" s="5" t="inlineStr">
        <is>
          <t>x</t>
        </is>
      </c>
      <c r="D10" s="59">
        <f>IF(Assumptions!$N$13="Y",INDEX(Assumptions!$D$13:$F$13,$D$3),Assumptions!$E$13)</f>
        <v/>
      </c>
    </row>
    <row r="11" hidden="1" outlineLevel="1">
      <c r="B11" s="7" t="inlineStr">
        <is>
          <t>Onboarding cost multiplier - Large</t>
        </is>
      </c>
      <c r="C11" s="5" t="inlineStr">
        <is>
          <t>x</t>
        </is>
      </c>
      <c r="D11" s="59">
        <f>IF(Assumptions!$N$14="Y",INDEX(Assumptions!$D$14:$F$14,$D$3),Assumptions!$E$14)</f>
        <v/>
      </c>
    </row>
    <row r="12" hidden="1" outlineLevel="1">
      <c r="B12" s="7" t="inlineStr">
        <is>
          <t>Share of new institutes that are Small</t>
        </is>
      </c>
      <c r="C12" s="5" t="inlineStr">
        <is>
          <t>% of new logos</t>
        </is>
      </c>
      <c r="D12" s="45">
        <f>IF(Assumptions!$N$99="Y",INDEX(Assumptions!$D$99:$F$99,$D$3),Assumptions!$E$99)</f>
        <v/>
      </c>
    </row>
    <row r="13" hidden="1" outlineLevel="1">
      <c r="B13" s="7" t="inlineStr">
        <is>
          <t>Share of new institutes that are Mid</t>
        </is>
      </c>
      <c r="C13" s="5" t="inlineStr">
        <is>
          <t>% of new logos</t>
        </is>
      </c>
      <c r="D13" s="45">
        <f>IF(Assumptions!$N$100="Y",INDEX(Assumptions!$D$100:$F$100,$D$3),Assumptions!$E$100)</f>
        <v/>
      </c>
    </row>
    <row r="14" hidden="1" outlineLevel="1">
      <c r="B14" s="7" t="inlineStr">
        <is>
          <t>Share of new institutes that are Large</t>
        </is>
      </c>
      <c r="C14" s="5" t="inlineStr">
        <is>
          <t>% of new logos</t>
        </is>
      </c>
      <c r="D14" s="45">
        <f>IF(Assumptions!$N$101="Y",INDEX(Assumptions!$D$101:$F$101,$D$3),Assumptions!$E$101)</f>
        <v/>
      </c>
    </row>
    <row r="15" hidden="1" outlineLevel="1">
      <c r="B15" s="7" t="inlineStr">
        <is>
          <t>List price per active student per month</t>
        </is>
      </c>
      <c r="C15" s="5" t="inlineStr">
        <is>
          <t>Rs/student/month</t>
        </is>
      </c>
      <c r="D15" s="44">
        <f>IF(Assumptions!$N$38="Y",INDEX(Assumptions!$D$38:$F$38,$D$3),Assumptions!$E$38)</f>
        <v/>
      </c>
    </row>
    <row r="16" hidden="1" outlineLevel="1">
      <c r="B16" s="7" t="inlineStr">
        <is>
          <t>Minimum monthly fee per institute</t>
        </is>
      </c>
      <c r="C16" s="5" t="inlineStr">
        <is>
          <t>Rs/month</t>
        </is>
      </c>
      <c r="D16" s="44">
        <f>IF(Assumptions!$N$41="Y",INDEX(Assumptions!$D$41:$F$41,$D$3),Assumptions!$E$41)</f>
        <v/>
      </c>
    </row>
    <row r="17" hidden="1" outlineLevel="1">
      <c r="B17" s="7" t="inlineStr">
        <is>
          <t>Average negotiated discount off list</t>
        </is>
      </c>
      <c r="C17" s="5" t="inlineStr">
        <is>
          <t>%</t>
        </is>
      </c>
      <c r="D17" s="45">
        <f>IF(Assumptions!$N$42="Y",INDEX(Assumptions!$D$42:$F$42,$D$3),Assumptions!$E$42)</f>
        <v/>
      </c>
    </row>
    <row r="18" hidden="1" outlineLevel="1">
      <c r="B18" s="7" t="inlineStr">
        <is>
          <t>Share of institutes choosing annual prepay</t>
        </is>
      </c>
      <c r="C18" s="5" t="inlineStr">
        <is>
          <t>%</t>
        </is>
      </c>
      <c r="D18" s="45">
        <f>IF(Assumptions!$N$43="Y",INDEX(Assumptions!$D$43:$F$43,$D$3),Assumptions!$E$43)</f>
        <v/>
      </c>
    </row>
    <row r="19" hidden="1" outlineLevel="1">
      <c r="B19" s="7" t="inlineStr">
        <is>
          <t>Annual prepay discount</t>
        </is>
      </c>
      <c r="C19" s="5" t="inlineStr">
        <is>
          <t>%</t>
        </is>
      </c>
      <c r="D19" s="45">
        <f>IF(Assumptions!$N$44="Y",INDEX(Assumptions!$D$44:$F$44,$D$3),Assumptions!$E$44)</f>
        <v/>
      </c>
    </row>
    <row r="20" hidden="1" outlineLevel="1">
      <c r="B20" s="7" t="inlineStr">
        <is>
          <t>Bad debt / uncollected billing</t>
        </is>
      </c>
      <c r="C20" s="5" t="inlineStr">
        <is>
          <t>%</t>
        </is>
      </c>
      <c r="D20" s="45">
        <f>IF(Assumptions!$N$45="Y",INDEX(Assumptions!$D$45:$F$45,$D$3),Assumptions!$E$45)</f>
        <v/>
      </c>
    </row>
    <row r="21" hidden="1" outlineLevel="1">
      <c r="B21" s="7" t="inlineStr">
        <is>
          <t>Payment collection cost (blended)</t>
        </is>
      </c>
      <c r="C21" s="5" t="inlineStr">
        <is>
          <t>% of revenue</t>
        </is>
      </c>
      <c r="D21" s="45">
        <f>IF(Assumptions!$N$46="Y",INDEX(Assumptions!$D$46:$F$46,$D$3),Assumptions!$E$46)</f>
        <v/>
      </c>
    </row>
    <row r="22" hidden="1" outlineLevel="1">
      <c r="B22" s="7" t="inlineStr">
        <is>
          <t>AI parent reports per student per month</t>
        </is>
      </c>
      <c r="C22" s="5" t="inlineStr">
        <is>
          <t>reports</t>
        </is>
      </c>
      <c r="D22" s="51">
        <f>IF(Assumptions!$N$48="Y",INDEX(Assumptions!$D$48:$F$48,$D$3),Assumptions!$E$48)</f>
        <v/>
      </c>
    </row>
    <row r="23" hidden="1" outlineLevel="1">
      <c r="B23" s="7" t="inlineStr">
        <is>
          <t>LLM input tokens per report</t>
        </is>
      </c>
      <c r="C23" s="5" t="inlineStr">
        <is>
          <t>tokens</t>
        </is>
      </c>
      <c r="D23" s="51">
        <f>IF(Assumptions!$N$49="Y",INDEX(Assumptions!$D$49:$F$49,$D$3),Assumptions!$E$49)</f>
        <v/>
      </c>
    </row>
    <row r="24" hidden="1" outlineLevel="1">
      <c r="B24" s="7" t="inlineStr">
        <is>
          <t>LLM output tokens per report</t>
        </is>
      </c>
      <c r="C24" s="5" t="inlineStr">
        <is>
          <t>tokens</t>
        </is>
      </c>
      <c r="D24" s="51">
        <f>IF(Assumptions!$N$50="Y",INDEX(Assumptions!$D$50:$F$50,$D$3),Assumptions!$E$50)</f>
        <v/>
      </c>
    </row>
    <row r="25" hidden="1" outlineLevel="1">
      <c r="B25" s="7" t="inlineStr">
        <is>
          <t>LLM input price (hosted)</t>
        </is>
      </c>
      <c r="C25" s="5" t="inlineStr">
        <is>
          <t>Rs per 1M tokens</t>
        </is>
      </c>
      <c r="D25" s="48">
        <f>IF(Assumptions!$N$51="Y",INDEX(Assumptions!$D$51:$F$51,$D$3),Assumptions!$E$51)</f>
        <v/>
      </c>
    </row>
    <row r="26" hidden="1" outlineLevel="1">
      <c r="B26" s="7" t="inlineStr">
        <is>
          <t>LLM output price (hosted)</t>
        </is>
      </c>
      <c r="C26" s="5" t="inlineStr">
        <is>
          <t>Rs per 1M tokens</t>
        </is>
      </c>
      <c r="D26" s="48">
        <f>IF(Assumptions!$N$52="Y",INDEX(Assumptions!$D$52:$F$52,$D$3),Assumptions!$E$52)</f>
        <v/>
      </c>
    </row>
    <row r="27" hidden="1" outlineLevel="1">
      <c r="B27" s="7" t="inlineStr">
        <is>
          <t>WhatsApp utility messages per student per month</t>
        </is>
      </c>
      <c r="C27" s="5" t="inlineStr">
        <is>
          <t>messages</t>
        </is>
      </c>
      <c r="D27" s="51">
        <f>IF(Assumptions!$N$53="Y",INDEX(Assumptions!$D$53:$F$53,$D$3),Assumptions!$E$53)</f>
        <v/>
      </c>
    </row>
    <row r="28" hidden="1" outlineLevel="1">
      <c r="B28" s="7" t="inlineStr">
        <is>
          <t>WhatsApp utility message price (India)</t>
        </is>
      </c>
      <c r="C28" s="5" t="inlineStr">
        <is>
          <t>Rs/message</t>
        </is>
      </c>
      <c r="D28" s="48">
        <f>IF(Assumptions!$N$54="Y",INDEX(Assumptions!$D$54:$F$54,$D$3),Assumptions!$E$54)</f>
        <v/>
      </c>
    </row>
    <row r="29" hidden="1" outlineLevel="1">
      <c r="B29" s="7" t="inlineStr">
        <is>
          <t>Compute + storage + backups per student</t>
        </is>
      </c>
      <c r="C29" s="5" t="inlineStr">
        <is>
          <t>Rs/student/month</t>
        </is>
      </c>
      <c r="D29" s="48">
        <f>IF(Assumptions!$N$55="Y",INDEX(Assumptions!$D$55:$F$55,$D$3),Assumptions!$E$55)</f>
        <v/>
      </c>
    </row>
    <row r="30" hidden="1" outlineLevel="1">
      <c r="B30" s="7" t="inlineStr">
        <is>
          <t>Consent OTP + verification per student</t>
        </is>
      </c>
      <c r="C30" s="5" t="inlineStr">
        <is>
          <t>Rs/student/yr</t>
        </is>
      </c>
      <c r="D30" s="48">
        <f>IF(Assumptions!$N$56="Y",INDEX(Assumptions!$D$56:$F$56,$D$3),Assumptions!$E$56)</f>
        <v/>
      </c>
    </row>
    <row r="31" hidden="1" outlineLevel="1">
      <c r="B31" s="7" t="inlineStr">
        <is>
          <t>App server + managed Postgres + backups per stack</t>
        </is>
      </c>
      <c r="C31" s="5" t="inlineStr">
        <is>
          <t>Rs/month</t>
        </is>
      </c>
      <c r="D31" s="44">
        <f>IF(Assumptions!$N$57="Y",INDEX(Assumptions!$D$57:$F$57,$D$3),Assumptions!$E$57)</f>
        <v/>
      </c>
    </row>
    <row r="32" hidden="1" outlineLevel="1">
      <c r="B32" s="7" t="inlineStr">
        <is>
          <t>WhatsApp BSP platform fee per stack</t>
        </is>
      </c>
      <c r="C32" s="5" t="inlineStr">
        <is>
          <t>Rs/month</t>
        </is>
      </c>
      <c r="D32" s="44">
        <f>IF(Assumptions!$N$58="Y",INDEX(Assumptions!$D$58:$F$58,$D$3),Assumptions!$E$58)</f>
        <v/>
      </c>
    </row>
    <row r="33" hidden="1" outlineLevel="1">
      <c r="B33" s="7" t="inlineStr">
        <is>
          <t>Institutes sharing one server stack</t>
        </is>
      </c>
      <c r="C33" s="5" t="inlineStr">
        <is>
          <t>institutes</t>
        </is>
      </c>
      <c r="D33" s="51">
        <f>IF(Assumptions!$N$59="Y",INDEX(Assumptions!$D$59:$F$59,$D$3),Assumptions!$E$59)</f>
        <v/>
      </c>
    </row>
    <row r="34" hidden="1" outlineLevel="1">
      <c r="B34" s="7" t="inlineStr">
        <is>
          <t>DPDP compliance cost per institute</t>
        </is>
      </c>
      <c r="C34" s="5" t="inlineStr">
        <is>
          <t>Rs/month</t>
        </is>
      </c>
      <c r="D34" s="44">
        <f>IF(Assumptions!$N$60="Y",INDEX(Assumptions!$D$60:$F$60,$D$3),Assumptions!$E$60)</f>
        <v/>
      </c>
    </row>
    <row r="35" hidden="1" outlineLevel="1">
      <c r="B35" s="7" t="inlineStr">
        <is>
          <t>Customer-success / onboarding exec monthly CTC</t>
        </is>
      </c>
      <c r="C35" s="5" t="inlineStr">
        <is>
          <t>Rs/month</t>
        </is>
      </c>
      <c r="D35" s="44">
        <f>IF(Assumptions!$N$62="Y",INDEX(Assumptions!$D$62:$F$62,$D$3),Assumptions!$E$62)</f>
        <v/>
      </c>
    </row>
    <row r="36" hidden="1" outlineLevel="1">
      <c r="B36" s="7" t="inlineStr">
        <is>
          <t>Institutes per CSM</t>
        </is>
      </c>
      <c r="C36" s="5" t="inlineStr">
        <is>
          <t>institutes</t>
        </is>
      </c>
      <c r="D36" s="51">
        <f>IF(Assumptions!$N$63="Y",INDEX(Assumptions!$D$63:$F$63,$D$3),Assumptions!$E$63)</f>
        <v/>
      </c>
    </row>
    <row r="37" hidden="1" outlineLevel="1">
      <c r="B37" s="7" t="inlineStr">
        <is>
          <t>Field sales rep monthly CTC (incl. fuel)</t>
        </is>
      </c>
      <c r="C37" s="5" t="inlineStr">
        <is>
          <t>Rs/month</t>
        </is>
      </c>
      <c r="D37" s="44">
        <f>IF(Assumptions!$N$64="Y",INDEX(Assumptions!$D$64:$F$64,$D$3),Assumptions!$E$64)</f>
        <v/>
      </c>
    </row>
    <row r="38" hidden="1" outlineLevel="1">
      <c r="B38" s="7" t="inlineStr">
        <is>
          <t>Rep intercity travel + demo material per month</t>
        </is>
      </c>
      <c r="C38" s="5" t="inlineStr">
        <is>
          <t>Rs/month</t>
        </is>
      </c>
      <c r="D38" s="44">
        <f>IF(Assumptions!$N$65="Y",INDEX(Assumptions!$D$65:$F$65,$D$3),Assumptions!$E$65)</f>
        <v/>
      </c>
    </row>
    <row r="39" hidden="1" outlineLevel="1">
      <c r="B39" s="7" t="inlineStr">
        <is>
          <t>Sales overhead loading on rep cost (manager, incentives, recruiting, tools)</t>
        </is>
      </c>
      <c r="C39" s="5" t="inlineStr">
        <is>
          <t>% of rep cost</t>
        </is>
      </c>
      <c r="D39" s="45">
        <f>IF(Assumptions!$N$66="Y",INDEX(Assumptions!$D$66:$F$66,$D$3),Assumptions!$E$66)</f>
        <v/>
      </c>
    </row>
    <row r="40" hidden="1" outlineLevel="1">
      <c r="B40" s="7" t="inlineStr">
        <is>
          <t>Pilots started per rep per month (yearly avg)</t>
        </is>
      </c>
      <c r="C40" s="5" t="inlineStr">
        <is>
          <t>pilots</t>
        </is>
      </c>
      <c r="D40" s="58">
        <f>IF(Assumptions!$N$67="Y",INDEX(Assumptions!$D$67:$F$67,$D$3),Assumptions!$E$67)</f>
        <v/>
      </c>
    </row>
    <row r="41" hidden="1" outlineLevel="1">
      <c r="B41" s="7" t="inlineStr">
        <is>
          <t>Pilot-to-paid conversion</t>
        </is>
      </c>
      <c r="C41" s="5" t="inlineStr">
        <is>
          <t>%</t>
        </is>
      </c>
      <c r="D41" s="45">
        <f>IF(Assumptions!$N$68="Y",INDEX(Assumptions!$D$68:$F$68,$D$3),Assumptions!$E$68)</f>
        <v/>
      </c>
    </row>
    <row r="42" hidden="1" outlineLevel="1">
      <c r="B42" s="7" t="inlineStr">
        <is>
          <t>Free pilot length</t>
        </is>
      </c>
      <c r="C42" s="5" t="inlineStr">
        <is>
          <t>months</t>
        </is>
      </c>
      <c r="D42" s="51">
        <f>IF(Assumptions!$N$69="Y",INDEX(Assumptions!$D$69:$F$69,$D$3),Assumptions!$E$69)</f>
        <v/>
      </c>
    </row>
    <row r="43" hidden="1" outlineLevel="1">
      <c r="B43" s="7" t="inlineStr">
        <is>
          <t>Retro-pilot setup (import last year's Excel; show who left)</t>
        </is>
      </c>
      <c r="C43" s="5" t="inlineStr">
        <is>
          <t>Rs per pilot</t>
        </is>
      </c>
      <c r="D43" s="44">
        <f>IF(Assumptions!$N$70="Y",INDEX(Assumptions!$D$70:$F$70,$D$3),Assumptions!$E$70)</f>
        <v/>
      </c>
    </row>
    <row r="44" hidden="1" outlineLevel="1">
      <c r="B44" s="7" t="inlineStr">
        <is>
          <t>Onboarding cost per institute (mid)</t>
        </is>
      </c>
      <c r="C44" s="5" t="inlineStr">
        <is>
          <t>Rs</t>
        </is>
      </c>
      <c r="D44" s="44">
        <f>IF(Assumptions!$N$71="Y",INDEX(Assumptions!$D$71:$F$71,$D$3),Assumptions!$E$71)</f>
        <v/>
      </c>
    </row>
    <row r="45" hidden="1" outlineLevel="1">
      <c r="B45" s="7" t="inlineStr">
        <is>
          <t>Marketing spend per paid institute</t>
        </is>
      </c>
      <c r="C45" s="5" t="inlineStr">
        <is>
          <t>Rs</t>
        </is>
      </c>
      <c r="D45" s="44">
        <f>IF(Assumptions!$N$72="Y",INDEX(Assumptions!$D$72:$F$72,$D$3),Assumptions!$E$72)</f>
        <v/>
      </c>
    </row>
    <row r="46" hidden="1" outlineLevel="1">
      <c r="B46" s="7" t="inlineStr">
        <is>
          <t>Monthly logo churn for monthly payers</t>
        </is>
      </c>
      <c r="C46" s="5" t="inlineStr">
        <is>
          <t>%/month</t>
        </is>
      </c>
      <c r="D46" s="45">
        <f>IF(Assumptions!$N$74="Y",INDEX(Assumptions!$D$74:$F$74,$D$3),Assumptions!$E$74)</f>
        <v/>
      </c>
    </row>
    <row r="47" hidden="1" outlineLevel="1">
      <c r="B47" s="7" t="inlineStr">
        <is>
          <t>Non-renewal at session end (annual)</t>
        </is>
      </c>
      <c r="C47" s="5" t="inlineStr">
        <is>
          <t>% of logos</t>
        </is>
      </c>
      <c r="D47" s="45">
        <f>IF(Assumptions!$N$75="Y",INDEX(Assumptions!$D$75:$F$75,$D$3),Assumptions!$E$75)</f>
        <v/>
      </c>
    </row>
    <row r="48" hidden="1" outlineLevel="1">
      <c r="B48" s="7" t="inlineStr">
        <is>
          <t>Months a customer must have paid before the first renewal decision</t>
        </is>
      </c>
      <c r="C48" s="5" t="inlineStr">
        <is>
          <t>months</t>
        </is>
      </c>
      <c r="D48" s="51">
        <f>IF(Assumptions!$N$76="Y",INDEX(Assumptions!$D$76:$F$76,$D$3),Assumptions!$E$76)</f>
        <v/>
      </c>
    </row>
    <row r="49" hidden="1" outlineLevel="1">
      <c r="B49" s="7" t="inlineStr">
        <is>
          <t>Founders drawing a stipend</t>
        </is>
      </c>
      <c r="C49" s="5" t="inlineStr">
        <is>
          <t>people</t>
        </is>
      </c>
      <c r="D49" s="51">
        <f>IF(Assumptions!$N$80="Y",INDEX(Assumptions!$D$80:$F$80,$D$3),Assumptions!$E$80)</f>
        <v/>
      </c>
    </row>
    <row r="50" hidden="1" outlineLevel="1">
      <c r="B50" s="7" t="inlineStr">
        <is>
          <t>Founder stipend per month</t>
        </is>
      </c>
      <c r="C50" s="5" t="inlineStr">
        <is>
          <t>Rs/month</t>
        </is>
      </c>
      <c r="D50" s="44">
        <f>IF(Assumptions!$N$81="Y",INDEX(Assumptions!$D$81:$F$81,$D$3),Assumptions!$E$81)</f>
        <v/>
      </c>
    </row>
    <row r="51" hidden="1" outlineLevel="1">
      <c r="B51" s="7" t="inlineStr">
        <is>
          <t>Engineers in year 1</t>
        </is>
      </c>
      <c r="C51" s="5" t="inlineStr">
        <is>
          <t>people</t>
        </is>
      </c>
      <c r="D51" s="51">
        <f>IF(Assumptions!$N$82="Y",INDEX(Assumptions!$D$82:$F$82,$D$3),Assumptions!$E$82)</f>
        <v/>
      </c>
    </row>
    <row r="52" hidden="1" outlineLevel="1">
      <c r="B52" s="7" t="inlineStr">
        <is>
          <t>Engineers in year 2</t>
        </is>
      </c>
      <c r="C52" s="5" t="inlineStr">
        <is>
          <t>people</t>
        </is>
      </c>
      <c r="D52" s="51">
        <f>IF(Assumptions!$N$105="Y",INDEX(Assumptions!$D$105:$F$105,$D$3),Assumptions!$E$105)</f>
        <v/>
      </c>
    </row>
    <row r="53" hidden="1" outlineLevel="1">
      <c r="B53" s="7" t="inlineStr">
        <is>
          <t>Engineers in year 3</t>
        </is>
      </c>
      <c r="C53" s="5" t="inlineStr">
        <is>
          <t>people</t>
        </is>
      </c>
      <c r="D53" s="51">
        <f>IF(Assumptions!$N$106="Y",INDEX(Assumptions!$D$106:$F$106,$D$3),Assumptions!$E$106)</f>
        <v/>
      </c>
    </row>
    <row r="54" hidden="1" outlineLevel="1">
      <c r="B54" s="7" t="inlineStr">
        <is>
          <t>Engineer monthly CTC</t>
        </is>
      </c>
      <c r="C54" s="5" t="inlineStr">
        <is>
          <t>Rs/month</t>
        </is>
      </c>
      <c r="D54" s="44">
        <f>IF(Assumptions!$N$83="Y",INDEX(Assumptions!$D$83:$F$83,$D$3),Assumptions!$E$83)</f>
        <v/>
      </c>
    </row>
    <row r="55" hidden="1" outlineLevel="1">
      <c r="B55" s="7" t="inlineStr">
        <is>
          <t>Tools / office / legal per month</t>
        </is>
      </c>
      <c r="C55" s="5" t="inlineStr">
        <is>
          <t>Rs/month</t>
        </is>
      </c>
      <c r="D55" s="44">
        <f>IF(Assumptions!$N$84="Y",INDEX(Assumptions!$D$84:$F$84,$D$3),Assumptions!$E$84)</f>
        <v/>
      </c>
    </row>
    <row r="56" hidden="1" outlineLevel="1">
      <c r="B56" s="7" t="inlineStr">
        <is>
          <t>Field sales reps in year 1</t>
        </is>
      </c>
      <c r="C56" s="5" t="inlineStr">
        <is>
          <t>people</t>
        </is>
      </c>
      <c r="D56" s="51">
        <f>IF(Assumptions!$N$102="Y",INDEX(Assumptions!$D$102:$F$102,$D$3),Assumptions!$E$102)</f>
        <v/>
      </c>
    </row>
    <row r="57" hidden="1" outlineLevel="1">
      <c r="B57" s="7" t="inlineStr">
        <is>
          <t>Field sales reps in year 2</t>
        </is>
      </c>
      <c r="C57" s="5" t="inlineStr">
        <is>
          <t>people</t>
        </is>
      </c>
      <c r="D57" s="51">
        <f>IF(Assumptions!$N$103="Y",INDEX(Assumptions!$D$103:$F$103,$D$3),Assumptions!$E$103)</f>
        <v/>
      </c>
    </row>
    <row r="58" hidden="1" outlineLevel="1">
      <c r="B58" s="7" t="inlineStr">
        <is>
          <t>Field sales reps in year 3</t>
        </is>
      </c>
      <c r="C58" s="5" t="inlineStr">
        <is>
          <t>people</t>
        </is>
      </c>
      <c r="D58" s="51">
        <f>IF(Assumptions!$N$104="Y",INDEX(Assumptions!$D$104:$F$104,$D$3),Assumptions!$E$104)</f>
        <v/>
      </c>
    </row>
    <row r="59" hidden="1" outlineLevel="1">
      <c r="B59" s="7" t="inlineStr">
        <is>
          <t>Minimum product and engineering spend as a share of revenue</t>
        </is>
      </c>
      <c r="C59" s="5" t="inlineStr">
        <is>
          <t>% of revenue</t>
        </is>
      </c>
      <c r="D59" s="45">
        <f>IF(Assumptions!$N$107="Y",INDEX(Assumptions!$D$107:$F$107,$D$3),Assumptions!$E$107)</f>
        <v/>
      </c>
    </row>
    <row r="60" hidden="1" outlineLevel="1">
      <c r="B60" s="7" t="inlineStr">
        <is>
          <t>Minimum founders' and general costs as a share of revenue</t>
        </is>
      </c>
      <c r="C60" s="5" t="inlineStr">
        <is>
          <t>% of revenue</t>
        </is>
      </c>
      <c r="D60" s="45">
        <f>IF(Assumptions!$N$108="Y",INDEX(Assumptions!$D$108:$F$108,$D$3),Assumptions!$E$108)</f>
        <v/>
      </c>
    </row>
    <row r="61" hidden="1" outlineLevel="1">
      <c r="B61" s="7" t="inlineStr">
        <is>
          <t>Annual salary and cost inflation</t>
        </is>
      </c>
      <c r="C61" s="5" t="inlineStr">
        <is>
          <t>%/yr</t>
        </is>
      </c>
      <c r="D61" s="45">
        <f>IF(Assumptions!$N$109="Y",INDEX(Assumptions!$D$109:$F$109,$D$3),Assumptions!$E$109)</f>
        <v/>
      </c>
    </row>
    <row r="62" hidden="1" outlineLevel="1">
      <c r="B62" s="7" t="inlineStr">
        <is>
          <t>Days to collect an invoice (receivables)</t>
        </is>
      </c>
      <c r="C62" s="5" t="inlineStr">
        <is>
          <t>days</t>
        </is>
      </c>
      <c r="D62" s="51">
        <f>IF(Assumptions!$N$110="Y",INDEX(Assumptions!$D$110:$F$110,$D$3),Assumptions!$E$110)</f>
        <v/>
      </c>
    </row>
    <row r="63" hidden="1" outlineLevel="1">
      <c r="B63" s="7" t="inlineStr">
        <is>
          <t>Laptop and set-up cost per new hire</t>
        </is>
      </c>
      <c r="C63" s="5" t="inlineStr">
        <is>
          <t>Rs/hire</t>
        </is>
      </c>
      <c r="D63" s="44">
        <f>IF(Assumptions!$N$111="Y",INDEX(Assumptions!$D$111:$F$111,$D$3),Assumptions!$E$111)</f>
        <v/>
      </c>
    </row>
    <row r="64" hidden="1" outlineLevel="1">
      <c r="B64" s="7" t="inlineStr">
        <is>
          <t>Minimum cash buffer, in months of costs</t>
        </is>
      </c>
      <c r="C64" s="5" t="inlineStr">
        <is>
          <t>months</t>
        </is>
      </c>
      <c r="D64" s="51">
        <f>IF(Assumptions!$N$112="Y",INDEX(Assumptions!$D$112:$F$112,$D$3),Assumptions!$E$112)</f>
        <v/>
      </c>
    </row>
    <row r="65" hidden="1" outlineLevel="1">
      <c r="B65" s="7" t="inlineStr">
        <is>
          <t>Addressable institutes (SAM): independent, 150-2,000 students, five states</t>
        </is>
      </c>
      <c r="C65" s="5" t="inlineStr">
        <is>
          <t>institutes</t>
        </is>
      </c>
      <c r="D65" s="51">
        <f>IF(Assumptions!$N$113="Y",INDEX(Assumptions!$D$113:$F$113,$D$3),Assumptions!$E$113)</f>
        <v/>
      </c>
    </row>
    <row r="66" hidden="1" outlineLevel="1">
      <c r="B66" s="7" t="inlineStr">
        <is>
          <t>Maximum share of SAM won in 3 years (cumulative new logos)</t>
        </is>
      </c>
      <c r="C66" s="5" t="inlineStr">
        <is>
          <t>% of SAM</t>
        </is>
      </c>
      <c r="D66" s="45">
        <f>IF(Assumptions!$N$114="Y",INDEX(Assumptions!$D$114:$F$114,$D$3),Assumptions!$E$114)</f>
        <v/>
      </c>
    </row>
    <row r="67" hidden="1" outlineLevel="1">
      <c r="A67" s="23" t="n"/>
      <c r="B67" s="22" t="inlineStr">
        <is>
          <t>Derived values</t>
        </is>
      </c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  <c r="AF67" s="23" t="n"/>
      <c r="AG67" s="23" t="n"/>
      <c r="AH67" s="23" t="n"/>
      <c r="AI67" s="23" t="n"/>
      <c r="AJ67" s="23" t="n"/>
      <c r="AK67" s="23" t="n"/>
      <c r="AL67" s="23" t="n"/>
      <c r="AM67" s="23" t="n"/>
      <c r="AN67" s="23" t="n"/>
    </row>
    <row r="68" hidden="1" outlineLevel="1">
      <c r="B68" s="7" t="inlineStr">
        <is>
          <t>Effective discount (negotiation + prepay uptake × prepay discount)</t>
        </is>
      </c>
      <c r="C68" s="5" t="inlineStr">
        <is>
          <t>%</t>
        </is>
      </c>
      <c r="D68" s="39">
        <f>$D$17+$D$18*$D$19</f>
        <v/>
      </c>
    </row>
    <row r="69" hidden="1" outlineLevel="1">
      <c r="B69" s="7" t="inlineStr">
        <is>
          <t>Variable cost per active student per month</t>
        </is>
      </c>
      <c r="C69" s="5" t="inlineStr">
        <is>
          <t>₹/student/month</t>
        </is>
      </c>
      <c r="D69" s="47">
        <f>$D$22*($D$23*$D$25+$D$24*$D$26)/1000000+$D$27*$D$28+$D$29+$D$30/12</f>
        <v/>
      </c>
    </row>
    <row r="70" hidden="1" outlineLevel="1">
      <c r="B70" s="7" t="inlineStr">
        <is>
          <t>In-season churn, monthly payers only</t>
        </is>
      </c>
      <c r="C70" s="5" t="inlineStr">
        <is>
          <t>%/month</t>
        </is>
      </c>
      <c r="D70" s="39">
        <f>$D$46*(1-$D$18)</f>
        <v/>
      </c>
    </row>
    <row r="71" hidden="1" outlineLevel="1">
      <c r="B71" s="7" t="inlineStr">
        <is>
          <t>Extra churn per renewal month</t>
        </is>
      </c>
      <c r="C71" s="5" t="inlineStr">
        <is>
          <t>%/month</t>
        </is>
      </c>
      <c r="D71" s="39">
        <f>1-(1-$D$47)^(1/NRenew)</f>
        <v/>
      </c>
    </row>
    <row r="72" hidden="1" outlineLevel="1">
      <c r="B72" s="7" t="inlineStr">
        <is>
          <t>Average students per new institute (customer mix)</t>
        </is>
      </c>
      <c r="C72" s="5" t="inlineStr">
        <is>
          <t>students</t>
        </is>
      </c>
      <c r="D72" s="53">
        <f>$D$12*$D$6+$D$13*$D$7+$D$14*$D$8</f>
        <v/>
      </c>
    </row>
    <row r="73" hidden="1" outlineLevel="1">
      <c r="B73" s="7" t="inlineStr">
        <is>
          <t>Average onboarding-cost multiplier (customer mix)</t>
        </is>
      </c>
      <c r="C73" s="5" t="inlineStr">
        <is>
          <t>x</t>
        </is>
      </c>
      <c r="D73" s="41">
        <f>$D$12*$D$9+$D$13*$D$10+$D$14*$D$11</f>
        <v/>
      </c>
    </row>
    <row r="74" hidden="1" outlineLevel="1">
      <c r="B74" s="7" t="inlineStr">
        <is>
          <t>Cost of one free pilot (setup + serving the free months)</t>
        </is>
      </c>
      <c r="C74" s="5" t="inlineStr">
        <is>
          <t>₹</t>
        </is>
      </c>
      <c r="D74" s="50">
        <f>$D$43+$D$42*($D$72*$D$69+$D$34)</f>
        <v/>
      </c>
    </row>
    <row r="75" hidden="1" outlineLevel="1">
      <c r="B75" s="7" t="inlineStr">
        <is>
          <t>Market cap: addressable institutes × max penetration</t>
        </is>
      </c>
      <c r="C75" s="5" t="inlineStr">
        <is>
          <t>institutes</t>
        </is>
      </c>
      <c r="D75" s="53">
        <f>$D$65*$D$66</f>
        <v/>
      </c>
    </row>
    <row r="76" hidden="1" outlineLevel="1">
      <c r="B76" s="7" t="inlineStr">
        <is>
          <t>Average monthly revenue per institute over a year</t>
        </is>
      </c>
      <c r="C76" s="5" t="inlineStr">
        <is>
          <t>₹</t>
        </is>
      </c>
      <c r="D76" s="50">
        <f>AVERAGE(E82:P82)</f>
        <v/>
      </c>
    </row>
    <row r="77" hidden="1" outlineLevel="1">
      <c r="A77" s="23" t="n"/>
      <c r="B77" s="22" t="inlineStr">
        <is>
          <t>Per-institute revenue and cost by calendar month (April = 1), same formulas as Unit_Econ</t>
        </is>
      </c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23" t="n"/>
      <c r="AH77" s="23" t="n"/>
      <c r="AI77" s="23" t="n"/>
      <c r="AJ77" s="23" t="n"/>
      <c r="AK77" s="23" t="n"/>
      <c r="AL77" s="23" t="n"/>
      <c r="AM77" s="23" t="n"/>
      <c r="AN77" s="23" t="n"/>
    </row>
    <row r="78" hidden="1" outlineLevel="1">
      <c r="B78" s="36" t="inlineStr">
        <is>
          <t>Calendar month number</t>
        </is>
      </c>
      <c r="E78" s="62" t="n">
        <v>1</v>
      </c>
      <c r="F78" s="62" t="n">
        <v>2</v>
      </c>
      <c r="G78" s="62" t="n">
        <v>3</v>
      </c>
      <c r="H78" s="62" t="n">
        <v>4</v>
      </c>
      <c r="I78" s="62" t="n">
        <v>5</v>
      </c>
      <c r="J78" s="62" t="n">
        <v>6</v>
      </c>
      <c r="K78" s="62" t="n">
        <v>7</v>
      </c>
      <c r="L78" s="62" t="n">
        <v>8</v>
      </c>
      <c r="M78" s="62" t="n">
        <v>9</v>
      </c>
      <c r="N78" s="62" t="n">
        <v>10</v>
      </c>
      <c r="O78" s="62" t="n">
        <v>11</v>
      </c>
      <c r="P78" s="62" t="n">
        <v>12</v>
      </c>
    </row>
    <row r="79" hidden="1" outlineLevel="1">
      <c r="B79" s="7" t="inlineStr">
        <is>
          <t>Revenue per Small institute (ex-GST, after discounts and bad debt)</t>
        </is>
      </c>
      <c r="C79" s="5" t="inlineStr">
        <is>
          <t>₹</t>
        </is>
      </c>
      <c r="E79" s="50">
        <f>MAX($D$16,$D$6*INDEX(Season_Idx,E$78)*$D$15)*(1-$D$68)*(1-$D$20)</f>
        <v/>
      </c>
      <c r="F79" s="50">
        <f>MAX($D$16,$D$6*INDEX(Season_Idx,F$78)*$D$15)*(1-$D$68)*(1-$D$20)</f>
        <v/>
      </c>
      <c r="G79" s="50">
        <f>MAX($D$16,$D$6*INDEX(Season_Idx,G$78)*$D$15)*(1-$D$68)*(1-$D$20)</f>
        <v/>
      </c>
      <c r="H79" s="50">
        <f>MAX($D$16,$D$6*INDEX(Season_Idx,H$78)*$D$15)*(1-$D$68)*(1-$D$20)</f>
        <v/>
      </c>
      <c r="I79" s="50">
        <f>MAX($D$16,$D$6*INDEX(Season_Idx,I$78)*$D$15)*(1-$D$68)*(1-$D$20)</f>
        <v/>
      </c>
      <c r="J79" s="50">
        <f>MAX($D$16,$D$6*INDEX(Season_Idx,J$78)*$D$15)*(1-$D$68)*(1-$D$20)</f>
        <v/>
      </c>
      <c r="K79" s="50">
        <f>MAX($D$16,$D$6*INDEX(Season_Idx,K$78)*$D$15)*(1-$D$68)*(1-$D$20)</f>
        <v/>
      </c>
      <c r="L79" s="50">
        <f>MAX($D$16,$D$6*INDEX(Season_Idx,L$78)*$D$15)*(1-$D$68)*(1-$D$20)</f>
        <v/>
      </c>
      <c r="M79" s="50">
        <f>MAX($D$16,$D$6*INDEX(Season_Idx,M$78)*$D$15)*(1-$D$68)*(1-$D$20)</f>
        <v/>
      </c>
      <c r="N79" s="50">
        <f>MAX($D$16,$D$6*INDEX(Season_Idx,N$78)*$D$15)*(1-$D$68)*(1-$D$20)</f>
        <v/>
      </c>
      <c r="O79" s="50">
        <f>MAX($D$16,$D$6*INDEX(Season_Idx,O$78)*$D$15)*(1-$D$68)*(1-$D$20)</f>
        <v/>
      </c>
      <c r="P79" s="50">
        <f>MAX($D$16,$D$6*INDEX(Season_Idx,P$78)*$D$15)*(1-$D$68)*(1-$D$20)</f>
        <v/>
      </c>
    </row>
    <row r="80" hidden="1" outlineLevel="1">
      <c r="B80" s="7" t="inlineStr">
        <is>
          <t>Revenue per Mid institute (ex-GST, after discounts and bad debt)</t>
        </is>
      </c>
      <c r="C80" s="5" t="inlineStr">
        <is>
          <t>₹</t>
        </is>
      </c>
      <c r="E80" s="50">
        <f>MAX($D$16,$D$7*INDEX(Season_Idx,E$78)*$D$15)*(1-$D$68)*(1-$D$20)</f>
        <v/>
      </c>
      <c r="F80" s="50">
        <f>MAX($D$16,$D$7*INDEX(Season_Idx,F$78)*$D$15)*(1-$D$68)*(1-$D$20)</f>
        <v/>
      </c>
      <c r="G80" s="50">
        <f>MAX($D$16,$D$7*INDEX(Season_Idx,G$78)*$D$15)*(1-$D$68)*(1-$D$20)</f>
        <v/>
      </c>
      <c r="H80" s="50">
        <f>MAX($D$16,$D$7*INDEX(Season_Idx,H$78)*$D$15)*(1-$D$68)*(1-$D$20)</f>
        <v/>
      </c>
      <c r="I80" s="50">
        <f>MAX($D$16,$D$7*INDEX(Season_Idx,I$78)*$D$15)*(1-$D$68)*(1-$D$20)</f>
        <v/>
      </c>
      <c r="J80" s="50">
        <f>MAX($D$16,$D$7*INDEX(Season_Idx,J$78)*$D$15)*(1-$D$68)*(1-$D$20)</f>
        <v/>
      </c>
      <c r="K80" s="50">
        <f>MAX($D$16,$D$7*INDEX(Season_Idx,K$78)*$D$15)*(1-$D$68)*(1-$D$20)</f>
        <v/>
      </c>
      <c r="L80" s="50">
        <f>MAX($D$16,$D$7*INDEX(Season_Idx,L$78)*$D$15)*(1-$D$68)*(1-$D$20)</f>
        <v/>
      </c>
      <c r="M80" s="50">
        <f>MAX($D$16,$D$7*INDEX(Season_Idx,M$78)*$D$15)*(1-$D$68)*(1-$D$20)</f>
        <v/>
      </c>
      <c r="N80" s="50">
        <f>MAX($D$16,$D$7*INDEX(Season_Idx,N$78)*$D$15)*(1-$D$68)*(1-$D$20)</f>
        <v/>
      </c>
      <c r="O80" s="50">
        <f>MAX($D$16,$D$7*INDEX(Season_Idx,O$78)*$D$15)*(1-$D$68)*(1-$D$20)</f>
        <v/>
      </c>
      <c r="P80" s="50">
        <f>MAX($D$16,$D$7*INDEX(Season_Idx,P$78)*$D$15)*(1-$D$68)*(1-$D$20)</f>
        <v/>
      </c>
    </row>
    <row r="81" hidden="1" outlineLevel="1">
      <c r="B81" s="7" t="inlineStr">
        <is>
          <t>Revenue per Large institute (ex-GST, after discounts and bad debt)</t>
        </is>
      </c>
      <c r="C81" s="5" t="inlineStr">
        <is>
          <t>₹</t>
        </is>
      </c>
      <c r="E81" s="50">
        <f>MAX($D$16,$D$8*INDEX(Season_Idx,E$78)*$D$15)*(1-$D$68)*(1-$D$20)</f>
        <v/>
      </c>
      <c r="F81" s="50">
        <f>MAX($D$16,$D$8*INDEX(Season_Idx,F$78)*$D$15)*(1-$D$68)*(1-$D$20)</f>
        <v/>
      </c>
      <c r="G81" s="50">
        <f>MAX($D$16,$D$8*INDEX(Season_Idx,G$78)*$D$15)*(1-$D$68)*(1-$D$20)</f>
        <v/>
      </c>
      <c r="H81" s="50">
        <f>MAX($D$16,$D$8*INDEX(Season_Idx,H$78)*$D$15)*(1-$D$68)*(1-$D$20)</f>
        <v/>
      </c>
      <c r="I81" s="50">
        <f>MAX($D$16,$D$8*INDEX(Season_Idx,I$78)*$D$15)*(1-$D$68)*(1-$D$20)</f>
        <v/>
      </c>
      <c r="J81" s="50">
        <f>MAX($D$16,$D$8*INDEX(Season_Idx,J$78)*$D$15)*(1-$D$68)*(1-$D$20)</f>
        <v/>
      </c>
      <c r="K81" s="50">
        <f>MAX($D$16,$D$8*INDEX(Season_Idx,K$78)*$D$15)*(1-$D$68)*(1-$D$20)</f>
        <v/>
      </c>
      <c r="L81" s="50">
        <f>MAX($D$16,$D$8*INDEX(Season_Idx,L$78)*$D$15)*(1-$D$68)*(1-$D$20)</f>
        <v/>
      </c>
      <c r="M81" s="50">
        <f>MAX($D$16,$D$8*INDEX(Season_Idx,M$78)*$D$15)*(1-$D$68)*(1-$D$20)</f>
        <v/>
      </c>
      <c r="N81" s="50">
        <f>MAX($D$16,$D$8*INDEX(Season_Idx,N$78)*$D$15)*(1-$D$68)*(1-$D$20)</f>
        <v/>
      </c>
      <c r="O81" s="50">
        <f>MAX($D$16,$D$8*INDEX(Season_Idx,O$78)*$D$15)*(1-$D$68)*(1-$D$20)</f>
        <v/>
      </c>
      <c r="P81" s="50">
        <f>MAX($D$16,$D$8*INDEX(Season_Idx,P$78)*$D$15)*(1-$D$68)*(1-$D$20)</f>
        <v/>
      </c>
    </row>
    <row r="82" hidden="1" outlineLevel="1">
      <c r="B82" s="3" t="inlineStr">
        <is>
          <t>Revenue per institute, weighted by customer mix</t>
        </is>
      </c>
      <c r="C82" s="5" t="inlineStr">
        <is>
          <t>₹</t>
        </is>
      </c>
      <c r="E82" s="50">
        <f>$D$12*E79+$D$13*E80+$D$14*E81</f>
        <v/>
      </c>
      <c r="F82" s="50">
        <f>$D$12*F79+$D$13*F80+$D$14*F81</f>
        <v/>
      </c>
      <c r="G82" s="50">
        <f>$D$12*G79+$D$13*G80+$D$14*G81</f>
        <v/>
      </c>
      <c r="H82" s="50">
        <f>$D$12*H79+$D$13*H80+$D$14*H81</f>
        <v/>
      </c>
      <c r="I82" s="50">
        <f>$D$12*I79+$D$13*I80+$D$14*I81</f>
        <v/>
      </c>
      <c r="J82" s="50">
        <f>$D$12*J79+$D$13*J80+$D$14*J81</f>
        <v/>
      </c>
      <c r="K82" s="50">
        <f>$D$12*K79+$D$13*K80+$D$14*K81</f>
        <v/>
      </c>
      <c r="L82" s="50">
        <f>$D$12*L79+$D$13*L80+$D$14*L81</f>
        <v/>
      </c>
      <c r="M82" s="50">
        <f>$D$12*M79+$D$13*M80+$D$14*M81</f>
        <v/>
      </c>
      <c r="N82" s="50">
        <f>$D$12*N79+$D$13*N80+$D$14*N81</f>
        <v/>
      </c>
      <c r="O82" s="50">
        <f>$D$12*O79+$D$13*O80+$D$14*O81</f>
        <v/>
      </c>
      <c r="P82" s="50">
        <f>$D$12*P79+$D$13*P80+$D$14*P81</f>
        <v/>
      </c>
    </row>
    <row r="83" hidden="1" outlineLevel="1">
      <c r="B83" s="3" t="inlineStr">
        <is>
          <t>Variable cost per institute, weighted by customer mix</t>
        </is>
      </c>
      <c r="C83" s="5" t="inlineStr">
        <is>
          <t>₹</t>
        </is>
      </c>
      <c r="E83" s="50">
        <f>$D$69*$D$72*INDEX(Season_Idx,E$78)+$D$21*E82+$D$34</f>
        <v/>
      </c>
      <c r="F83" s="50">
        <f>$D$69*$D$72*INDEX(Season_Idx,F$78)+$D$21*F82+$D$34</f>
        <v/>
      </c>
      <c r="G83" s="50">
        <f>$D$69*$D$72*INDEX(Season_Idx,G$78)+$D$21*G82+$D$34</f>
        <v/>
      </c>
      <c r="H83" s="50">
        <f>$D$69*$D$72*INDEX(Season_Idx,H$78)+$D$21*H82+$D$34</f>
        <v/>
      </c>
      <c r="I83" s="50">
        <f>$D$69*$D$72*INDEX(Season_Idx,I$78)+$D$21*I82+$D$34</f>
        <v/>
      </c>
      <c r="J83" s="50">
        <f>$D$69*$D$72*INDEX(Season_Idx,J$78)+$D$21*J82+$D$34</f>
        <v/>
      </c>
      <c r="K83" s="50">
        <f>$D$69*$D$72*INDEX(Season_Idx,K$78)+$D$21*K82+$D$34</f>
        <v/>
      </c>
      <c r="L83" s="50">
        <f>$D$69*$D$72*INDEX(Season_Idx,L$78)+$D$21*L82+$D$34</f>
        <v/>
      </c>
      <c r="M83" s="50">
        <f>$D$69*$D$72*INDEX(Season_Idx,M$78)+$D$21*M82+$D$34</f>
        <v/>
      </c>
      <c r="N83" s="50">
        <f>$D$69*$D$72*INDEX(Season_Idx,N$78)+$D$21*N82+$D$34</f>
        <v/>
      </c>
      <c r="O83" s="50">
        <f>$D$69*$D$72*INDEX(Season_Idx,O$78)+$D$21*O82+$D$34</f>
        <v/>
      </c>
      <c r="P83" s="50">
        <f>$D$69*$D$72*INDEX(Season_Idx,P$78)+$D$21*P82+$D$34</f>
        <v/>
      </c>
    </row>
    <row r="85">
      <c r="A85" s="23" t="n"/>
      <c r="B85" s="22" t="inlineStr">
        <is>
          <t>Annual summary</t>
        </is>
      </c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23" t="n"/>
      <c r="AD85" s="23" t="n"/>
      <c r="AE85" s="23" t="n"/>
      <c r="AF85" s="23" t="n"/>
      <c r="AG85" s="23" t="n"/>
      <c r="AH85" s="23" t="n"/>
      <c r="AI85" s="23" t="n"/>
      <c r="AJ85" s="23" t="n"/>
      <c r="AK85" s="23" t="n"/>
      <c r="AL85" s="23" t="n"/>
      <c r="AM85" s="23" t="n"/>
      <c r="AN85" s="23" t="n"/>
    </row>
    <row r="86">
      <c r="B86" s="56" t="inlineStr">
        <is>
          <t>Financial year (April to March)</t>
        </is>
      </c>
      <c r="D86" s="63" t="n">
        <v>1</v>
      </c>
      <c r="E86" s="63" t="n">
        <v>2</v>
      </c>
      <c r="F86" s="63" t="n">
        <v>3</v>
      </c>
      <c r="G86" s="56" t="inlineStr">
        <is>
          <t>3-year total</t>
        </is>
      </c>
    </row>
    <row r="87">
      <c r="B87" s="7" t="inlineStr">
        <is>
          <t>Revenue</t>
        </is>
      </c>
      <c r="D87" s="52">
        <f>SUMIF($E$114:$AN$114,D$86,$E$128:$AN$128)</f>
        <v/>
      </c>
      <c r="E87" s="52">
        <f>SUMIF($E$114:$AN$114,E$86,$E$128:$AN$128)</f>
        <v/>
      </c>
      <c r="F87" s="52">
        <f>SUMIF($E$114:$AN$114,F$86,$E$128:$AN$128)</f>
        <v/>
      </c>
      <c r="G87" s="50">
        <f>SUM(D87:F87)</f>
        <v/>
      </c>
    </row>
    <row r="88">
      <c r="B88" s="7" t="inlineStr">
        <is>
          <t>Gross profit (after support)</t>
        </is>
      </c>
      <c r="D88" s="50">
        <f>SUMIF($E$114:$AN$114,D$86,$E$135:$AN$135)</f>
        <v/>
      </c>
      <c r="E88" s="50">
        <f>SUMIF($E$114:$AN$114,E$86,$E$135:$AN$135)</f>
        <v/>
      </c>
      <c r="F88" s="50">
        <f>SUMIF($E$114:$AN$114,F$86,$E$135:$AN$135)</f>
        <v/>
      </c>
      <c r="G88" s="50">
        <f>SUM(D88:F88)</f>
        <v/>
      </c>
    </row>
    <row r="89">
      <c r="B89" s="7" t="inlineStr">
        <is>
          <t>Gross margin</t>
        </is>
      </c>
      <c r="D89" s="39">
        <f>IF(D87&lt;&gt;0,D88/D87,0)</f>
        <v/>
      </c>
      <c r="E89" s="39">
        <f>IF(E87&lt;&gt;0,E88/E87,0)</f>
        <v/>
      </c>
      <c r="F89" s="39">
        <f>IF(F87&lt;&gt;0,F88/F87,0)</f>
        <v/>
      </c>
      <c r="G89" s="39">
        <f>IF(G87&lt;&gt;0,G88/G87,0)</f>
        <v/>
      </c>
    </row>
    <row r="90">
      <c r="B90" s="7" t="inlineStr">
        <is>
          <t>Sales and marketing</t>
        </is>
      </c>
      <c r="D90" s="50">
        <f>SUMIF($E$114:$AN$114,D$86,$E$141:$AN$141)</f>
        <v/>
      </c>
      <c r="E90" s="50">
        <f>SUMIF($E$114:$AN$114,E$86,$E$141:$AN$141)</f>
        <v/>
      </c>
      <c r="F90" s="50">
        <f>SUMIF($E$114:$AN$114,F$86,$E$141:$AN$141)</f>
        <v/>
      </c>
      <c r="G90" s="50">
        <f>SUM(D90:F90)</f>
        <v/>
      </c>
    </row>
    <row r="91">
      <c r="B91" s="7" t="inlineStr">
        <is>
          <t>Product and engineering</t>
        </is>
      </c>
      <c r="D91" s="50">
        <f>SUMIF($E$114:$AN$114,D$86,$E$143:$AN$143)</f>
        <v/>
      </c>
      <c r="E91" s="50">
        <f>SUMIF($E$114:$AN$114,E$86,$E$143:$AN$143)</f>
        <v/>
      </c>
      <c r="F91" s="50">
        <f>SUMIF($E$114:$AN$114,F$86,$E$143:$AN$143)</f>
        <v/>
      </c>
      <c r="G91" s="50">
        <f>SUM(D91:F91)</f>
        <v/>
      </c>
    </row>
    <row r="92">
      <c r="B92" s="7" t="inlineStr">
        <is>
          <t>Founders' stipends and general costs</t>
        </is>
      </c>
      <c r="D92" s="50">
        <f>SUMIF($E$114:$AN$114,D$86,$E$144:$AN$144)</f>
        <v/>
      </c>
      <c r="E92" s="50">
        <f>SUMIF($E$114:$AN$114,E$86,$E$144:$AN$144)</f>
        <v/>
      </c>
      <c r="F92" s="50">
        <f>SUMIF($E$114:$AN$114,F$86,$E$144:$AN$144)</f>
        <v/>
      </c>
      <c r="G92" s="50">
        <f>SUM(D92:F92)</f>
        <v/>
      </c>
    </row>
    <row r="93">
      <c r="B93" s="7" t="inlineStr">
        <is>
          <t>EBITDA</t>
        </is>
      </c>
      <c r="D93" s="52">
        <f>SUMIF($E$114:$AN$114,D$86,$E$146:$AN$146)</f>
        <v/>
      </c>
      <c r="E93" s="52">
        <f>SUMIF($E$114:$AN$114,E$86,$E$146:$AN$146)</f>
        <v/>
      </c>
      <c r="F93" s="52">
        <f>SUMIF($E$114:$AN$114,F$86,$E$146:$AN$146)</f>
        <v/>
      </c>
      <c r="G93" s="50">
        <f>SUM(D93:F93)</f>
        <v/>
      </c>
    </row>
    <row r="94">
      <c r="B94" s="7" t="inlineStr">
        <is>
          <t>EBITDA margin</t>
        </is>
      </c>
      <c r="D94" s="39">
        <f>IF(D87&lt;&gt;0,D93/D87,0)</f>
        <v/>
      </c>
      <c r="E94" s="39">
        <f>IF(E87&lt;&gt;0,E93/E87,0)</f>
        <v/>
      </c>
      <c r="F94" s="39">
        <f>IF(F87&lt;&gt;0,F93/F87,0)</f>
        <v/>
      </c>
      <c r="G94" s="39">
        <f>IF(G87&lt;&gt;0,G93/G87,0)</f>
        <v/>
      </c>
    </row>
    <row r="95">
      <c r="B95" s="7" t="inlineStr">
        <is>
          <t>New paying institutes</t>
        </is>
      </c>
      <c r="D95" s="53">
        <f>SUMIF($E$114:$AN$114,D$86,$E$123:$AN$123)</f>
        <v/>
      </c>
      <c r="E95" s="53">
        <f>SUMIF($E$114:$AN$114,E$86,$E$123:$AN$123)</f>
        <v/>
      </c>
      <c r="F95" s="53">
        <f>SUMIF($E$114:$AN$114,F$86,$E$123:$AN$123)</f>
        <v/>
      </c>
      <c r="G95" s="53">
        <f>SUM(D95:F95)</f>
        <v/>
      </c>
    </row>
    <row r="96">
      <c r="B96" s="7" t="inlineStr">
        <is>
          <t>Paying institutes at year end</t>
        </is>
      </c>
      <c r="D96" s="53">
        <f>INDEX($E$126:$AN$126,1,12*D$86)</f>
        <v/>
      </c>
      <c r="E96" s="53">
        <f>INDEX($E$126:$AN$126,1,12*E$86)</f>
        <v/>
      </c>
      <c r="F96" s="53">
        <f>INDEX($E$126:$AN$126,1,12*F$86)</f>
        <v/>
      </c>
    </row>
    <row r="97">
      <c r="B97" s="7" t="inlineStr">
        <is>
          <t>Run-rate annual revenue at year end (institutes × average yearly revenue per institute)</t>
        </is>
      </c>
      <c r="D97" s="52">
        <f>D96*$D$76*12</f>
        <v/>
      </c>
      <c r="E97" s="52">
        <f>E96*$D$76*12</f>
        <v/>
      </c>
      <c r="F97" s="52">
        <f>F96*$D$76*12</f>
        <v/>
      </c>
    </row>
    <row r="98">
      <c r="B98" s="7" t="inlineStr">
        <is>
          <t>Headcount at year end</t>
        </is>
      </c>
      <c r="D98" s="57">
        <f>INDEX($E$150:$AN$150,1,12*D$86)</f>
        <v/>
      </c>
      <c r="E98" s="57">
        <f>INDEX($E$150:$AN$150,1,12*E$86)</f>
        <v/>
      </c>
      <c r="F98" s="57">
        <f>INDEX($E$150:$AN$150,1,12*F$86)</f>
        <v/>
      </c>
    </row>
    <row r="100">
      <c r="A100" s="23" t="n"/>
      <c r="B100" s="22" t="inlineStr">
        <is>
          <t>Funding, break-even and market checks</t>
        </is>
      </c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  <c r="AA100" s="23" t="n"/>
      <c r="AB100" s="23" t="n"/>
      <c r="AC100" s="23" t="n"/>
      <c r="AD100" s="23" t="n"/>
      <c r="AE100" s="23" t="n"/>
      <c r="AF100" s="23" t="n"/>
      <c r="AG100" s="23" t="n"/>
      <c r="AH100" s="23" t="n"/>
      <c r="AI100" s="23" t="n"/>
      <c r="AJ100" s="23" t="n"/>
      <c r="AK100" s="23" t="n"/>
      <c r="AL100" s="23" t="n"/>
      <c r="AM100" s="23" t="n"/>
      <c r="AN100" s="23" t="n"/>
    </row>
    <row r="101">
      <c r="B101" s="7" t="inlineStr">
        <is>
          <t>Peak cash deficit before any funding</t>
        </is>
      </c>
      <c r="C101" s="5" t="inlineStr">
        <is>
          <t>₹</t>
        </is>
      </c>
      <c r="D101" s="52">
        <f>-MIN(0,MIN($E$154:$AN$154))</f>
        <v/>
      </c>
    </row>
    <row r="102">
      <c r="B102" s="7" t="inlineStr">
        <is>
          <t>Cash buffer: months of costs at the point of the deepest deficit</t>
        </is>
      </c>
      <c r="C102" s="5" t="inlineStr">
        <is>
          <t>₹</t>
        </is>
      </c>
      <c r="D102" s="52">
        <f>$D$64*INDEX($E$155:$AN$155,1,MATCH(MIN($E$154:$AN$154),$E$154:$AN$154,0))</f>
        <v/>
      </c>
    </row>
    <row r="103">
      <c r="B103" s="3" t="inlineStr">
        <is>
          <t>FUNDING THE MODEL SAYS WE NEED (peak deficit + buffer, rounded up to ₹5 lakh)</t>
        </is>
      </c>
      <c r="C103" s="5" t="inlineStr">
        <is>
          <t>₹</t>
        </is>
      </c>
      <c r="D103" s="64">
        <f>CEILING($D$101+$D$102,500000)</f>
        <v/>
      </c>
    </row>
    <row r="104">
      <c r="B104" s="7" t="inlineStr">
        <is>
          <t>Cash left at the end of month 36 if that funding arrives in month 1</t>
        </is>
      </c>
      <c r="C104" s="5" t="inlineStr">
        <is>
          <t>₹</t>
        </is>
      </c>
      <c r="D104" s="52">
        <f>$D$103+AN154</f>
        <v/>
      </c>
    </row>
    <row r="105">
      <c r="B105" s="7" t="inlineStr">
        <is>
          <t>Break-even month: first month of 3 in a row with EBITDA ≥ 0</t>
        </is>
      </c>
      <c r="C105" s="5" t="inlineStr">
        <is>
          <t>month #</t>
        </is>
      </c>
      <c r="D105" s="60">
        <f>IFERROR(MATCH(1,$E$158:$AN$158,0),"after month 36")</f>
        <v/>
      </c>
    </row>
    <row r="106">
      <c r="B106" s="7" t="inlineStr">
        <is>
          <t>Break-even month on a trailing-12-month basis (seasonality-proof)</t>
        </is>
      </c>
      <c r="C106" s="5" t="inlineStr">
        <is>
          <t>month #</t>
        </is>
      </c>
      <c r="D106" s="60">
        <f>IFERROR(MATCH(1,$E$159:$AN$159,0),"after month 36")</f>
        <v/>
      </c>
    </row>
    <row r="107">
      <c r="B107" s="7" t="inlineStr">
        <is>
          <t>Share of the addressable market paying us at month 36</t>
        </is>
      </c>
      <c r="C107" s="5" t="inlineStr">
        <is>
          <t>%</t>
        </is>
      </c>
      <c r="D107" s="40">
        <f>IF($D$65&gt;0,AN126/$D$65,0)</f>
        <v/>
      </c>
    </row>
    <row r="108">
      <c r="B108" s="7" t="inlineStr">
        <is>
          <t>Blended CAC realised (sales and marketing ÷ new paying institutes, 36 months)</t>
        </is>
      </c>
      <c r="C108" s="5" t="inlineStr">
        <is>
          <t>₹</t>
        </is>
      </c>
      <c r="D108" s="52">
        <f>IF(SUM($E$123:$AN$123)&gt;0,SUM($E$141:$AN$141)/SUM($E$123:$AN$123),0)</f>
        <v/>
      </c>
    </row>
    <row r="109">
      <c r="B109" s="7" t="inlineStr">
        <is>
          <t>Months in which the market cap limited sales</t>
        </is>
      </c>
      <c r="C109" s="5" t="inlineStr">
        <is>
          <t>months</t>
        </is>
      </c>
      <c r="D109" s="60">
        <f>SUMPRODUCT(($E$123:$AN$123&lt;$E$121:$AN$121-0.000001)*1)</f>
        <v/>
      </c>
    </row>
    <row r="111">
      <c r="A111" s="23" t="n"/>
      <c r="B111" s="22" t="inlineStr">
        <is>
          <t>Monthly model (36 months)</t>
        </is>
      </c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  <c r="AA111" s="23" t="n"/>
      <c r="AB111" s="23" t="n"/>
      <c r="AC111" s="23" t="n"/>
      <c r="AD111" s="23" t="n"/>
      <c r="AE111" s="23" t="n"/>
      <c r="AF111" s="23" t="n"/>
      <c r="AG111" s="23" t="n"/>
      <c r="AH111" s="23" t="n"/>
      <c r="AI111" s="23" t="n"/>
      <c r="AJ111" s="23" t="n"/>
      <c r="AK111" s="23" t="n"/>
      <c r="AL111" s="23" t="n"/>
      <c r="AM111" s="23" t="n"/>
      <c r="AN111" s="23" t="n"/>
    </row>
    <row r="112">
      <c r="B112" s="7" t="inlineStr">
        <is>
          <t>Month number</t>
        </is>
      </c>
      <c r="C112" s="5" t="inlineStr">
        <is>
          <t>no.</t>
        </is>
      </c>
      <c r="E112" s="65" t="n">
        <v>1</v>
      </c>
      <c r="F112" s="65">
        <f>E112+1</f>
        <v/>
      </c>
      <c r="G112" s="65">
        <f>F112+1</f>
        <v/>
      </c>
      <c r="H112" s="65">
        <f>G112+1</f>
        <v/>
      </c>
      <c r="I112" s="65">
        <f>H112+1</f>
        <v/>
      </c>
      <c r="J112" s="65">
        <f>I112+1</f>
        <v/>
      </c>
      <c r="K112" s="65">
        <f>J112+1</f>
        <v/>
      </c>
      <c r="L112" s="65">
        <f>K112+1</f>
        <v/>
      </c>
      <c r="M112" s="65">
        <f>L112+1</f>
        <v/>
      </c>
      <c r="N112" s="65">
        <f>M112+1</f>
        <v/>
      </c>
      <c r="O112" s="65">
        <f>N112+1</f>
        <v/>
      </c>
      <c r="P112" s="65">
        <f>O112+1</f>
        <v/>
      </c>
      <c r="Q112" s="65">
        <f>P112+1</f>
        <v/>
      </c>
      <c r="R112" s="65">
        <f>Q112+1</f>
        <v/>
      </c>
      <c r="S112" s="65">
        <f>R112+1</f>
        <v/>
      </c>
      <c r="T112" s="65">
        <f>S112+1</f>
        <v/>
      </c>
      <c r="U112" s="65">
        <f>T112+1</f>
        <v/>
      </c>
      <c r="V112" s="65">
        <f>U112+1</f>
        <v/>
      </c>
      <c r="W112" s="65">
        <f>V112+1</f>
        <v/>
      </c>
      <c r="X112" s="65">
        <f>W112+1</f>
        <v/>
      </c>
      <c r="Y112" s="65">
        <f>X112+1</f>
        <v/>
      </c>
      <c r="Z112" s="65">
        <f>Y112+1</f>
        <v/>
      </c>
      <c r="AA112" s="65">
        <f>Z112+1</f>
        <v/>
      </c>
      <c r="AB112" s="65">
        <f>AA112+1</f>
        <v/>
      </c>
      <c r="AC112" s="65">
        <f>AB112+1</f>
        <v/>
      </c>
      <c r="AD112" s="65">
        <f>AC112+1</f>
        <v/>
      </c>
      <c r="AE112" s="65">
        <f>AD112+1</f>
        <v/>
      </c>
      <c r="AF112" s="65">
        <f>AE112+1</f>
        <v/>
      </c>
      <c r="AG112" s="65">
        <f>AF112+1</f>
        <v/>
      </c>
      <c r="AH112" s="65">
        <f>AG112+1</f>
        <v/>
      </c>
      <c r="AI112" s="65">
        <f>AH112+1</f>
        <v/>
      </c>
      <c r="AJ112" s="65">
        <f>AI112+1</f>
        <v/>
      </c>
      <c r="AK112" s="65">
        <f>AJ112+1</f>
        <v/>
      </c>
      <c r="AL112" s="65">
        <f>AK112+1</f>
        <v/>
      </c>
      <c r="AM112" s="65">
        <f>AL112+1</f>
        <v/>
      </c>
      <c r="AN112" s="65">
        <f>AM112+1</f>
        <v/>
      </c>
    </row>
    <row r="113">
      <c r="B113" s="7" t="inlineStr">
        <is>
          <t>Calendar month (1 = April)</t>
        </is>
      </c>
      <c r="C113" s="5" t="inlineStr">
        <is>
          <t>no.</t>
        </is>
      </c>
      <c r="E113" s="57">
        <f>MOD(E112-1,12)+1</f>
        <v/>
      </c>
      <c r="F113" s="57">
        <f>MOD(F112-1,12)+1</f>
        <v/>
      </c>
      <c r="G113" s="57">
        <f>MOD(G112-1,12)+1</f>
        <v/>
      </c>
      <c r="H113" s="57">
        <f>MOD(H112-1,12)+1</f>
        <v/>
      </c>
      <c r="I113" s="57">
        <f>MOD(I112-1,12)+1</f>
        <v/>
      </c>
      <c r="J113" s="57">
        <f>MOD(J112-1,12)+1</f>
        <v/>
      </c>
      <c r="K113" s="57">
        <f>MOD(K112-1,12)+1</f>
        <v/>
      </c>
      <c r="L113" s="57">
        <f>MOD(L112-1,12)+1</f>
        <v/>
      </c>
      <c r="M113" s="57">
        <f>MOD(M112-1,12)+1</f>
        <v/>
      </c>
      <c r="N113" s="57">
        <f>MOD(N112-1,12)+1</f>
        <v/>
      </c>
      <c r="O113" s="57">
        <f>MOD(O112-1,12)+1</f>
        <v/>
      </c>
      <c r="P113" s="57">
        <f>MOD(P112-1,12)+1</f>
        <v/>
      </c>
      <c r="Q113" s="57">
        <f>MOD(Q112-1,12)+1</f>
        <v/>
      </c>
      <c r="R113" s="57">
        <f>MOD(R112-1,12)+1</f>
        <v/>
      </c>
      <c r="S113" s="57">
        <f>MOD(S112-1,12)+1</f>
        <v/>
      </c>
      <c r="T113" s="57">
        <f>MOD(T112-1,12)+1</f>
        <v/>
      </c>
      <c r="U113" s="57">
        <f>MOD(U112-1,12)+1</f>
        <v/>
      </c>
      <c r="V113" s="57">
        <f>MOD(V112-1,12)+1</f>
        <v/>
      </c>
      <c r="W113" s="57">
        <f>MOD(W112-1,12)+1</f>
        <v/>
      </c>
      <c r="X113" s="57">
        <f>MOD(X112-1,12)+1</f>
        <v/>
      </c>
      <c r="Y113" s="57">
        <f>MOD(Y112-1,12)+1</f>
        <v/>
      </c>
      <c r="Z113" s="57">
        <f>MOD(Z112-1,12)+1</f>
        <v/>
      </c>
      <c r="AA113" s="57">
        <f>MOD(AA112-1,12)+1</f>
        <v/>
      </c>
      <c r="AB113" s="57">
        <f>MOD(AB112-1,12)+1</f>
        <v/>
      </c>
      <c r="AC113" s="57">
        <f>MOD(AC112-1,12)+1</f>
        <v/>
      </c>
      <c r="AD113" s="57">
        <f>MOD(AD112-1,12)+1</f>
        <v/>
      </c>
      <c r="AE113" s="57">
        <f>MOD(AE112-1,12)+1</f>
        <v/>
      </c>
      <c r="AF113" s="57">
        <f>MOD(AF112-1,12)+1</f>
        <v/>
      </c>
      <c r="AG113" s="57">
        <f>MOD(AG112-1,12)+1</f>
        <v/>
      </c>
      <c r="AH113" s="57">
        <f>MOD(AH112-1,12)+1</f>
        <v/>
      </c>
      <c r="AI113" s="57">
        <f>MOD(AI112-1,12)+1</f>
        <v/>
      </c>
      <c r="AJ113" s="57">
        <f>MOD(AJ112-1,12)+1</f>
        <v/>
      </c>
      <c r="AK113" s="57">
        <f>MOD(AK112-1,12)+1</f>
        <v/>
      </c>
      <c r="AL113" s="57">
        <f>MOD(AL112-1,12)+1</f>
        <v/>
      </c>
      <c r="AM113" s="57">
        <f>MOD(AM112-1,12)+1</f>
        <v/>
      </c>
      <c r="AN113" s="57">
        <f>MOD(AN112-1,12)+1</f>
        <v/>
      </c>
    </row>
    <row r="114">
      <c r="B114" s="7" t="inlineStr">
        <is>
          <t>Financial year</t>
        </is>
      </c>
      <c r="C114" s="5" t="inlineStr">
        <is>
          <t>no.</t>
        </is>
      </c>
      <c r="E114" s="57">
        <f>INT((E112-1)/12)+1</f>
        <v/>
      </c>
      <c r="F114" s="57">
        <f>INT((F112-1)/12)+1</f>
        <v/>
      </c>
      <c r="G114" s="57">
        <f>INT((G112-1)/12)+1</f>
        <v/>
      </c>
      <c r="H114" s="57">
        <f>INT((H112-1)/12)+1</f>
        <v/>
      </c>
      <c r="I114" s="57">
        <f>INT((I112-1)/12)+1</f>
        <v/>
      </c>
      <c r="J114" s="57">
        <f>INT((J112-1)/12)+1</f>
        <v/>
      </c>
      <c r="K114" s="57">
        <f>INT((K112-1)/12)+1</f>
        <v/>
      </c>
      <c r="L114" s="57">
        <f>INT((L112-1)/12)+1</f>
        <v/>
      </c>
      <c r="M114" s="57">
        <f>INT((M112-1)/12)+1</f>
        <v/>
      </c>
      <c r="N114" s="57">
        <f>INT((N112-1)/12)+1</f>
        <v/>
      </c>
      <c r="O114" s="57">
        <f>INT((O112-1)/12)+1</f>
        <v/>
      </c>
      <c r="P114" s="57">
        <f>INT((P112-1)/12)+1</f>
        <v/>
      </c>
      <c r="Q114" s="57">
        <f>INT((Q112-1)/12)+1</f>
        <v/>
      </c>
      <c r="R114" s="57">
        <f>INT((R112-1)/12)+1</f>
        <v/>
      </c>
      <c r="S114" s="57">
        <f>INT((S112-1)/12)+1</f>
        <v/>
      </c>
      <c r="T114" s="57">
        <f>INT((T112-1)/12)+1</f>
        <v/>
      </c>
      <c r="U114" s="57">
        <f>INT((U112-1)/12)+1</f>
        <v/>
      </c>
      <c r="V114" s="57">
        <f>INT((V112-1)/12)+1</f>
        <v/>
      </c>
      <c r="W114" s="57">
        <f>INT((W112-1)/12)+1</f>
        <v/>
      </c>
      <c r="X114" s="57">
        <f>INT((X112-1)/12)+1</f>
        <v/>
      </c>
      <c r="Y114" s="57">
        <f>INT((Y112-1)/12)+1</f>
        <v/>
      </c>
      <c r="Z114" s="57">
        <f>INT((Z112-1)/12)+1</f>
        <v/>
      </c>
      <c r="AA114" s="57">
        <f>INT((AA112-1)/12)+1</f>
        <v/>
      </c>
      <c r="AB114" s="57">
        <f>INT((AB112-1)/12)+1</f>
        <v/>
      </c>
      <c r="AC114" s="57">
        <f>INT((AC112-1)/12)+1</f>
        <v/>
      </c>
      <c r="AD114" s="57">
        <f>INT((AD112-1)/12)+1</f>
        <v/>
      </c>
      <c r="AE114" s="57">
        <f>INT((AE112-1)/12)+1</f>
        <v/>
      </c>
      <c r="AF114" s="57">
        <f>INT((AF112-1)/12)+1</f>
        <v/>
      </c>
      <c r="AG114" s="57">
        <f>INT((AG112-1)/12)+1</f>
        <v/>
      </c>
      <c r="AH114" s="57">
        <f>INT((AH112-1)/12)+1</f>
        <v/>
      </c>
      <c r="AI114" s="57">
        <f>INT((AI112-1)/12)+1</f>
        <v/>
      </c>
      <c r="AJ114" s="57">
        <f>INT((AJ112-1)/12)+1</f>
        <v/>
      </c>
      <c r="AK114" s="57">
        <f>INT((AK112-1)/12)+1</f>
        <v/>
      </c>
      <c r="AL114" s="57">
        <f>INT((AL112-1)/12)+1</f>
        <v/>
      </c>
      <c r="AM114" s="57">
        <f>INT((AM112-1)/12)+1</f>
        <v/>
      </c>
      <c r="AN114" s="57">
        <f>INT((AN112-1)/12)+1</f>
        <v/>
      </c>
    </row>
    <row r="115">
      <c r="B115" s="7" t="inlineStr">
        <is>
          <t>Month</t>
        </is>
      </c>
      <c r="C115" s="5" t="inlineStr"/>
      <c r="E115" s="66">
        <f>INDEX(Seasonality!$B$5:$B$16,E113)&amp;" Y"&amp;E114</f>
        <v/>
      </c>
      <c r="F115" s="66">
        <f>INDEX(Seasonality!$B$5:$B$16,F113)&amp;" Y"&amp;F114</f>
        <v/>
      </c>
      <c r="G115" s="66">
        <f>INDEX(Seasonality!$B$5:$B$16,G113)&amp;" Y"&amp;G114</f>
        <v/>
      </c>
      <c r="H115" s="66">
        <f>INDEX(Seasonality!$B$5:$B$16,H113)&amp;" Y"&amp;H114</f>
        <v/>
      </c>
      <c r="I115" s="66">
        <f>INDEX(Seasonality!$B$5:$B$16,I113)&amp;" Y"&amp;I114</f>
        <v/>
      </c>
      <c r="J115" s="66">
        <f>INDEX(Seasonality!$B$5:$B$16,J113)&amp;" Y"&amp;J114</f>
        <v/>
      </c>
      <c r="K115" s="66">
        <f>INDEX(Seasonality!$B$5:$B$16,K113)&amp;" Y"&amp;K114</f>
        <v/>
      </c>
      <c r="L115" s="66">
        <f>INDEX(Seasonality!$B$5:$B$16,L113)&amp;" Y"&amp;L114</f>
        <v/>
      </c>
      <c r="M115" s="66">
        <f>INDEX(Seasonality!$B$5:$B$16,M113)&amp;" Y"&amp;M114</f>
        <v/>
      </c>
      <c r="N115" s="66">
        <f>INDEX(Seasonality!$B$5:$B$16,N113)&amp;" Y"&amp;N114</f>
        <v/>
      </c>
      <c r="O115" s="66">
        <f>INDEX(Seasonality!$B$5:$B$16,O113)&amp;" Y"&amp;O114</f>
        <v/>
      </c>
      <c r="P115" s="66">
        <f>INDEX(Seasonality!$B$5:$B$16,P113)&amp;" Y"&amp;P114</f>
        <v/>
      </c>
      <c r="Q115" s="66">
        <f>INDEX(Seasonality!$B$5:$B$16,Q113)&amp;" Y"&amp;Q114</f>
        <v/>
      </c>
      <c r="R115" s="66">
        <f>INDEX(Seasonality!$B$5:$B$16,R113)&amp;" Y"&amp;R114</f>
        <v/>
      </c>
      <c r="S115" s="66">
        <f>INDEX(Seasonality!$B$5:$B$16,S113)&amp;" Y"&amp;S114</f>
        <v/>
      </c>
      <c r="T115" s="66">
        <f>INDEX(Seasonality!$B$5:$B$16,T113)&amp;" Y"&amp;T114</f>
        <v/>
      </c>
      <c r="U115" s="66">
        <f>INDEX(Seasonality!$B$5:$B$16,U113)&amp;" Y"&amp;U114</f>
        <v/>
      </c>
      <c r="V115" s="66">
        <f>INDEX(Seasonality!$B$5:$B$16,V113)&amp;" Y"&amp;V114</f>
        <v/>
      </c>
      <c r="W115" s="66">
        <f>INDEX(Seasonality!$B$5:$B$16,W113)&amp;" Y"&amp;W114</f>
        <v/>
      </c>
      <c r="X115" s="66">
        <f>INDEX(Seasonality!$B$5:$B$16,X113)&amp;" Y"&amp;X114</f>
        <v/>
      </c>
      <c r="Y115" s="66">
        <f>INDEX(Seasonality!$B$5:$B$16,Y113)&amp;" Y"&amp;Y114</f>
        <v/>
      </c>
      <c r="Z115" s="66">
        <f>INDEX(Seasonality!$B$5:$B$16,Z113)&amp;" Y"&amp;Z114</f>
        <v/>
      </c>
      <c r="AA115" s="66">
        <f>INDEX(Seasonality!$B$5:$B$16,AA113)&amp;" Y"&amp;AA114</f>
        <v/>
      </c>
      <c r="AB115" s="66">
        <f>INDEX(Seasonality!$B$5:$B$16,AB113)&amp;" Y"&amp;AB114</f>
        <v/>
      </c>
      <c r="AC115" s="66">
        <f>INDEX(Seasonality!$B$5:$B$16,AC113)&amp;" Y"&amp;AC114</f>
        <v/>
      </c>
      <c r="AD115" s="66">
        <f>INDEX(Seasonality!$B$5:$B$16,AD113)&amp;" Y"&amp;AD114</f>
        <v/>
      </c>
      <c r="AE115" s="66">
        <f>INDEX(Seasonality!$B$5:$B$16,AE113)&amp;" Y"&amp;AE114</f>
        <v/>
      </c>
      <c r="AF115" s="66">
        <f>INDEX(Seasonality!$B$5:$B$16,AF113)&amp;" Y"&amp;AF114</f>
        <v/>
      </c>
      <c r="AG115" s="66">
        <f>INDEX(Seasonality!$B$5:$B$16,AG113)&amp;" Y"&amp;AG114</f>
        <v/>
      </c>
      <c r="AH115" s="66">
        <f>INDEX(Seasonality!$B$5:$B$16,AH113)&amp;" Y"&amp;AH114</f>
        <v/>
      </c>
      <c r="AI115" s="66">
        <f>INDEX(Seasonality!$B$5:$B$16,AI113)&amp;" Y"&amp;AI114</f>
        <v/>
      </c>
      <c r="AJ115" s="66">
        <f>INDEX(Seasonality!$B$5:$B$16,AJ113)&amp;" Y"&amp;AJ114</f>
        <v/>
      </c>
      <c r="AK115" s="66">
        <f>INDEX(Seasonality!$B$5:$B$16,AK113)&amp;" Y"&amp;AK114</f>
        <v/>
      </c>
      <c r="AL115" s="66">
        <f>INDEX(Seasonality!$B$5:$B$16,AL113)&amp;" Y"&amp;AL114</f>
        <v/>
      </c>
      <c r="AM115" s="66">
        <f>INDEX(Seasonality!$B$5:$B$16,AM113)&amp;" Y"&amp;AM114</f>
        <v/>
      </c>
      <c r="AN115" s="66">
        <f>INDEX(Seasonality!$B$5:$B$16,AN113)&amp;" Y"&amp;AN114</f>
        <v/>
      </c>
    </row>
    <row r="116">
      <c r="A116" s="23" t="n"/>
      <c r="B116" s="22" t="inlineStr">
        <is>
          <t>A. Sales engine</t>
        </is>
      </c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  <c r="AA116" s="23" t="n"/>
      <c r="AB116" s="23" t="n"/>
      <c r="AC116" s="23" t="n"/>
      <c r="AD116" s="23" t="n"/>
      <c r="AE116" s="23" t="n"/>
      <c r="AF116" s="23" t="n"/>
      <c r="AG116" s="23" t="n"/>
      <c r="AH116" s="23" t="n"/>
      <c r="AI116" s="23" t="n"/>
      <c r="AJ116" s="23" t="n"/>
      <c r="AK116" s="23" t="n"/>
      <c r="AL116" s="23" t="n"/>
      <c r="AM116" s="23" t="n"/>
      <c r="AN116" s="23" t="n"/>
    </row>
    <row r="117">
      <c r="B117" s="7" t="inlineStr">
        <is>
          <t>Cost inflation factor</t>
        </is>
      </c>
      <c r="C117" s="5" t="inlineStr">
        <is>
          <t>x</t>
        </is>
      </c>
      <c r="E117" s="41">
        <f>(1+$D$61)^(E114-1)</f>
        <v/>
      </c>
      <c r="F117" s="41">
        <f>(1+$D$61)^(F114-1)</f>
        <v/>
      </c>
      <c r="G117" s="41">
        <f>(1+$D$61)^(G114-1)</f>
        <v/>
      </c>
      <c r="H117" s="41">
        <f>(1+$D$61)^(H114-1)</f>
        <v/>
      </c>
      <c r="I117" s="41">
        <f>(1+$D$61)^(I114-1)</f>
        <v/>
      </c>
      <c r="J117" s="41">
        <f>(1+$D$61)^(J114-1)</f>
        <v/>
      </c>
      <c r="K117" s="41">
        <f>(1+$D$61)^(K114-1)</f>
        <v/>
      </c>
      <c r="L117" s="41">
        <f>(1+$D$61)^(L114-1)</f>
        <v/>
      </c>
      <c r="M117" s="41">
        <f>(1+$D$61)^(M114-1)</f>
        <v/>
      </c>
      <c r="N117" s="41">
        <f>(1+$D$61)^(N114-1)</f>
        <v/>
      </c>
      <c r="O117" s="41">
        <f>(1+$D$61)^(O114-1)</f>
        <v/>
      </c>
      <c r="P117" s="41">
        <f>(1+$D$61)^(P114-1)</f>
        <v/>
      </c>
      <c r="Q117" s="41">
        <f>(1+$D$61)^(Q114-1)</f>
        <v/>
      </c>
      <c r="R117" s="41">
        <f>(1+$D$61)^(R114-1)</f>
        <v/>
      </c>
      <c r="S117" s="41">
        <f>(1+$D$61)^(S114-1)</f>
        <v/>
      </c>
      <c r="T117" s="41">
        <f>(1+$D$61)^(T114-1)</f>
        <v/>
      </c>
      <c r="U117" s="41">
        <f>(1+$D$61)^(U114-1)</f>
        <v/>
      </c>
      <c r="V117" s="41">
        <f>(1+$D$61)^(V114-1)</f>
        <v/>
      </c>
      <c r="W117" s="41">
        <f>(1+$D$61)^(W114-1)</f>
        <v/>
      </c>
      <c r="X117" s="41">
        <f>(1+$D$61)^(X114-1)</f>
        <v/>
      </c>
      <c r="Y117" s="41">
        <f>(1+$D$61)^(Y114-1)</f>
        <v/>
      </c>
      <c r="Z117" s="41">
        <f>(1+$D$61)^(Z114-1)</f>
        <v/>
      </c>
      <c r="AA117" s="41">
        <f>(1+$D$61)^(AA114-1)</f>
        <v/>
      </c>
      <c r="AB117" s="41">
        <f>(1+$D$61)^(AB114-1)</f>
        <v/>
      </c>
      <c r="AC117" s="41">
        <f>(1+$D$61)^(AC114-1)</f>
        <v/>
      </c>
      <c r="AD117" s="41">
        <f>(1+$D$61)^(AD114-1)</f>
        <v/>
      </c>
      <c r="AE117" s="41">
        <f>(1+$D$61)^(AE114-1)</f>
        <v/>
      </c>
      <c r="AF117" s="41">
        <f>(1+$D$61)^(AF114-1)</f>
        <v/>
      </c>
      <c r="AG117" s="41">
        <f>(1+$D$61)^(AG114-1)</f>
        <v/>
      </c>
      <c r="AH117" s="41">
        <f>(1+$D$61)^(AH114-1)</f>
        <v/>
      </c>
      <c r="AI117" s="41">
        <f>(1+$D$61)^(AI114-1)</f>
        <v/>
      </c>
      <c r="AJ117" s="41">
        <f>(1+$D$61)^(AJ114-1)</f>
        <v/>
      </c>
      <c r="AK117" s="41">
        <f>(1+$D$61)^(AK114-1)</f>
        <v/>
      </c>
      <c r="AL117" s="41">
        <f>(1+$D$61)^(AL114-1)</f>
        <v/>
      </c>
      <c r="AM117" s="41">
        <f>(1+$D$61)^(AM114-1)</f>
        <v/>
      </c>
      <c r="AN117" s="41">
        <f>(1+$D$61)^(AN114-1)</f>
        <v/>
      </c>
    </row>
    <row r="118">
      <c r="B118" s="7" t="inlineStr">
        <is>
          <t>Sales intensity index</t>
        </is>
      </c>
      <c r="C118" s="5" t="inlineStr">
        <is>
          <t>x</t>
        </is>
      </c>
      <c r="E118" s="41">
        <f>INDEX(Sales_Idx,E113)</f>
        <v/>
      </c>
      <c r="F118" s="41">
        <f>INDEX(Sales_Idx,F113)</f>
        <v/>
      </c>
      <c r="G118" s="41">
        <f>INDEX(Sales_Idx,G113)</f>
        <v/>
      </c>
      <c r="H118" s="41">
        <f>INDEX(Sales_Idx,H113)</f>
        <v/>
      </c>
      <c r="I118" s="41">
        <f>INDEX(Sales_Idx,I113)</f>
        <v/>
      </c>
      <c r="J118" s="41">
        <f>INDEX(Sales_Idx,J113)</f>
        <v/>
      </c>
      <c r="K118" s="41">
        <f>INDEX(Sales_Idx,K113)</f>
        <v/>
      </c>
      <c r="L118" s="41">
        <f>INDEX(Sales_Idx,L113)</f>
        <v/>
      </c>
      <c r="M118" s="41">
        <f>INDEX(Sales_Idx,M113)</f>
        <v/>
      </c>
      <c r="N118" s="41">
        <f>INDEX(Sales_Idx,N113)</f>
        <v/>
      </c>
      <c r="O118" s="41">
        <f>INDEX(Sales_Idx,O113)</f>
        <v/>
      </c>
      <c r="P118" s="41">
        <f>INDEX(Sales_Idx,P113)</f>
        <v/>
      </c>
      <c r="Q118" s="41">
        <f>INDEX(Sales_Idx,Q113)</f>
        <v/>
      </c>
      <c r="R118" s="41">
        <f>INDEX(Sales_Idx,R113)</f>
        <v/>
      </c>
      <c r="S118" s="41">
        <f>INDEX(Sales_Idx,S113)</f>
        <v/>
      </c>
      <c r="T118" s="41">
        <f>INDEX(Sales_Idx,T113)</f>
        <v/>
      </c>
      <c r="U118" s="41">
        <f>INDEX(Sales_Idx,U113)</f>
        <v/>
      </c>
      <c r="V118" s="41">
        <f>INDEX(Sales_Idx,V113)</f>
        <v/>
      </c>
      <c r="W118" s="41">
        <f>INDEX(Sales_Idx,W113)</f>
        <v/>
      </c>
      <c r="X118" s="41">
        <f>INDEX(Sales_Idx,X113)</f>
        <v/>
      </c>
      <c r="Y118" s="41">
        <f>INDEX(Sales_Idx,Y113)</f>
        <v/>
      </c>
      <c r="Z118" s="41">
        <f>INDEX(Sales_Idx,Z113)</f>
        <v/>
      </c>
      <c r="AA118" s="41">
        <f>INDEX(Sales_Idx,AA113)</f>
        <v/>
      </c>
      <c r="AB118" s="41">
        <f>INDEX(Sales_Idx,AB113)</f>
        <v/>
      </c>
      <c r="AC118" s="41">
        <f>INDEX(Sales_Idx,AC113)</f>
        <v/>
      </c>
      <c r="AD118" s="41">
        <f>INDEX(Sales_Idx,AD113)</f>
        <v/>
      </c>
      <c r="AE118" s="41">
        <f>INDEX(Sales_Idx,AE113)</f>
        <v/>
      </c>
      <c r="AF118" s="41">
        <f>INDEX(Sales_Idx,AF113)</f>
        <v/>
      </c>
      <c r="AG118" s="41">
        <f>INDEX(Sales_Idx,AG113)</f>
        <v/>
      </c>
      <c r="AH118" s="41">
        <f>INDEX(Sales_Idx,AH113)</f>
        <v/>
      </c>
      <c r="AI118" s="41">
        <f>INDEX(Sales_Idx,AI113)</f>
        <v/>
      </c>
      <c r="AJ118" s="41">
        <f>INDEX(Sales_Idx,AJ113)</f>
        <v/>
      </c>
      <c r="AK118" s="41">
        <f>INDEX(Sales_Idx,AK113)</f>
        <v/>
      </c>
      <c r="AL118" s="41">
        <f>INDEX(Sales_Idx,AL113)</f>
        <v/>
      </c>
      <c r="AM118" s="41">
        <f>INDEX(Sales_Idx,AM113)</f>
        <v/>
      </c>
      <c r="AN118" s="41">
        <f>INDEX(Sales_Idx,AN113)</f>
        <v/>
      </c>
    </row>
    <row r="119">
      <c r="B119" s="7" t="inlineStr">
        <is>
          <t>Field sales reps</t>
        </is>
      </c>
      <c r="C119" s="5" t="inlineStr">
        <is>
          <t>people</t>
        </is>
      </c>
      <c r="E119" s="57">
        <f>CHOOSE(E114,$D$56,$D$57,$D$58)</f>
        <v/>
      </c>
      <c r="F119" s="57">
        <f>CHOOSE(F114,$D$56,$D$57,$D$58)</f>
        <v/>
      </c>
      <c r="G119" s="57">
        <f>CHOOSE(G114,$D$56,$D$57,$D$58)</f>
        <v/>
      </c>
      <c r="H119" s="57">
        <f>CHOOSE(H114,$D$56,$D$57,$D$58)</f>
        <v/>
      </c>
      <c r="I119" s="57">
        <f>CHOOSE(I114,$D$56,$D$57,$D$58)</f>
        <v/>
      </c>
      <c r="J119" s="57">
        <f>CHOOSE(J114,$D$56,$D$57,$D$58)</f>
        <v/>
      </c>
      <c r="K119" s="57">
        <f>CHOOSE(K114,$D$56,$D$57,$D$58)</f>
        <v/>
      </c>
      <c r="L119" s="57">
        <f>CHOOSE(L114,$D$56,$D$57,$D$58)</f>
        <v/>
      </c>
      <c r="M119" s="57">
        <f>CHOOSE(M114,$D$56,$D$57,$D$58)</f>
        <v/>
      </c>
      <c r="N119" s="57">
        <f>CHOOSE(N114,$D$56,$D$57,$D$58)</f>
        <v/>
      </c>
      <c r="O119" s="57">
        <f>CHOOSE(O114,$D$56,$D$57,$D$58)</f>
        <v/>
      </c>
      <c r="P119" s="57">
        <f>CHOOSE(P114,$D$56,$D$57,$D$58)</f>
        <v/>
      </c>
      <c r="Q119" s="57">
        <f>CHOOSE(Q114,$D$56,$D$57,$D$58)</f>
        <v/>
      </c>
      <c r="R119" s="57">
        <f>CHOOSE(R114,$D$56,$D$57,$D$58)</f>
        <v/>
      </c>
      <c r="S119" s="57">
        <f>CHOOSE(S114,$D$56,$D$57,$D$58)</f>
        <v/>
      </c>
      <c r="T119" s="57">
        <f>CHOOSE(T114,$D$56,$D$57,$D$58)</f>
        <v/>
      </c>
      <c r="U119" s="57">
        <f>CHOOSE(U114,$D$56,$D$57,$D$58)</f>
        <v/>
      </c>
      <c r="V119" s="57">
        <f>CHOOSE(V114,$D$56,$D$57,$D$58)</f>
        <v/>
      </c>
      <c r="W119" s="57">
        <f>CHOOSE(W114,$D$56,$D$57,$D$58)</f>
        <v/>
      </c>
      <c r="X119" s="57">
        <f>CHOOSE(X114,$D$56,$D$57,$D$58)</f>
        <v/>
      </c>
      <c r="Y119" s="57">
        <f>CHOOSE(Y114,$D$56,$D$57,$D$58)</f>
        <v/>
      </c>
      <c r="Z119" s="57">
        <f>CHOOSE(Z114,$D$56,$D$57,$D$58)</f>
        <v/>
      </c>
      <c r="AA119" s="57">
        <f>CHOOSE(AA114,$D$56,$D$57,$D$58)</f>
        <v/>
      </c>
      <c r="AB119" s="57">
        <f>CHOOSE(AB114,$D$56,$D$57,$D$58)</f>
        <v/>
      </c>
      <c r="AC119" s="57">
        <f>CHOOSE(AC114,$D$56,$D$57,$D$58)</f>
        <v/>
      </c>
      <c r="AD119" s="57">
        <f>CHOOSE(AD114,$D$56,$D$57,$D$58)</f>
        <v/>
      </c>
      <c r="AE119" s="57">
        <f>CHOOSE(AE114,$D$56,$D$57,$D$58)</f>
        <v/>
      </c>
      <c r="AF119" s="57">
        <f>CHOOSE(AF114,$D$56,$D$57,$D$58)</f>
        <v/>
      </c>
      <c r="AG119" s="57">
        <f>CHOOSE(AG114,$D$56,$D$57,$D$58)</f>
        <v/>
      </c>
      <c r="AH119" s="57">
        <f>CHOOSE(AH114,$D$56,$D$57,$D$58)</f>
        <v/>
      </c>
      <c r="AI119" s="57">
        <f>CHOOSE(AI114,$D$56,$D$57,$D$58)</f>
        <v/>
      </c>
      <c r="AJ119" s="57">
        <f>CHOOSE(AJ114,$D$56,$D$57,$D$58)</f>
        <v/>
      </c>
      <c r="AK119" s="57">
        <f>CHOOSE(AK114,$D$56,$D$57,$D$58)</f>
        <v/>
      </c>
      <c r="AL119" s="57">
        <f>CHOOSE(AL114,$D$56,$D$57,$D$58)</f>
        <v/>
      </c>
      <c r="AM119" s="57">
        <f>CHOOSE(AM114,$D$56,$D$57,$D$58)</f>
        <v/>
      </c>
      <c r="AN119" s="57">
        <f>CHOOSE(AN114,$D$56,$D$57,$D$58)</f>
        <v/>
      </c>
    </row>
    <row r="120">
      <c r="B120" s="7" t="inlineStr">
        <is>
          <t>Free pilots started</t>
        </is>
      </c>
      <c r="C120" s="5" t="inlineStr">
        <is>
          <t>pilots</t>
        </is>
      </c>
      <c r="E120" s="53">
        <f>E119*$D$40*E118</f>
        <v/>
      </c>
      <c r="F120" s="53">
        <f>F119*$D$40*F118</f>
        <v/>
      </c>
      <c r="G120" s="53">
        <f>G119*$D$40*G118</f>
        <v/>
      </c>
      <c r="H120" s="53">
        <f>H119*$D$40*H118</f>
        <v/>
      </c>
      <c r="I120" s="53">
        <f>I119*$D$40*I118</f>
        <v/>
      </c>
      <c r="J120" s="53">
        <f>J119*$D$40*J118</f>
        <v/>
      </c>
      <c r="K120" s="53">
        <f>K119*$D$40*K118</f>
        <v/>
      </c>
      <c r="L120" s="53">
        <f>L119*$D$40*L118</f>
        <v/>
      </c>
      <c r="M120" s="53">
        <f>M119*$D$40*M118</f>
        <v/>
      </c>
      <c r="N120" s="53">
        <f>N119*$D$40*N118</f>
        <v/>
      </c>
      <c r="O120" s="53">
        <f>O119*$D$40*O118</f>
        <v/>
      </c>
      <c r="P120" s="53">
        <f>P119*$D$40*P118</f>
        <v/>
      </c>
      <c r="Q120" s="53">
        <f>Q119*$D$40*Q118</f>
        <v/>
      </c>
      <c r="R120" s="53">
        <f>R119*$D$40*R118</f>
        <v/>
      </c>
      <c r="S120" s="53">
        <f>S119*$D$40*S118</f>
        <v/>
      </c>
      <c r="T120" s="53">
        <f>T119*$D$40*T118</f>
        <v/>
      </c>
      <c r="U120" s="53">
        <f>U119*$D$40*U118</f>
        <v/>
      </c>
      <c r="V120" s="53">
        <f>V119*$D$40*V118</f>
        <v/>
      </c>
      <c r="W120" s="53">
        <f>W119*$D$40*W118</f>
        <v/>
      </c>
      <c r="X120" s="53">
        <f>X119*$D$40*X118</f>
        <v/>
      </c>
      <c r="Y120" s="53">
        <f>Y119*$D$40*Y118</f>
        <v/>
      </c>
      <c r="Z120" s="53">
        <f>Z119*$D$40*Z118</f>
        <v/>
      </c>
      <c r="AA120" s="53">
        <f>AA119*$D$40*AA118</f>
        <v/>
      </c>
      <c r="AB120" s="53">
        <f>AB119*$D$40*AB118</f>
        <v/>
      </c>
      <c r="AC120" s="53">
        <f>AC119*$D$40*AC118</f>
        <v/>
      </c>
      <c r="AD120" s="53">
        <f>AD119*$D$40*AD118</f>
        <v/>
      </c>
      <c r="AE120" s="53">
        <f>AE119*$D$40*AE118</f>
        <v/>
      </c>
      <c r="AF120" s="53">
        <f>AF119*$D$40*AF118</f>
        <v/>
      </c>
      <c r="AG120" s="53">
        <f>AG119*$D$40*AG118</f>
        <v/>
      </c>
      <c r="AH120" s="53">
        <f>AH119*$D$40*AH118</f>
        <v/>
      </c>
      <c r="AI120" s="53">
        <f>AI119*$D$40*AI118</f>
        <v/>
      </c>
      <c r="AJ120" s="53">
        <f>AJ119*$D$40*AJ118</f>
        <v/>
      </c>
      <c r="AK120" s="53">
        <f>AK119*$D$40*AK118</f>
        <v/>
      </c>
      <c r="AL120" s="53">
        <f>AL119*$D$40*AL118</f>
        <v/>
      </c>
      <c r="AM120" s="53">
        <f>AM119*$D$40*AM118</f>
        <v/>
      </c>
      <c r="AN120" s="53">
        <f>AN119*$D$40*AN118</f>
        <v/>
      </c>
    </row>
    <row r="121">
      <c r="B121" s="7" t="inlineStr">
        <is>
          <t>New paying institutes before the market cap</t>
        </is>
      </c>
      <c r="C121" s="5" t="inlineStr">
        <is>
          <t>institutes</t>
        </is>
      </c>
      <c r="E121" s="53">
        <f>IF(E112&gt;$D$42,INDEX($E$120:$AN$120,1,E112-$D$42),0)*$D$41</f>
        <v/>
      </c>
      <c r="F121" s="53">
        <f>IF(F112&gt;$D$42,INDEX($E$120:$AN$120,1,F112-$D$42),0)*$D$41</f>
        <v/>
      </c>
      <c r="G121" s="53">
        <f>IF(G112&gt;$D$42,INDEX($E$120:$AN$120,1,G112-$D$42),0)*$D$41</f>
        <v/>
      </c>
      <c r="H121" s="53">
        <f>IF(H112&gt;$D$42,INDEX($E$120:$AN$120,1,H112-$D$42),0)*$D$41</f>
        <v/>
      </c>
      <c r="I121" s="53">
        <f>IF(I112&gt;$D$42,INDEX($E$120:$AN$120,1,I112-$D$42),0)*$D$41</f>
        <v/>
      </c>
      <c r="J121" s="53">
        <f>IF(J112&gt;$D$42,INDEX($E$120:$AN$120,1,J112-$D$42),0)*$D$41</f>
        <v/>
      </c>
      <c r="K121" s="53">
        <f>IF(K112&gt;$D$42,INDEX($E$120:$AN$120,1,K112-$D$42),0)*$D$41</f>
        <v/>
      </c>
      <c r="L121" s="53">
        <f>IF(L112&gt;$D$42,INDEX($E$120:$AN$120,1,L112-$D$42),0)*$D$41</f>
        <v/>
      </c>
      <c r="M121" s="53">
        <f>IF(M112&gt;$D$42,INDEX($E$120:$AN$120,1,M112-$D$42),0)*$D$41</f>
        <v/>
      </c>
      <c r="N121" s="53">
        <f>IF(N112&gt;$D$42,INDEX($E$120:$AN$120,1,N112-$D$42),0)*$D$41</f>
        <v/>
      </c>
      <c r="O121" s="53">
        <f>IF(O112&gt;$D$42,INDEX($E$120:$AN$120,1,O112-$D$42),0)*$D$41</f>
        <v/>
      </c>
      <c r="P121" s="53">
        <f>IF(P112&gt;$D$42,INDEX($E$120:$AN$120,1,P112-$D$42),0)*$D$41</f>
        <v/>
      </c>
      <c r="Q121" s="53">
        <f>IF(Q112&gt;$D$42,INDEX($E$120:$AN$120,1,Q112-$D$42),0)*$D$41</f>
        <v/>
      </c>
      <c r="R121" s="53">
        <f>IF(R112&gt;$D$42,INDEX($E$120:$AN$120,1,R112-$D$42),0)*$D$41</f>
        <v/>
      </c>
      <c r="S121" s="53">
        <f>IF(S112&gt;$D$42,INDEX($E$120:$AN$120,1,S112-$D$42),0)*$D$41</f>
        <v/>
      </c>
      <c r="T121" s="53">
        <f>IF(T112&gt;$D$42,INDEX($E$120:$AN$120,1,T112-$D$42),0)*$D$41</f>
        <v/>
      </c>
      <c r="U121" s="53">
        <f>IF(U112&gt;$D$42,INDEX($E$120:$AN$120,1,U112-$D$42),0)*$D$41</f>
        <v/>
      </c>
      <c r="V121" s="53">
        <f>IF(V112&gt;$D$42,INDEX($E$120:$AN$120,1,V112-$D$42),0)*$D$41</f>
        <v/>
      </c>
      <c r="W121" s="53">
        <f>IF(W112&gt;$D$42,INDEX($E$120:$AN$120,1,W112-$D$42),0)*$D$41</f>
        <v/>
      </c>
      <c r="X121" s="53">
        <f>IF(X112&gt;$D$42,INDEX($E$120:$AN$120,1,X112-$D$42),0)*$D$41</f>
        <v/>
      </c>
      <c r="Y121" s="53">
        <f>IF(Y112&gt;$D$42,INDEX($E$120:$AN$120,1,Y112-$D$42),0)*$D$41</f>
        <v/>
      </c>
      <c r="Z121" s="53">
        <f>IF(Z112&gt;$D$42,INDEX($E$120:$AN$120,1,Z112-$D$42),0)*$D$41</f>
        <v/>
      </c>
      <c r="AA121" s="53">
        <f>IF(AA112&gt;$D$42,INDEX($E$120:$AN$120,1,AA112-$D$42),0)*$D$41</f>
        <v/>
      </c>
      <c r="AB121" s="53">
        <f>IF(AB112&gt;$D$42,INDEX($E$120:$AN$120,1,AB112-$D$42),0)*$D$41</f>
        <v/>
      </c>
      <c r="AC121" s="53">
        <f>IF(AC112&gt;$D$42,INDEX($E$120:$AN$120,1,AC112-$D$42),0)*$D$41</f>
        <v/>
      </c>
      <c r="AD121" s="53">
        <f>IF(AD112&gt;$D$42,INDEX($E$120:$AN$120,1,AD112-$D$42),0)*$D$41</f>
        <v/>
      </c>
      <c r="AE121" s="53">
        <f>IF(AE112&gt;$D$42,INDEX($E$120:$AN$120,1,AE112-$D$42),0)*$D$41</f>
        <v/>
      </c>
      <c r="AF121" s="53">
        <f>IF(AF112&gt;$D$42,INDEX($E$120:$AN$120,1,AF112-$D$42),0)*$D$41</f>
        <v/>
      </c>
      <c r="AG121" s="53">
        <f>IF(AG112&gt;$D$42,INDEX($E$120:$AN$120,1,AG112-$D$42),0)*$D$41</f>
        <v/>
      </c>
      <c r="AH121" s="53">
        <f>IF(AH112&gt;$D$42,INDEX($E$120:$AN$120,1,AH112-$D$42),0)*$D$41</f>
        <v/>
      </c>
      <c r="AI121" s="53">
        <f>IF(AI112&gt;$D$42,INDEX($E$120:$AN$120,1,AI112-$D$42),0)*$D$41</f>
        <v/>
      </c>
      <c r="AJ121" s="53">
        <f>IF(AJ112&gt;$D$42,INDEX($E$120:$AN$120,1,AJ112-$D$42),0)*$D$41</f>
        <v/>
      </c>
      <c r="AK121" s="53">
        <f>IF(AK112&gt;$D$42,INDEX($E$120:$AN$120,1,AK112-$D$42),0)*$D$41</f>
        <v/>
      </c>
      <c r="AL121" s="53">
        <f>IF(AL112&gt;$D$42,INDEX($E$120:$AN$120,1,AL112-$D$42),0)*$D$41</f>
        <v/>
      </c>
      <c r="AM121" s="53">
        <f>IF(AM112&gt;$D$42,INDEX($E$120:$AN$120,1,AM112-$D$42),0)*$D$41</f>
        <v/>
      </c>
      <c r="AN121" s="53">
        <f>IF(AN112&gt;$D$42,INDEX($E$120:$AN$120,1,AN112-$D$42),0)*$D$41</f>
        <v/>
      </c>
    </row>
    <row r="122">
      <c r="B122" s="7" t="inlineStr">
        <is>
          <t>Market headroom left (SAM × max penetration − institutes won so far)</t>
        </is>
      </c>
      <c r="C122" s="5" t="inlineStr">
        <is>
          <t>institutes</t>
        </is>
      </c>
      <c r="E122" s="53">
        <f>MAX(0,$D$75)</f>
        <v/>
      </c>
      <c r="F122" s="53">
        <f>MAX(0,$D$75-E124)</f>
        <v/>
      </c>
      <c r="G122" s="53">
        <f>MAX(0,$D$75-F124)</f>
        <v/>
      </c>
      <c r="H122" s="53">
        <f>MAX(0,$D$75-G124)</f>
        <v/>
      </c>
      <c r="I122" s="53">
        <f>MAX(0,$D$75-H124)</f>
        <v/>
      </c>
      <c r="J122" s="53">
        <f>MAX(0,$D$75-I124)</f>
        <v/>
      </c>
      <c r="K122" s="53">
        <f>MAX(0,$D$75-J124)</f>
        <v/>
      </c>
      <c r="L122" s="53">
        <f>MAX(0,$D$75-K124)</f>
        <v/>
      </c>
      <c r="M122" s="53">
        <f>MAX(0,$D$75-L124)</f>
        <v/>
      </c>
      <c r="N122" s="53">
        <f>MAX(0,$D$75-M124)</f>
        <v/>
      </c>
      <c r="O122" s="53">
        <f>MAX(0,$D$75-N124)</f>
        <v/>
      </c>
      <c r="P122" s="53">
        <f>MAX(0,$D$75-O124)</f>
        <v/>
      </c>
      <c r="Q122" s="53">
        <f>MAX(0,$D$75-P124)</f>
        <v/>
      </c>
      <c r="R122" s="53">
        <f>MAX(0,$D$75-Q124)</f>
        <v/>
      </c>
      <c r="S122" s="53">
        <f>MAX(0,$D$75-R124)</f>
        <v/>
      </c>
      <c r="T122" s="53">
        <f>MAX(0,$D$75-S124)</f>
        <v/>
      </c>
      <c r="U122" s="53">
        <f>MAX(0,$D$75-T124)</f>
        <v/>
      </c>
      <c r="V122" s="53">
        <f>MAX(0,$D$75-U124)</f>
        <v/>
      </c>
      <c r="W122" s="53">
        <f>MAX(0,$D$75-V124)</f>
        <v/>
      </c>
      <c r="X122" s="53">
        <f>MAX(0,$D$75-W124)</f>
        <v/>
      </c>
      <c r="Y122" s="53">
        <f>MAX(0,$D$75-X124)</f>
        <v/>
      </c>
      <c r="Z122" s="53">
        <f>MAX(0,$D$75-Y124)</f>
        <v/>
      </c>
      <c r="AA122" s="53">
        <f>MAX(0,$D$75-Z124)</f>
        <v/>
      </c>
      <c r="AB122" s="53">
        <f>MAX(0,$D$75-AA124)</f>
        <v/>
      </c>
      <c r="AC122" s="53">
        <f>MAX(0,$D$75-AB124)</f>
        <v/>
      </c>
      <c r="AD122" s="53">
        <f>MAX(0,$D$75-AC124)</f>
        <v/>
      </c>
      <c r="AE122" s="53">
        <f>MAX(0,$D$75-AD124)</f>
        <v/>
      </c>
      <c r="AF122" s="53">
        <f>MAX(0,$D$75-AE124)</f>
        <v/>
      </c>
      <c r="AG122" s="53">
        <f>MAX(0,$D$75-AF124)</f>
        <v/>
      </c>
      <c r="AH122" s="53">
        <f>MAX(0,$D$75-AG124)</f>
        <v/>
      </c>
      <c r="AI122" s="53">
        <f>MAX(0,$D$75-AH124)</f>
        <v/>
      </c>
      <c r="AJ122" s="53">
        <f>MAX(0,$D$75-AI124)</f>
        <v/>
      </c>
      <c r="AK122" s="53">
        <f>MAX(0,$D$75-AJ124)</f>
        <v/>
      </c>
      <c r="AL122" s="53">
        <f>MAX(0,$D$75-AK124)</f>
        <v/>
      </c>
      <c r="AM122" s="53">
        <f>MAX(0,$D$75-AL124)</f>
        <v/>
      </c>
      <c r="AN122" s="53">
        <f>MAX(0,$D$75-AM124)</f>
        <v/>
      </c>
    </row>
    <row r="123">
      <c r="B123" s="7" t="inlineStr">
        <is>
          <t>New paying institutes</t>
        </is>
      </c>
      <c r="C123" s="5" t="inlineStr">
        <is>
          <t>institutes</t>
        </is>
      </c>
      <c r="E123" s="53">
        <f>MIN(E121,E122)</f>
        <v/>
      </c>
      <c r="F123" s="53">
        <f>MIN(F121,F122)</f>
        <v/>
      </c>
      <c r="G123" s="53">
        <f>MIN(G121,G122)</f>
        <v/>
      </c>
      <c r="H123" s="53">
        <f>MIN(H121,H122)</f>
        <v/>
      </c>
      <c r="I123" s="53">
        <f>MIN(I121,I122)</f>
        <v/>
      </c>
      <c r="J123" s="53">
        <f>MIN(J121,J122)</f>
        <v/>
      </c>
      <c r="K123" s="53">
        <f>MIN(K121,K122)</f>
        <v/>
      </c>
      <c r="L123" s="53">
        <f>MIN(L121,L122)</f>
        <v/>
      </c>
      <c r="M123" s="53">
        <f>MIN(M121,M122)</f>
        <v/>
      </c>
      <c r="N123" s="53">
        <f>MIN(N121,N122)</f>
        <v/>
      </c>
      <c r="O123" s="53">
        <f>MIN(O121,O122)</f>
        <v/>
      </c>
      <c r="P123" s="53">
        <f>MIN(P121,P122)</f>
        <v/>
      </c>
      <c r="Q123" s="53">
        <f>MIN(Q121,Q122)</f>
        <v/>
      </c>
      <c r="R123" s="53">
        <f>MIN(R121,R122)</f>
        <v/>
      </c>
      <c r="S123" s="53">
        <f>MIN(S121,S122)</f>
        <v/>
      </c>
      <c r="T123" s="53">
        <f>MIN(T121,T122)</f>
        <v/>
      </c>
      <c r="U123" s="53">
        <f>MIN(U121,U122)</f>
        <v/>
      </c>
      <c r="V123" s="53">
        <f>MIN(V121,V122)</f>
        <v/>
      </c>
      <c r="W123" s="53">
        <f>MIN(W121,W122)</f>
        <v/>
      </c>
      <c r="X123" s="53">
        <f>MIN(X121,X122)</f>
        <v/>
      </c>
      <c r="Y123" s="53">
        <f>MIN(Y121,Y122)</f>
        <v/>
      </c>
      <c r="Z123" s="53">
        <f>MIN(Z121,Z122)</f>
        <v/>
      </c>
      <c r="AA123" s="53">
        <f>MIN(AA121,AA122)</f>
        <v/>
      </c>
      <c r="AB123" s="53">
        <f>MIN(AB121,AB122)</f>
        <v/>
      </c>
      <c r="AC123" s="53">
        <f>MIN(AC121,AC122)</f>
        <v/>
      </c>
      <c r="AD123" s="53">
        <f>MIN(AD121,AD122)</f>
        <v/>
      </c>
      <c r="AE123" s="53">
        <f>MIN(AE121,AE122)</f>
        <v/>
      </c>
      <c r="AF123" s="53">
        <f>MIN(AF121,AF122)</f>
        <v/>
      </c>
      <c r="AG123" s="53">
        <f>MIN(AG121,AG122)</f>
        <v/>
      </c>
      <c r="AH123" s="53">
        <f>MIN(AH121,AH122)</f>
        <v/>
      </c>
      <c r="AI123" s="53">
        <f>MIN(AI121,AI122)</f>
        <v/>
      </c>
      <c r="AJ123" s="53">
        <f>MIN(AJ121,AJ122)</f>
        <v/>
      </c>
      <c r="AK123" s="53">
        <f>MIN(AK121,AK122)</f>
        <v/>
      </c>
      <c r="AL123" s="53">
        <f>MIN(AL121,AL122)</f>
        <v/>
      </c>
      <c r="AM123" s="53">
        <f>MIN(AM121,AM122)</f>
        <v/>
      </c>
      <c r="AN123" s="53">
        <f>MIN(AN121,AN122)</f>
        <v/>
      </c>
    </row>
    <row r="124">
      <c r="B124" s="7" t="inlineStr">
        <is>
          <t>Cumulative institutes won</t>
        </is>
      </c>
      <c r="C124" s="5" t="inlineStr">
        <is>
          <t>institutes</t>
        </is>
      </c>
      <c r="E124" s="53">
        <f>E123</f>
        <v/>
      </c>
      <c r="F124" s="53">
        <f>E124+F123</f>
        <v/>
      </c>
      <c r="G124" s="53">
        <f>F124+G123</f>
        <v/>
      </c>
      <c r="H124" s="53">
        <f>G124+H123</f>
        <v/>
      </c>
      <c r="I124" s="53">
        <f>H124+I123</f>
        <v/>
      </c>
      <c r="J124" s="53">
        <f>I124+J123</f>
        <v/>
      </c>
      <c r="K124" s="53">
        <f>J124+K123</f>
        <v/>
      </c>
      <c r="L124" s="53">
        <f>K124+L123</f>
        <v/>
      </c>
      <c r="M124" s="53">
        <f>L124+M123</f>
        <v/>
      </c>
      <c r="N124" s="53">
        <f>M124+N123</f>
        <v/>
      </c>
      <c r="O124" s="53">
        <f>N124+O123</f>
        <v/>
      </c>
      <c r="P124" s="53">
        <f>O124+P123</f>
        <v/>
      </c>
      <c r="Q124" s="53">
        <f>P124+Q123</f>
        <v/>
      </c>
      <c r="R124" s="53">
        <f>Q124+R123</f>
        <v/>
      </c>
      <c r="S124" s="53">
        <f>R124+S123</f>
        <v/>
      </c>
      <c r="T124" s="53">
        <f>S124+T123</f>
        <v/>
      </c>
      <c r="U124" s="53">
        <f>T124+U123</f>
        <v/>
      </c>
      <c r="V124" s="53">
        <f>U124+V123</f>
        <v/>
      </c>
      <c r="W124" s="53">
        <f>V124+W123</f>
        <v/>
      </c>
      <c r="X124" s="53">
        <f>W124+X123</f>
        <v/>
      </c>
      <c r="Y124" s="53">
        <f>X124+Y123</f>
        <v/>
      </c>
      <c r="Z124" s="53">
        <f>Y124+Z123</f>
        <v/>
      </c>
      <c r="AA124" s="53">
        <f>Z124+AA123</f>
        <v/>
      </c>
      <c r="AB124" s="53">
        <f>AA124+AB123</f>
        <v/>
      </c>
      <c r="AC124" s="53">
        <f>AB124+AC123</f>
        <v/>
      </c>
      <c r="AD124" s="53">
        <f>AC124+AD123</f>
        <v/>
      </c>
      <c r="AE124" s="53">
        <f>AD124+AE123</f>
        <v/>
      </c>
      <c r="AF124" s="53">
        <f>AE124+AF123</f>
        <v/>
      </c>
      <c r="AG124" s="53">
        <f>AF124+AG123</f>
        <v/>
      </c>
      <c r="AH124" s="53">
        <f>AG124+AH123</f>
        <v/>
      </c>
      <c r="AI124" s="53">
        <f>AH124+AI123</f>
        <v/>
      </c>
      <c r="AJ124" s="53">
        <f>AI124+AJ123</f>
        <v/>
      </c>
      <c r="AK124" s="53">
        <f>AJ124+AK123</f>
        <v/>
      </c>
      <c r="AL124" s="53">
        <f>AK124+AL123</f>
        <v/>
      </c>
      <c r="AM124" s="53">
        <f>AL124+AM123</f>
        <v/>
      </c>
      <c r="AN124" s="53">
        <f>AM124+AN123</f>
        <v/>
      </c>
    </row>
    <row r="125">
      <c r="A125" s="23" t="n"/>
      <c r="B125" s="22" t="inlineStr">
        <is>
          <t>B. Customers and revenue</t>
        </is>
      </c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  <c r="AA125" s="23" t="n"/>
      <c r="AB125" s="23" t="n"/>
      <c r="AC125" s="23" t="n"/>
      <c r="AD125" s="23" t="n"/>
      <c r="AE125" s="23" t="n"/>
      <c r="AF125" s="23" t="n"/>
      <c r="AG125" s="23" t="n"/>
      <c r="AH125" s="23" t="n"/>
      <c r="AI125" s="23" t="n"/>
      <c r="AJ125" s="23" t="n"/>
      <c r="AK125" s="23" t="n"/>
      <c r="AL125" s="23" t="n"/>
      <c r="AM125" s="23" t="n"/>
      <c r="AN125" s="23" t="n"/>
    </row>
    <row r="126">
      <c r="B126" s="3" t="inlineStr">
        <is>
          <t>Paying institutes (end of month)</t>
        </is>
      </c>
      <c r="C126" s="5" t="inlineStr">
        <is>
          <t>institutes</t>
        </is>
      </c>
      <c r="E126" s="53">
        <f>SUM(E161:E196)</f>
        <v/>
      </c>
      <c r="F126" s="53">
        <f>SUM(F161:F196)</f>
        <v/>
      </c>
      <c r="G126" s="53">
        <f>SUM(G161:G196)</f>
        <v/>
      </c>
      <c r="H126" s="53">
        <f>SUM(H161:H196)</f>
        <v/>
      </c>
      <c r="I126" s="53">
        <f>SUM(I161:I196)</f>
        <v/>
      </c>
      <c r="J126" s="53">
        <f>SUM(J161:J196)</f>
        <v/>
      </c>
      <c r="K126" s="53">
        <f>SUM(K161:K196)</f>
        <v/>
      </c>
      <c r="L126" s="53">
        <f>SUM(L161:L196)</f>
        <v/>
      </c>
      <c r="M126" s="53">
        <f>SUM(M161:M196)</f>
        <v/>
      </c>
      <c r="N126" s="53">
        <f>SUM(N161:N196)</f>
        <v/>
      </c>
      <c r="O126" s="53">
        <f>SUM(O161:O196)</f>
        <v/>
      </c>
      <c r="P126" s="53">
        <f>SUM(P161:P196)</f>
        <v/>
      </c>
      <c r="Q126" s="53">
        <f>SUM(Q161:Q196)</f>
        <v/>
      </c>
      <c r="R126" s="53">
        <f>SUM(R161:R196)</f>
        <v/>
      </c>
      <c r="S126" s="53">
        <f>SUM(S161:S196)</f>
        <v/>
      </c>
      <c r="T126" s="53">
        <f>SUM(T161:T196)</f>
        <v/>
      </c>
      <c r="U126" s="53">
        <f>SUM(U161:U196)</f>
        <v/>
      </c>
      <c r="V126" s="53">
        <f>SUM(V161:V196)</f>
        <v/>
      </c>
      <c r="W126" s="53">
        <f>SUM(W161:W196)</f>
        <v/>
      </c>
      <c r="X126" s="53">
        <f>SUM(X161:X196)</f>
        <v/>
      </c>
      <c r="Y126" s="53">
        <f>SUM(Y161:Y196)</f>
        <v/>
      </c>
      <c r="Z126" s="53">
        <f>SUM(Z161:Z196)</f>
        <v/>
      </c>
      <c r="AA126" s="53">
        <f>SUM(AA161:AA196)</f>
        <v/>
      </c>
      <c r="AB126" s="53">
        <f>SUM(AB161:AB196)</f>
        <v/>
      </c>
      <c r="AC126" s="53">
        <f>SUM(AC161:AC196)</f>
        <v/>
      </c>
      <c r="AD126" s="53">
        <f>SUM(AD161:AD196)</f>
        <v/>
      </c>
      <c r="AE126" s="53">
        <f>SUM(AE161:AE196)</f>
        <v/>
      </c>
      <c r="AF126" s="53">
        <f>SUM(AF161:AF196)</f>
        <v/>
      </c>
      <c r="AG126" s="53">
        <f>SUM(AG161:AG196)</f>
        <v/>
      </c>
      <c r="AH126" s="53">
        <f>SUM(AH161:AH196)</f>
        <v/>
      </c>
      <c r="AI126" s="53">
        <f>SUM(AI161:AI196)</f>
        <v/>
      </c>
      <c r="AJ126" s="53">
        <f>SUM(AJ161:AJ196)</f>
        <v/>
      </c>
      <c r="AK126" s="53">
        <f>SUM(AK161:AK196)</f>
        <v/>
      </c>
      <c r="AL126" s="53">
        <f>SUM(AL161:AL196)</f>
        <v/>
      </c>
      <c r="AM126" s="53">
        <f>SUM(AM161:AM196)</f>
        <v/>
      </c>
      <c r="AN126" s="53">
        <f>SUM(AN161:AN196)</f>
        <v/>
      </c>
    </row>
    <row r="127">
      <c r="B127" s="7" t="inlineStr">
        <is>
          <t>Revenue per paying institute this month</t>
        </is>
      </c>
      <c r="C127" s="5" t="inlineStr">
        <is>
          <t>₹</t>
        </is>
      </c>
      <c r="E127" s="50">
        <f>INDEX($E$82:$P$82,1,E113)</f>
        <v/>
      </c>
      <c r="F127" s="50">
        <f>INDEX($E$82:$P$82,1,F113)</f>
        <v/>
      </c>
      <c r="G127" s="50">
        <f>INDEX($E$82:$P$82,1,G113)</f>
        <v/>
      </c>
      <c r="H127" s="50">
        <f>INDEX($E$82:$P$82,1,H113)</f>
        <v/>
      </c>
      <c r="I127" s="50">
        <f>INDEX($E$82:$P$82,1,I113)</f>
        <v/>
      </c>
      <c r="J127" s="50">
        <f>INDEX($E$82:$P$82,1,J113)</f>
        <v/>
      </c>
      <c r="K127" s="50">
        <f>INDEX($E$82:$P$82,1,K113)</f>
        <v/>
      </c>
      <c r="L127" s="50">
        <f>INDEX($E$82:$P$82,1,L113)</f>
        <v/>
      </c>
      <c r="M127" s="50">
        <f>INDEX($E$82:$P$82,1,M113)</f>
        <v/>
      </c>
      <c r="N127" s="50">
        <f>INDEX($E$82:$P$82,1,N113)</f>
        <v/>
      </c>
      <c r="O127" s="50">
        <f>INDEX($E$82:$P$82,1,O113)</f>
        <v/>
      </c>
      <c r="P127" s="50">
        <f>INDEX($E$82:$P$82,1,P113)</f>
        <v/>
      </c>
      <c r="Q127" s="50">
        <f>INDEX($E$82:$P$82,1,Q113)</f>
        <v/>
      </c>
      <c r="R127" s="50">
        <f>INDEX($E$82:$P$82,1,R113)</f>
        <v/>
      </c>
      <c r="S127" s="50">
        <f>INDEX($E$82:$P$82,1,S113)</f>
        <v/>
      </c>
      <c r="T127" s="50">
        <f>INDEX($E$82:$P$82,1,T113)</f>
        <v/>
      </c>
      <c r="U127" s="50">
        <f>INDEX($E$82:$P$82,1,U113)</f>
        <v/>
      </c>
      <c r="V127" s="50">
        <f>INDEX($E$82:$P$82,1,V113)</f>
        <v/>
      </c>
      <c r="W127" s="50">
        <f>INDEX($E$82:$P$82,1,W113)</f>
        <v/>
      </c>
      <c r="X127" s="50">
        <f>INDEX($E$82:$P$82,1,X113)</f>
        <v/>
      </c>
      <c r="Y127" s="50">
        <f>INDEX($E$82:$P$82,1,Y113)</f>
        <v/>
      </c>
      <c r="Z127" s="50">
        <f>INDEX($E$82:$P$82,1,Z113)</f>
        <v/>
      </c>
      <c r="AA127" s="50">
        <f>INDEX($E$82:$P$82,1,AA113)</f>
        <v/>
      </c>
      <c r="AB127" s="50">
        <f>INDEX($E$82:$P$82,1,AB113)</f>
        <v/>
      </c>
      <c r="AC127" s="50">
        <f>INDEX($E$82:$P$82,1,AC113)</f>
        <v/>
      </c>
      <c r="AD127" s="50">
        <f>INDEX($E$82:$P$82,1,AD113)</f>
        <v/>
      </c>
      <c r="AE127" s="50">
        <f>INDEX($E$82:$P$82,1,AE113)</f>
        <v/>
      </c>
      <c r="AF127" s="50">
        <f>INDEX($E$82:$P$82,1,AF113)</f>
        <v/>
      </c>
      <c r="AG127" s="50">
        <f>INDEX($E$82:$P$82,1,AG113)</f>
        <v/>
      </c>
      <c r="AH127" s="50">
        <f>INDEX($E$82:$P$82,1,AH113)</f>
        <v/>
      </c>
      <c r="AI127" s="50">
        <f>INDEX($E$82:$P$82,1,AI113)</f>
        <v/>
      </c>
      <c r="AJ127" s="50">
        <f>INDEX($E$82:$P$82,1,AJ113)</f>
        <v/>
      </c>
      <c r="AK127" s="50">
        <f>INDEX($E$82:$P$82,1,AK113)</f>
        <v/>
      </c>
      <c r="AL127" s="50">
        <f>INDEX($E$82:$P$82,1,AL113)</f>
        <v/>
      </c>
      <c r="AM127" s="50">
        <f>INDEX($E$82:$P$82,1,AM113)</f>
        <v/>
      </c>
      <c r="AN127" s="50">
        <f>INDEX($E$82:$P$82,1,AN113)</f>
        <v/>
      </c>
    </row>
    <row r="128">
      <c r="B128" s="3" t="inlineStr">
        <is>
          <t>Revenue (ex-GST)</t>
        </is>
      </c>
      <c r="C128" s="5" t="inlineStr">
        <is>
          <t>₹</t>
        </is>
      </c>
      <c r="E128" s="52">
        <f>E126*E127</f>
        <v/>
      </c>
      <c r="F128" s="52">
        <f>F126*F127</f>
        <v/>
      </c>
      <c r="G128" s="52">
        <f>G126*G127</f>
        <v/>
      </c>
      <c r="H128" s="52">
        <f>H126*H127</f>
        <v/>
      </c>
      <c r="I128" s="52">
        <f>I126*I127</f>
        <v/>
      </c>
      <c r="J128" s="52">
        <f>J126*J127</f>
        <v/>
      </c>
      <c r="K128" s="52">
        <f>K126*K127</f>
        <v/>
      </c>
      <c r="L128" s="52">
        <f>L126*L127</f>
        <v/>
      </c>
      <c r="M128" s="52">
        <f>M126*M127</f>
        <v/>
      </c>
      <c r="N128" s="52">
        <f>N126*N127</f>
        <v/>
      </c>
      <c r="O128" s="52">
        <f>O126*O127</f>
        <v/>
      </c>
      <c r="P128" s="52">
        <f>P126*P127</f>
        <v/>
      </c>
      <c r="Q128" s="52">
        <f>Q126*Q127</f>
        <v/>
      </c>
      <c r="R128" s="52">
        <f>R126*R127</f>
        <v/>
      </c>
      <c r="S128" s="52">
        <f>S126*S127</f>
        <v/>
      </c>
      <c r="T128" s="52">
        <f>T126*T127</f>
        <v/>
      </c>
      <c r="U128" s="52">
        <f>U126*U127</f>
        <v/>
      </c>
      <c r="V128" s="52">
        <f>V126*V127</f>
        <v/>
      </c>
      <c r="W128" s="52">
        <f>W126*W127</f>
        <v/>
      </c>
      <c r="X128" s="52">
        <f>X126*X127</f>
        <v/>
      </c>
      <c r="Y128" s="52">
        <f>Y126*Y127</f>
        <v/>
      </c>
      <c r="Z128" s="52">
        <f>Z126*Z127</f>
        <v/>
      </c>
      <c r="AA128" s="52">
        <f>AA126*AA127</f>
        <v/>
      </c>
      <c r="AB128" s="52">
        <f>AB126*AB127</f>
        <v/>
      </c>
      <c r="AC128" s="52">
        <f>AC126*AC127</f>
        <v/>
      </c>
      <c r="AD128" s="52">
        <f>AD126*AD127</f>
        <v/>
      </c>
      <c r="AE128" s="52">
        <f>AE126*AE127</f>
        <v/>
      </c>
      <c r="AF128" s="52">
        <f>AF126*AF127</f>
        <v/>
      </c>
      <c r="AG128" s="52">
        <f>AG126*AG127</f>
        <v/>
      </c>
      <c r="AH128" s="52">
        <f>AH126*AH127</f>
        <v/>
      </c>
      <c r="AI128" s="52">
        <f>AI126*AI127</f>
        <v/>
      </c>
      <c r="AJ128" s="52">
        <f>AJ126*AJ127</f>
        <v/>
      </c>
      <c r="AK128" s="52">
        <f>AK126*AK127</f>
        <v/>
      </c>
      <c r="AL128" s="52">
        <f>AL126*AL127</f>
        <v/>
      </c>
      <c r="AM128" s="52">
        <f>AM126*AM127</f>
        <v/>
      </c>
      <c r="AN128" s="52">
        <f>AN126*AN127</f>
        <v/>
      </c>
    </row>
    <row r="129">
      <c r="A129" s="23" t="n"/>
      <c r="B129" s="22" t="inlineStr">
        <is>
          <t>C. Cost of serving customers</t>
        </is>
      </c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  <c r="AA129" s="23" t="n"/>
      <c r="AB129" s="23" t="n"/>
      <c r="AC129" s="23" t="n"/>
      <c r="AD129" s="23" t="n"/>
      <c r="AE129" s="23" t="n"/>
      <c r="AF129" s="23" t="n"/>
      <c r="AG129" s="23" t="n"/>
      <c r="AH129" s="23" t="n"/>
      <c r="AI129" s="23" t="n"/>
      <c r="AJ129" s="23" t="n"/>
      <c r="AK129" s="23" t="n"/>
      <c r="AL129" s="23" t="n"/>
      <c r="AM129" s="23" t="n"/>
      <c r="AN129" s="23" t="n"/>
    </row>
    <row r="130">
      <c r="B130" s="7" t="inlineStr">
        <is>
          <t>Variable cost of serving (AI, WhatsApp, compute, consent, payment fees, compliance)</t>
        </is>
      </c>
      <c r="C130" s="5" t="inlineStr">
        <is>
          <t>₹</t>
        </is>
      </c>
      <c r="E130" s="50">
        <f>E126*INDEX($E$83:$P$83,1,E113)</f>
        <v/>
      </c>
      <c r="F130" s="50">
        <f>F126*INDEX($E$83:$P$83,1,F113)</f>
        <v/>
      </c>
      <c r="G130" s="50">
        <f>G126*INDEX($E$83:$P$83,1,G113)</f>
        <v/>
      </c>
      <c r="H130" s="50">
        <f>H126*INDEX($E$83:$P$83,1,H113)</f>
        <v/>
      </c>
      <c r="I130" s="50">
        <f>I126*INDEX($E$83:$P$83,1,I113)</f>
        <v/>
      </c>
      <c r="J130" s="50">
        <f>J126*INDEX($E$83:$P$83,1,J113)</f>
        <v/>
      </c>
      <c r="K130" s="50">
        <f>K126*INDEX($E$83:$P$83,1,K113)</f>
        <v/>
      </c>
      <c r="L130" s="50">
        <f>L126*INDEX($E$83:$P$83,1,L113)</f>
        <v/>
      </c>
      <c r="M130" s="50">
        <f>M126*INDEX($E$83:$P$83,1,M113)</f>
        <v/>
      </c>
      <c r="N130" s="50">
        <f>N126*INDEX($E$83:$P$83,1,N113)</f>
        <v/>
      </c>
      <c r="O130" s="50">
        <f>O126*INDEX($E$83:$P$83,1,O113)</f>
        <v/>
      </c>
      <c r="P130" s="50">
        <f>P126*INDEX($E$83:$P$83,1,P113)</f>
        <v/>
      </c>
      <c r="Q130" s="50">
        <f>Q126*INDEX($E$83:$P$83,1,Q113)</f>
        <v/>
      </c>
      <c r="R130" s="50">
        <f>R126*INDEX($E$83:$P$83,1,R113)</f>
        <v/>
      </c>
      <c r="S130" s="50">
        <f>S126*INDEX($E$83:$P$83,1,S113)</f>
        <v/>
      </c>
      <c r="T130" s="50">
        <f>T126*INDEX($E$83:$P$83,1,T113)</f>
        <v/>
      </c>
      <c r="U130" s="50">
        <f>U126*INDEX($E$83:$P$83,1,U113)</f>
        <v/>
      </c>
      <c r="V130" s="50">
        <f>V126*INDEX($E$83:$P$83,1,V113)</f>
        <v/>
      </c>
      <c r="W130" s="50">
        <f>W126*INDEX($E$83:$P$83,1,W113)</f>
        <v/>
      </c>
      <c r="X130" s="50">
        <f>X126*INDEX($E$83:$P$83,1,X113)</f>
        <v/>
      </c>
      <c r="Y130" s="50">
        <f>Y126*INDEX($E$83:$P$83,1,Y113)</f>
        <v/>
      </c>
      <c r="Z130" s="50">
        <f>Z126*INDEX($E$83:$P$83,1,Z113)</f>
        <v/>
      </c>
      <c r="AA130" s="50">
        <f>AA126*INDEX($E$83:$P$83,1,AA113)</f>
        <v/>
      </c>
      <c r="AB130" s="50">
        <f>AB126*INDEX($E$83:$P$83,1,AB113)</f>
        <v/>
      </c>
      <c r="AC130" s="50">
        <f>AC126*INDEX($E$83:$P$83,1,AC113)</f>
        <v/>
      </c>
      <c r="AD130" s="50">
        <f>AD126*INDEX($E$83:$P$83,1,AD113)</f>
        <v/>
      </c>
      <c r="AE130" s="50">
        <f>AE126*INDEX($E$83:$P$83,1,AE113)</f>
        <v/>
      </c>
      <c r="AF130" s="50">
        <f>AF126*INDEX($E$83:$P$83,1,AF113)</f>
        <v/>
      </c>
      <c r="AG130" s="50">
        <f>AG126*INDEX($E$83:$P$83,1,AG113)</f>
        <v/>
      </c>
      <c r="AH130" s="50">
        <f>AH126*INDEX($E$83:$P$83,1,AH113)</f>
        <v/>
      </c>
      <c r="AI130" s="50">
        <f>AI126*INDEX($E$83:$P$83,1,AI113)</f>
        <v/>
      </c>
      <c r="AJ130" s="50">
        <f>AJ126*INDEX($E$83:$P$83,1,AJ113)</f>
        <v/>
      </c>
      <c r="AK130" s="50">
        <f>AK126*INDEX($E$83:$P$83,1,AK113)</f>
        <v/>
      </c>
      <c r="AL130" s="50">
        <f>AL126*INDEX($E$83:$P$83,1,AL113)</f>
        <v/>
      </c>
      <c r="AM130" s="50">
        <f>AM126*INDEX($E$83:$P$83,1,AM113)</f>
        <v/>
      </c>
      <c r="AN130" s="50">
        <f>AN126*INDEX($E$83:$P$83,1,AN113)</f>
        <v/>
      </c>
    </row>
    <row r="131">
      <c r="B131" s="7" t="inlineStr">
        <is>
          <t>Server stacks needed</t>
        </is>
      </c>
      <c r="C131" s="5" t="inlineStr">
        <is>
          <t>stacks</t>
        </is>
      </c>
      <c r="E131" s="57">
        <f>IF(E126&gt;0,CEILING(E126/$D$33,1),0)</f>
        <v/>
      </c>
      <c r="F131" s="57">
        <f>IF(F126&gt;0,CEILING(F126/$D$33,1),0)</f>
        <v/>
      </c>
      <c r="G131" s="57">
        <f>IF(G126&gt;0,CEILING(G126/$D$33,1),0)</f>
        <v/>
      </c>
      <c r="H131" s="57">
        <f>IF(H126&gt;0,CEILING(H126/$D$33,1),0)</f>
        <v/>
      </c>
      <c r="I131" s="57">
        <f>IF(I126&gt;0,CEILING(I126/$D$33,1),0)</f>
        <v/>
      </c>
      <c r="J131" s="57">
        <f>IF(J126&gt;0,CEILING(J126/$D$33,1),0)</f>
        <v/>
      </c>
      <c r="K131" s="57">
        <f>IF(K126&gt;0,CEILING(K126/$D$33,1),0)</f>
        <v/>
      </c>
      <c r="L131" s="57">
        <f>IF(L126&gt;0,CEILING(L126/$D$33,1),0)</f>
        <v/>
      </c>
      <c r="M131" s="57">
        <f>IF(M126&gt;0,CEILING(M126/$D$33,1),0)</f>
        <v/>
      </c>
      <c r="N131" s="57">
        <f>IF(N126&gt;0,CEILING(N126/$D$33,1),0)</f>
        <v/>
      </c>
      <c r="O131" s="57">
        <f>IF(O126&gt;0,CEILING(O126/$D$33,1),0)</f>
        <v/>
      </c>
      <c r="P131" s="57">
        <f>IF(P126&gt;0,CEILING(P126/$D$33,1),0)</f>
        <v/>
      </c>
      <c r="Q131" s="57">
        <f>IF(Q126&gt;0,CEILING(Q126/$D$33,1),0)</f>
        <v/>
      </c>
      <c r="R131" s="57">
        <f>IF(R126&gt;0,CEILING(R126/$D$33,1),0)</f>
        <v/>
      </c>
      <c r="S131" s="57">
        <f>IF(S126&gt;0,CEILING(S126/$D$33,1),0)</f>
        <v/>
      </c>
      <c r="T131" s="57">
        <f>IF(T126&gt;0,CEILING(T126/$D$33,1),0)</f>
        <v/>
      </c>
      <c r="U131" s="57">
        <f>IF(U126&gt;0,CEILING(U126/$D$33,1),0)</f>
        <v/>
      </c>
      <c r="V131" s="57">
        <f>IF(V126&gt;0,CEILING(V126/$D$33,1),0)</f>
        <v/>
      </c>
      <c r="W131" s="57">
        <f>IF(W126&gt;0,CEILING(W126/$D$33,1),0)</f>
        <v/>
      </c>
      <c r="X131" s="57">
        <f>IF(X126&gt;0,CEILING(X126/$D$33,1),0)</f>
        <v/>
      </c>
      <c r="Y131" s="57">
        <f>IF(Y126&gt;0,CEILING(Y126/$D$33,1),0)</f>
        <v/>
      </c>
      <c r="Z131" s="57">
        <f>IF(Z126&gt;0,CEILING(Z126/$D$33,1),0)</f>
        <v/>
      </c>
      <c r="AA131" s="57">
        <f>IF(AA126&gt;0,CEILING(AA126/$D$33,1),0)</f>
        <v/>
      </c>
      <c r="AB131" s="57">
        <f>IF(AB126&gt;0,CEILING(AB126/$D$33,1),0)</f>
        <v/>
      </c>
      <c r="AC131" s="57">
        <f>IF(AC126&gt;0,CEILING(AC126/$D$33,1),0)</f>
        <v/>
      </c>
      <c r="AD131" s="57">
        <f>IF(AD126&gt;0,CEILING(AD126/$D$33,1),0)</f>
        <v/>
      </c>
      <c r="AE131" s="57">
        <f>IF(AE126&gt;0,CEILING(AE126/$D$33,1),0)</f>
        <v/>
      </c>
      <c r="AF131" s="57">
        <f>IF(AF126&gt;0,CEILING(AF126/$D$33,1),0)</f>
        <v/>
      </c>
      <c r="AG131" s="57">
        <f>IF(AG126&gt;0,CEILING(AG126/$D$33,1),0)</f>
        <v/>
      </c>
      <c r="AH131" s="57">
        <f>IF(AH126&gt;0,CEILING(AH126/$D$33,1),0)</f>
        <v/>
      </c>
      <c r="AI131" s="57">
        <f>IF(AI126&gt;0,CEILING(AI126/$D$33,1),0)</f>
        <v/>
      </c>
      <c r="AJ131" s="57">
        <f>IF(AJ126&gt;0,CEILING(AJ126/$D$33,1),0)</f>
        <v/>
      </c>
      <c r="AK131" s="57">
        <f>IF(AK126&gt;0,CEILING(AK126/$D$33,1),0)</f>
        <v/>
      </c>
      <c r="AL131" s="57">
        <f>IF(AL126&gt;0,CEILING(AL126/$D$33,1),0)</f>
        <v/>
      </c>
      <c r="AM131" s="57">
        <f>IF(AM126&gt;0,CEILING(AM126/$D$33,1),0)</f>
        <v/>
      </c>
      <c r="AN131" s="57">
        <f>IF(AN126&gt;0,CEILING(AN126/$D$33,1),0)</f>
        <v/>
      </c>
    </row>
    <row r="132">
      <c r="B132" s="7" t="inlineStr">
        <is>
          <t>Hosting and WhatsApp provider fee</t>
        </is>
      </c>
      <c r="C132" s="5" t="inlineStr">
        <is>
          <t>₹</t>
        </is>
      </c>
      <c r="E132" s="50">
        <f>E131*($D$31+$D$32)</f>
        <v/>
      </c>
      <c r="F132" s="50">
        <f>F131*($D$31+$D$32)</f>
        <v/>
      </c>
      <c r="G132" s="50">
        <f>G131*($D$31+$D$32)</f>
        <v/>
      </c>
      <c r="H132" s="50">
        <f>H131*($D$31+$D$32)</f>
        <v/>
      </c>
      <c r="I132" s="50">
        <f>I131*($D$31+$D$32)</f>
        <v/>
      </c>
      <c r="J132" s="50">
        <f>J131*($D$31+$D$32)</f>
        <v/>
      </c>
      <c r="K132" s="50">
        <f>K131*($D$31+$D$32)</f>
        <v/>
      </c>
      <c r="L132" s="50">
        <f>L131*($D$31+$D$32)</f>
        <v/>
      </c>
      <c r="M132" s="50">
        <f>M131*($D$31+$D$32)</f>
        <v/>
      </c>
      <c r="N132" s="50">
        <f>N131*($D$31+$D$32)</f>
        <v/>
      </c>
      <c r="O132" s="50">
        <f>O131*($D$31+$D$32)</f>
        <v/>
      </c>
      <c r="P132" s="50">
        <f>P131*($D$31+$D$32)</f>
        <v/>
      </c>
      <c r="Q132" s="50">
        <f>Q131*($D$31+$D$32)</f>
        <v/>
      </c>
      <c r="R132" s="50">
        <f>R131*($D$31+$D$32)</f>
        <v/>
      </c>
      <c r="S132" s="50">
        <f>S131*($D$31+$D$32)</f>
        <v/>
      </c>
      <c r="T132" s="50">
        <f>T131*($D$31+$D$32)</f>
        <v/>
      </c>
      <c r="U132" s="50">
        <f>U131*($D$31+$D$32)</f>
        <v/>
      </c>
      <c r="V132" s="50">
        <f>V131*($D$31+$D$32)</f>
        <v/>
      </c>
      <c r="W132" s="50">
        <f>W131*($D$31+$D$32)</f>
        <v/>
      </c>
      <c r="X132" s="50">
        <f>X131*($D$31+$D$32)</f>
        <v/>
      </c>
      <c r="Y132" s="50">
        <f>Y131*($D$31+$D$32)</f>
        <v/>
      </c>
      <c r="Z132" s="50">
        <f>Z131*($D$31+$D$32)</f>
        <v/>
      </c>
      <c r="AA132" s="50">
        <f>AA131*($D$31+$D$32)</f>
        <v/>
      </c>
      <c r="AB132" s="50">
        <f>AB131*($D$31+$D$32)</f>
        <v/>
      </c>
      <c r="AC132" s="50">
        <f>AC131*($D$31+$D$32)</f>
        <v/>
      </c>
      <c r="AD132" s="50">
        <f>AD131*($D$31+$D$32)</f>
        <v/>
      </c>
      <c r="AE132" s="50">
        <f>AE131*($D$31+$D$32)</f>
        <v/>
      </c>
      <c r="AF132" s="50">
        <f>AF131*($D$31+$D$32)</f>
        <v/>
      </c>
      <c r="AG132" s="50">
        <f>AG131*($D$31+$D$32)</f>
        <v/>
      </c>
      <c r="AH132" s="50">
        <f>AH131*($D$31+$D$32)</f>
        <v/>
      </c>
      <c r="AI132" s="50">
        <f>AI131*($D$31+$D$32)</f>
        <v/>
      </c>
      <c r="AJ132" s="50">
        <f>AJ131*($D$31+$D$32)</f>
        <v/>
      </c>
      <c r="AK132" s="50">
        <f>AK131*($D$31+$D$32)</f>
        <v/>
      </c>
      <c r="AL132" s="50">
        <f>AL131*($D$31+$D$32)</f>
        <v/>
      </c>
      <c r="AM132" s="50">
        <f>AM131*($D$31+$D$32)</f>
        <v/>
      </c>
      <c r="AN132" s="50">
        <f>AN131*($D$31+$D$32)</f>
        <v/>
      </c>
    </row>
    <row r="133">
      <c r="B133" s="7" t="inlineStr">
        <is>
          <t>Customer-success staff</t>
        </is>
      </c>
      <c r="C133" s="5" t="inlineStr">
        <is>
          <t>people</t>
        </is>
      </c>
      <c r="E133" s="57">
        <f>IF(E126&gt;0,CEILING(E126/$D$36,1),0)</f>
        <v/>
      </c>
      <c r="F133" s="57">
        <f>IF(F126&gt;0,CEILING(F126/$D$36,1),0)</f>
        <v/>
      </c>
      <c r="G133" s="57">
        <f>IF(G126&gt;0,CEILING(G126/$D$36,1),0)</f>
        <v/>
      </c>
      <c r="H133" s="57">
        <f>IF(H126&gt;0,CEILING(H126/$D$36,1),0)</f>
        <v/>
      </c>
      <c r="I133" s="57">
        <f>IF(I126&gt;0,CEILING(I126/$D$36,1),0)</f>
        <v/>
      </c>
      <c r="J133" s="57">
        <f>IF(J126&gt;0,CEILING(J126/$D$36,1),0)</f>
        <v/>
      </c>
      <c r="K133" s="57">
        <f>IF(K126&gt;0,CEILING(K126/$D$36,1),0)</f>
        <v/>
      </c>
      <c r="L133" s="57">
        <f>IF(L126&gt;0,CEILING(L126/$D$36,1),0)</f>
        <v/>
      </c>
      <c r="M133" s="57">
        <f>IF(M126&gt;0,CEILING(M126/$D$36,1),0)</f>
        <v/>
      </c>
      <c r="N133" s="57">
        <f>IF(N126&gt;0,CEILING(N126/$D$36,1),0)</f>
        <v/>
      </c>
      <c r="O133" s="57">
        <f>IF(O126&gt;0,CEILING(O126/$D$36,1),0)</f>
        <v/>
      </c>
      <c r="P133" s="57">
        <f>IF(P126&gt;0,CEILING(P126/$D$36,1),0)</f>
        <v/>
      </c>
      <c r="Q133" s="57">
        <f>IF(Q126&gt;0,CEILING(Q126/$D$36,1),0)</f>
        <v/>
      </c>
      <c r="R133" s="57">
        <f>IF(R126&gt;0,CEILING(R126/$D$36,1),0)</f>
        <v/>
      </c>
      <c r="S133" s="57">
        <f>IF(S126&gt;0,CEILING(S126/$D$36,1),0)</f>
        <v/>
      </c>
      <c r="T133" s="57">
        <f>IF(T126&gt;0,CEILING(T126/$D$36,1),0)</f>
        <v/>
      </c>
      <c r="U133" s="57">
        <f>IF(U126&gt;0,CEILING(U126/$D$36,1),0)</f>
        <v/>
      </c>
      <c r="V133" s="57">
        <f>IF(V126&gt;0,CEILING(V126/$D$36,1),0)</f>
        <v/>
      </c>
      <c r="W133" s="57">
        <f>IF(W126&gt;0,CEILING(W126/$D$36,1),0)</f>
        <v/>
      </c>
      <c r="X133" s="57">
        <f>IF(X126&gt;0,CEILING(X126/$D$36,1),0)</f>
        <v/>
      </c>
      <c r="Y133" s="57">
        <f>IF(Y126&gt;0,CEILING(Y126/$D$36,1),0)</f>
        <v/>
      </c>
      <c r="Z133" s="57">
        <f>IF(Z126&gt;0,CEILING(Z126/$D$36,1),0)</f>
        <v/>
      </c>
      <c r="AA133" s="57">
        <f>IF(AA126&gt;0,CEILING(AA126/$D$36,1),0)</f>
        <v/>
      </c>
      <c r="AB133" s="57">
        <f>IF(AB126&gt;0,CEILING(AB126/$D$36,1),0)</f>
        <v/>
      </c>
      <c r="AC133" s="57">
        <f>IF(AC126&gt;0,CEILING(AC126/$D$36,1),0)</f>
        <v/>
      </c>
      <c r="AD133" s="57">
        <f>IF(AD126&gt;0,CEILING(AD126/$D$36,1),0)</f>
        <v/>
      </c>
      <c r="AE133" s="57">
        <f>IF(AE126&gt;0,CEILING(AE126/$D$36,1),0)</f>
        <v/>
      </c>
      <c r="AF133" s="57">
        <f>IF(AF126&gt;0,CEILING(AF126/$D$36,1),0)</f>
        <v/>
      </c>
      <c r="AG133" s="57">
        <f>IF(AG126&gt;0,CEILING(AG126/$D$36,1),0)</f>
        <v/>
      </c>
      <c r="AH133" s="57">
        <f>IF(AH126&gt;0,CEILING(AH126/$D$36,1),0)</f>
        <v/>
      </c>
      <c r="AI133" s="57">
        <f>IF(AI126&gt;0,CEILING(AI126/$D$36,1),0)</f>
        <v/>
      </c>
      <c r="AJ133" s="57">
        <f>IF(AJ126&gt;0,CEILING(AJ126/$D$36,1),0)</f>
        <v/>
      </c>
      <c r="AK133" s="57">
        <f>IF(AK126&gt;0,CEILING(AK126/$D$36,1),0)</f>
        <v/>
      </c>
      <c r="AL133" s="57">
        <f>IF(AL126&gt;0,CEILING(AL126/$D$36,1),0)</f>
        <v/>
      </c>
      <c r="AM133" s="57">
        <f>IF(AM126&gt;0,CEILING(AM126/$D$36,1),0)</f>
        <v/>
      </c>
      <c r="AN133" s="57">
        <f>IF(AN126&gt;0,CEILING(AN126/$D$36,1),0)</f>
        <v/>
      </c>
    </row>
    <row r="134">
      <c r="B134" s="7" t="inlineStr">
        <is>
          <t>Customer-success cost</t>
        </is>
      </c>
      <c r="C134" s="5" t="inlineStr">
        <is>
          <t>₹</t>
        </is>
      </c>
      <c r="E134" s="50">
        <f>E133*$D$35*E117</f>
        <v/>
      </c>
      <c r="F134" s="50">
        <f>F133*$D$35*F117</f>
        <v/>
      </c>
      <c r="G134" s="50">
        <f>G133*$D$35*G117</f>
        <v/>
      </c>
      <c r="H134" s="50">
        <f>H133*$D$35*H117</f>
        <v/>
      </c>
      <c r="I134" s="50">
        <f>I133*$D$35*I117</f>
        <v/>
      </c>
      <c r="J134" s="50">
        <f>J133*$D$35*J117</f>
        <v/>
      </c>
      <c r="K134" s="50">
        <f>K133*$D$35*K117</f>
        <v/>
      </c>
      <c r="L134" s="50">
        <f>L133*$D$35*L117</f>
        <v/>
      </c>
      <c r="M134" s="50">
        <f>M133*$D$35*M117</f>
        <v/>
      </c>
      <c r="N134" s="50">
        <f>N133*$D$35*N117</f>
        <v/>
      </c>
      <c r="O134" s="50">
        <f>O133*$D$35*O117</f>
        <v/>
      </c>
      <c r="P134" s="50">
        <f>P133*$D$35*P117</f>
        <v/>
      </c>
      <c r="Q134" s="50">
        <f>Q133*$D$35*Q117</f>
        <v/>
      </c>
      <c r="R134" s="50">
        <f>R133*$D$35*R117</f>
        <v/>
      </c>
      <c r="S134" s="50">
        <f>S133*$D$35*S117</f>
        <v/>
      </c>
      <c r="T134" s="50">
        <f>T133*$D$35*T117</f>
        <v/>
      </c>
      <c r="U134" s="50">
        <f>U133*$D$35*U117</f>
        <v/>
      </c>
      <c r="V134" s="50">
        <f>V133*$D$35*V117</f>
        <v/>
      </c>
      <c r="W134" s="50">
        <f>W133*$D$35*W117</f>
        <v/>
      </c>
      <c r="X134" s="50">
        <f>X133*$D$35*X117</f>
        <v/>
      </c>
      <c r="Y134" s="50">
        <f>Y133*$D$35*Y117</f>
        <v/>
      </c>
      <c r="Z134" s="50">
        <f>Z133*$D$35*Z117</f>
        <v/>
      </c>
      <c r="AA134" s="50">
        <f>AA133*$D$35*AA117</f>
        <v/>
      </c>
      <c r="AB134" s="50">
        <f>AB133*$D$35*AB117</f>
        <v/>
      </c>
      <c r="AC134" s="50">
        <f>AC133*$D$35*AC117</f>
        <v/>
      </c>
      <c r="AD134" s="50">
        <f>AD133*$D$35*AD117</f>
        <v/>
      </c>
      <c r="AE134" s="50">
        <f>AE133*$D$35*AE117</f>
        <v/>
      </c>
      <c r="AF134" s="50">
        <f>AF133*$D$35*AF117</f>
        <v/>
      </c>
      <c r="AG134" s="50">
        <f>AG133*$D$35*AG117</f>
        <v/>
      </c>
      <c r="AH134" s="50">
        <f>AH133*$D$35*AH117</f>
        <v/>
      </c>
      <c r="AI134" s="50">
        <f>AI133*$D$35*AI117</f>
        <v/>
      </c>
      <c r="AJ134" s="50">
        <f>AJ133*$D$35*AJ117</f>
        <v/>
      </c>
      <c r="AK134" s="50">
        <f>AK133*$D$35*AK117</f>
        <v/>
      </c>
      <c r="AL134" s="50">
        <f>AL133*$D$35*AL117</f>
        <v/>
      </c>
      <c r="AM134" s="50">
        <f>AM133*$D$35*AM117</f>
        <v/>
      </c>
      <c r="AN134" s="50">
        <f>AN133*$D$35*AN117</f>
        <v/>
      </c>
    </row>
    <row r="135">
      <c r="B135" s="3" t="inlineStr">
        <is>
          <t>Gross profit (SaaS convention: after support)</t>
        </is>
      </c>
      <c r="C135" s="5" t="inlineStr">
        <is>
          <t>₹</t>
        </is>
      </c>
      <c r="E135" s="50">
        <f>E128-E130-E132-E134</f>
        <v/>
      </c>
      <c r="F135" s="50">
        <f>F128-F130-F132-F134</f>
        <v/>
      </c>
      <c r="G135" s="50">
        <f>G128-G130-G132-G134</f>
        <v/>
      </c>
      <c r="H135" s="50">
        <f>H128-H130-H132-H134</f>
        <v/>
      </c>
      <c r="I135" s="50">
        <f>I128-I130-I132-I134</f>
        <v/>
      </c>
      <c r="J135" s="50">
        <f>J128-J130-J132-J134</f>
        <v/>
      </c>
      <c r="K135" s="50">
        <f>K128-K130-K132-K134</f>
        <v/>
      </c>
      <c r="L135" s="50">
        <f>L128-L130-L132-L134</f>
        <v/>
      </c>
      <c r="M135" s="50">
        <f>M128-M130-M132-M134</f>
        <v/>
      </c>
      <c r="N135" s="50">
        <f>N128-N130-N132-N134</f>
        <v/>
      </c>
      <c r="O135" s="50">
        <f>O128-O130-O132-O134</f>
        <v/>
      </c>
      <c r="P135" s="50">
        <f>P128-P130-P132-P134</f>
        <v/>
      </c>
      <c r="Q135" s="50">
        <f>Q128-Q130-Q132-Q134</f>
        <v/>
      </c>
      <c r="R135" s="50">
        <f>R128-R130-R132-R134</f>
        <v/>
      </c>
      <c r="S135" s="50">
        <f>S128-S130-S132-S134</f>
        <v/>
      </c>
      <c r="T135" s="50">
        <f>T128-T130-T132-T134</f>
        <v/>
      </c>
      <c r="U135" s="50">
        <f>U128-U130-U132-U134</f>
        <v/>
      </c>
      <c r="V135" s="50">
        <f>V128-V130-V132-V134</f>
        <v/>
      </c>
      <c r="W135" s="50">
        <f>W128-W130-W132-W134</f>
        <v/>
      </c>
      <c r="X135" s="50">
        <f>X128-X130-X132-X134</f>
        <v/>
      </c>
      <c r="Y135" s="50">
        <f>Y128-Y130-Y132-Y134</f>
        <v/>
      </c>
      <c r="Z135" s="50">
        <f>Z128-Z130-Z132-Z134</f>
        <v/>
      </c>
      <c r="AA135" s="50">
        <f>AA128-AA130-AA132-AA134</f>
        <v/>
      </c>
      <c r="AB135" s="50">
        <f>AB128-AB130-AB132-AB134</f>
        <v/>
      </c>
      <c r="AC135" s="50">
        <f>AC128-AC130-AC132-AC134</f>
        <v/>
      </c>
      <c r="AD135" s="50">
        <f>AD128-AD130-AD132-AD134</f>
        <v/>
      </c>
      <c r="AE135" s="50">
        <f>AE128-AE130-AE132-AE134</f>
        <v/>
      </c>
      <c r="AF135" s="50">
        <f>AF128-AF130-AF132-AF134</f>
        <v/>
      </c>
      <c r="AG135" s="50">
        <f>AG128-AG130-AG132-AG134</f>
        <v/>
      </c>
      <c r="AH135" s="50">
        <f>AH128-AH130-AH132-AH134</f>
        <v/>
      </c>
      <c r="AI135" s="50">
        <f>AI128-AI130-AI132-AI134</f>
        <v/>
      </c>
      <c r="AJ135" s="50">
        <f>AJ128-AJ130-AJ132-AJ134</f>
        <v/>
      </c>
      <c r="AK135" s="50">
        <f>AK128-AK130-AK132-AK134</f>
        <v/>
      </c>
      <c r="AL135" s="50">
        <f>AL128-AL130-AL132-AL134</f>
        <v/>
      </c>
      <c r="AM135" s="50">
        <f>AM128-AM130-AM132-AM134</f>
        <v/>
      </c>
      <c r="AN135" s="50">
        <f>AN128-AN130-AN132-AN134</f>
        <v/>
      </c>
    </row>
    <row r="136">
      <c r="A136" s="23" t="n"/>
      <c r="B136" s="22" t="inlineStr">
        <is>
          <t>D. Operating costs</t>
        </is>
      </c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  <c r="AA136" s="23" t="n"/>
      <c r="AB136" s="23" t="n"/>
      <c r="AC136" s="23" t="n"/>
      <c r="AD136" s="23" t="n"/>
      <c r="AE136" s="23" t="n"/>
      <c r="AF136" s="23" t="n"/>
      <c r="AG136" s="23" t="n"/>
      <c r="AH136" s="23" t="n"/>
      <c r="AI136" s="23" t="n"/>
      <c r="AJ136" s="23" t="n"/>
      <c r="AK136" s="23" t="n"/>
      <c r="AL136" s="23" t="n"/>
      <c r="AM136" s="23" t="n"/>
      <c r="AN136" s="23" t="n"/>
    </row>
    <row r="137">
      <c r="B137" s="7" t="inlineStr">
        <is>
          <t>Sales team (rep cost + travel, with overhead loading)</t>
        </is>
      </c>
      <c r="C137" s="5" t="inlineStr">
        <is>
          <t>₹</t>
        </is>
      </c>
      <c r="E137" s="50">
        <f>E119*($D$37+$D$38)*E117*(1+$D$39)</f>
        <v/>
      </c>
      <c r="F137" s="50">
        <f>F119*($D$37+$D$38)*F117*(1+$D$39)</f>
        <v/>
      </c>
      <c r="G137" s="50">
        <f>G119*($D$37+$D$38)*G117*(1+$D$39)</f>
        <v/>
      </c>
      <c r="H137" s="50">
        <f>H119*($D$37+$D$38)*H117*(1+$D$39)</f>
        <v/>
      </c>
      <c r="I137" s="50">
        <f>I119*($D$37+$D$38)*I117*(1+$D$39)</f>
        <v/>
      </c>
      <c r="J137" s="50">
        <f>J119*($D$37+$D$38)*J117*(1+$D$39)</f>
        <v/>
      </c>
      <c r="K137" s="50">
        <f>K119*($D$37+$D$38)*K117*(1+$D$39)</f>
        <v/>
      </c>
      <c r="L137" s="50">
        <f>L119*($D$37+$D$38)*L117*(1+$D$39)</f>
        <v/>
      </c>
      <c r="M137" s="50">
        <f>M119*($D$37+$D$38)*M117*(1+$D$39)</f>
        <v/>
      </c>
      <c r="N137" s="50">
        <f>N119*($D$37+$D$38)*N117*(1+$D$39)</f>
        <v/>
      </c>
      <c r="O137" s="50">
        <f>O119*($D$37+$D$38)*O117*(1+$D$39)</f>
        <v/>
      </c>
      <c r="P137" s="50">
        <f>P119*($D$37+$D$38)*P117*(1+$D$39)</f>
        <v/>
      </c>
      <c r="Q137" s="50">
        <f>Q119*($D$37+$D$38)*Q117*(1+$D$39)</f>
        <v/>
      </c>
      <c r="R137" s="50">
        <f>R119*($D$37+$D$38)*R117*(1+$D$39)</f>
        <v/>
      </c>
      <c r="S137" s="50">
        <f>S119*($D$37+$D$38)*S117*(1+$D$39)</f>
        <v/>
      </c>
      <c r="T137" s="50">
        <f>T119*($D$37+$D$38)*T117*(1+$D$39)</f>
        <v/>
      </c>
      <c r="U137" s="50">
        <f>U119*($D$37+$D$38)*U117*(1+$D$39)</f>
        <v/>
      </c>
      <c r="V137" s="50">
        <f>V119*($D$37+$D$38)*V117*(1+$D$39)</f>
        <v/>
      </c>
      <c r="W137" s="50">
        <f>W119*($D$37+$D$38)*W117*(1+$D$39)</f>
        <v/>
      </c>
      <c r="X137" s="50">
        <f>X119*($D$37+$D$38)*X117*(1+$D$39)</f>
        <v/>
      </c>
      <c r="Y137" s="50">
        <f>Y119*($D$37+$D$38)*Y117*(1+$D$39)</f>
        <v/>
      </c>
      <c r="Z137" s="50">
        <f>Z119*($D$37+$D$38)*Z117*(1+$D$39)</f>
        <v/>
      </c>
      <c r="AA137" s="50">
        <f>AA119*($D$37+$D$38)*AA117*(1+$D$39)</f>
        <v/>
      </c>
      <c r="AB137" s="50">
        <f>AB119*($D$37+$D$38)*AB117*(1+$D$39)</f>
        <v/>
      </c>
      <c r="AC137" s="50">
        <f>AC119*($D$37+$D$38)*AC117*(1+$D$39)</f>
        <v/>
      </c>
      <c r="AD137" s="50">
        <f>AD119*($D$37+$D$38)*AD117*(1+$D$39)</f>
        <v/>
      </c>
      <c r="AE137" s="50">
        <f>AE119*($D$37+$D$38)*AE117*(1+$D$39)</f>
        <v/>
      </c>
      <c r="AF137" s="50">
        <f>AF119*($D$37+$D$38)*AF117*(1+$D$39)</f>
        <v/>
      </c>
      <c r="AG137" s="50">
        <f>AG119*($D$37+$D$38)*AG117*(1+$D$39)</f>
        <v/>
      </c>
      <c r="AH137" s="50">
        <f>AH119*($D$37+$D$38)*AH117*(1+$D$39)</f>
        <v/>
      </c>
      <c r="AI137" s="50">
        <f>AI119*($D$37+$D$38)*AI117*(1+$D$39)</f>
        <v/>
      </c>
      <c r="AJ137" s="50">
        <f>AJ119*($D$37+$D$38)*AJ117*(1+$D$39)</f>
        <v/>
      </c>
      <c r="AK137" s="50">
        <f>AK119*($D$37+$D$38)*AK117*(1+$D$39)</f>
        <v/>
      </c>
      <c r="AL137" s="50">
        <f>AL119*($D$37+$D$38)*AL117*(1+$D$39)</f>
        <v/>
      </c>
      <c r="AM137" s="50">
        <f>AM119*($D$37+$D$38)*AM117*(1+$D$39)</f>
        <v/>
      </c>
      <c r="AN137" s="50">
        <f>AN119*($D$37+$D$38)*AN117*(1+$D$39)</f>
        <v/>
      </c>
    </row>
    <row r="138">
      <c r="B138" s="7" t="inlineStr">
        <is>
          <t>Marketing</t>
        </is>
      </c>
      <c r="C138" s="5" t="inlineStr">
        <is>
          <t>₹</t>
        </is>
      </c>
      <c r="E138" s="50">
        <f>E123*$D$45</f>
        <v/>
      </c>
      <c r="F138" s="50">
        <f>F123*$D$45</f>
        <v/>
      </c>
      <c r="G138" s="50">
        <f>G123*$D$45</f>
        <v/>
      </c>
      <c r="H138" s="50">
        <f>H123*$D$45</f>
        <v/>
      </c>
      <c r="I138" s="50">
        <f>I123*$D$45</f>
        <v/>
      </c>
      <c r="J138" s="50">
        <f>J123*$D$45</f>
        <v/>
      </c>
      <c r="K138" s="50">
        <f>K123*$D$45</f>
        <v/>
      </c>
      <c r="L138" s="50">
        <f>L123*$D$45</f>
        <v/>
      </c>
      <c r="M138" s="50">
        <f>M123*$D$45</f>
        <v/>
      </c>
      <c r="N138" s="50">
        <f>N123*$D$45</f>
        <v/>
      </c>
      <c r="O138" s="50">
        <f>O123*$D$45</f>
        <v/>
      </c>
      <c r="P138" s="50">
        <f>P123*$D$45</f>
        <v/>
      </c>
      <c r="Q138" s="50">
        <f>Q123*$D$45</f>
        <v/>
      </c>
      <c r="R138" s="50">
        <f>R123*$D$45</f>
        <v/>
      </c>
      <c r="S138" s="50">
        <f>S123*$D$45</f>
        <v/>
      </c>
      <c r="T138" s="50">
        <f>T123*$D$45</f>
        <v/>
      </c>
      <c r="U138" s="50">
        <f>U123*$D$45</f>
        <v/>
      </c>
      <c r="V138" s="50">
        <f>V123*$D$45</f>
        <v/>
      </c>
      <c r="W138" s="50">
        <f>W123*$D$45</f>
        <v/>
      </c>
      <c r="X138" s="50">
        <f>X123*$D$45</f>
        <v/>
      </c>
      <c r="Y138" s="50">
        <f>Y123*$D$45</f>
        <v/>
      </c>
      <c r="Z138" s="50">
        <f>Z123*$D$45</f>
        <v/>
      </c>
      <c r="AA138" s="50">
        <f>AA123*$D$45</f>
        <v/>
      </c>
      <c r="AB138" s="50">
        <f>AB123*$D$45</f>
        <v/>
      </c>
      <c r="AC138" s="50">
        <f>AC123*$D$45</f>
        <v/>
      </c>
      <c r="AD138" s="50">
        <f>AD123*$D$45</f>
        <v/>
      </c>
      <c r="AE138" s="50">
        <f>AE123*$D$45</f>
        <v/>
      </c>
      <c r="AF138" s="50">
        <f>AF123*$D$45</f>
        <v/>
      </c>
      <c r="AG138" s="50">
        <f>AG123*$D$45</f>
        <v/>
      </c>
      <c r="AH138" s="50">
        <f>AH123*$D$45</f>
        <v/>
      </c>
      <c r="AI138" s="50">
        <f>AI123*$D$45</f>
        <v/>
      </c>
      <c r="AJ138" s="50">
        <f>AJ123*$D$45</f>
        <v/>
      </c>
      <c r="AK138" s="50">
        <f>AK123*$D$45</f>
        <v/>
      </c>
      <c r="AL138" s="50">
        <f>AL123*$D$45</f>
        <v/>
      </c>
      <c r="AM138" s="50">
        <f>AM123*$D$45</f>
        <v/>
      </c>
      <c r="AN138" s="50">
        <f>AN123*$D$45</f>
        <v/>
      </c>
    </row>
    <row r="139">
      <c r="B139" s="7" t="inlineStr">
        <is>
          <t>Free pilots (setup + serving)</t>
        </is>
      </c>
      <c r="C139" s="5" t="inlineStr">
        <is>
          <t>₹</t>
        </is>
      </c>
      <c r="E139" s="50">
        <f>E120*$D$74</f>
        <v/>
      </c>
      <c r="F139" s="50">
        <f>F120*$D$74</f>
        <v/>
      </c>
      <c r="G139" s="50">
        <f>G120*$D$74</f>
        <v/>
      </c>
      <c r="H139" s="50">
        <f>H120*$D$74</f>
        <v/>
      </c>
      <c r="I139" s="50">
        <f>I120*$D$74</f>
        <v/>
      </c>
      <c r="J139" s="50">
        <f>J120*$D$74</f>
        <v/>
      </c>
      <c r="K139" s="50">
        <f>K120*$D$74</f>
        <v/>
      </c>
      <c r="L139" s="50">
        <f>L120*$D$74</f>
        <v/>
      </c>
      <c r="M139" s="50">
        <f>M120*$D$74</f>
        <v/>
      </c>
      <c r="N139" s="50">
        <f>N120*$D$74</f>
        <v/>
      </c>
      <c r="O139" s="50">
        <f>O120*$D$74</f>
        <v/>
      </c>
      <c r="P139" s="50">
        <f>P120*$D$74</f>
        <v/>
      </c>
      <c r="Q139" s="50">
        <f>Q120*$D$74</f>
        <v/>
      </c>
      <c r="R139" s="50">
        <f>R120*$D$74</f>
        <v/>
      </c>
      <c r="S139" s="50">
        <f>S120*$D$74</f>
        <v/>
      </c>
      <c r="T139" s="50">
        <f>T120*$D$74</f>
        <v/>
      </c>
      <c r="U139" s="50">
        <f>U120*$D$74</f>
        <v/>
      </c>
      <c r="V139" s="50">
        <f>V120*$D$74</f>
        <v/>
      </c>
      <c r="W139" s="50">
        <f>W120*$D$74</f>
        <v/>
      </c>
      <c r="X139" s="50">
        <f>X120*$D$74</f>
        <v/>
      </c>
      <c r="Y139" s="50">
        <f>Y120*$D$74</f>
        <v/>
      </c>
      <c r="Z139" s="50">
        <f>Z120*$D$74</f>
        <v/>
      </c>
      <c r="AA139" s="50">
        <f>AA120*$D$74</f>
        <v/>
      </c>
      <c r="AB139" s="50">
        <f>AB120*$D$74</f>
        <v/>
      </c>
      <c r="AC139" s="50">
        <f>AC120*$D$74</f>
        <v/>
      </c>
      <c r="AD139" s="50">
        <f>AD120*$D$74</f>
        <v/>
      </c>
      <c r="AE139" s="50">
        <f>AE120*$D$74</f>
        <v/>
      </c>
      <c r="AF139" s="50">
        <f>AF120*$D$74</f>
        <v/>
      </c>
      <c r="AG139" s="50">
        <f>AG120*$D$74</f>
        <v/>
      </c>
      <c r="AH139" s="50">
        <f>AH120*$D$74</f>
        <v/>
      </c>
      <c r="AI139" s="50">
        <f>AI120*$D$74</f>
        <v/>
      </c>
      <c r="AJ139" s="50">
        <f>AJ120*$D$74</f>
        <v/>
      </c>
      <c r="AK139" s="50">
        <f>AK120*$D$74</f>
        <v/>
      </c>
      <c r="AL139" s="50">
        <f>AL120*$D$74</f>
        <v/>
      </c>
      <c r="AM139" s="50">
        <f>AM120*$D$74</f>
        <v/>
      </c>
      <c r="AN139" s="50">
        <f>AN120*$D$74</f>
        <v/>
      </c>
    </row>
    <row r="140">
      <c r="B140" s="7" t="inlineStr">
        <is>
          <t>Onboarding of new paying institutes</t>
        </is>
      </c>
      <c r="C140" s="5" t="inlineStr">
        <is>
          <t>₹</t>
        </is>
      </c>
      <c r="E140" s="50">
        <f>E123*$D$44*$D$73</f>
        <v/>
      </c>
      <c r="F140" s="50">
        <f>F123*$D$44*$D$73</f>
        <v/>
      </c>
      <c r="G140" s="50">
        <f>G123*$D$44*$D$73</f>
        <v/>
      </c>
      <c r="H140" s="50">
        <f>H123*$D$44*$D$73</f>
        <v/>
      </c>
      <c r="I140" s="50">
        <f>I123*$D$44*$D$73</f>
        <v/>
      </c>
      <c r="J140" s="50">
        <f>J123*$D$44*$D$73</f>
        <v/>
      </c>
      <c r="K140" s="50">
        <f>K123*$D$44*$D$73</f>
        <v/>
      </c>
      <c r="L140" s="50">
        <f>L123*$D$44*$D$73</f>
        <v/>
      </c>
      <c r="M140" s="50">
        <f>M123*$D$44*$D$73</f>
        <v/>
      </c>
      <c r="N140" s="50">
        <f>N123*$D$44*$D$73</f>
        <v/>
      </c>
      <c r="O140" s="50">
        <f>O123*$D$44*$D$73</f>
        <v/>
      </c>
      <c r="P140" s="50">
        <f>P123*$D$44*$D$73</f>
        <v/>
      </c>
      <c r="Q140" s="50">
        <f>Q123*$D$44*$D$73</f>
        <v/>
      </c>
      <c r="R140" s="50">
        <f>R123*$D$44*$D$73</f>
        <v/>
      </c>
      <c r="S140" s="50">
        <f>S123*$D$44*$D$73</f>
        <v/>
      </c>
      <c r="T140" s="50">
        <f>T123*$D$44*$D$73</f>
        <v/>
      </c>
      <c r="U140" s="50">
        <f>U123*$D$44*$D$73</f>
        <v/>
      </c>
      <c r="V140" s="50">
        <f>V123*$D$44*$D$73</f>
        <v/>
      </c>
      <c r="W140" s="50">
        <f>W123*$D$44*$D$73</f>
        <v/>
      </c>
      <c r="X140" s="50">
        <f>X123*$D$44*$D$73</f>
        <v/>
      </c>
      <c r="Y140" s="50">
        <f>Y123*$D$44*$D$73</f>
        <v/>
      </c>
      <c r="Z140" s="50">
        <f>Z123*$D$44*$D$73</f>
        <v/>
      </c>
      <c r="AA140" s="50">
        <f>AA123*$D$44*$D$73</f>
        <v/>
      </c>
      <c r="AB140" s="50">
        <f>AB123*$D$44*$D$73</f>
        <v/>
      </c>
      <c r="AC140" s="50">
        <f>AC123*$D$44*$D$73</f>
        <v/>
      </c>
      <c r="AD140" s="50">
        <f>AD123*$D$44*$D$73</f>
        <v/>
      </c>
      <c r="AE140" s="50">
        <f>AE123*$D$44*$D$73</f>
        <v/>
      </c>
      <c r="AF140" s="50">
        <f>AF123*$D$44*$D$73</f>
        <v/>
      </c>
      <c r="AG140" s="50">
        <f>AG123*$D$44*$D$73</f>
        <v/>
      </c>
      <c r="AH140" s="50">
        <f>AH123*$D$44*$D$73</f>
        <v/>
      </c>
      <c r="AI140" s="50">
        <f>AI123*$D$44*$D$73</f>
        <v/>
      </c>
      <c r="AJ140" s="50">
        <f>AJ123*$D$44*$D$73</f>
        <v/>
      </c>
      <c r="AK140" s="50">
        <f>AK123*$D$44*$D$73</f>
        <v/>
      </c>
      <c r="AL140" s="50">
        <f>AL123*$D$44*$D$73</f>
        <v/>
      </c>
      <c r="AM140" s="50">
        <f>AM123*$D$44*$D$73</f>
        <v/>
      </c>
      <c r="AN140" s="50">
        <f>AN123*$D$44*$D$73</f>
        <v/>
      </c>
    </row>
    <row r="141">
      <c r="B141" s="7" t="inlineStr">
        <is>
          <t>Sales and marketing, total</t>
        </is>
      </c>
      <c r="C141" s="5" t="inlineStr">
        <is>
          <t>₹</t>
        </is>
      </c>
      <c r="E141" s="50">
        <f>E137+E138+E139+E140</f>
        <v/>
      </c>
      <c r="F141" s="50">
        <f>F137+F138+F139+F140</f>
        <v/>
      </c>
      <c r="G141" s="50">
        <f>G137+G138+G139+G140</f>
        <v/>
      </c>
      <c r="H141" s="50">
        <f>H137+H138+H139+H140</f>
        <v/>
      </c>
      <c r="I141" s="50">
        <f>I137+I138+I139+I140</f>
        <v/>
      </c>
      <c r="J141" s="50">
        <f>J137+J138+J139+J140</f>
        <v/>
      </c>
      <c r="K141" s="50">
        <f>K137+K138+K139+K140</f>
        <v/>
      </c>
      <c r="L141" s="50">
        <f>L137+L138+L139+L140</f>
        <v/>
      </c>
      <c r="M141" s="50">
        <f>M137+M138+M139+M140</f>
        <v/>
      </c>
      <c r="N141" s="50">
        <f>N137+N138+N139+N140</f>
        <v/>
      </c>
      <c r="O141" s="50">
        <f>O137+O138+O139+O140</f>
        <v/>
      </c>
      <c r="P141" s="50">
        <f>P137+P138+P139+P140</f>
        <v/>
      </c>
      <c r="Q141" s="50">
        <f>Q137+Q138+Q139+Q140</f>
        <v/>
      </c>
      <c r="R141" s="50">
        <f>R137+R138+R139+R140</f>
        <v/>
      </c>
      <c r="S141" s="50">
        <f>S137+S138+S139+S140</f>
        <v/>
      </c>
      <c r="T141" s="50">
        <f>T137+T138+T139+T140</f>
        <v/>
      </c>
      <c r="U141" s="50">
        <f>U137+U138+U139+U140</f>
        <v/>
      </c>
      <c r="V141" s="50">
        <f>V137+V138+V139+V140</f>
        <v/>
      </c>
      <c r="W141" s="50">
        <f>W137+W138+W139+W140</f>
        <v/>
      </c>
      <c r="X141" s="50">
        <f>X137+X138+X139+X140</f>
        <v/>
      </c>
      <c r="Y141" s="50">
        <f>Y137+Y138+Y139+Y140</f>
        <v/>
      </c>
      <c r="Z141" s="50">
        <f>Z137+Z138+Z139+Z140</f>
        <v/>
      </c>
      <c r="AA141" s="50">
        <f>AA137+AA138+AA139+AA140</f>
        <v/>
      </c>
      <c r="AB141" s="50">
        <f>AB137+AB138+AB139+AB140</f>
        <v/>
      </c>
      <c r="AC141" s="50">
        <f>AC137+AC138+AC139+AC140</f>
        <v/>
      </c>
      <c r="AD141" s="50">
        <f>AD137+AD138+AD139+AD140</f>
        <v/>
      </c>
      <c r="AE141" s="50">
        <f>AE137+AE138+AE139+AE140</f>
        <v/>
      </c>
      <c r="AF141" s="50">
        <f>AF137+AF138+AF139+AF140</f>
        <v/>
      </c>
      <c r="AG141" s="50">
        <f>AG137+AG138+AG139+AG140</f>
        <v/>
      </c>
      <c r="AH141" s="50">
        <f>AH137+AH138+AH139+AH140</f>
        <v/>
      </c>
      <c r="AI141" s="50">
        <f>AI137+AI138+AI139+AI140</f>
        <v/>
      </c>
      <c r="AJ141" s="50">
        <f>AJ137+AJ138+AJ139+AJ140</f>
        <v/>
      </c>
      <c r="AK141" s="50">
        <f>AK137+AK138+AK139+AK140</f>
        <v/>
      </c>
      <c r="AL141" s="50">
        <f>AL137+AL138+AL139+AL140</f>
        <v/>
      </c>
      <c r="AM141" s="50">
        <f>AM137+AM138+AM139+AM140</f>
        <v/>
      </c>
      <c r="AN141" s="50">
        <f>AN137+AN138+AN139+AN140</f>
        <v/>
      </c>
    </row>
    <row r="142">
      <c r="B142" s="7" t="inlineStr">
        <is>
          <t>Engineers</t>
        </is>
      </c>
      <c r="C142" s="5" t="inlineStr">
        <is>
          <t>people</t>
        </is>
      </c>
      <c r="E142" s="57">
        <f>CHOOSE(E114,$D$51,$D$52,$D$53)</f>
        <v/>
      </c>
      <c r="F142" s="57">
        <f>CHOOSE(F114,$D$51,$D$52,$D$53)</f>
        <v/>
      </c>
      <c r="G142" s="57">
        <f>CHOOSE(G114,$D$51,$D$52,$D$53)</f>
        <v/>
      </c>
      <c r="H142" s="57">
        <f>CHOOSE(H114,$D$51,$D$52,$D$53)</f>
        <v/>
      </c>
      <c r="I142" s="57">
        <f>CHOOSE(I114,$D$51,$D$52,$D$53)</f>
        <v/>
      </c>
      <c r="J142" s="57">
        <f>CHOOSE(J114,$D$51,$D$52,$D$53)</f>
        <v/>
      </c>
      <c r="K142" s="57">
        <f>CHOOSE(K114,$D$51,$D$52,$D$53)</f>
        <v/>
      </c>
      <c r="L142" s="57">
        <f>CHOOSE(L114,$D$51,$D$52,$D$53)</f>
        <v/>
      </c>
      <c r="M142" s="57">
        <f>CHOOSE(M114,$D$51,$D$52,$D$53)</f>
        <v/>
      </c>
      <c r="N142" s="57">
        <f>CHOOSE(N114,$D$51,$D$52,$D$53)</f>
        <v/>
      </c>
      <c r="O142" s="57">
        <f>CHOOSE(O114,$D$51,$D$52,$D$53)</f>
        <v/>
      </c>
      <c r="P142" s="57">
        <f>CHOOSE(P114,$D$51,$D$52,$D$53)</f>
        <v/>
      </c>
      <c r="Q142" s="57">
        <f>CHOOSE(Q114,$D$51,$D$52,$D$53)</f>
        <v/>
      </c>
      <c r="R142" s="57">
        <f>CHOOSE(R114,$D$51,$D$52,$D$53)</f>
        <v/>
      </c>
      <c r="S142" s="57">
        <f>CHOOSE(S114,$D$51,$D$52,$D$53)</f>
        <v/>
      </c>
      <c r="T142" s="57">
        <f>CHOOSE(T114,$D$51,$D$52,$D$53)</f>
        <v/>
      </c>
      <c r="U142" s="57">
        <f>CHOOSE(U114,$D$51,$D$52,$D$53)</f>
        <v/>
      </c>
      <c r="V142" s="57">
        <f>CHOOSE(V114,$D$51,$D$52,$D$53)</f>
        <v/>
      </c>
      <c r="W142" s="57">
        <f>CHOOSE(W114,$D$51,$D$52,$D$53)</f>
        <v/>
      </c>
      <c r="X142" s="57">
        <f>CHOOSE(X114,$D$51,$D$52,$D$53)</f>
        <v/>
      </c>
      <c r="Y142" s="57">
        <f>CHOOSE(Y114,$D$51,$D$52,$D$53)</f>
        <v/>
      </c>
      <c r="Z142" s="57">
        <f>CHOOSE(Z114,$D$51,$D$52,$D$53)</f>
        <v/>
      </c>
      <c r="AA142" s="57">
        <f>CHOOSE(AA114,$D$51,$D$52,$D$53)</f>
        <v/>
      </c>
      <c r="AB142" s="57">
        <f>CHOOSE(AB114,$D$51,$D$52,$D$53)</f>
        <v/>
      </c>
      <c r="AC142" s="57">
        <f>CHOOSE(AC114,$D$51,$D$52,$D$53)</f>
        <v/>
      </c>
      <c r="AD142" s="57">
        <f>CHOOSE(AD114,$D$51,$D$52,$D$53)</f>
        <v/>
      </c>
      <c r="AE142" s="57">
        <f>CHOOSE(AE114,$D$51,$D$52,$D$53)</f>
        <v/>
      </c>
      <c r="AF142" s="57">
        <f>CHOOSE(AF114,$D$51,$D$52,$D$53)</f>
        <v/>
      </c>
      <c r="AG142" s="57">
        <f>CHOOSE(AG114,$D$51,$D$52,$D$53)</f>
        <v/>
      </c>
      <c r="AH142" s="57">
        <f>CHOOSE(AH114,$D$51,$D$52,$D$53)</f>
        <v/>
      </c>
      <c r="AI142" s="57">
        <f>CHOOSE(AI114,$D$51,$D$52,$D$53)</f>
        <v/>
      </c>
      <c r="AJ142" s="57">
        <f>CHOOSE(AJ114,$D$51,$D$52,$D$53)</f>
        <v/>
      </c>
      <c r="AK142" s="57">
        <f>CHOOSE(AK114,$D$51,$D$52,$D$53)</f>
        <v/>
      </c>
      <c r="AL142" s="57">
        <f>CHOOSE(AL114,$D$51,$D$52,$D$53)</f>
        <v/>
      </c>
      <c r="AM142" s="57">
        <f>CHOOSE(AM114,$D$51,$D$52,$D$53)</f>
        <v/>
      </c>
      <c r="AN142" s="57">
        <f>CHOOSE(AN114,$D$51,$D$52,$D$53)</f>
        <v/>
      </c>
    </row>
    <row r="143">
      <c r="B143" s="7" t="inlineStr">
        <is>
          <t>Product and engineering (the larger of the planned engineers and a share of revenue)</t>
        </is>
      </c>
      <c r="C143" s="5" t="inlineStr">
        <is>
          <t>₹</t>
        </is>
      </c>
      <c r="E143" s="50">
        <f>MAX(E142*$D$54*E117,$D$59*E128)</f>
        <v/>
      </c>
      <c r="F143" s="50">
        <f>MAX(F142*$D$54*F117,$D$59*F128)</f>
        <v/>
      </c>
      <c r="G143" s="50">
        <f>MAX(G142*$D$54*G117,$D$59*G128)</f>
        <v/>
      </c>
      <c r="H143" s="50">
        <f>MAX(H142*$D$54*H117,$D$59*H128)</f>
        <v/>
      </c>
      <c r="I143" s="50">
        <f>MAX(I142*$D$54*I117,$D$59*I128)</f>
        <v/>
      </c>
      <c r="J143" s="50">
        <f>MAX(J142*$D$54*J117,$D$59*J128)</f>
        <v/>
      </c>
      <c r="K143" s="50">
        <f>MAX(K142*$D$54*K117,$D$59*K128)</f>
        <v/>
      </c>
      <c r="L143" s="50">
        <f>MAX(L142*$D$54*L117,$D$59*L128)</f>
        <v/>
      </c>
      <c r="M143" s="50">
        <f>MAX(M142*$D$54*M117,$D$59*M128)</f>
        <v/>
      </c>
      <c r="N143" s="50">
        <f>MAX(N142*$D$54*N117,$D$59*N128)</f>
        <v/>
      </c>
      <c r="O143" s="50">
        <f>MAX(O142*$D$54*O117,$D$59*O128)</f>
        <v/>
      </c>
      <c r="P143" s="50">
        <f>MAX(P142*$D$54*P117,$D$59*P128)</f>
        <v/>
      </c>
      <c r="Q143" s="50">
        <f>MAX(Q142*$D$54*Q117,$D$59*Q128)</f>
        <v/>
      </c>
      <c r="R143" s="50">
        <f>MAX(R142*$D$54*R117,$D$59*R128)</f>
        <v/>
      </c>
      <c r="S143" s="50">
        <f>MAX(S142*$D$54*S117,$D$59*S128)</f>
        <v/>
      </c>
      <c r="T143" s="50">
        <f>MAX(T142*$D$54*T117,$D$59*T128)</f>
        <v/>
      </c>
      <c r="U143" s="50">
        <f>MAX(U142*$D$54*U117,$D$59*U128)</f>
        <v/>
      </c>
      <c r="V143" s="50">
        <f>MAX(V142*$D$54*V117,$D$59*V128)</f>
        <v/>
      </c>
      <c r="W143" s="50">
        <f>MAX(W142*$D$54*W117,$D$59*W128)</f>
        <v/>
      </c>
      <c r="X143" s="50">
        <f>MAX(X142*$D$54*X117,$D$59*X128)</f>
        <v/>
      </c>
      <c r="Y143" s="50">
        <f>MAX(Y142*$D$54*Y117,$D$59*Y128)</f>
        <v/>
      </c>
      <c r="Z143" s="50">
        <f>MAX(Z142*$D$54*Z117,$D$59*Z128)</f>
        <v/>
      </c>
      <c r="AA143" s="50">
        <f>MAX(AA142*$D$54*AA117,$D$59*AA128)</f>
        <v/>
      </c>
      <c r="AB143" s="50">
        <f>MAX(AB142*$D$54*AB117,$D$59*AB128)</f>
        <v/>
      </c>
      <c r="AC143" s="50">
        <f>MAX(AC142*$D$54*AC117,$D$59*AC128)</f>
        <v/>
      </c>
      <c r="AD143" s="50">
        <f>MAX(AD142*$D$54*AD117,$D$59*AD128)</f>
        <v/>
      </c>
      <c r="AE143" s="50">
        <f>MAX(AE142*$D$54*AE117,$D$59*AE128)</f>
        <v/>
      </c>
      <c r="AF143" s="50">
        <f>MAX(AF142*$D$54*AF117,$D$59*AF128)</f>
        <v/>
      </c>
      <c r="AG143" s="50">
        <f>MAX(AG142*$D$54*AG117,$D$59*AG128)</f>
        <v/>
      </c>
      <c r="AH143" s="50">
        <f>MAX(AH142*$D$54*AH117,$D$59*AH128)</f>
        <v/>
      </c>
      <c r="AI143" s="50">
        <f>MAX(AI142*$D$54*AI117,$D$59*AI128)</f>
        <v/>
      </c>
      <c r="AJ143" s="50">
        <f>MAX(AJ142*$D$54*AJ117,$D$59*AJ128)</f>
        <v/>
      </c>
      <c r="AK143" s="50">
        <f>MAX(AK142*$D$54*AK117,$D$59*AK128)</f>
        <v/>
      </c>
      <c r="AL143" s="50">
        <f>MAX(AL142*$D$54*AL117,$D$59*AL128)</f>
        <v/>
      </c>
      <c r="AM143" s="50">
        <f>MAX(AM142*$D$54*AM117,$D$59*AM128)</f>
        <v/>
      </c>
      <c r="AN143" s="50">
        <f>MAX(AN142*$D$54*AN117,$D$59*AN128)</f>
        <v/>
      </c>
    </row>
    <row r="144">
      <c r="B144" s="7" t="inlineStr">
        <is>
          <t>Founders' stipends and general costs (the larger of the plan and a share of revenue)</t>
        </is>
      </c>
      <c r="C144" s="5" t="inlineStr">
        <is>
          <t>₹</t>
        </is>
      </c>
      <c r="E144" s="50">
        <f>MAX(($D$49*$D$50+$D$55)*E117,$D$60*E128)</f>
        <v/>
      </c>
      <c r="F144" s="50">
        <f>MAX(($D$49*$D$50+$D$55)*F117,$D$60*F128)</f>
        <v/>
      </c>
      <c r="G144" s="50">
        <f>MAX(($D$49*$D$50+$D$55)*G117,$D$60*G128)</f>
        <v/>
      </c>
      <c r="H144" s="50">
        <f>MAX(($D$49*$D$50+$D$55)*H117,$D$60*H128)</f>
        <v/>
      </c>
      <c r="I144" s="50">
        <f>MAX(($D$49*$D$50+$D$55)*I117,$D$60*I128)</f>
        <v/>
      </c>
      <c r="J144" s="50">
        <f>MAX(($D$49*$D$50+$D$55)*J117,$D$60*J128)</f>
        <v/>
      </c>
      <c r="K144" s="50">
        <f>MAX(($D$49*$D$50+$D$55)*K117,$D$60*K128)</f>
        <v/>
      </c>
      <c r="L144" s="50">
        <f>MAX(($D$49*$D$50+$D$55)*L117,$D$60*L128)</f>
        <v/>
      </c>
      <c r="M144" s="50">
        <f>MAX(($D$49*$D$50+$D$55)*M117,$D$60*M128)</f>
        <v/>
      </c>
      <c r="N144" s="50">
        <f>MAX(($D$49*$D$50+$D$55)*N117,$D$60*N128)</f>
        <v/>
      </c>
      <c r="O144" s="50">
        <f>MAX(($D$49*$D$50+$D$55)*O117,$D$60*O128)</f>
        <v/>
      </c>
      <c r="P144" s="50">
        <f>MAX(($D$49*$D$50+$D$55)*P117,$D$60*P128)</f>
        <v/>
      </c>
      <c r="Q144" s="50">
        <f>MAX(($D$49*$D$50+$D$55)*Q117,$D$60*Q128)</f>
        <v/>
      </c>
      <c r="R144" s="50">
        <f>MAX(($D$49*$D$50+$D$55)*R117,$D$60*R128)</f>
        <v/>
      </c>
      <c r="S144" s="50">
        <f>MAX(($D$49*$D$50+$D$55)*S117,$D$60*S128)</f>
        <v/>
      </c>
      <c r="T144" s="50">
        <f>MAX(($D$49*$D$50+$D$55)*T117,$D$60*T128)</f>
        <v/>
      </c>
      <c r="U144" s="50">
        <f>MAX(($D$49*$D$50+$D$55)*U117,$D$60*U128)</f>
        <v/>
      </c>
      <c r="V144" s="50">
        <f>MAX(($D$49*$D$50+$D$55)*V117,$D$60*V128)</f>
        <v/>
      </c>
      <c r="W144" s="50">
        <f>MAX(($D$49*$D$50+$D$55)*W117,$D$60*W128)</f>
        <v/>
      </c>
      <c r="X144" s="50">
        <f>MAX(($D$49*$D$50+$D$55)*X117,$D$60*X128)</f>
        <v/>
      </c>
      <c r="Y144" s="50">
        <f>MAX(($D$49*$D$50+$D$55)*Y117,$D$60*Y128)</f>
        <v/>
      </c>
      <c r="Z144" s="50">
        <f>MAX(($D$49*$D$50+$D$55)*Z117,$D$60*Z128)</f>
        <v/>
      </c>
      <c r="AA144" s="50">
        <f>MAX(($D$49*$D$50+$D$55)*AA117,$D$60*AA128)</f>
        <v/>
      </c>
      <c r="AB144" s="50">
        <f>MAX(($D$49*$D$50+$D$55)*AB117,$D$60*AB128)</f>
        <v/>
      </c>
      <c r="AC144" s="50">
        <f>MAX(($D$49*$D$50+$D$55)*AC117,$D$60*AC128)</f>
        <v/>
      </c>
      <c r="AD144" s="50">
        <f>MAX(($D$49*$D$50+$D$55)*AD117,$D$60*AD128)</f>
        <v/>
      </c>
      <c r="AE144" s="50">
        <f>MAX(($D$49*$D$50+$D$55)*AE117,$D$60*AE128)</f>
        <v/>
      </c>
      <c r="AF144" s="50">
        <f>MAX(($D$49*$D$50+$D$55)*AF117,$D$60*AF128)</f>
        <v/>
      </c>
      <c r="AG144" s="50">
        <f>MAX(($D$49*$D$50+$D$55)*AG117,$D$60*AG128)</f>
        <v/>
      </c>
      <c r="AH144" s="50">
        <f>MAX(($D$49*$D$50+$D$55)*AH117,$D$60*AH128)</f>
        <v/>
      </c>
      <c r="AI144" s="50">
        <f>MAX(($D$49*$D$50+$D$55)*AI117,$D$60*AI128)</f>
        <v/>
      </c>
      <c r="AJ144" s="50">
        <f>MAX(($D$49*$D$50+$D$55)*AJ117,$D$60*AJ128)</f>
        <v/>
      </c>
      <c r="AK144" s="50">
        <f>MAX(($D$49*$D$50+$D$55)*AK117,$D$60*AK128)</f>
        <v/>
      </c>
      <c r="AL144" s="50">
        <f>MAX(($D$49*$D$50+$D$55)*AL117,$D$60*AL128)</f>
        <v/>
      </c>
      <c r="AM144" s="50">
        <f>MAX(($D$49*$D$50+$D$55)*AM117,$D$60*AM128)</f>
        <v/>
      </c>
      <c r="AN144" s="50">
        <f>MAX(($D$49*$D$50+$D$55)*AN117,$D$60*AN128)</f>
        <v/>
      </c>
    </row>
    <row r="145">
      <c r="B145" s="7" t="inlineStr">
        <is>
          <t>Total operating costs</t>
        </is>
      </c>
      <c r="C145" s="5" t="inlineStr">
        <is>
          <t>₹</t>
        </is>
      </c>
      <c r="E145" s="50">
        <f>E141+E143+E144</f>
        <v/>
      </c>
      <c r="F145" s="50">
        <f>F141+F143+F144</f>
        <v/>
      </c>
      <c r="G145" s="50">
        <f>G141+G143+G144</f>
        <v/>
      </c>
      <c r="H145" s="50">
        <f>H141+H143+H144</f>
        <v/>
      </c>
      <c r="I145" s="50">
        <f>I141+I143+I144</f>
        <v/>
      </c>
      <c r="J145" s="50">
        <f>J141+J143+J144</f>
        <v/>
      </c>
      <c r="K145" s="50">
        <f>K141+K143+K144</f>
        <v/>
      </c>
      <c r="L145" s="50">
        <f>L141+L143+L144</f>
        <v/>
      </c>
      <c r="M145" s="50">
        <f>M141+M143+M144</f>
        <v/>
      </c>
      <c r="N145" s="50">
        <f>N141+N143+N144</f>
        <v/>
      </c>
      <c r="O145" s="50">
        <f>O141+O143+O144</f>
        <v/>
      </c>
      <c r="P145" s="50">
        <f>P141+P143+P144</f>
        <v/>
      </c>
      <c r="Q145" s="50">
        <f>Q141+Q143+Q144</f>
        <v/>
      </c>
      <c r="R145" s="50">
        <f>R141+R143+R144</f>
        <v/>
      </c>
      <c r="S145" s="50">
        <f>S141+S143+S144</f>
        <v/>
      </c>
      <c r="T145" s="50">
        <f>T141+T143+T144</f>
        <v/>
      </c>
      <c r="U145" s="50">
        <f>U141+U143+U144</f>
        <v/>
      </c>
      <c r="V145" s="50">
        <f>V141+V143+V144</f>
        <v/>
      </c>
      <c r="W145" s="50">
        <f>W141+W143+W144</f>
        <v/>
      </c>
      <c r="X145" s="50">
        <f>X141+X143+X144</f>
        <v/>
      </c>
      <c r="Y145" s="50">
        <f>Y141+Y143+Y144</f>
        <v/>
      </c>
      <c r="Z145" s="50">
        <f>Z141+Z143+Z144</f>
        <v/>
      </c>
      <c r="AA145" s="50">
        <f>AA141+AA143+AA144</f>
        <v/>
      </c>
      <c r="AB145" s="50">
        <f>AB141+AB143+AB144</f>
        <v/>
      </c>
      <c r="AC145" s="50">
        <f>AC141+AC143+AC144</f>
        <v/>
      </c>
      <c r="AD145" s="50">
        <f>AD141+AD143+AD144</f>
        <v/>
      </c>
      <c r="AE145" s="50">
        <f>AE141+AE143+AE144</f>
        <v/>
      </c>
      <c r="AF145" s="50">
        <f>AF141+AF143+AF144</f>
        <v/>
      </c>
      <c r="AG145" s="50">
        <f>AG141+AG143+AG144</f>
        <v/>
      </c>
      <c r="AH145" s="50">
        <f>AH141+AH143+AH144</f>
        <v/>
      </c>
      <c r="AI145" s="50">
        <f>AI141+AI143+AI144</f>
        <v/>
      </c>
      <c r="AJ145" s="50">
        <f>AJ141+AJ143+AJ144</f>
        <v/>
      </c>
      <c r="AK145" s="50">
        <f>AK141+AK143+AK144</f>
        <v/>
      </c>
      <c r="AL145" s="50">
        <f>AL141+AL143+AL144</f>
        <v/>
      </c>
      <c r="AM145" s="50">
        <f>AM141+AM143+AM144</f>
        <v/>
      </c>
      <c r="AN145" s="50">
        <f>AN141+AN143+AN144</f>
        <v/>
      </c>
    </row>
    <row r="146">
      <c r="B146" s="3" t="inlineStr">
        <is>
          <t>EBITDA</t>
        </is>
      </c>
      <c r="C146" s="5" t="inlineStr">
        <is>
          <t>₹</t>
        </is>
      </c>
      <c r="E146" s="52">
        <f>E135-E145</f>
        <v/>
      </c>
      <c r="F146" s="52">
        <f>F135-F145</f>
        <v/>
      </c>
      <c r="G146" s="52">
        <f>G135-G145</f>
        <v/>
      </c>
      <c r="H146" s="52">
        <f>H135-H145</f>
        <v/>
      </c>
      <c r="I146" s="52">
        <f>I135-I145</f>
        <v/>
      </c>
      <c r="J146" s="52">
        <f>J135-J145</f>
        <v/>
      </c>
      <c r="K146" s="52">
        <f>K135-K145</f>
        <v/>
      </c>
      <c r="L146" s="52">
        <f>L135-L145</f>
        <v/>
      </c>
      <c r="M146" s="52">
        <f>M135-M145</f>
        <v/>
      </c>
      <c r="N146" s="52">
        <f>N135-N145</f>
        <v/>
      </c>
      <c r="O146" s="52">
        <f>O135-O145</f>
        <v/>
      </c>
      <c r="P146" s="52">
        <f>P135-P145</f>
        <v/>
      </c>
      <c r="Q146" s="52">
        <f>Q135-Q145</f>
        <v/>
      </c>
      <c r="R146" s="52">
        <f>R135-R145</f>
        <v/>
      </c>
      <c r="S146" s="52">
        <f>S135-S145</f>
        <v/>
      </c>
      <c r="T146" s="52">
        <f>T135-T145</f>
        <v/>
      </c>
      <c r="U146" s="52">
        <f>U135-U145</f>
        <v/>
      </c>
      <c r="V146" s="52">
        <f>V135-V145</f>
        <v/>
      </c>
      <c r="W146" s="52">
        <f>W135-W145</f>
        <v/>
      </c>
      <c r="X146" s="52">
        <f>X135-X145</f>
        <v/>
      </c>
      <c r="Y146" s="52">
        <f>Y135-Y145</f>
        <v/>
      </c>
      <c r="Z146" s="52">
        <f>Z135-Z145</f>
        <v/>
      </c>
      <c r="AA146" s="52">
        <f>AA135-AA145</f>
        <v/>
      </c>
      <c r="AB146" s="52">
        <f>AB135-AB145</f>
        <v/>
      </c>
      <c r="AC146" s="52">
        <f>AC135-AC145</f>
        <v/>
      </c>
      <c r="AD146" s="52">
        <f>AD135-AD145</f>
        <v/>
      </c>
      <c r="AE146" s="52">
        <f>AE135-AE145</f>
        <v/>
      </c>
      <c r="AF146" s="52">
        <f>AF135-AF145</f>
        <v/>
      </c>
      <c r="AG146" s="52">
        <f>AG135-AG145</f>
        <v/>
      </c>
      <c r="AH146" s="52">
        <f>AH135-AH145</f>
        <v/>
      </c>
      <c r="AI146" s="52">
        <f>AI135-AI145</f>
        <v/>
      </c>
      <c r="AJ146" s="52">
        <f>AJ135-AJ145</f>
        <v/>
      </c>
      <c r="AK146" s="52">
        <f>AK135-AK145</f>
        <v/>
      </c>
      <c r="AL146" s="52">
        <f>AL135-AL145</f>
        <v/>
      </c>
      <c r="AM146" s="52">
        <f>AM135-AM145</f>
        <v/>
      </c>
      <c r="AN146" s="52">
        <f>AN135-AN145</f>
        <v/>
      </c>
    </row>
    <row r="147">
      <c r="A147" s="23" t="n"/>
      <c r="B147" s="22" t="inlineStr">
        <is>
          <t>E. Cash and funding</t>
        </is>
      </c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  <c r="AA147" s="23" t="n"/>
      <c r="AB147" s="23" t="n"/>
      <c r="AC147" s="23" t="n"/>
      <c r="AD147" s="23" t="n"/>
      <c r="AE147" s="23" t="n"/>
      <c r="AF147" s="23" t="n"/>
      <c r="AG147" s="23" t="n"/>
      <c r="AH147" s="23" t="n"/>
      <c r="AI147" s="23" t="n"/>
      <c r="AJ147" s="23" t="n"/>
      <c r="AK147" s="23" t="n"/>
      <c r="AL147" s="23" t="n"/>
      <c r="AM147" s="23" t="n"/>
      <c r="AN147" s="23" t="n"/>
    </row>
    <row r="148">
      <c r="B148" s="7" t="inlineStr">
        <is>
          <t>Receivables outstanding</t>
        </is>
      </c>
      <c r="C148" s="5" t="inlineStr">
        <is>
          <t>₹</t>
        </is>
      </c>
      <c r="E148" s="50">
        <f>E128*$D$62/30</f>
        <v/>
      </c>
      <c r="F148" s="50">
        <f>F128*$D$62/30</f>
        <v/>
      </c>
      <c r="G148" s="50">
        <f>G128*$D$62/30</f>
        <v/>
      </c>
      <c r="H148" s="50">
        <f>H128*$D$62/30</f>
        <v/>
      </c>
      <c r="I148" s="50">
        <f>I128*$D$62/30</f>
        <v/>
      </c>
      <c r="J148" s="50">
        <f>J128*$D$62/30</f>
        <v/>
      </c>
      <c r="K148" s="50">
        <f>K128*$D$62/30</f>
        <v/>
      </c>
      <c r="L148" s="50">
        <f>L128*$D$62/30</f>
        <v/>
      </c>
      <c r="M148" s="50">
        <f>M128*$D$62/30</f>
        <v/>
      </c>
      <c r="N148" s="50">
        <f>N128*$D$62/30</f>
        <v/>
      </c>
      <c r="O148" s="50">
        <f>O128*$D$62/30</f>
        <v/>
      </c>
      <c r="P148" s="50">
        <f>P128*$D$62/30</f>
        <v/>
      </c>
      <c r="Q148" s="50">
        <f>Q128*$D$62/30</f>
        <v/>
      </c>
      <c r="R148" s="50">
        <f>R128*$D$62/30</f>
        <v/>
      </c>
      <c r="S148" s="50">
        <f>S128*$D$62/30</f>
        <v/>
      </c>
      <c r="T148" s="50">
        <f>T128*$D$62/30</f>
        <v/>
      </c>
      <c r="U148" s="50">
        <f>U128*$D$62/30</f>
        <v/>
      </c>
      <c r="V148" s="50">
        <f>V128*$D$62/30</f>
        <v/>
      </c>
      <c r="W148" s="50">
        <f>W128*$D$62/30</f>
        <v/>
      </c>
      <c r="X148" s="50">
        <f>X128*$D$62/30</f>
        <v/>
      </c>
      <c r="Y148" s="50">
        <f>Y128*$D$62/30</f>
        <v/>
      </c>
      <c r="Z148" s="50">
        <f>Z128*$D$62/30</f>
        <v/>
      </c>
      <c r="AA148" s="50">
        <f>AA128*$D$62/30</f>
        <v/>
      </c>
      <c r="AB148" s="50">
        <f>AB128*$D$62/30</f>
        <v/>
      </c>
      <c r="AC148" s="50">
        <f>AC128*$D$62/30</f>
        <v/>
      </c>
      <c r="AD148" s="50">
        <f>AD128*$D$62/30</f>
        <v/>
      </c>
      <c r="AE148" s="50">
        <f>AE128*$D$62/30</f>
        <v/>
      </c>
      <c r="AF148" s="50">
        <f>AF128*$D$62/30</f>
        <v/>
      </c>
      <c r="AG148" s="50">
        <f>AG128*$D$62/30</f>
        <v/>
      </c>
      <c r="AH148" s="50">
        <f>AH128*$D$62/30</f>
        <v/>
      </c>
      <c r="AI148" s="50">
        <f>AI128*$D$62/30</f>
        <v/>
      </c>
      <c r="AJ148" s="50">
        <f>AJ128*$D$62/30</f>
        <v/>
      </c>
      <c r="AK148" s="50">
        <f>AK128*$D$62/30</f>
        <v/>
      </c>
      <c r="AL148" s="50">
        <f>AL128*$D$62/30</f>
        <v/>
      </c>
      <c r="AM148" s="50">
        <f>AM128*$D$62/30</f>
        <v/>
      </c>
      <c r="AN148" s="50">
        <f>AN128*$D$62/30</f>
        <v/>
      </c>
    </row>
    <row r="149">
      <c r="B149" s="7" t="inlineStr">
        <is>
          <t>Increase in receivables</t>
        </is>
      </c>
      <c r="C149" s="5" t="inlineStr">
        <is>
          <t>₹</t>
        </is>
      </c>
      <c r="E149" s="50">
        <f>E148</f>
        <v/>
      </c>
      <c r="F149" s="50">
        <f>F148-E148</f>
        <v/>
      </c>
      <c r="G149" s="50">
        <f>G148-F148</f>
        <v/>
      </c>
      <c r="H149" s="50">
        <f>H148-G148</f>
        <v/>
      </c>
      <c r="I149" s="50">
        <f>I148-H148</f>
        <v/>
      </c>
      <c r="J149" s="50">
        <f>J148-I148</f>
        <v/>
      </c>
      <c r="K149" s="50">
        <f>K148-J148</f>
        <v/>
      </c>
      <c r="L149" s="50">
        <f>L148-K148</f>
        <v/>
      </c>
      <c r="M149" s="50">
        <f>M148-L148</f>
        <v/>
      </c>
      <c r="N149" s="50">
        <f>N148-M148</f>
        <v/>
      </c>
      <c r="O149" s="50">
        <f>O148-N148</f>
        <v/>
      </c>
      <c r="P149" s="50">
        <f>P148-O148</f>
        <v/>
      </c>
      <c r="Q149" s="50">
        <f>Q148-P148</f>
        <v/>
      </c>
      <c r="R149" s="50">
        <f>R148-Q148</f>
        <v/>
      </c>
      <c r="S149" s="50">
        <f>S148-R148</f>
        <v/>
      </c>
      <c r="T149" s="50">
        <f>T148-S148</f>
        <v/>
      </c>
      <c r="U149" s="50">
        <f>U148-T148</f>
        <v/>
      </c>
      <c r="V149" s="50">
        <f>V148-U148</f>
        <v/>
      </c>
      <c r="W149" s="50">
        <f>W148-V148</f>
        <v/>
      </c>
      <c r="X149" s="50">
        <f>X148-W148</f>
        <v/>
      </c>
      <c r="Y149" s="50">
        <f>Y148-X148</f>
        <v/>
      </c>
      <c r="Z149" s="50">
        <f>Z148-Y148</f>
        <v/>
      </c>
      <c r="AA149" s="50">
        <f>AA148-Z148</f>
        <v/>
      </c>
      <c r="AB149" s="50">
        <f>AB148-AA148</f>
        <v/>
      </c>
      <c r="AC149" s="50">
        <f>AC148-AB148</f>
        <v/>
      </c>
      <c r="AD149" s="50">
        <f>AD148-AC148</f>
        <v/>
      </c>
      <c r="AE149" s="50">
        <f>AE148-AD148</f>
        <v/>
      </c>
      <c r="AF149" s="50">
        <f>AF148-AE148</f>
        <v/>
      </c>
      <c r="AG149" s="50">
        <f>AG148-AF148</f>
        <v/>
      </c>
      <c r="AH149" s="50">
        <f>AH148-AG148</f>
        <v/>
      </c>
      <c r="AI149" s="50">
        <f>AI148-AH148</f>
        <v/>
      </c>
      <c r="AJ149" s="50">
        <f>AJ148-AI148</f>
        <v/>
      </c>
      <c r="AK149" s="50">
        <f>AK148-AJ148</f>
        <v/>
      </c>
      <c r="AL149" s="50">
        <f>AL148-AK148</f>
        <v/>
      </c>
      <c r="AM149" s="50">
        <f>AM148-AL148</f>
        <v/>
      </c>
      <c r="AN149" s="50">
        <f>AN148-AM148</f>
        <v/>
      </c>
    </row>
    <row r="150">
      <c r="B150" s="7" t="inlineStr">
        <is>
          <t>Headcount (founders + reps + engineers + customer success)</t>
        </is>
      </c>
      <c r="C150" s="5" t="inlineStr">
        <is>
          <t>people</t>
        </is>
      </c>
      <c r="E150" s="57">
        <f>$D$49+E119+E142+E133</f>
        <v/>
      </c>
      <c r="F150" s="57">
        <f>$D$49+F119+F142+F133</f>
        <v/>
      </c>
      <c r="G150" s="57">
        <f>$D$49+G119+G142+G133</f>
        <v/>
      </c>
      <c r="H150" s="57">
        <f>$D$49+H119+H142+H133</f>
        <v/>
      </c>
      <c r="I150" s="57">
        <f>$D$49+I119+I142+I133</f>
        <v/>
      </c>
      <c r="J150" s="57">
        <f>$D$49+J119+J142+J133</f>
        <v/>
      </c>
      <c r="K150" s="57">
        <f>$D$49+K119+K142+K133</f>
        <v/>
      </c>
      <c r="L150" s="57">
        <f>$D$49+L119+L142+L133</f>
        <v/>
      </c>
      <c r="M150" s="57">
        <f>$D$49+M119+M142+M133</f>
        <v/>
      </c>
      <c r="N150" s="57">
        <f>$D$49+N119+N142+N133</f>
        <v/>
      </c>
      <c r="O150" s="57">
        <f>$D$49+O119+O142+O133</f>
        <v/>
      </c>
      <c r="P150" s="57">
        <f>$D$49+P119+P142+P133</f>
        <v/>
      </c>
      <c r="Q150" s="57">
        <f>$D$49+Q119+Q142+Q133</f>
        <v/>
      </c>
      <c r="R150" s="57">
        <f>$D$49+R119+R142+R133</f>
        <v/>
      </c>
      <c r="S150" s="57">
        <f>$D$49+S119+S142+S133</f>
        <v/>
      </c>
      <c r="T150" s="57">
        <f>$D$49+T119+T142+T133</f>
        <v/>
      </c>
      <c r="U150" s="57">
        <f>$D$49+U119+U142+U133</f>
        <v/>
      </c>
      <c r="V150" s="57">
        <f>$D$49+V119+V142+V133</f>
        <v/>
      </c>
      <c r="W150" s="57">
        <f>$D$49+W119+W142+W133</f>
        <v/>
      </c>
      <c r="X150" s="57">
        <f>$D$49+X119+X142+X133</f>
        <v/>
      </c>
      <c r="Y150" s="57">
        <f>$D$49+Y119+Y142+Y133</f>
        <v/>
      </c>
      <c r="Z150" s="57">
        <f>$D$49+Z119+Z142+Z133</f>
        <v/>
      </c>
      <c r="AA150" s="57">
        <f>$D$49+AA119+AA142+AA133</f>
        <v/>
      </c>
      <c r="AB150" s="57">
        <f>$D$49+AB119+AB142+AB133</f>
        <v/>
      </c>
      <c r="AC150" s="57">
        <f>$D$49+AC119+AC142+AC133</f>
        <v/>
      </c>
      <c r="AD150" s="57">
        <f>$D$49+AD119+AD142+AD133</f>
        <v/>
      </c>
      <c r="AE150" s="57">
        <f>$D$49+AE119+AE142+AE133</f>
        <v/>
      </c>
      <c r="AF150" s="57">
        <f>$D$49+AF119+AF142+AF133</f>
        <v/>
      </c>
      <c r="AG150" s="57">
        <f>$D$49+AG119+AG142+AG133</f>
        <v/>
      </c>
      <c r="AH150" s="57">
        <f>$D$49+AH119+AH142+AH133</f>
        <v/>
      </c>
      <c r="AI150" s="57">
        <f>$D$49+AI119+AI142+AI133</f>
        <v/>
      </c>
      <c r="AJ150" s="57">
        <f>$D$49+AJ119+AJ142+AJ133</f>
        <v/>
      </c>
      <c r="AK150" s="57">
        <f>$D$49+AK119+AK142+AK133</f>
        <v/>
      </c>
      <c r="AL150" s="57">
        <f>$D$49+AL119+AL142+AL133</f>
        <v/>
      </c>
      <c r="AM150" s="57">
        <f>$D$49+AM119+AM142+AM133</f>
        <v/>
      </c>
      <c r="AN150" s="57">
        <f>$D$49+AN119+AN142+AN133</f>
        <v/>
      </c>
    </row>
    <row r="151">
      <c r="B151" s="7" t="inlineStr">
        <is>
          <t>New hires</t>
        </is>
      </c>
      <c r="C151" s="5" t="inlineStr">
        <is>
          <t>people</t>
        </is>
      </c>
      <c r="E151" s="57">
        <f>E150</f>
        <v/>
      </c>
      <c r="F151" s="57">
        <f>MAX(0,F150-E150)</f>
        <v/>
      </c>
      <c r="G151" s="57">
        <f>MAX(0,G150-F150)</f>
        <v/>
      </c>
      <c r="H151" s="57">
        <f>MAX(0,H150-G150)</f>
        <v/>
      </c>
      <c r="I151" s="57">
        <f>MAX(0,I150-H150)</f>
        <v/>
      </c>
      <c r="J151" s="57">
        <f>MAX(0,J150-I150)</f>
        <v/>
      </c>
      <c r="K151" s="57">
        <f>MAX(0,K150-J150)</f>
        <v/>
      </c>
      <c r="L151" s="57">
        <f>MAX(0,L150-K150)</f>
        <v/>
      </c>
      <c r="M151" s="57">
        <f>MAX(0,M150-L150)</f>
        <v/>
      </c>
      <c r="N151" s="57">
        <f>MAX(0,N150-M150)</f>
        <v/>
      </c>
      <c r="O151" s="57">
        <f>MAX(0,O150-N150)</f>
        <v/>
      </c>
      <c r="P151" s="57">
        <f>MAX(0,P150-O150)</f>
        <v/>
      </c>
      <c r="Q151" s="57">
        <f>MAX(0,Q150-P150)</f>
        <v/>
      </c>
      <c r="R151" s="57">
        <f>MAX(0,R150-Q150)</f>
        <v/>
      </c>
      <c r="S151" s="57">
        <f>MAX(0,S150-R150)</f>
        <v/>
      </c>
      <c r="T151" s="57">
        <f>MAX(0,T150-S150)</f>
        <v/>
      </c>
      <c r="U151" s="57">
        <f>MAX(0,U150-T150)</f>
        <v/>
      </c>
      <c r="V151" s="57">
        <f>MAX(0,V150-U150)</f>
        <v/>
      </c>
      <c r="W151" s="57">
        <f>MAX(0,W150-V150)</f>
        <v/>
      </c>
      <c r="X151" s="57">
        <f>MAX(0,X150-W150)</f>
        <v/>
      </c>
      <c r="Y151" s="57">
        <f>MAX(0,Y150-X150)</f>
        <v/>
      </c>
      <c r="Z151" s="57">
        <f>MAX(0,Z150-Y150)</f>
        <v/>
      </c>
      <c r="AA151" s="57">
        <f>MAX(0,AA150-Z150)</f>
        <v/>
      </c>
      <c r="AB151" s="57">
        <f>MAX(0,AB150-AA150)</f>
        <v/>
      </c>
      <c r="AC151" s="57">
        <f>MAX(0,AC150-AB150)</f>
        <v/>
      </c>
      <c r="AD151" s="57">
        <f>MAX(0,AD150-AC150)</f>
        <v/>
      </c>
      <c r="AE151" s="57">
        <f>MAX(0,AE150-AD150)</f>
        <v/>
      </c>
      <c r="AF151" s="57">
        <f>MAX(0,AF150-AE150)</f>
        <v/>
      </c>
      <c r="AG151" s="57">
        <f>MAX(0,AG150-AF150)</f>
        <v/>
      </c>
      <c r="AH151" s="57">
        <f>MAX(0,AH150-AG150)</f>
        <v/>
      </c>
      <c r="AI151" s="57">
        <f>MAX(0,AI150-AH150)</f>
        <v/>
      </c>
      <c r="AJ151" s="57">
        <f>MAX(0,AJ150-AI150)</f>
        <v/>
      </c>
      <c r="AK151" s="57">
        <f>MAX(0,AK150-AJ150)</f>
        <v/>
      </c>
      <c r="AL151" s="57">
        <f>MAX(0,AL150-AK150)</f>
        <v/>
      </c>
      <c r="AM151" s="57">
        <f>MAX(0,AM150-AL150)</f>
        <v/>
      </c>
      <c r="AN151" s="57">
        <f>MAX(0,AN150-AM150)</f>
        <v/>
      </c>
    </row>
    <row r="152">
      <c r="B152" s="7" t="inlineStr">
        <is>
          <t>Equipment for new hires</t>
        </is>
      </c>
      <c r="C152" s="5" t="inlineStr">
        <is>
          <t>₹</t>
        </is>
      </c>
      <c r="E152" s="50">
        <f>E151*$D$63</f>
        <v/>
      </c>
      <c r="F152" s="50">
        <f>F151*$D$63</f>
        <v/>
      </c>
      <c r="G152" s="50">
        <f>G151*$D$63</f>
        <v/>
      </c>
      <c r="H152" s="50">
        <f>H151*$D$63</f>
        <v/>
      </c>
      <c r="I152" s="50">
        <f>I151*$D$63</f>
        <v/>
      </c>
      <c r="J152" s="50">
        <f>J151*$D$63</f>
        <v/>
      </c>
      <c r="K152" s="50">
        <f>K151*$D$63</f>
        <v/>
      </c>
      <c r="L152" s="50">
        <f>L151*$D$63</f>
        <v/>
      </c>
      <c r="M152" s="50">
        <f>M151*$D$63</f>
        <v/>
      </c>
      <c r="N152" s="50">
        <f>N151*$D$63</f>
        <v/>
      </c>
      <c r="O152" s="50">
        <f>O151*$D$63</f>
        <v/>
      </c>
      <c r="P152" s="50">
        <f>P151*$D$63</f>
        <v/>
      </c>
      <c r="Q152" s="50">
        <f>Q151*$D$63</f>
        <v/>
      </c>
      <c r="R152" s="50">
        <f>R151*$D$63</f>
        <v/>
      </c>
      <c r="S152" s="50">
        <f>S151*$D$63</f>
        <v/>
      </c>
      <c r="T152" s="50">
        <f>T151*$D$63</f>
        <v/>
      </c>
      <c r="U152" s="50">
        <f>U151*$D$63</f>
        <v/>
      </c>
      <c r="V152" s="50">
        <f>V151*$D$63</f>
        <v/>
      </c>
      <c r="W152" s="50">
        <f>W151*$D$63</f>
        <v/>
      </c>
      <c r="X152" s="50">
        <f>X151*$D$63</f>
        <v/>
      </c>
      <c r="Y152" s="50">
        <f>Y151*$D$63</f>
        <v/>
      </c>
      <c r="Z152" s="50">
        <f>Z151*$D$63</f>
        <v/>
      </c>
      <c r="AA152" s="50">
        <f>AA151*$D$63</f>
        <v/>
      </c>
      <c r="AB152" s="50">
        <f>AB151*$D$63</f>
        <v/>
      </c>
      <c r="AC152" s="50">
        <f>AC151*$D$63</f>
        <v/>
      </c>
      <c r="AD152" s="50">
        <f>AD151*$D$63</f>
        <v/>
      </c>
      <c r="AE152" s="50">
        <f>AE151*$D$63</f>
        <v/>
      </c>
      <c r="AF152" s="50">
        <f>AF151*$D$63</f>
        <v/>
      </c>
      <c r="AG152" s="50">
        <f>AG151*$D$63</f>
        <v/>
      </c>
      <c r="AH152" s="50">
        <f>AH151*$D$63</f>
        <v/>
      </c>
      <c r="AI152" s="50">
        <f>AI151*$D$63</f>
        <v/>
      </c>
      <c r="AJ152" s="50">
        <f>AJ151*$D$63</f>
        <v/>
      </c>
      <c r="AK152" s="50">
        <f>AK151*$D$63</f>
        <v/>
      </c>
      <c r="AL152" s="50">
        <f>AL151*$D$63</f>
        <v/>
      </c>
      <c r="AM152" s="50">
        <f>AM151*$D$63</f>
        <v/>
      </c>
      <c r="AN152" s="50">
        <f>AN151*$D$63</f>
        <v/>
      </c>
    </row>
    <row r="153">
      <c r="B153" s="7" t="inlineStr">
        <is>
          <t>Net cash flow before any funding</t>
        </is>
      </c>
      <c r="C153" s="5" t="inlineStr">
        <is>
          <t>₹</t>
        </is>
      </c>
      <c r="E153" s="50">
        <f>E146-E149-E152</f>
        <v/>
      </c>
      <c r="F153" s="50">
        <f>F146-F149-F152</f>
        <v/>
      </c>
      <c r="G153" s="50">
        <f>G146-G149-G152</f>
        <v/>
      </c>
      <c r="H153" s="50">
        <f>H146-H149-H152</f>
        <v/>
      </c>
      <c r="I153" s="50">
        <f>I146-I149-I152</f>
        <v/>
      </c>
      <c r="J153" s="50">
        <f>J146-J149-J152</f>
        <v/>
      </c>
      <c r="K153" s="50">
        <f>K146-K149-K152</f>
        <v/>
      </c>
      <c r="L153" s="50">
        <f>L146-L149-L152</f>
        <v/>
      </c>
      <c r="M153" s="50">
        <f>M146-M149-M152</f>
        <v/>
      </c>
      <c r="N153" s="50">
        <f>N146-N149-N152</f>
        <v/>
      </c>
      <c r="O153" s="50">
        <f>O146-O149-O152</f>
        <v/>
      </c>
      <c r="P153" s="50">
        <f>P146-P149-P152</f>
        <v/>
      </c>
      <c r="Q153" s="50">
        <f>Q146-Q149-Q152</f>
        <v/>
      </c>
      <c r="R153" s="50">
        <f>R146-R149-R152</f>
        <v/>
      </c>
      <c r="S153" s="50">
        <f>S146-S149-S152</f>
        <v/>
      </c>
      <c r="T153" s="50">
        <f>T146-T149-T152</f>
        <v/>
      </c>
      <c r="U153" s="50">
        <f>U146-U149-U152</f>
        <v/>
      </c>
      <c r="V153" s="50">
        <f>V146-V149-V152</f>
        <v/>
      </c>
      <c r="W153" s="50">
        <f>W146-W149-W152</f>
        <v/>
      </c>
      <c r="X153" s="50">
        <f>X146-X149-X152</f>
        <v/>
      </c>
      <c r="Y153" s="50">
        <f>Y146-Y149-Y152</f>
        <v/>
      </c>
      <c r="Z153" s="50">
        <f>Z146-Z149-Z152</f>
        <v/>
      </c>
      <c r="AA153" s="50">
        <f>AA146-AA149-AA152</f>
        <v/>
      </c>
      <c r="AB153" s="50">
        <f>AB146-AB149-AB152</f>
        <v/>
      </c>
      <c r="AC153" s="50">
        <f>AC146-AC149-AC152</f>
        <v/>
      </c>
      <c r="AD153" s="50">
        <f>AD146-AD149-AD152</f>
        <v/>
      </c>
      <c r="AE153" s="50">
        <f>AE146-AE149-AE152</f>
        <v/>
      </c>
      <c r="AF153" s="50">
        <f>AF146-AF149-AF152</f>
        <v/>
      </c>
      <c r="AG153" s="50">
        <f>AG146-AG149-AG152</f>
        <v/>
      </c>
      <c r="AH153" s="50">
        <f>AH146-AH149-AH152</f>
        <v/>
      </c>
      <c r="AI153" s="50">
        <f>AI146-AI149-AI152</f>
        <v/>
      </c>
      <c r="AJ153" s="50">
        <f>AJ146-AJ149-AJ152</f>
        <v/>
      </c>
      <c r="AK153" s="50">
        <f>AK146-AK149-AK152</f>
        <v/>
      </c>
      <c r="AL153" s="50">
        <f>AL146-AL149-AL152</f>
        <v/>
      </c>
      <c r="AM153" s="50">
        <f>AM146-AM149-AM152</f>
        <v/>
      </c>
      <c r="AN153" s="50">
        <f>AN146-AN149-AN152</f>
        <v/>
      </c>
    </row>
    <row r="154">
      <c r="B154" s="7" t="inlineStr">
        <is>
          <t>Cumulative cash before funding</t>
        </is>
      </c>
      <c r="C154" s="5" t="inlineStr">
        <is>
          <t>₹</t>
        </is>
      </c>
      <c r="E154" s="50">
        <f>E153</f>
        <v/>
      </c>
      <c r="F154" s="50">
        <f>E154+F153</f>
        <v/>
      </c>
      <c r="G154" s="50">
        <f>F154+G153</f>
        <v/>
      </c>
      <c r="H154" s="50">
        <f>G154+H153</f>
        <v/>
      </c>
      <c r="I154" s="50">
        <f>H154+I153</f>
        <v/>
      </c>
      <c r="J154" s="50">
        <f>I154+J153</f>
        <v/>
      </c>
      <c r="K154" s="50">
        <f>J154+K153</f>
        <v/>
      </c>
      <c r="L154" s="50">
        <f>K154+L153</f>
        <v/>
      </c>
      <c r="M154" s="50">
        <f>L154+M153</f>
        <v/>
      </c>
      <c r="N154" s="50">
        <f>M154+N153</f>
        <v/>
      </c>
      <c r="O154" s="50">
        <f>N154+O153</f>
        <v/>
      </c>
      <c r="P154" s="50">
        <f>O154+P153</f>
        <v/>
      </c>
      <c r="Q154" s="50">
        <f>P154+Q153</f>
        <v/>
      </c>
      <c r="R154" s="50">
        <f>Q154+R153</f>
        <v/>
      </c>
      <c r="S154" s="50">
        <f>R154+S153</f>
        <v/>
      </c>
      <c r="T154" s="50">
        <f>S154+T153</f>
        <v/>
      </c>
      <c r="U154" s="50">
        <f>T154+U153</f>
        <v/>
      </c>
      <c r="V154" s="50">
        <f>U154+V153</f>
        <v/>
      </c>
      <c r="W154" s="50">
        <f>V154+W153</f>
        <v/>
      </c>
      <c r="X154" s="50">
        <f>W154+X153</f>
        <v/>
      </c>
      <c r="Y154" s="50">
        <f>X154+Y153</f>
        <v/>
      </c>
      <c r="Z154" s="50">
        <f>Y154+Z153</f>
        <v/>
      </c>
      <c r="AA154" s="50">
        <f>Z154+AA153</f>
        <v/>
      </c>
      <c r="AB154" s="50">
        <f>AA154+AB153</f>
        <v/>
      </c>
      <c r="AC154" s="50">
        <f>AB154+AC153</f>
        <v/>
      </c>
      <c r="AD154" s="50">
        <f>AC154+AD153</f>
        <v/>
      </c>
      <c r="AE154" s="50">
        <f>AD154+AE153</f>
        <v/>
      </c>
      <c r="AF154" s="50">
        <f>AE154+AF153</f>
        <v/>
      </c>
      <c r="AG154" s="50">
        <f>AF154+AG153</f>
        <v/>
      </c>
      <c r="AH154" s="50">
        <f>AG154+AH153</f>
        <v/>
      </c>
      <c r="AI154" s="50">
        <f>AH154+AI153</f>
        <v/>
      </c>
      <c r="AJ154" s="50">
        <f>AI154+AJ153</f>
        <v/>
      </c>
      <c r="AK154" s="50">
        <f>AJ154+AK153</f>
        <v/>
      </c>
      <c r="AL154" s="50">
        <f>AK154+AL153</f>
        <v/>
      </c>
      <c r="AM154" s="50">
        <f>AL154+AM153</f>
        <v/>
      </c>
      <c r="AN154" s="50">
        <f>AM154+AN153</f>
        <v/>
      </c>
    </row>
    <row r="155">
      <c r="B155" s="7" t="inlineStr">
        <is>
          <t>Total cash costs this month (used for the buffer)</t>
        </is>
      </c>
      <c r="C155" s="5" t="inlineStr">
        <is>
          <t>₹</t>
        </is>
      </c>
      <c r="E155" s="50">
        <f>E130+E132+E134+E145</f>
        <v/>
      </c>
      <c r="F155" s="50">
        <f>F130+F132+F134+F145</f>
        <v/>
      </c>
      <c r="G155" s="50">
        <f>G130+G132+G134+G145</f>
        <v/>
      </c>
      <c r="H155" s="50">
        <f>H130+H132+H134+H145</f>
        <v/>
      </c>
      <c r="I155" s="50">
        <f>I130+I132+I134+I145</f>
        <v/>
      </c>
      <c r="J155" s="50">
        <f>J130+J132+J134+J145</f>
        <v/>
      </c>
      <c r="K155" s="50">
        <f>K130+K132+K134+K145</f>
        <v/>
      </c>
      <c r="L155" s="50">
        <f>L130+L132+L134+L145</f>
        <v/>
      </c>
      <c r="M155" s="50">
        <f>M130+M132+M134+M145</f>
        <v/>
      </c>
      <c r="N155" s="50">
        <f>N130+N132+N134+N145</f>
        <v/>
      </c>
      <c r="O155" s="50">
        <f>O130+O132+O134+O145</f>
        <v/>
      </c>
      <c r="P155" s="50">
        <f>P130+P132+P134+P145</f>
        <v/>
      </c>
      <c r="Q155" s="50">
        <f>Q130+Q132+Q134+Q145</f>
        <v/>
      </c>
      <c r="R155" s="50">
        <f>R130+R132+R134+R145</f>
        <v/>
      </c>
      <c r="S155" s="50">
        <f>S130+S132+S134+S145</f>
        <v/>
      </c>
      <c r="T155" s="50">
        <f>T130+T132+T134+T145</f>
        <v/>
      </c>
      <c r="U155" s="50">
        <f>U130+U132+U134+U145</f>
        <v/>
      </c>
      <c r="V155" s="50">
        <f>V130+V132+V134+V145</f>
        <v/>
      </c>
      <c r="W155" s="50">
        <f>W130+W132+W134+W145</f>
        <v/>
      </c>
      <c r="X155" s="50">
        <f>X130+X132+X134+X145</f>
        <v/>
      </c>
      <c r="Y155" s="50">
        <f>Y130+Y132+Y134+Y145</f>
        <v/>
      </c>
      <c r="Z155" s="50">
        <f>Z130+Z132+Z134+Z145</f>
        <v/>
      </c>
      <c r="AA155" s="50">
        <f>AA130+AA132+AA134+AA145</f>
        <v/>
      </c>
      <c r="AB155" s="50">
        <f>AB130+AB132+AB134+AB145</f>
        <v/>
      </c>
      <c r="AC155" s="50">
        <f>AC130+AC132+AC134+AC145</f>
        <v/>
      </c>
      <c r="AD155" s="50">
        <f>AD130+AD132+AD134+AD145</f>
        <v/>
      </c>
      <c r="AE155" s="50">
        <f>AE130+AE132+AE134+AE145</f>
        <v/>
      </c>
      <c r="AF155" s="50">
        <f>AF130+AF132+AF134+AF145</f>
        <v/>
      </c>
      <c r="AG155" s="50">
        <f>AG130+AG132+AG134+AG145</f>
        <v/>
      </c>
      <c r="AH155" s="50">
        <f>AH130+AH132+AH134+AH145</f>
        <v/>
      </c>
      <c r="AI155" s="50">
        <f>AI130+AI132+AI134+AI145</f>
        <v/>
      </c>
      <c r="AJ155" s="50">
        <f>AJ130+AJ132+AJ134+AJ145</f>
        <v/>
      </c>
      <c r="AK155" s="50">
        <f>AK130+AK132+AK134+AK145</f>
        <v/>
      </c>
      <c r="AL155" s="50">
        <f>AL130+AL132+AL134+AL145</f>
        <v/>
      </c>
      <c r="AM155" s="50">
        <f>AM130+AM132+AM134+AM145</f>
        <v/>
      </c>
      <c r="AN155" s="50">
        <f>AN130+AN132+AN134+AN145</f>
        <v/>
      </c>
    </row>
    <row r="156">
      <c r="B156" s="3" t="inlineStr">
        <is>
          <t>Cash balance with the funding ask received in month 1</t>
        </is>
      </c>
      <c r="C156" s="5" t="inlineStr">
        <is>
          <t>₹</t>
        </is>
      </c>
      <c r="E156" s="52">
        <f>$D$103+E154</f>
        <v/>
      </c>
      <c r="F156" s="52">
        <f>$D$103+F154</f>
        <v/>
      </c>
      <c r="G156" s="52">
        <f>$D$103+G154</f>
        <v/>
      </c>
      <c r="H156" s="52">
        <f>$D$103+H154</f>
        <v/>
      </c>
      <c r="I156" s="52">
        <f>$D$103+I154</f>
        <v/>
      </c>
      <c r="J156" s="52">
        <f>$D$103+J154</f>
        <v/>
      </c>
      <c r="K156" s="52">
        <f>$D$103+K154</f>
        <v/>
      </c>
      <c r="L156" s="52">
        <f>$D$103+L154</f>
        <v/>
      </c>
      <c r="M156" s="52">
        <f>$D$103+M154</f>
        <v/>
      </c>
      <c r="N156" s="52">
        <f>$D$103+N154</f>
        <v/>
      </c>
      <c r="O156" s="52">
        <f>$D$103+O154</f>
        <v/>
      </c>
      <c r="P156" s="52">
        <f>$D$103+P154</f>
        <v/>
      </c>
      <c r="Q156" s="52">
        <f>$D$103+Q154</f>
        <v/>
      </c>
      <c r="R156" s="52">
        <f>$D$103+R154</f>
        <v/>
      </c>
      <c r="S156" s="52">
        <f>$D$103+S154</f>
        <v/>
      </c>
      <c r="T156" s="52">
        <f>$D$103+T154</f>
        <v/>
      </c>
      <c r="U156" s="52">
        <f>$D$103+U154</f>
        <v/>
      </c>
      <c r="V156" s="52">
        <f>$D$103+V154</f>
        <v/>
      </c>
      <c r="W156" s="52">
        <f>$D$103+W154</f>
        <v/>
      </c>
      <c r="X156" s="52">
        <f>$D$103+X154</f>
        <v/>
      </c>
      <c r="Y156" s="52">
        <f>$D$103+Y154</f>
        <v/>
      </c>
      <c r="Z156" s="52">
        <f>$D$103+Z154</f>
        <v/>
      </c>
      <c r="AA156" s="52">
        <f>$D$103+AA154</f>
        <v/>
      </c>
      <c r="AB156" s="52">
        <f>$D$103+AB154</f>
        <v/>
      </c>
      <c r="AC156" s="52">
        <f>$D$103+AC154</f>
        <v/>
      </c>
      <c r="AD156" s="52">
        <f>$D$103+AD154</f>
        <v/>
      </c>
      <c r="AE156" s="52">
        <f>$D$103+AE154</f>
        <v/>
      </c>
      <c r="AF156" s="52">
        <f>$D$103+AF154</f>
        <v/>
      </c>
      <c r="AG156" s="52">
        <f>$D$103+AG154</f>
        <v/>
      </c>
      <c r="AH156" s="52">
        <f>$D$103+AH154</f>
        <v/>
      </c>
      <c r="AI156" s="52">
        <f>$D$103+AI154</f>
        <v/>
      </c>
      <c r="AJ156" s="52">
        <f>$D$103+AJ154</f>
        <v/>
      </c>
      <c r="AK156" s="52">
        <f>$D$103+AK154</f>
        <v/>
      </c>
      <c r="AL156" s="52">
        <f>$D$103+AL154</f>
        <v/>
      </c>
      <c r="AM156" s="52">
        <f>$D$103+AM154</f>
        <v/>
      </c>
      <c r="AN156" s="52">
        <f>$D$103+AN154</f>
        <v/>
      </c>
    </row>
    <row r="157">
      <c r="B157" s="7" t="inlineStr">
        <is>
          <t>Trailing-12-month EBITDA</t>
        </is>
      </c>
      <c r="C157" s="5" t="inlineStr">
        <is>
          <t>₹</t>
        </is>
      </c>
      <c r="E157" s="50">
        <f>""</f>
        <v/>
      </c>
      <c r="F157" s="50">
        <f>""</f>
        <v/>
      </c>
      <c r="G157" s="50">
        <f>""</f>
        <v/>
      </c>
      <c r="H157" s="50">
        <f>""</f>
        <v/>
      </c>
      <c r="I157" s="50">
        <f>""</f>
        <v/>
      </c>
      <c r="J157" s="50">
        <f>""</f>
        <v/>
      </c>
      <c r="K157" s="50">
        <f>""</f>
        <v/>
      </c>
      <c r="L157" s="50">
        <f>""</f>
        <v/>
      </c>
      <c r="M157" s="50">
        <f>""</f>
        <v/>
      </c>
      <c r="N157" s="50">
        <f>""</f>
        <v/>
      </c>
      <c r="O157" s="50">
        <f>""</f>
        <v/>
      </c>
      <c r="P157" s="50">
        <f>SUM(E146:P146)</f>
        <v/>
      </c>
      <c r="Q157" s="50">
        <f>SUM(F146:Q146)</f>
        <v/>
      </c>
      <c r="R157" s="50">
        <f>SUM(G146:R146)</f>
        <v/>
      </c>
      <c r="S157" s="50">
        <f>SUM(H146:S146)</f>
        <v/>
      </c>
      <c r="T157" s="50">
        <f>SUM(I146:T146)</f>
        <v/>
      </c>
      <c r="U157" s="50">
        <f>SUM(J146:U146)</f>
        <v/>
      </c>
      <c r="V157" s="50">
        <f>SUM(K146:V146)</f>
        <v/>
      </c>
      <c r="W157" s="50">
        <f>SUM(L146:W146)</f>
        <v/>
      </c>
      <c r="X157" s="50">
        <f>SUM(M146:X146)</f>
        <v/>
      </c>
      <c r="Y157" s="50">
        <f>SUM(N146:Y146)</f>
        <v/>
      </c>
      <c r="Z157" s="50">
        <f>SUM(O146:Z146)</f>
        <v/>
      </c>
      <c r="AA157" s="50">
        <f>SUM(P146:AA146)</f>
        <v/>
      </c>
      <c r="AB157" s="50">
        <f>SUM(Q146:AB146)</f>
        <v/>
      </c>
      <c r="AC157" s="50">
        <f>SUM(R146:AC146)</f>
        <v/>
      </c>
      <c r="AD157" s="50">
        <f>SUM(S146:AD146)</f>
        <v/>
      </c>
      <c r="AE157" s="50">
        <f>SUM(T146:AE146)</f>
        <v/>
      </c>
      <c r="AF157" s="50">
        <f>SUM(U146:AF146)</f>
        <v/>
      </c>
      <c r="AG157" s="50">
        <f>SUM(V146:AG146)</f>
        <v/>
      </c>
      <c r="AH157" s="50">
        <f>SUM(W146:AH146)</f>
        <v/>
      </c>
      <c r="AI157" s="50">
        <f>SUM(X146:AI146)</f>
        <v/>
      </c>
      <c r="AJ157" s="50">
        <f>SUM(Y146:AJ146)</f>
        <v/>
      </c>
      <c r="AK157" s="50">
        <f>SUM(Z146:AK146)</f>
        <v/>
      </c>
      <c r="AL157" s="50">
        <f>SUM(AA146:AL146)</f>
        <v/>
      </c>
      <c r="AM157" s="50">
        <f>SUM(AB146:AM146)</f>
        <v/>
      </c>
      <c r="AN157" s="50">
        <f>SUM(AC146:AN146)</f>
        <v/>
      </c>
    </row>
    <row r="158">
      <c r="B158" s="7" t="inlineStr">
        <is>
          <t>Flag: EBITDA ≥ 0 for 3 months in a row</t>
        </is>
      </c>
      <c r="C158" s="5" t="inlineStr">
        <is>
          <t>1/0</t>
        </is>
      </c>
      <c r="E158" s="57">
        <f>IF(AND(E146&gt;=0,F146&gt;=0,G146&gt;=0),1,0)</f>
        <v/>
      </c>
      <c r="F158" s="57">
        <f>IF(AND(F146&gt;=0,G146&gt;=0,H146&gt;=0),1,0)</f>
        <v/>
      </c>
      <c r="G158" s="57">
        <f>IF(AND(G146&gt;=0,H146&gt;=0,I146&gt;=0),1,0)</f>
        <v/>
      </c>
      <c r="H158" s="57">
        <f>IF(AND(H146&gt;=0,I146&gt;=0,J146&gt;=0),1,0)</f>
        <v/>
      </c>
      <c r="I158" s="57">
        <f>IF(AND(I146&gt;=0,J146&gt;=0,K146&gt;=0),1,0)</f>
        <v/>
      </c>
      <c r="J158" s="57">
        <f>IF(AND(J146&gt;=0,K146&gt;=0,L146&gt;=0),1,0)</f>
        <v/>
      </c>
      <c r="K158" s="57">
        <f>IF(AND(K146&gt;=0,L146&gt;=0,M146&gt;=0),1,0)</f>
        <v/>
      </c>
      <c r="L158" s="57">
        <f>IF(AND(L146&gt;=0,M146&gt;=0,N146&gt;=0),1,0)</f>
        <v/>
      </c>
      <c r="M158" s="57">
        <f>IF(AND(M146&gt;=0,N146&gt;=0,O146&gt;=0),1,0)</f>
        <v/>
      </c>
      <c r="N158" s="57">
        <f>IF(AND(N146&gt;=0,O146&gt;=0,P146&gt;=0),1,0)</f>
        <v/>
      </c>
      <c r="O158" s="57">
        <f>IF(AND(O146&gt;=0,P146&gt;=0,Q146&gt;=0),1,0)</f>
        <v/>
      </c>
      <c r="P158" s="57">
        <f>IF(AND(P146&gt;=0,Q146&gt;=0,R146&gt;=0),1,0)</f>
        <v/>
      </c>
      <c r="Q158" s="57">
        <f>IF(AND(Q146&gt;=0,R146&gt;=0,S146&gt;=0),1,0)</f>
        <v/>
      </c>
      <c r="R158" s="57">
        <f>IF(AND(R146&gt;=0,S146&gt;=0,T146&gt;=0),1,0)</f>
        <v/>
      </c>
      <c r="S158" s="57">
        <f>IF(AND(S146&gt;=0,T146&gt;=0,U146&gt;=0),1,0)</f>
        <v/>
      </c>
      <c r="T158" s="57">
        <f>IF(AND(T146&gt;=0,U146&gt;=0,V146&gt;=0),1,0)</f>
        <v/>
      </c>
      <c r="U158" s="57">
        <f>IF(AND(U146&gt;=0,V146&gt;=0,W146&gt;=0),1,0)</f>
        <v/>
      </c>
      <c r="V158" s="57">
        <f>IF(AND(V146&gt;=0,W146&gt;=0,X146&gt;=0),1,0)</f>
        <v/>
      </c>
      <c r="W158" s="57">
        <f>IF(AND(W146&gt;=0,X146&gt;=0,Y146&gt;=0),1,0)</f>
        <v/>
      </c>
      <c r="X158" s="57">
        <f>IF(AND(X146&gt;=0,Y146&gt;=0,Z146&gt;=0),1,0)</f>
        <v/>
      </c>
      <c r="Y158" s="57">
        <f>IF(AND(Y146&gt;=0,Z146&gt;=0,AA146&gt;=0),1,0)</f>
        <v/>
      </c>
      <c r="Z158" s="57">
        <f>IF(AND(Z146&gt;=0,AA146&gt;=0,AB146&gt;=0),1,0)</f>
        <v/>
      </c>
      <c r="AA158" s="57">
        <f>IF(AND(AA146&gt;=0,AB146&gt;=0,AC146&gt;=0),1,0)</f>
        <v/>
      </c>
      <c r="AB158" s="57">
        <f>IF(AND(AB146&gt;=0,AC146&gt;=0,AD146&gt;=0),1,0)</f>
        <v/>
      </c>
      <c r="AC158" s="57">
        <f>IF(AND(AC146&gt;=0,AD146&gt;=0,AE146&gt;=0),1,0)</f>
        <v/>
      </c>
      <c r="AD158" s="57">
        <f>IF(AND(AD146&gt;=0,AE146&gt;=0,AF146&gt;=0),1,0)</f>
        <v/>
      </c>
      <c r="AE158" s="57">
        <f>IF(AND(AE146&gt;=0,AF146&gt;=0,AG146&gt;=0),1,0)</f>
        <v/>
      </c>
      <c r="AF158" s="57">
        <f>IF(AND(AF146&gt;=0,AG146&gt;=0,AH146&gt;=0),1,0)</f>
        <v/>
      </c>
      <c r="AG158" s="57">
        <f>IF(AND(AG146&gt;=0,AH146&gt;=0,AI146&gt;=0),1,0)</f>
        <v/>
      </c>
      <c r="AH158" s="57">
        <f>IF(AND(AH146&gt;=0,AI146&gt;=0,AJ146&gt;=0),1,0)</f>
        <v/>
      </c>
      <c r="AI158" s="57">
        <f>IF(AND(AI146&gt;=0,AJ146&gt;=0,AK146&gt;=0),1,0)</f>
        <v/>
      </c>
      <c r="AJ158" s="57">
        <f>IF(AND(AJ146&gt;=0,AK146&gt;=0,AL146&gt;=0),1,0)</f>
        <v/>
      </c>
      <c r="AK158" s="57">
        <f>IF(AND(AK146&gt;=0,AL146&gt;=0,AM146&gt;=0),1,0)</f>
        <v/>
      </c>
      <c r="AL158" s="57">
        <f>IF(AND(AL146&gt;=0,AM146&gt;=0,AN146&gt;=0),1,0)</f>
        <v/>
      </c>
      <c r="AM158" s="57">
        <f>0</f>
        <v/>
      </c>
      <c r="AN158" s="57">
        <f>0</f>
        <v/>
      </c>
    </row>
    <row r="159">
      <c r="B159" s="7" t="inlineStr">
        <is>
          <t>Flag: trailing-12-month EBITDA ≥ 0</t>
        </is>
      </c>
      <c r="C159" s="5" t="inlineStr">
        <is>
          <t>1/0</t>
        </is>
      </c>
      <c r="E159" s="57">
        <f>0</f>
        <v/>
      </c>
      <c r="F159" s="57">
        <f>0</f>
        <v/>
      </c>
      <c r="G159" s="57">
        <f>0</f>
        <v/>
      </c>
      <c r="H159" s="57">
        <f>0</f>
        <v/>
      </c>
      <c r="I159" s="57">
        <f>0</f>
        <v/>
      </c>
      <c r="J159" s="57">
        <f>0</f>
        <v/>
      </c>
      <c r="K159" s="57">
        <f>0</f>
        <v/>
      </c>
      <c r="L159" s="57">
        <f>0</f>
        <v/>
      </c>
      <c r="M159" s="57">
        <f>0</f>
        <v/>
      </c>
      <c r="N159" s="57">
        <f>0</f>
        <v/>
      </c>
      <c r="O159" s="57">
        <f>0</f>
        <v/>
      </c>
      <c r="P159" s="57">
        <f>IF(P157&gt;=0,1,0)</f>
        <v/>
      </c>
      <c r="Q159" s="57">
        <f>IF(Q157&gt;=0,1,0)</f>
        <v/>
      </c>
      <c r="R159" s="57">
        <f>IF(R157&gt;=0,1,0)</f>
        <v/>
      </c>
      <c r="S159" s="57">
        <f>IF(S157&gt;=0,1,0)</f>
        <v/>
      </c>
      <c r="T159" s="57">
        <f>IF(T157&gt;=0,1,0)</f>
        <v/>
      </c>
      <c r="U159" s="57">
        <f>IF(U157&gt;=0,1,0)</f>
        <v/>
      </c>
      <c r="V159" s="57">
        <f>IF(V157&gt;=0,1,0)</f>
        <v/>
      </c>
      <c r="W159" s="57">
        <f>IF(W157&gt;=0,1,0)</f>
        <v/>
      </c>
      <c r="X159" s="57">
        <f>IF(X157&gt;=0,1,0)</f>
        <v/>
      </c>
      <c r="Y159" s="57">
        <f>IF(Y157&gt;=0,1,0)</f>
        <v/>
      </c>
      <c r="Z159" s="57">
        <f>IF(Z157&gt;=0,1,0)</f>
        <v/>
      </c>
      <c r="AA159" s="57">
        <f>IF(AA157&gt;=0,1,0)</f>
        <v/>
      </c>
      <c r="AB159" s="57">
        <f>IF(AB157&gt;=0,1,0)</f>
        <v/>
      </c>
      <c r="AC159" s="57">
        <f>IF(AC157&gt;=0,1,0)</f>
        <v/>
      </c>
      <c r="AD159" s="57">
        <f>IF(AD157&gt;=0,1,0)</f>
        <v/>
      </c>
      <c r="AE159" s="57">
        <f>IF(AE157&gt;=0,1,0)</f>
        <v/>
      </c>
      <c r="AF159" s="57">
        <f>IF(AF157&gt;=0,1,0)</f>
        <v/>
      </c>
      <c r="AG159" s="57">
        <f>IF(AG157&gt;=0,1,0)</f>
        <v/>
      </c>
      <c r="AH159" s="57">
        <f>IF(AH157&gt;=0,1,0)</f>
        <v/>
      </c>
      <c r="AI159" s="57">
        <f>IF(AI157&gt;=0,1,0)</f>
        <v/>
      </c>
      <c r="AJ159" s="57">
        <f>IF(AJ157&gt;=0,1,0)</f>
        <v/>
      </c>
      <c r="AK159" s="57">
        <f>IF(AK157&gt;=0,1,0)</f>
        <v/>
      </c>
      <c r="AL159" s="57">
        <f>IF(AL157&gt;=0,1,0)</f>
        <v/>
      </c>
      <c r="AM159" s="57">
        <f>IF(AM157&gt;=0,1,0)</f>
        <v/>
      </c>
      <c r="AN159" s="57">
        <f>IF(AN157&gt;=0,1,0)</f>
        <v/>
      </c>
    </row>
    <row r="160">
      <c r="A160" s="23" t="n"/>
      <c r="B160" s="22" t="inlineStr">
        <is>
          <t>F. Cohorts: institutes still paying, by month they signed (rows) and calendar month (columns)</t>
        </is>
      </c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  <c r="AA160" s="23" t="n"/>
      <c r="AB160" s="23" t="n"/>
      <c r="AC160" s="23" t="n"/>
      <c r="AD160" s="23" t="n"/>
      <c r="AE160" s="23" t="n"/>
      <c r="AF160" s="23" t="n"/>
      <c r="AG160" s="23" t="n"/>
      <c r="AH160" s="23" t="n"/>
      <c r="AI160" s="23" t="n"/>
      <c r="AJ160" s="23" t="n"/>
      <c r="AK160" s="23" t="n"/>
      <c r="AL160" s="23" t="n"/>
      <c r="AM160" s="23" t="n"/>
      <c r="AN160" s="23" t="n"/>
    </row>
    <row r="161">
      <c r="B161" s="7" t="inlineStr">
        <is>
          <t>Cohort signed in month 1</t>
        </is>
      </c>
      <c r="C161" s="5" t="inlineStr">
        <is>
          <t>institutes</t>
        </is>
      </c>
      <c r="E161" s="53">
        <f>E123</f>
        <v/>
      </c>
      <c r="F161" s="53">
        <f>E161*(1-$D$70)*(1-IF(AND(1&gt;=$D$48,INDEX(Season_Flag,E$113)=1),$D$71,0))</f>
        <v/>
      </c>
      <c r="G161" s="53">
        <f>F161*(1-$D$70)*(1-IF(AND(2&gt;=$D$48,INDEX(Season_Flag,F$113)=1),$D$71,0))</f>
        <v/>
      </c>
      <c r="H161" s="53">
        <f>G161*(1-$D$70)*(1-IF(AND(3&gt;=$D$48,INDEX(Season_Flag,G$113)=1),$D$71,0))</f>
        <v/>
      </c>
      <c r="I161" s="53">
        <f>H161*(1-$D$70)*(1-IF(AND(4&gt;=$D$48,INDEX(Season_Flag,H$113)=1),$D$71,0))</f>
        <v/>
      </c>
      <c r="J161" s="53">
        <f>I161*(1-$D$70)*(1-IF(AND(5&gt;=$D$48,INDEX(Season_Flag,I$113)=1),$D$71,0))</f>
        <v/>
      </c>
      <c r="K161" s="53">
        <f>J161*(1-$D$70)*(1-IF(AND(6&gt;=$D$48,INDEX(Season_Flag,J$113)=1),$D$71,0))</f>
        <v/>
      </c>
      <c r="L161" s="53">
        <f>K161*(1-$D$70)*(1-IF(AND(7&gt;=$D$48,INDEX(Season_Flag,K$113)=1),$D$71,0))</f>
        <v/>
      </c>
      <c r="M161" s="53">
        <f>L161*(1-$D$70)*(1-IF(AND(8&gt;=$D$48,INDEX(Season_Flag,L$113)=1),$D$71,0))</f>
        <v/>
      </c>
      <c r="N161" s="53">
        <f>M161*(1-$D$70)*(1-IF(AND(9&gt;=$D$48,INDEX(Season_Flag,M$113)=1),$D$71,0))</f>
        <v/>
      </c>
      <c r="O161" s="53">
        <f>N161*(1-$D$70)*(1-IF(AND(10&gt;=$D$48,INDEX(Season_Flag,N$113)=1),$D$71,0))</f>
        <v/>
      </c>
      <c r="P161" s="53">
        <f>O161*(1-$D$70)*(1-IF(AND(11&gt;=$D$48,INDEX(Season_Flag,O$113)=1),$D$71,0))</f>
        <v/>
      </c>
      <c r="Q161" s="53">
        <f>P161*(1-$D$70)*(1-IF(AND(12&gt;=$D$48,INDEX(Season_Flag,P$113)=1),$D$71,0))</f>
        <v/>
      </c>
      <c r="R161" s="53">
        <f>Q161*(1-$D$70)*(1-IF(AND(13&gt;=$D$48,INDEX(Season_Flag,Q$113)=1),$D$71,0))</f>
        <v/>
      </c>
      <c r="S161" s="53">
        <f>R161*(1-$D$70)*(1-IF(AND(14&gt;=$D$48,INDEX(Season_Flag,R$113)=1),$D$71,0))</f>
        <v/>
      </c>
      <c r="T161" s="53">
        <f>S161*(1-$D$70)*(1-IF(AND(15&gt;=$D$48,INDEX(Season_Flag,S$113)=1),$D$71,0))</f>
        <v/>
      </c>
      <c r="U161" s="53">
        <f>T161*(1-$D$70)*(1-IF(AND(16&gt;=$D$48,INDEX(Season_Flag,T$113)=1),$D$71,0))</f>
        <v/>
      </c>
      <c r="V161" s="53">
        <f>U161*(1-$D$70)*(1-IF(AND(17&gt;=$D$48,INDEX(Season_Flag,U$113)=1),$D$71,0))</f>
        <v/>
      </c>
      <c r="W161" s="53">
        <f>V161*(1-$D$70)*(1-IF(AND(18&gt;=$D$48,INDEX(Season_Flag,V$113)=1),$D$71,0))</f>
        <v/>
      </c>
      <c r="X161" s="53">
        <f>W161*(1-$D$70)*(1-IF(AND(19&gt;=$D$48,INDEX(Season_Flag,W$113)=1),$D$71,0))</f>
        <v/>
      </c>
      <c r="Y161" s="53">
        <f>X161*(1-$D$70)*(1-IF(AND(20&gt;=$D$48,INDEX(Season_Flag,X$113)=1),$D$71,0))</f>
        <v/>
      </c>
      <c r="Z161" s="53">
        <f>Y161*(1-$D$70)*(1-IF(AND(21&gt;=$D$48,INDEX(Season_Flag,Y$113)=1),$D$71,0))</f>
        <v/>
      </c>
      <c r="AA161" s="53">
        <f>Z161*(1-$D$70)*(1-IF(AND(22&gt;=$D$48,INDEX(Season_Flag,Z$113)=1),$D$71,0))</f>
        <v/>
      </c>
      <c r="AB161" s="53">
        <f>AA161*(1-$D$70)*(1-IF(AND(23&gt;=$D$48,INDEX(Season_Flag,AA$113)=1),$D$71,0))</f>
        <v/>
      </c>
      <c r="AC161" s="53">
        <f>AB161*(1-$D$70)*(1-IF(AND(24&gt;=$D$48,INDEX(Season_Flag,AB$113)=1),$D$71,0))</f>
        <v/>
      </c>
      <c r="AD161" s="53">
        <f>AC161*(1-$D$70)*(1-IF(AND(25&gt;=$D$48,INDEX(Season_Flag,AC$113)=1),$D$71,0))</f>
        <v/>
      </c>
      <c r="AE161" s="53">
        <f>AD161*(1-$D$70)*(1-IF(AND(26&gt;=$D$48,INDEX(Season_Flag,AD$113)=1),$D$71,0))</f>
        <v/>
      </c>
      <c r="AF161" s="53">
        <f>AE161*(1-$D$70)*(1-IF(AND(27&gt;=$D$48,INDEX(Season_Flag,AE$113)=1),$D$71,0))</f>
        <v/>
      </c>
      <c r="AG161" s="53">
        <f>AF161*(1-$D$70)*(1-IF(AND(28&gt;=$D$48,INDEX(Season_Flag,AF$113)=1),$D$71,0))</f>
        <v/>
      </c>
      <c r="AH161" s="53">
        <f>AG161*(1-$D$70)*(1-IF(AND(29&gt;=$D$48,INDEX(Season_Flag,AG$113)=1),$D$71,0))</f>
        <v/>
      </c>
      <c r="AI161" s="53">
        <f>AH161*(1-$D$70)*(1-IF(AND(30&gt;=$D$48,INDEX(Season_Flag,AH$113)=1),$D$71,0))</f>
        <v/>
      </c>
      <c r="AJ161" s="53">
        <f>AI161*(1-$D$70)*(1-IF(AND(31&gt;=$D$48,INDEX(Season_Flag,AI$113)=1),$D$71,0))</f>
        <v/>
      </c>
      <c r="AK161" s="53">
        <f>AJ161*(1-$D$70)*(1-IF(AND(32&gt;=$D$48,INDEX(Season_Flag,AJ$113)=1),$D$71,0))</f>
        <v/>
      </c>
      <c r="AL161" s="53">
        <f>AK161*(1-$D$70)*(1-IF(AND(33&gt;=$D$48,INDEX(Season_Flag,AK$113)=1),$D$71,0))</f>
        <v/>
      </c>
      <c r="AM161" s="53">
        <f>AL161*(1-$D$70)*(1-IF(AND(34&gt;=$D$48,INDEX(Season_Flag,AL$113)=1),$D$71,0))</f>
        <v/>
      </c>
      <c r="AN161" s="53">
        <f>AM161*(1-$D$70)*(1-IF(AND(35&gt;=$D$48,INDEX(Season_Flag,AM$113)=1),$D$71,0))</f>
        <v/>
      </c>
    </row>
    <row r="162">
      <c r="B162" s="7" t="inlineStr">
        <is>
          <t>Cohort signed in month 2</t>
        </is>
      </c>
      <c r="C162" s="5" t="inlineStr">
        <is>
          <t>institutes</t>
        </is>
      </c>
      <c r="F162" s="53">
        <f>F123</f>
        <v/>
      </c>
      <c r="G162" s="53">
        <f>F162*(1-$D$70)*(1-IF(AND(1&gt;=$D$48,INDEX(Season_Flag,F$113)=1),$D$71,0))</f>
        <v/>
      </c>
      <c r="H162" s="53">
        <f>G162*(1-$D$70)*(1-IF(AND(2&gt;=$D$48,INDEX(Season_Flag,G$113)=1),$D$71,0))</f>
        <v/>
      </c>
      <c r="I162" s="53">
        <f>H162*(1-$D$70)*(1-IF(AND(3&gt;=$D$48,INDEX(Season_Flag,H$113)=1),$D$71,0))</f>
        <v/>
      </c>
      <c r="J162" s="53">
        <f>I162*(1-$D$70)*(1-IF(AND(4&gt;=$D$48,INDEX(Season_Flag,I$113)=1),$D$71,0))</f>
        <v/>
      </c>
      <c r="K162" s="53">
        <f>J162*(1-$D$70)*(1-IF(AND(5&gt;=$D$48,INDEX(Season_Flag,J$113)=1),$D$71,0))</f>
        <v/>
      </c>
      <c r="L162" s="53">
        <f>K162*(1-$D$70)*(1-IF(AND(6&gt;=$D$48,INDEX(Season_Flag,K$113)=1),$D$71,0))</f>
        <v/>
      </c>
      <c r="M162" s="53">
        <f>L162*(1-$D$70)*(1-IF(AND(7&gt;=$D$48,INDEX(Season_Flag,L$113)=1),$D$71,0))</f>
        <v/>
      </c>
      <c r="N162" s="53">
        <f>M162*(1-$D$70)*(1-IF(AND(8&gt;=$D$48,INDEX(Season_Flag,M$113)=1),$D$71,0))</f>
        <v/>
      </c>
      <c r="O162" s="53">
        <f>N162*(1-$D$70)*(1-IF(AND(9&gt;=$D$48,INDEX(Season_Flag,N$113)=1),$D$71,0))</f>
        <v/>
      </c>
      <c r="P162" s="53">
        <f>O162*(1-$D$70)*(1-IF(AND(10&gt;=$D$48,INDEX(Season_Flag,O$113)=1),$D$71,0))</f>
        <v/>
      </c>
      <c r="Q162" s="53">
        <f>P162*(1-$D$70)*(1-IF(AND(11&gt;=$D$48,INDEX(Season_Flag,P$113)=1),$D$71,0))</f>
        <v/>
      </c>
      <c r="R162" s="53">
        <f>Q162*(1-$D$70)*(1-IF(AND(12&gt;=$D$48,INDEX(Season_Flag,Q$113)=1),$D$71,0))</f>
        <v/>
      </c>
      <c r="S162" s="53">
        <f>R162*(1-$D$70)*(1-IF(AND(13&gt;=$D$48,INDEX(Season_Flag,R$113)=1),$D$71,0))</f>
        <v/>
      </c>
      <c r="T162" s="53">
        <f>S162*(1-$D$70)*(1-IF(AND(14&gt;=$D$48,INDEX(Season_Flag,S$113)=1),$D$71,0))</f>
        <v/>
      </c>
      <c r="U162" s="53">
        <f>T162*(1-$D$70)*(1-IF(AND(15&gt;=$D$48,INDEX(Season_Flag,T$113)=1),$D$71,0))</f>
        <v/>
      </c>
      <c r="V162" s="53">
        <f>U162*(1-$D$70)*(1-IF(AND(16&gt;=$D$48,INDEX(Season_Flag,U$113)=1),$D$71,0))</f>
        <v/>
      </c>
      <c r="W162" s="53">
        <f>V162*(1-$D$70)*(1-IF(AND(17&gt;=$D$48,INDEX(Season_Flag,V$113)=1),$D$71,0))</f>
        <v/>
      </c>
      <c r="X162" s="53">
        <f>W162*(1-$D$70)*(1-IF(AND(18&gt;=$D$48,INDEX(Season_Flag,W$113)=1),$D$71,0))</f>
        <v/>
      </c>
      <c r="Y162" s="53">
        <f>X162*(1-$D$70)*(1-IF(AND(19&gt;=$D$48,INDEX(Season_Flag,X$113)=1),$D$71,0))</f>
        <v/>
      </c>
      <c r="Z162" s="53">
        <f>Y162*(1-$D$70)*(1-IF(AND(20&gt;=$D$48,INDEX(Season_Flag,Y$113)=1),$D$71,0))</f>
        <v/>
      </c>
      <c r="AA162" s="53">
        <f>Z162*(1-$D$70)*(1-IF(AND(21&gt;=$D$48,INDEX(Season_Flag,Z$113)=1),$D$71,0))</f>
        <v/>
      </c>
      <c r="AB162" s="53">
        <f>AA162*(1-$D$70)*(1-IF(AND(22&gt;=$D$48,INDEX(Season_Flag,AA$113)=1),$D$71,0))</f>
        <v/>
      </c>
      <c r="AC162" s="53">
        <f>AB162*(1-$D$70)*(1-IF(AND(23&gt;=$D$48,INDEX(Season_Flag,AB$113)=1),$D$71,0))</f>
        <v/>
      </c>
      <c r="AD162" s="53">
        <f>AC162*(1-$D$70)*(1-IF(AND(24&gt;=$D$48,INDEX(Season_Flag,AC$113)=1),$D$71,0))</f>
        <v/>
      </c>
      <c r="AE162" s="53">
        <f>AD162*(1-$D$70)*(1-IF(AND(25&gt;=$D$48,INDEX(Season_Flag,AD$113)=1),$D$71,0))</f>
        <v/>
      </c>
      <c r="AF162" s="53">
        <f>AE162*(1-$D$70)*(1-IF(AND(26&gt;=$D$48,INDEX(Season_Flag,AE$113)=1),$D$71,0))</f>
        <v/>
      </c>
      <c r="AG162" s="53">
        <f>AF162*(1-$D$70)*(1-IF(AND(27&gt;=$D$48,INDEX(Season_Flag,AF$113)=1),$D$71,0))</f>
        <v/>
      </c>
      <c r="AH162" s="53">
        <f>AG162*(1-$D$70)*(1-IF(AND(28&gt;=$D$48,INDEX(Season_Flag,AG$113)=1),$D$71,0))</f>
        <v/>
      </c>
      <c r="AI162" s="53">
        <f>AH162*(1-$D$70)*(1-IF(AND(29&gt;=$D$48,INDEX(Season_Flag,AH$113)=1),$D$71,0))</f>
        <v/>
      </c>
      <c r="AJ162" s="53">
        <f>AI162*(1-$D$70)*(1-IF(AND(30&gt;=$D$48,INDEX(Season_Flag,AI$113)=1),$D$71,0))</f>
        <v/>
      </c>
      <c r="AK162" s="53">
        <f>AJ162*(1-$D$70)*(1-IF(AND(31&gt;=$D$48,INDEX(Season_Flag,AJ$113)=1),$D$71,0))</f>
        <v/>
      </c>
      <c r="AL162" s="53">
        <f>AK162*(1-$D$70)*(1-IF(AND(32&gt;=$D$48,INDEX(Season_Flag,AK$113)=1),$D$71,0))</f>
        <v/>
      </c>
      <c r="AM162" s="53">
        <f>AL162*(1-$D$70)*(1-IF(AND(33&gt;=$D$48,INDEX(Season_Flag,AL$113)=1),$D$71,0))</f>
        <v/>
      </c>
      <c r="AN162" s="53">
        <f>AM162*(1-$D$70)*(1-IF(AND(34&gt;=$D$48,INDEX(Season_Flag,AM$113)=1),$D$71,0))</f>
        <v/>
      </c>
    </row>
    <row r="163">
      <c r="B163" s="7" t="inlineStr">
        <is>
          <t>Cohort signed in month 3</t>
        </is>
      </c>
      <c r="C163" s="5" t="inlineStr">
        <is>
          <t>institutes</t>
        </is>
      </c>
      <c r="G163" s="53">
        <f>G123</f>
        <v/>
      </c>
      <c r="H163" s="53">
        <f>G163*(1-$D$70)*(1-IF(AND(1&gt;=$D$48,INDEX(Season_Flag,G$113)=1),$D$71,0))</f>
        <v/>
      </c>
      <c r="I163" s="53">
        <f>H163*(1-$D$70)*(1-IF(AND(2&gt;=$D$48,INDEX(Season_Flag,H$113)=1),$D$71,0))</f>
        <v/>
      </c>
      <c r="J163" s="53">
        <f>I163*(1-$D$70)*(1-IF(AND(3&gt;=$D$48,INDEX(Season_Flag,I$113)=1),$D$71,0))</f>
        <v/>
      </c>
      <c r="K163" s="53">
        <f>J163*(1-$D$70)*(1-IF(AND(4&gt;=$D$48,INDEX(Season_Flag,J$113)=1),$D$71,0))</f>
        <v/>
      </c>
      <c r="L163" s="53">
        <f>K163*(1-$D$70)*(1-IF(AND(5&gt;=$D$48,INDEX(Season_Flag,K$113)=1),$D$71,0))</f>
        <v/>
      </c>
      <c r="M163" s="53">
        <f>L163*(1-$D$70)*(1-IF(AND(6&gt;=$D$48,INDEX(Season_Flag,L$113)=1),$D$71,0))</f>
        <v/>
      </c>
      <c r="N163" s="53">
        <f>M163*(1-$D$70)*(1-IF(AND(7&gt;=$D$48,INDEX(Season_Flag,M$113)=1),$D$71,0))</f>
        <v/>
      </c>
      <c r="O163" s="53">
        <f>N163*(1-$D$70)*(1-IF(AND(8&gt;=$D$48,INDEX(Season_Flag,N$113)=1),$D$71,0))</f>
        <v/>
      </c>
      <c r="P163" s="53">
        <f>O163*(1-$D$70)*(1-IF(AND(9&gt;=$D$48,INDEX(Season_Flag,O$113)=1),$D$71,0))</f>
        <v/>
      </c>
      <c r="Q163" s="53">
        <f>P163*(1-$D$70)*(1-IF(AND(10&gt;=$D$48,INDEX(Season_Flag,P$113)=1),$D$71,0))</f>
        <v/>
      </c>
      <c r="R163" s="53">
        <f>Q163*(1-$D$70)*(1-IF(AND(11&gt;=$D$48,INDEX(Season_Flag,Q$113)=1),$D$71,0))</f>
        <v/>
      </c>
      <c r="S163" s="53">
        <f>R163*(1-$D$70)*(1-IF(AND(12&gt;=$D$48,INDEX(Season_Flag,R$113)=1),$D$71,0))</f>
        <v/>
      </c>
      <c r="T163" s="53">
        <f>S163*(1-$D$70)*(1-IF(AND(13&gt;=$D$48,INDEX(Season_Flag,S$113)=1),$D$71,0))</f>
        <v/>
      </c>
      <c r="U163" s="53">
        <f>T163*(1-$D$70)*(1-IF(AND(14&gt;=$D$48,INDEX(Season_Flag,T$113)=1),$D$71,0))</f>
        <v/>
      </c>
      <c r="V163" s="53">
        <f>U163*(1-$D$70)*(1-IF(AND(15&gt;=$D$48,INDEX(Season_Flag,U$113)=1),$D$71,0))</f>
        <v/>
      </c>
      <c r="W163" s="53">
        <f>V163*(1-$D$70)*(1-IF(AND(16&gt;=$D$48,INDEX(Season_Flag,V$113)=1),$D$71,0))</f>
        <v/>
      </c>
      <c r="X163" s="53">
        <f>W163*(1-$D$70)*(1-IF(AND(17&gt;=$D$48,INDEX(Season_Flag,W$113)=1),$D$71,0))</f>
        <v/>
      </c>
      <c r="Y163" s="53">
        <f>X163*(1-$D$70)*(1-IF(AND(18&gt;=$D$48,INDEX(Season_Flag,X$113)=1),$D$71,0))</f>
        <v/>
      </c>
      <c r="Z163" s="53">
        <f>Y163*(1-$D$70)*(1-IF(AND(19&gt;=$D$48,INDEX(Season_Flag,Y$113)=1),$D$71,0))</f>
        <v/>
      </c>
      <c r="AA163" s="53">
        <f>Z163*(1-$D$70)*(1-IF(AND(20&gt;=$D$48,INDEX(Season_Flag,Z$113)=1),$D$71,0))</f>
        <v/>
      </c>
      <c r="AB163" s="53">
        <f>AA163*(1-$D$70)*(1-IF(AND(21&gt;=$D$48,INDEX(Season_Flag,AA$113)=1),$D$71,0))</f>
        <v/>
      </c>
      <c r="AC163" s="53">
        <f>AB163*(1-$D$70)*(1-IF(AND(22&gt;=$D$48,INDEX(Season_Flag,AB$113)=1),$D$71,0))</f>
        <v/>
      </c>
      <c r="AD163" s="53">
        <f>AC163*(1-$D$70)*(1-IF(AND(23&gt;=$D$48,INDEX(Season_Flag,AC$113)=1),$D$71,0))</f>
        <v/>
      </c>
      <c r="AE163" s="53">
        <f>AD163*(1-$D$70)*(1-IF(AND(24&gt;=$D$48,INDEX(Season_Flag,AD$113)=1),$D$71,0))</f>
        <v/>
      </c>
      <c r="AF163" s="53">
        <f>AE163*(1-$D$70)*(1-IF(AND(25&gt;=$D$48,INDEX(Season_Flag,AE$113)=1),$D$71,0))</f>
        <v/>
      </c>
      <c r="AG163" s="53">
        <f>AF163*(1-$D$70)*(1-IF(AND(26&gt;=$D$48,INDEX(Season_Flag,AF$113)=1),$D$71,0))</f>
        <v/>
      </c>
      <c r="AH163" s="53">
        <f>AG163*(1-$D$70)*(1-IF(AND(27&gt;=$D$48,INDEX(Season_Flag,AG$113)=1),$D$71,0))</f>
        <v/>
      </c>
      <c r="AI163" s="53">
        <f>AH163*(1-$D$70)*(1-IF(AND(28&gt;=$D$48,INDEX(Season_Flag,AH$113)=1),$D$71,0))</f>
        <v/>
      </c>
      <c r="AJ163" s="53">
        <f>AI163*(1-$D$70)*(1-IF(AND(29&gt;=$D$48,INDEX(Season_Flag,AI$113)=1),$D$71,0))</f>
        <v/>
      </c>
      <c r="AK163" s="53">
        <f>AJ163*(1-$D$70)*(1-IF(AND(30&gt;=$D$48,INDEX(Season_Flag,AJ$113)=1),$D$71,0))</f>
        <v/>
      </c>
      <c r="AL163" s="53">
        <f>AK163*(1-$D$70)*(1-IF(AND(31&gt;=$D$48,INDEX(Season_Flag,AK$113)=1),$D$71,0))</f>
        <v/>
      </c>
      <c r="AM163" s="53">
        <f>AL163*(1-$D$70)*(1-IF(AND(32&gt;=$D$48,INDEX(Season_Flag,AL$113)=1),$D$71,0))</f>
        <v/>
      </c>
      <c r="AN163" s="53">
        <f>AM163*(1-$D$70)*(1-IF(AND(33&gt;=$D$48,INDEX(Season_Flag,AM$113)=1),$D$71,0))</f>
        <v/>
      </c>
    </row>
    <row r="164">
      <c r="B164" s="7" t="inlineStr">
        <is>
          <t>Cohort signed in month 4</t>
        </is>
      </c>
      <c r="C164" s="5" t="inlineStr">
        <is>
          <t>institutes</t>
        </is>
      </c>
      <c r="H164" s="53">
        <f>H123</f>
        <v/>
      </c>
      <c r="I164" s="53">
        <f>H164*(1-$D$70)*(1-IF(AND(1&gt;=$D$48,INDEX(Season_Flag,H$113)=1),$D$71,0))</f>
        <v/>
      </c>
      <c r="J164" s="53">
        <f>I164*(1-$D$70)*(1-IF(AND(2&gt;=$D$48,INDEX(Season_Flag,I$113)=1),$D$71,0))</f>
        <v/>
      </c>
      <c r="K164" s="53">
        <f>J164*(1-$D$70)*(1-IF(AND(3&gt;=$D$48,INDEX(Season_Flag,J$113)=1),$D$71,0))</f>
        <v/>
      </c>
      <c r="L164" s="53">
        <f>K164*(1-$D$70)*(1-IF(AND(4&gt;=$D$48,INDEX(Season_Flag,K$113)=1),$D$71,0))</f>
        <v/>
      </c>
      <c r="M164" s="53">
        <f>L164*(1-$D$70)*(1-IF(AND(5&gt;=$D$48,INDEX(Season_Flag,L$113)=1),$D$71,0))</f>
        <v/>
      </c>
      <c r="N164" s="53">
        <f>M164*(1-$D$70)*(1-IF(AND(6&gt;=$D$48,INDEX(Season_Flag,M$113)=1),$D$71,0))</f>
        <v/>
      </c>
      <c r="O164" s="53">
        <f>N164*(1-$D$70)*(1-IF(AND(7&gt;=$D$48,INDEX(Season_Flag,N$113)=1),$D$71,0))</f>
        <v/>
      </c>
      <c r="P164" s="53">
        <f>O164*(1-$D$70)*(1-IF(AND(8&gt;=$D$48,INDEX(Season_Flag,O$113)=1),$D$71,0))</f>
        <v/>
      </c>
      <c r="Q164" s="53">
        <f>P164*(1-$D$70)*(1-IF(AND(9&gt;=$D$48,INDEX(Season_Flag,P$113)=1),$D$71,0))</f>
        <v/>
      </c>
      <c r="R164" s="53">
        <f>Q164*(1-$D$70)*(1-IF(AND(10&gt;=$D$48,INDEX(Season_Flag,Q$113)=1),$D$71,0))</f>
        <v/>
      </c>
      <c r="S164" s="53">
        <f>R164*(1-$D$70)*(1-IF(AND(11&gt;=$D$48,INDEX(Season_Flag,R$113)=1),$D$71,0))</f>
        <v/>
      </c>
      <c r="T164" s="53">
        <f>S164*(1-$D$70)*(1-IF(AND(12&gt;=$D$48,INDEX(Season_Flag,S$113)=1),$D$71,0))</f>
        <v/>
      </c>
      <c r="U164" s="53">
        <f>T164*(1-$D$70)*(1-IF(AND(13&gt;=$D$48,INDEX(Season_Flag,T$113)=1),$D$71,0))</f>
        <v/>
      </c>
      <c r="V164" s="53">
        <f>U164*(1-$D$70)*(1-IF(AND(14&gt;=$D$48,INDEX(Season_Flag,U$113)=1),$D$71,0))</f>
        <v/>
      </c>
      <c r="W164" s="53">
        <f>V164*(1-$D$70)*(1-IF(AND(15&gt;=$D$48,INDEX(Season_Flag,V$113)=1),$D$71,0))</f>
        <v/>
      </c>
      <c r="X164" s="53">
        <f>W164*(1-$D$70)*(1-IF(AND(16&gt;=$D$48,INDEX(Season_Flag,W$113)=1),$D$71,0))</f>
        <v/>
      </c>
      <c r="Y164" s="53">
        <f>X164*(1-$D$70)*(1-IF(AND(17&gt;=$D$48,INDEX(Season_Flag,X$113)=1),$D$71,0))</f>
        <v/>
      </c>
      <c r="Z164" s="53">
        <f>Y164*(1-$D$70)*(1-IF(AND(18&gt;=$D$48,INDEX(Season_Flag,Y$113)=1),$D$71,0))</f>
        <v/>
      </c>
      <c r="AA164" s="53">
        <f>Z164*(1-$D$70)*(1-IF(AND(19&gt;=$D$48,INDEX(Season_Flag,Z$113)=1),$D$71,0))</f>
        <v/>
      </c>
      <c r="AB164" s="53">
        <f>AA164*(1-$D$70)*(1-IF(AND(20&gt;=$D$48,INDEX(Season_Flag,AA$113)=1),$D$71,0))</f>
        <v/>
      </c>
      <c r="AC164" s="53">
        <f>AB164*(1-$D$70)*(1-IF(AND(21&gt;=$D$48,INDEX(Season_Flag,AB$113)=1),$D$71,0))</f>
        <v/>
      </c>
      <c r="AD164" s="53">
        <f>AC164*(1-$D$70)*(1-IF(AND(22&gt;=$D$48,INDEX(Season_Flag,AC$113)=1),$D$71,0))</f>
        <v/>
      </c>
      <c r="AE164" s="53">
        <f>AD164*(1-$D$70)*(1-IF(AND(23&gt;=$D$48,INDEX(Season_Flag,AD$113)=1),$D$71,0))</f>
        <v/>
      </c>
      <c r="AF164" s="53">
        <f>AE164*(1-$D$70)*(1-IF(AND(24&gt;=$D$48,INDEX(Season_Flag,AE$113)=1),$D$71,0))</f>
        <v/>
      </c>
      <c r="AG164" s="53">
        <f>AF164*(1-$D$70)*(1-IF(AND(25&gt;=$D$48,INDEX(Season_Flag,AF$113)=1),$D$71,0))</f>
        <v/>
      </c>
      <c r="AH164" s="53">
        <f>AG164*(1-$D$70)*(1-IF(AND(26&gt;=$D$48,INDEX(Season_Flag,AG$113)=1),$D$71,0))</f>
        <v/>
      </c>
      <c r="AI164" s="53">
        <f>AH164*(1-$D$70)*(1-IF(AND(27&gt;=$D$48,INDEX(Season_Flag,AH$113)=1),$D$71,0))</f>
        <v/>
      </c>
      <c r="AJ164" s="53">
        <f>AI164*(1-$D$70)*(1-IF(AND(28&gt;=$D$48,INDEX(Season_Flag,AI$113)=1),$D$71,0))</f>
        <v/>
      </c>
      <c r="AK164" s="53">
        <f>AJ164*(1-$D$70)*(1-IF(AND(29&gt;=$D$48,INDEX(Season_Flag,AJ$113)=1),$D$71,0))</f>
        <v/>
      </c>
      <c r="AL164" s="53">
        <f>AK164*(1-$D$70)*(1-IF(AND(30&gt;=$D$48,INDEX(Season_Flag,AK$113)=1),$D$71,0))</f>
        <v/>
      </c>
      <c r="AM164" s="53">
        <f>AL164*(1-$D$70)*(1-IF(AND(31&gt;=$D$48,INDEX(Season_Flag,AL$113)=1),$D$71,0))</f>
        <v/>
      </c>
      <c r="AN164" s="53">
        <f>AM164*(1-$D$70)*(1-IF(AND(32&gt;=$D$48,INDEX(Season_Flag,AM$113)=1),$D$71,0))</f>
        <v/>
      </c>
    </row>
    <row r="165">
      <c r="B165" s="7" t="inlineStr">
        <is>
          <t>Cohort signed in month 5</t>
        </is>
      </c>
      <c r="C165" s="5" t="inlineStr">
        <is>
          <t>institutes</t>
        </is>
      </c>
      <c r="I165" s="53">
        <f>I123</f>
        <v/>
      </c>
      <c r="J165" s="53">
        <f>I165*(1-$D$70)*(1-IF(AND(1&gt;=$D$48,INDEX(Season_Flag,I$113)=1),$D$71,0))</f>
        <v/>
      </c>
      <c r="K165" s="53">
        <f>J165*(1-$D$70)*(1-IF(AND(2&gt;=$D$48,INDEX(Season_Flag,J$113)=1),$D$71,0))</f>
        <v/>
      </c>
      <c r="L165" s="53">
        <f>K165*(1-$D$70)*(1-IF(AND(3&gt;=$D$48,INDEX(Season_Flag,K$113)=1),$D$71,0))</f>
        <v/>
      </c>
      <c r="M165" s="53">
        <f>L165*(1-$D$70)*(1-IF(AND(4&gt;=$D$48,INDEX(Season_Flag,L$113)=1),$D$71,0))</f>
        <v/>
      </c>
      <c r="N165" s="53">
        <f>M165*(1-$D$70)*(1-IF(AND(5&gt;=$D$48,INDEX(Season_Flag,M$113)=1),$D$71,0))</f>
        <v/>
      </c>
      <c r="O165" s="53">
        <f>N165*(1-$D$70)*(1-IF(AND(6&gt;=$D$48,INDEX(Season_Flag,N$113)=1),$D$71,0))</f>
        <v/>
      </c>
      <c r="P165" s="53">
        <f>O165*(1-$D$70)*(1-IF(AND(7&gt;=$D$48,INDEX(Season_Flag,O$113)=1),$D$71,0))</f>
        <v/>
      </c>
      <c r="Q165" s="53">
        <f>P165*(1-$D$70)*(1-IF(AND(8&gt;=$D$48,INDEX(Season_Flag,P$113)=1),$D$71,0))</f>
        <v/>
      </c>
      <c r="R165" s="53">
        <f>Q165*(1-$D$70)*(1-IF(AND(9&gt;=$D$48,INDEX(Season_Flag,Q$113)=1),$D$71,0))</f>
        <v/>
      </c>
      <c r="S165" s="53">
        <f>R165*(1-$D$70)*(1-IF(AND(10&gt;=$D$48,INDEX(Season_Flag,R$113)=1),$D$71,0))</f>
        <v/>
      </c>
      <c r="T165" s="53">
        <f>S165*(1-$D$70)*(1-IF(AND(11&gt;=$D$48,INDEX(Season_Flag,S$113)=1),$D$71,0))</f>
        <v/>
      </c>
      <c r="U165" s="53">
        <f>T165*(1-$D$70)*(1-IF(AND(12&gt;=$D$48,INDEX(Season_Flag,T$113)=1),$D$71,0))</f>
        <v/>
      </c>
      <c r="V165" s="53">
        <f>U165*(1-$D$70)*(1-IF(AND(13&gt;=$D$48,INDEX(Season_Flag,U$113)=1),$D$71,0))</f>
        <v/>
      </c>
      <c r="W165" s="53">
        <f>V165*(1-$D$70)*(1-IF(AND(14&gt;=$D$48,INDEX(Season_Flag,V$113)=1),$D$71,0))</f>
        <v/>
      </c>
      <c r="X165" s="53">
        <f>W165*(1-$D$70)*(1-IF(AND(15&gt;=$D$48,INDEX(Season_Flag,W$113)=1),$D$71,0))</f>
        <v/>
      </c>
      <c r="Y165" s="53">
        <f>X165*(1-$D$70)*(1-IF(AND(16&gt;=$D$48,INDEX(Season_Flag,X$113)=1),$D$71,0))</f>
        <v/>
      </c>
      <c r="Z165" s="53">
        <f>Y165*(1-$D$70)*(1-IF(AND(17&gt;=$D$48,INDEX(Season_Flag,Y$113)=1),$D$71,0))</f>
        <v/>
      </c>
      <c r="AA165" s="53">
        <f>Z165*(1-$D$70)*(1-IF(AND(18&gt;=$D$48,INDEX(Season_Flag,Z$113)=1),$D$71,0))</f>
        <v/>
      </c>
      <c r="AB165" s="53">
        <f>AA165*(1-$D$70)*(1-IF(AND(19&gt;=$D$48,INDEX(Season_Flag,AA$113)=1),$D$71,0))</f>
        <v/>
      </c>
      <c r="AC165" s="53">
        <f>AB165*(1-$D$70)*(1-IF(AND(20&gt;=$D$48,INDEX(Season_Flag,AB$113)=1),$D$71,0))</f>
        <v/>
      </c>
      <c r="AD165" s="53">
        <f>AC165*(1-$D$70)*(1-IF(AND(21&gt;=$D$48,INDEX(Season_Flag,AC$113)=1),$D$71,0))</f>
        <v/>
      </c>
      <c r="AE165" s="53">
        <f>AD165*(1-$D$70)*(1-IF(AND(22&gt;=$D$48,INDEX(Season_Flag,AD$113)=1),$D$71,0))</f>
        <v/>
      </c>
      <c r="AF165" s="53">
        <f>AE165*(1-$D$70)*(1-IF(AND(23&gt;=$D$48,INDEX(Season_Flag,AE$113)=1),$D$71,0))</f>
        <v/>
      </c>
      <c r="AG165" s="53">
        <f>AF165*(1-$D$70)*(1-IF(AND(24&gt;=$D$48,INDEX(Season_Flag,AF$113)=1),$D$71,0))</f>
        <v/>
      </c>
      <c r="AH165" s="53">
        <f>AG165*(1-$D$70)*(1-IF(AND(25&gt;=$D$48,INDEX(Season_Flag,AG$113)=1),$D$71,0))</f>
        <v/>
      </c>
      <c r="AI165" s="53">
        <f>AH165*(1-$D$70)*(1-IF(AND(26&gt;=$D$48,INDEX(Season_Flag,AH$113)=1),$D$71,0))</f>
        <v/>
      </c>
      <c r="AJ165" s="53">
        <f>AI165*(1-$D$70)*(1-IF(AND(27&gt;=$D$48,INDEX(Season_Flag,AI$113)=1),$D$71,0))</f>
        <v/>
      </c>
      <c r="AK165" s="53">
        <f>AJ165*(1-$D$70)*(1-IF(AND(28&gt;=$D$48,INDEX(Season_Flag,AJ$113)=1),$D$71,0))</f>
        <v/>
      </c>
      <c r="AL165" s="53">
        <f>AK165*(1-$D$70)*(1-IF(AND(29&gt;=$D$48,INDEX(Season_Flag,AK$113)=1),$D$71,0))</f>
        <v/>
      </c>
      <c r="AM165" s="53">
        <f>AL165*(1-$D$70)*(1-IF(AND(30&gt;=$D$48,INDEX(Season_Flag,AL$113)=1),$D$71,0))</f>
        <v/>
      </c>
      <c r="AN165" s="53">
        <f>AM165*(1-$D$70)*(1-IF(AND(31&gt;=$D$48,INDEX(Season_Flag,AM$113)=1),$D$71,0))</f>
        <v/>
      </c>
    </row>
    <row r="166">
      <c r="B166" s="7" t="inlineStr">
        <is>
          <t>Cohort signed in month 6</t>
        </is>
      </c>
      <c r="C166" s="5" t="inlineStr">
        <is>
          <t>institutes</t>
        </is>
      </c>
      <c r="J166" s="53">
        <f>J123</f>
        <v/>
      </c>
      <c r="K166" s="53">
        <f>J166*(1-$D$70)*(1-IF(AND(1&gt;=$D$48,INDEX(Season_Flag,J$113)=1),$D$71,0))</f>
        <v/>
      </c>
      <c r="L166" s="53">
        <f>K166*(1-$D$70)*(1-IF(AND(2&gt;=$D$48,INDEX(Season_Flag,K$113)=1),$D$71,0))</f>
        <v/>
      </c>
      <c r="M166" s="53">
        <f>L166*(1-$D$70)*(1-IF(AND(3&gt;=$D$48,INDEX(Season_Flag,L$113)=1),$D$71,0))</f>
        <v/>
      </c>
      <c r="N166" s="53">
        <f>M166*(1-$D$70)*(1-IF(AND(4&gt;=$D$48,INDEX(Season_Flag,M$113)=1),$D$71,0))</f>
        <v/>
      </c>
      <c r="O166" s="53">
        <f>N166*(1-$D$70)*(1-IF(AND(5&gt;=$D$48,INDEX(Season_Flag,N$113)=1),$D$71,0))</f>
        <v/>
      </c>
      <c r="P166" s="53">
        <f>O166*(1-$D$70)*(1-IF(AND(6&gt;=$D$48,INDEX(Season_Flag,O$113)=1),$D$71,0))</f>
        <v/>
      </c>
      <c r="Q166" s="53">
        <f>P166*(1-$D$70)*(1-IF(AND(7&gt;=$D$48,INDEX(Season_Flag,P$113)=1),$D$71,0))</f>
        <v/>
      </c>
      <c r="R166" s="53">
        <f>Q166*(1-$D$70)*(1-IF(AND(8&gt;=$D$48,INDEX(Season_Flag,Q$113)=1),$D$71,0))</f>
        <v/>
      </c>
      <c r="S166" s="53">
        <f>R166*(1-$D$70)*(1-IF(AND(9&gt;=$D$48,INDEX(Season_Flag,R$113)=1),$D$71,0))</f>
        <v/>
      </c>
      <c r="T166" s="53">
        <f>S166*(1-$D$70)*(1-IF(AND(10&gt;=$D$48,INDEX(Season_Flag,S$113)=1),$D$71,0))</f>
        <v/>
      </c>
      <c r="U166" s="53">
        <f>T166*(1-$D$70)*(1-IF(AND(11&gt;=$D$48,INDEX(Season_Flag,T$113)=1),$D$71,0))</f>
        <v/>
      </c>
      <c r="V166" s="53">
        <f>U166*(1-$D$70)*(1-IF(AND(12&gt;=$D$48,INDEX(Season_Flag,U$113)=1),$D$71,0))</f>
        <v/>
      </c>
      <c r="W166" s="53">
        <f>V166*(1-$D$70)*(1-IF(AND(13&gt;=$D$48,INDEX(Season_Flag,V$113)=1),$D$71,0))</f>
        <v/>
      </c>
      <c r="X166" s="53">
        <f>W166*(1-$D$70)*(1-IF(AND(14&gt;=$D$48,INDEX(Season_Flag,W$113)=1),$D$71,0))</f>
        <v/>
      </c>
      <c r="Y166" s="53">
        <f>X166*(1-$D$70)*(1-IF(AND(15&gt;=$D$48,INDEX(Season_Flag,X$113)=1),$D$71,0))</f>
        <v/>
      </c>
      <c r="Z166" s="53">
        <f>Y166*(1-$D$70)*(1-IF(AND(16&gt;=$D$48,INDEX(Season_Flag,Y$113)=1),$D$71,0))</f>
        <v/>
      </c>
      <c r="AA166" s="53">
        <f>Z166*(1-$D$70)*(1-IF(AND(17&gt;=$D$48,INDEX(Season_Flag,Z$113)=1),$D$71,0))</f>
        <v/>
      </c>
      <c r="AB166" s="53">
        <f>AA166*(1-$D$70)*(1-IF(AND(18&gt;=$D$48,INDEX(Season_Flag,AA$113)=1),$D$71,0))</f>
        <v/>
      </c>
      <c r="AC166" s="53">
        <f>AB166*(1-$D$70)*(1-IF(AND(19&gt;=$D$48,INDEX(Season_Flag,AB$113)=1),$D$71,0))</f>
        <v/>
      </c>
      <c r="AD166" s="53">
        <f>AC166*(1-$D$70)*(1-IF(AND(20&gt;=$D$48,INDEX(Season_Flag,AC$113)=1),$D$71,0))</f>
        <v/>
      </c>
      <c r="AE166" s="53">
        <f>AD166*(1-$D$70)*(1-IF(AND(21&gt;=$D$48,INDEX(Season_Flag,AD$113)=1),$D$71,0))</f>
        <v/>
      </c>
      <c r="AF166" s="53">
        <f>AE166*(1-$D$70)*(1-IF(AND(22&gt;=$D$48,INDEX(Season_Flag,AE$113)=1),$D$71,0))</f>
        <v/>
      </c>
      <c r="AG166" s="53">
        <f>AF166*(1-$D$70)*(1-IF(AND(23&gt;=$D$48,INDEX(Season_Flag,AF$113)=1),$D$71,0))</f>
        <v/>
      </c>
      <c r="AH166" s="53">
        <f>AG166*(1-$D$70)*(1-IF(AND(24&gt;=$D$48,INDEX(Season_Flag,AG$113)=1),$D$71,0))</f>
        <v/>
      </c>
      <c r="AI166" s="53">
        <f>AH166*(1-$D$70)*(1-IF(AND(25&gt;=$D$48,INDEX(Season_Flag,AH$113)=1),$D$71,0))</f>
        <v/>
      </c>
      <c r="AJ166" s="53">
        <f>AI166*(1-$D$70)*(1-IF(AND(26&gt;=$D$48,INDEX(Season_Flag,AI$113)=1),$D$71,0))</f>
        <v/>
      </c>
      <c r="AK166" s="53">
        <f>AJ166*(1-$D$70)*(1-IF(AND(27&gt;=$D$48,INDEX(Season_Flag,AJ$113)=1),$D$71,0))</f>
        <v/>
      </c>
      <c r="AL166" s="53">
        <f>AK166*(1-$D$70)*(1-IF(AND(28&gt;=$D$48,INDEX(Season_Flag,AK$113)=1),$D$71,0))</f>
        <v/>
      </c>
      <c r="AM166" s="53">
        <f>AL166*(1-$D$70)*(1-IF(AND(29&gt;=$D$48,INDEX(Season_Flag,AL$113)=1),$D$71,0))</f>
        <v/>
      </c>
      <c r="AN166" s="53">
        <f>AM166*(1-$D$70)*(1-IF(AND(30&gt;=$D$48,INDEX(Season_Flag,AM$113)=1),$D$71,0))</f>
        <v/>
      </c>
    </row>
    <row r="167">
      <c r="B167" s="7" t="inlineStr">
        <is>
          <t>Cohort signed in month 7</t>
        </is>
      </c>
      <c r="C167" s="5" t="inlineStr">
        <is>
          <t>institutes</t>
        </is>
      </c>
      <c r="K167" s="53">
        <f>K123</f>
        <v/>
      </c>
      <c r="L167" s="53">
        <f>K167*(1-$D$70)*(1-IF(AND(1&gt;=$D$48,INDEX(Season_Flag,K$113)=1),$D$71,0))</f>
        <v/>
      </c>
      <c r="M167" s="53">
        <f>L167*(1-$D$70)*(1-IF(AND(2&gt;=$D$48,INDEX(Season_Flag,L$113)=1),$D$71,0))</f>
        <v/>
      </c>
      <c r="N167" s="53">
        <f>M167*(1-$D$70)*(1-IF(AND(3&gt;=$D$48,INDEX(Season_Flag,M$113)=1),$D$71,0))</f>
        <v/>
      </c>
      <c r="O167" s="53">
        <f>N167*(1-$D$70)*(1-IF(AND(4&gt;=$D$48,INDEX(Season_Flag,N$113)=1),$D$71,0))</f>
        <v/>
      </c>
      <c r="P167" s="53">
        <f>O167*(1-$D$70)*(1-IF(AND(5&gt;=$D$48,INDEX(Season_Flag,O$113)=1),$D$71,0))</f>
        <v/>
      </c>
      <c r="Q167" s="53">
        <f>P167*(1-$D$70)*(1-IF(AND(6&gt;=$D$48,INDEX(Season_Flag,P$113)=1),$D$71,0))</f>
        <v/>
      </c>
      <c r="R167" s="53">
        <f>Q167*(1-$D$70)*(1-IF(AND(7&gt;=$D$48,INDEX(Season_Flag,Q$113)=1),$D$71,0))</f>
        <v/>
      </c>
      <c r="S167" s="53">
        <f>R167*(1-$D$70)*(1-IF(AND(8&gt;=$D$48,INDEX(Season_Flag,R$113)=1),$D$71,0))</f>
        <v/>
      </c>
      <c r="T167" s="53">
        <f>S167*(1-$D$70)*(1-IF(AND(9&gt;=$D$48,INDEX(Season_Flag,S$113)=1),$D$71,0))</f>
        <v/>
      </c>
      <c r="U167" s="53">
        <f>T167*(1-$D$70)*(1-IF(AND(10&gt;=$D$48,INDEX(Season_Flag,T$113)=1),$D$71,0))</f>
        <v/>
      </c>
      <c r="V167" s="53">
        <f>U167*(1-$D$70)*(1-IF(AND(11&gt;=$D$48,INDEX(Season_Flag,U$113)=1),$D$71,0))</f>
        <v/>
      </c>
      <c r="W167" s="53">
        <f>V167*(1-$D$70)*(1-IF(AND(12&gt;=$D$48,INDEX(Season_Flag,V$113)=1),$D$71,0))</f>
        <v/>
      </c>
      <c r="X167" s="53">
        <f>W167*(1-$D$70)*(1-IF(AND(13&gt;=$D$48,INDEX(Season_Flag,W$113)=1),$D$71,0))</f>
        <v/>
      </c>
      <c r="Y167" s="53">
        <f>X167*(1-$D$70)*(1-IF(AND(14&gt;=$D$48,INDEX(Season_Flag,X$113)=1),$D$71,0))</f>
        <v/>
      </c>
      <c r="Z167" s="53">
        <f>Y167*(1-$D$70)*(1-IF(AND(15&gt;=$D$48,INDEX(Season_Flag,Y$113)=1),$D$71,0))</f>
        <v/>
      </c>
      <c r="AA167" s="53">
        <f>Z167*(1-$D$70)*(1-IF(AND(16&gt;=$D$48,INDEX(Season_Flag,Z$113)=1),$D$71,0))</f>
        <v/>
      </c>
      <c r="AB167" s="53">
        <f>AA167*(1-$D$70)*(1-IF(AND(17&gt;=$D$48,INDEX(Season_Flag,AA$113)=1),$D$71,0))</f>
        <v/>
      </c>
      <c r="AC167" s="53">
        <f>AB167*(1-$D$70)*(1-IF(AND(18&gt;=$D$48,INDEX(Season_Flag,AB$113)=1),$D$71,0))</f>
        <v/>
      </c>
      <c r="AD167" s="53">
        <f>AC167*(1-$D$70)*(1-IF(AND(19&gt;=$D$48,INDEX(Season_Flag,AC$113)=1),$D$71,0))</f>
        <v/>
      </c>
      <c r="AE167" s="53">
        <f>AD167*(1-$D$70)*(1-IF(AND(20&gt;=$D$48,INDEX(Season_Flag,AD$113)=1),$D$71,0))</f>
        <v/>
      </c>
      <c r="AF167" s="53">
        <f>AE167*(1-$D$70)*(1-IF(AND(21&gt;=$D$48,INDEX(Season_Flag,AE$113)=1),$D$71,0))</f>
        <v/>
      </c>
      <c r="AG167" s="53">
        <f>AF167*(1-$D$70)*(1-IF(AND(22&gt;=$D$48,INDEX(Season_Flag,AF$113)=1),$D$71,0))</f>
        <v/>
      </c>
      <c r="AH167" s="53">
        <f>AG167*(1-$D$70)*(1-IF(AND(23&gt;=$D$48,INDEX(Season_Flag,AG$113)=1),$D$71,0))</f>
        <v/>
      </c>
      <c r="AI167" s="53">
        <f>AH167*(1-$D$70)*(1-IF(AND(24&gt;=$D$48,INDEX(Season_Flag,AH$113)=1),$D$71,0))</f>
        <v/>
      </c>
      <c r="AJ167" s="53">
        <f>AI167*(1-$D$70)*(1-IF(AND(25&gt;=$D$48,INDEX(Season_Flag,AI$113)=1),$D$71,0))</f>
        <v/>
      </c>
      <c r="AK167" s="53">
        <f>AJ167*(1-$D$70)*(1-IF(AND(26&gt;=$D$48,INDEX(Season_Flag,AJ$113)=1),$D$71,0))</f>
        <v/>
      </c>
      <c r="AL167" s="53">
        <f>AK167*(1-$D$70)*(1-IF(AND(27&gt;=$D$48,INDEX(Season_Flag,AK$113)=1),$D$71,0))</f>
        <v/>
      </c>
      <c r="AM167" s="53">
        <f>AL167*(1-$D$70)*(1-IF(AND(28&gt;=$D$48,INDEX(Season_Flag,AL$113)=1),$D$71,0))</f>
        <v/>
      </c>
      <c r="AN167" s="53">
        <f>AM167*(1-$D$70)*(1-IF(AND(29&gt;=$D$48,INDEX(Season_Flag,AM$113)=1),$D$71,0))</f>
        <v/>
      </c>
    </row>
    <row r="168">
      <c r="B168" s="7" t="inlineStr">
        <is>
          <t>Cohort signed in month 8</t>
        </is>
      </c>
      <c r="C168" s="5" t="inlineStr">
        <is>
          <t>institutes</t>
        </is>
      </c>
      <c r="L168" s="53">
        <f>L123</f>
        <v/>
      </c>
      <c r="M168" s="53">
        <f>L168*(1-$D$70)*(1-IF(AND(1&gt;=$D$48,INDEX(Season_Flag,L$113)=1),$D$71,0))</f>
        <v/>
      </c>
      <c r="N168" s="53">
        <f>M168*(1-$D$70)*(1-IF(AND(2&gt;=$D$48,INDEX(Season_Flag,M$113)=1),$D$71,0))</f>
        <v/>
      </c>
      <c r="O168" s="53">
        <f>N168*(1-$D$70)*(1-IF(AND(3&gt;=$D$48,INDEX(Season_Flag,N$113)=1),$D$71,0))</f>
        <v/>
      </c>
      <c r="P168" s="53">
        <f>O168*(1-$D$70)*(1-IF(AND(4&gt;=$D$48,INDEX(Season_Flag,O$113)=1),$D$71,0))</f>
        <v/>
      </c>
      <c r="Q168" s="53">
        <f>P168*(1-$D$70)*(1-IF(AND(5&gt;=$D$48,INDEX(Season_Flag,P$113)=1),$D$71,0))</f>
        <v/>
      </c>
      <c r="R168" s="53">
        <f>Q168*(1-$D$70)*(1-IF(AND(6&gt;=$D$48,INDEX(Season_Flag,Q$113)=1),$D$71,0))</f>
        <v/>
      </c>
      <c r="S168" s="53">
        <f>R168*(1-$D$70)*(1-IF(AND(7&gt;=$D$48,INDEX(Season_Flag,R$113)=1),$D$71,0))</f>
        <v/>
      </c>
      <c r="T168" s="53">
        <f>S168*(1-$D$70)*(1-IF(AND(8&gt;=$D$48,INDEX(Season_Flag,S$113)=1),$D$71,0))</f>
        <v/>
      </c>
      <c r="U168" s="53">
        <f>T168*(1-$D$70)*(1-IF(AND(9&gt;=$D$48,INDEX(Season_Flag,T$113)=1),$D$71,0))</f>
        <v/>
      </c>
      <c r="V168" s="53">
        <f>U168*(1-$D$70)*(1-IF(AND(10&gt;=$D$48,INDEX(Season_Flag,U$113)=1),$D$71,0))</f>
        <v/>
      </c>
      <c r="W168" s="53">
        <f>V168*(1-$D$70)*(1-IF(AND(11&gt;=$D$48,INDEX(Season_Flag,V$113)=1),$D$71,0))</f>
        <v/>
      </c>
      <c r="X168" s="53">
        <f>W168*(1-$D$70)*(1-IF(AND(12&gt;=$D$48,INDEX(Season_Flag,W$113)=1),$D$71,0))</f>
        <v/>
      </c>
      <c r="Y168" s="53">
        <f>X168*(1-$D$70)*(1-IF(AND(13&gt;=$D$48,INDEX(Season_Flag,X$113)=1),$D$71,0))</f>
        <v/>
      </c>
      <c r="Z168" s="53">
        <f>Y168*(1-$D$70)*(1-IF(AND(14&gt;=$D$48,INDEX(Season_Flag,Y$113)=1),$D$71,0))</f>
        <v/>
      </c>
      <c r="AA168" s="53">
        <f>Z168*(1-$D$70)*(1-IF(AND(15&gt;=$D$48,INDEX(Season_Flag,Z$113)=1),$D$71,0))</f>
        <v/>
      </c>
      <c r="AB168" s="53">
        <f>AA168*(1-$D$70)*(1-IF(AND(16&gt;=$D$48,INDEX(Season_Flag,AA$113)=1),$D$71,0))</f>
        <v/>
      </c>
      <c r="AC168" s="53">
        <f>AB168*(1-$D$70)*(1-IF(AND(17&gt;=$D$48,INDEX(Season_Flag,AB$113)=1),$D$71,0))</f>
        <v/>
      </c>
      <c r="AD168" s="53">
        <f>AC168*(1-$D$70)*(1-IF(AND(18&gt;=$D$48,INDEX(Season_Flag,AC$113)=1),$D$71,0))</f>
        <v/>
      </c>
      <c r="AE168" s="53">
        <f>AD168*(1-$D$70)*(1-IF(AND(19&gt;=$D$48,INDEX(Season_Flag,AD$113)=1),$D$71,0))</f>
        <v/>
      </c>
      <c r="AF168" s="53">
        <f>AE168*(1-$D$70)*(1-IF(AND(20&gt;=$D$48,INDEX(Season_Flag,AE$113)=1),$D$71,0))</f>
        <v/>
      </c>
      <c r="AG168" s="53">
        <f>AF168*(1-$D$70)*(1-IF(AND(21&gt;=$D$48,INDEX(Season_Flag,AF$113)=1),$D$71,0))</f>
        <v/>
      </c>
      <c r="AH168" s="53">
        <f>AG168*(1-$D$70)*(1-IF(AND(22&gt;=$D$48,INDEX(Season_Flag,AG$113)=1),$D$71,0))</f>
        <v/>
      </c>
      <c r="AI168" s="53">
        <f>AH168*(1-$D$70)*(1-IF(AND(23&gt;=$D$48,INDEX(Season_Flag,AH$113)=1),$D$71,0))</f>
        <v/>
      </c>
      <c r="AJ168" s="53">
        <f>AI168*(1-$D$70)*(1-IF(AND(24&gt;=$D$48,INDEX(Season_Flag,AI$113)=1),$D$71,0))</f>
        <v/>
      </c>
      <c r="AK168" s="53">
        <f>AJ168*(1-$D$70)*(1-IF(AND(25&gt;=$D$48,INDEX(Season_Flag,AJ$113)=1),$D$71,0))</f>
        <v/>
      </c>
      <c r="AL168" s="53">
        <f>AK168*(1-$D$70)*(1-IF(AND(26&gt;=$D$48,INDEX(Season_Flag,AK$113)=1),$D$71,0))</f>
        <v/>
      </c>
      <c r="AM168" s="53">
        <f>AL168*(1-$D$70)*(1-IF(AND(27&gt;=$D$48,INDEX(Season_Flag,AL$113)=1),$D$71,0))</f>
        <v/>
      </c>
      <c r="AN168" s="53">
        <f>AM168*(1-$D$70)*(1-IF(AND(28&gt;=$D$48,INDEX(Season_Flag,AM$113)=1),$D$71,0))</f>
        <v/>
      </c>
    </row>
    <row r="169">
      <c r="B169" s="7" t="inlineStr">
        <is>
          <t>Cohort signed in month 9</t>
        </is>
      </c>
      <c r="C169" s="5" t="inlineStr">
        <is>
          <t>institutes</t>
        </is>
      </c>
      <c r="M169" s="53">
        <f>M123</f>
        <v/>
      </c>
      <c r="N169" s="53">
        <f>M169*(1-$D$70)*(1-IF(AND(1&gt;=$D$48,INDEX(Season_Flag,M$113)=1),$D$71,0))</f>
        <v/>
      </c>
      <c r="O169" s="53">
        <f>N169*(1-$D$70)*(1-IF(AND(2&gt;=$D$48,INDEX(Season_Flag,N$113)=1),$D$71,0))</f>
        <v/>
      </c>
      <c r="P169" s="53">
        <f>O169*(1-$D$70)*(1-IF(AND(3&gt;=$D$48,INDEX(Season_Flag,O$113)=1),$D$71,0))</f>
        <v/>
      </c>
      <c r="Q169" s="53">
        <f>P169*(1-$D$70)*(1-IF(AND(4&gt;=$D$48,INDEX(Season_Flag,P$113)=1),$D$71,0))</f>
        <v/>
      </c>
      <c r="R169" s="53">
        <f>Q169*(1-$D$70)*(1-IF(AND(5&gt;=$D$48,INDEX(Season_Flag,Q$113)=1),$D$71,0))</f>
        <v/>
      </c>
      <c r="S169" s="53">
        <f>R169*(1-$D$70)*(1-IF(AND(6&gt;=$D$48,INDEX(Season_Flag,R$113)=1),$D$71,0))</f>
        <v/>
      </c>
      <c r="T169" s="53">
        <f>S169*(1-$D$70)*(1-IF(AND(7&gt;=$D$48,INDEX(Season_Flag,S$113)=1),$D$71,0))</f>
        <v/>
      </c>
      <c r="U169" s="53">
        <f>T169*(1-$D$70)*(1-IF(AND(8&gt;=$D$48,INDEX(Season_Flag,T$113)=1),$D$71,0))</f>
        <v/>
      </c>
      <c r="V169" s="53">
        <f>U169*(1-$D$70)*(1-IF(AND(9&gt;=$D$48,INDEX(Season_Flag,U$113)=1),$D$71,0))</f>
        <v/>
      </c>
      <c r="W169" s="53">
        <f>V169*(1-$D$70)*(1-IF(AND(10&gt;=$D$48,INDEX(Season_Flag,V$113)=1),$D$71,0))</f>
        <v/>
      </c>
      <c r="X169" s="53">
        <f>W169*(1-$D$70)*(1-IF(AND(11&gt;=$D$48,INDEX(Season_Flag,W$113)=1),$D$71,0))</f>
        <v/>
      </c>
      <c r="Y169" s="53">
        <f>X169*(1-$D$70)*(1-IF(AND(12&gt;=$D$48,INDEX(Season_Flag,X$113)=1),$D$71,0))</f>
        <v/>
      </c>
      <c r="Z169" s="53">
        <f>Y169*(1-$D$70)*(1-IF(AND(13&gt;=$D$48,INDEX(Season_Flag,Y$113)=1),$D$71,0))</f>
        <v/>
      </c>
      <c r="AA169" s="53">
        <f>Z169*(1-$D$70)*(1-IF(AND(14&gt;=$D$48,INDEX(Season_Flag,Z$113)=1),$D$71,0))</f>
        <v/>
      </c>
      <c r="AB169" s="53">
        <f>AA169*(1-$D$70)*(1-IF(AND(15&gt;=$D$48,INDEX(Season_Flag,AA$113)=1),$D$71,0))</f>
        <v/>
      </c>
      <c r="AC169" s="53">
        <f>AB169*(1-$D$70)*(1-IF(AND(16&gt;=$D$48,INDEX(Season_Flag,AB$113)=1),$D$71,0))</f>
        <v/>
      </c>
      <c r="AD169" s="53">
        <f>AC169*(1-$D$70)*(1-IF(AND(17&gt;=$D$48,INDEX(Season_Flag,AC$113)=1),$D$71,0))</f>
        <v/>
      </c>
      <c r="AE169" s="53">
        <f>AD169*(1-$D$70)*(1-IF(AND(18&gt;=$D$48,INDEX(Season_Flag,AD$113)=1),$D$71,0))</f>
        <v/>
      </c>
      <c r="AF169" s="53">
        <f>AE169*(1-$D$70)*(1-IF(AND(19&gt;=$D$48,INDEX(Season_Flag,AE$113)=1),$D$71,0))</f>
        <v/>
      </c>
      <c r="AG169" s="53">
        <f>AF169*(1-$D$70)*(1-IF(AND(20&gt;=$D$48,INDEX(Season_Flag,AF$113)=1),$D$71,0))</f>
        <v/>
      </c>
      <c r="AH169" s="53">
        <f>AG169*(1-$D$70)*(1-IF(AND(21&gt;=$D$48,INDEX(Season_Flag,AG$113)=1),$D$71,0))</f>
        <v/>
      </c>
      <c r="AI169" s="53">
        <f>AH169*(1-$D$70)*(1-IF(AND(22&gt;=$D$48,INDEX(Season_Flag,AH$113)=1),$D$71,0))</f>
        <v/>
      </c>
      <c r="AJ169" s="53">
        <f>AI169*(1-$D$70)*(1-IF(AND(23&gt;=$D$48,INDEX(Season_Flag,AI$113)=1),$D$71,0))</f>
        <v/>
      </c>
      <c r="AK169" s="53">
        <f>AJ169*(1-$D$70)*(1-IF(AND(24&gt;=$D$48,INDEX(Season_Flag,AJ$113)=1),$D$71,0))</f>
        <v/>
      </c>
      <c r="AL169" s="53">
        <f>AK169*(1-$D$70)*(1-IF(AND(25&gt;=$D$48,INDEX(Season_Flag,AK$113)=1),$D$71,0))</f>
        <v/>
      </c>
      <c r="AM169" s="53">
        <f>AL169*(1-$D$70)*(1-IF(AND(26&gt;=$D$48,INDEX(Season_Flag,AL$113)=1),$D$71,0))</f>
        <v/>
      </c>
      <c r="AN169" s="53">
        <f>AM169*(1-$D$70)*(1-IF(AND(27&gt;=$D$48,INDEX(Season_Flag,AM$113)=1),$D$71,0))</f>
        <v/>
      </c>
    </row>
    <row r="170">
      <c r="B170" s="7" t="inlineStr">
        <is>
          <t>Cohort signed in month 10</t>
        </is>
      </c>
      <c r="C170" s="5" t="inlineStr">
        <is>
          <t>institutes</t>
        </is>
      </c>
      <c r="N170" s="53">
        <f>N123</f>
        <v/>
      </c>
      <c r="O170" s="53">
        <f>N170*(1-$D$70)*(1-IF(AND(1&gt;=$D$48,INDEX(Season_Flag,N$113)=1),$D$71,0))</f>
        <v/>
      </c>
      <c r="P170" s="53">
        <f>O170*(1-$D$70)*(1-IF(AND(2&gt;=$D$48,INDEX(Season_Flag,O$113)=1),$D$71,0))</f>
        <v/>
      </c>
      <c r="Q170" s="53">
        <f>P170*(1-$D$70)*(1-IF(AND(3&gt;=$D$48,INDEX(Season_Flag,P$113)=1),$D$71,0))</f>
        <v/>
      </c>
      <c r="R170" s="53">
        <f>Q170*(1-$D$70)*(1-IF(AND(4&gt;=$D$48,INDEX(Season_Flag,Q$113)=1),$D$71,0))</f>
        <v/>
      </c>
      <c r="S170" s="53">
        <f>R170*(1-$D$70)*(1-IF(AND(5&gt;=$D$48,INDEX(Season_Flag,R$113)=1),$D$71,0))</f>
        <v/>
      </c>
      <c r="T170" s="53">
        <f>S170*(1-$D$70)*(1-IF(AND(6&gt;=$D$48,INDEX(Season_Flag,S$113)=1),$D$71,0))</f>
        <v/>
      </c>
      <c r="U170" s="53">
        <f>T170*(1-$D$70)*(1-IF(AND(7&gt;=$D$48,INDEX(Season_Flag,T$113)=1),$D$71,0))</f>
        <v/>
      </c>
      <c r="V170" s="53">
        <f>U170*(1-$D$70)*(1-IF(AND(8&gt;=$D$48,INDEX(Season_Flag,U$113)=1),$D$71,0))</f>
        <v/>
      </c>
      <c r="W170" s="53">
        <f>V170*(1-$D$70)*(1-IF(AND(9&gt;=$D$48,INDEX(Season_Flag,V$113)=1),$D$71,0))</f>
        <v/>
      </c>
      <c r="X170" s="53">
        <f>W170*(1-$D$70)*(1-IF(AND(10&gt;=$D$48,INDEX(Season_Flag,W$113)=1),$D$71,0))</f>
        <v/>
      </c>
      <c r="Y170" s="53">
        <f>X170*(1-$D$70)*(1-IF(AND(11&gt;=$D$48,INDEX(Season_Flag,X$113)=1),$D$71,0))</f>
        <v/>
      </c>
      <c r="Z170" s="53">
        <f>Y170*(1-$D$70)*(1-IF(AND(12&gt;=$D$48,INDEX(Season_Flag,Y$113)=1),$D$71,0))</f>
        <v/>
      </c>
      <c r="AA170" s="53">
        <f>Z170*(1-$D$70)*(1-IF(AND(13&gt;=$D$48,INDEX(Season_Flag,Z$113)=1),$D$71,0))</f>
        <v/>
      </c>
      <c r="AB170" s="53">
        <f>AA170*(1-$D$70)*(1-IF(AND(14&gt;=$D$48,INDEX(Season_Flag,AA$113)=1),$D$71,0))</f>
        <v/>
      </c>
      <c r="AC170" s="53">
        <f>AB170*(1-$D$70)*(1-IF(AND(15&gt;=$D$48,INDEX(Season_Flag,AB$113)=1),$D$71,0))</f>
        <v/>
      </c>
      <c r="AD170" s="53">
        <f>AC170*(1-$D$70)*(1-IF(AND(16&gt;=$D$48,INDEX(Season_Flag,AC$113)=1),$D$71,0))</f>
        <v/>
      </c>
      <c r="AE170" s="53">
        <f>AD170*(1-$D$70)*(1-IF(AND(17&gt;=$D$48,INDEX(Season_Flag,AD$113)=1),$D$71,0))</f>
        <v/>
      </c>
      <c r="AF170" s="53">
        <f>AE170*(1-$D$70)*(1-IF(AND(18&gt;=$D$48,INDEX(Season_Flag,AE$113)=1),$D$71,0))</f>
        <v/>
      </c>
      <c r="AG170" s="53">
        <f>AF170*(1-$D$70)*(1-IF(AND(19&gt;=$D$48,INDEX(Season_Flag,AF$113)=1),$D$71,0))</f>
        <v/>
      </c>
      <c r="AH170" s="53">
        <f>AG170*(1-$D$70)*(1-IF(AND(20&gt;=$D$48,INDEX(Season_Flag,AG$113)=1),$D$71,0))</f>
        <v/>
      </c>
      <c r="AI170" s="53">
        <f>AH170*(1-$D$70)*(1-IF(AND(21&gt;=$D$48,INDEX(Season_Flag,AH$113)=1),$D$71,0))</f>
        <v/>
      </c>
      <c r="AJ170" s="53">
        <f>AI170*(1-$D$70)*(1-IF(AND(22&gt;=$D$48,INDEX(Season_Flag,AI$113)=1),$D$71,0))</f>
        <v/>
      </c>
      <c r="AK170" s="53">
        <f>AJ170*(1-$D$70)*(1-IF(AND(23&gt;=$D$48,INDEX(Season_Flag,AJ$113)=1),$D$71,0))</f>
        <v/>
      </c>
      <c r="AL170" s="53">
        <f>AK170*(1-$D$70)*(1-IF(AND(24&gt;=$D$48,INDEX(Season_Flag,AK$113)=1),$D$71,0))</f>
        <v/>
      </c>
      <c r="AM170" s="53">
        <f>AL170*(1-$D$70)*(1-IF(AND(25&gt;=$D$48,INDEX(Season_Flag,AL$113)=1),$D$71,0))</f>
        <v/>
      </c>
      <c r="AN170" s="53">
        <f>AM170*(1-$D$70)*(1-IF(AND(26&gt;=$D$48,INDEX(Season_Flag,AM$113)=1),$D$71,0))</f>
        <v/>
      </c>
    </row>
    <row r="171">
      <c r="B171" s="7" t="inlineStr">
        <is>
          <t>Cohort signed in month 11</t>
        </is>
      </c>
      <c r="C171" s="5" t="inlineStr">
        <is>
          <t>institutes</t>
        </is>
      </c>
      <c r="O171" s="53">
        <f>O123</f>
        <v/>
      </c>
      <c r="P171" s="53">
        <f>O171*(1-$D$70)*(1-IF(AND(1&gt;=$D$48,INDEX(Season_Flag,O$113)=1),$D$71,0))</f>
        <v/>
      </c>
      <c r="Q171" s="53">
        <f>P171*(1-$D$70)*(1-IF(AND(2&gt;=$D$48,INDEX(Season_Flag,P$113)=1),$D$71,0))</f>
        <v/>
      </c>
      <c r="R171" s="53">
        <f>Q171*(1-$D$70)*(1-IF(AND(3&gt;=$D$48,INDEX(Season_Flag,Q$113)=1),$D$71,0))</f>
        <v/>
      </c>
      <c r="S171" s="53">
        <f>R171*(1-$D$70)*(1-IF(AND(4&gt;=$D$48,INDEX(Season_Flag,R$113)=1),$D$71,0))</f>
        <v/>
      </c>
      <c r="T171" s="53">
        <f>S171*(1-$D$70)*(1-IF(AND(5&gt;=$D$48,INDEX(Season_Flag,S$113)=1),$D$71,0))</f>
        <v/>
      </c>
      <c r="U171" s="53">
        <f>T171*(1-$D$70)*(1-IF(AND(6&gt;=$D$48,INDEX(Season_Flag,T$113)=1),$D$71,0))</f>
        <v/>
      </c>
      <c r="V171" s="53">
        <f>U171*(1-$D$70)*(1-IF(AND(7&gt;=$D$48,INDEX(Season_Flag,U$113)=1),$D$71,0))</f>
        <v/>
      </c>
      <c r="W171" s="53">
        <f>V171*(1-$D$70)*(1-IF(AND(8&gt;=$D$48,INDEX(Season_Flag,V$113)=1),$D$71,0))</f>
        <v/>
      </c>
      <c r="X171" s="53">
        <f>W171*(1-$D$70)*(1-IF(AND(9&gt;=$D$48,INDEX(Season_Flag,W$113)=1),$D$71,0))</f>
        <v/>
      </c>
      <c r="Y171" s="53">
        <f>X171*(1-$D$70)*(1-IF(AND(10&gt;=$D$48,INDEX(Season_Flag,X$113)=1),$D$71,0))</f>
        <v/>
      </c>
      <c r="Z171" s="53">
        <f>Y171*(1-$D$70)*(1-IF(AND(11&gt;=$D$48,INDEX(Season_Flag,Y$113)=1),$D$71,0))</f>
        <v/>
      </c>
      <c r="AA171" s="53">
        <f>Z171*(1-$D$70)*(1-IF(AND(12&gt;=$D$48,INDEX(Season_Flag,Z$113)=1),$D$71,0))</f>
        <v/>
      </c>
      <c r="AB171" s="53">
        <f>AA171*(1-$D$70)*(1-IF(AND(13&gt;=$D$48,INDEX(Season_Flag,AA$113)=1),$D$71,0))</f>
        <v/>
      </c>
      <c r="AC171" s="53">
        <f>AB171*(1-$D$70)*(1-IF(AND(14&gt;=$D$48,INDEX(Season_Flag,AB$113)=1),$D$71,0))</f>
        <v/>
      </c>
      <c r="AD171" s="53">
        <f>AC171*(1-$D$70)*(1-IF(AND(15&gt;=$D$48,INDEX(Season_Flag,AC$113)=1),$D$71,0))</f>
        <v/>
      </c>
      <c r="AE171" s="53">
        <f>AD171*(1-$D$70)*(1-IF(AND(16&gt;=$D$48,INDEX(Season_Flag,AD$113)=1),$D$71,0))</f>
        <v/>
      </c>
      <c r="AF171" s="53">
        <f>AE171*(1-$D$70)*(1-IF(AND(17&gt;=$D$48,INDEX(Season_Flag,AE$113)=1),$D$71,0))</f>
        <v/>
      </c>
      <c r="AG171" s="53">
        <f>AF171*(1-$D$70)*(1-IF(AND(18&gt;=$D$48,INDEX(Season_Flag,AF$113)=1),$D$71,0))</f>
        <v/>
      </c>
      <c r="AH171" s="53">
        <f>AG171*(1-$D$70)*(1-IF(AND(19&gt;=$D$48,INDEX(Season_Flag,AG$113)=1),$D$71,0))</f>
        <v/>
      </c>
      <c r="AI171" s="53">
        <f>AH171*(1-$D$70)*(1-IF(AND(20&gt;=$D$48,INDEX(Season_Flag,AH$113)=1),$D$71,0))</f>
        <v/>
      </c>
      <c r="AJ171" s="53">
        <f>AI171*(1-$D$70)*(1-IF(AND(21&gt;=$D$48,INDEX(Season_Flag,AI$113)=1),$D$71,0))</f>
        <v/>
      </c>
      <c r="AK171" s="53">
        <f>AJ171*(1-$D$70)*(1-IF(AND(22&gt;=$D$48,INDEX(Season_Flag,AJ$113)=1),$D$71,0))</f>
        <v/>
      </c>
      <c r="AL171" s="53">
        <f>AK171*(1-$D$70)*(1-IF(AND(23&gt;=$D$48,INDEX(Season_Flag,AK$113)=1),$D$71,0))</f>
        <v/>
      </c>
      <c r="AM171" s="53">
        <f>AL171*(1-$D$70)*(1-IF(AND(24&gt;=$D$48,INDEX(Season_Flag,AL$113)=1),$D$71,0))</f>
        <v/>
      </c>
      <c r="AN171" s="53">
        <f>AM171*(1-$D$70)*(1-IF(AND(25&gt;=$D$48,INDEX(Season_Flag,AM$113)=1),$D$71,0))</f>
        <v/>
      </c>
    </row>
    <row r="172">
      <c r="B172" s="7" t="inlineStr">
        <is>
          <t>Cohort signed in month 12</t>
        </is>
      </c>
      <c r="C172" s="5" t="inlineStr">
        <is>
          <t>institutes</t>
        </is>
      </c>
      <c r="P172" s="53">
        <f>P123</f>
        <v/>
      </c>
      <c r="Q172" s="53">
        <f>P172*(1-$D$70)*(1-IF(AND(1&gt;=$D$48,INDEX(Season_Flag,P$113)=1),$D$71,0))</f>
        <v/>
      </c>
      <c r="R172" s="53">
        <f>Q172*(1-$D$70)*(1-IF(AND(2&gt;=$D$48,INDEX(Season_Flag,Q$113)=1),$D$71,0))</f>
        <v/>
      </c>
      <c r="S172" s="53">
        <f>R172*(1-$D$70)*(1-IF(AND(3&gt;=$D$48,INDEX(Season_Flag,R$113)=1),$D$71,0))</f>
        <v/>
      </c>
      <c r="T172" s="53">
        <f>S172*(1-$D$70)*(1-IF(AND(4&gt;=$D$48,INDEX(Season_Flag,S$113)=1),$D$71,0))</f>
        <v/>
      </c>
      <c r="U172" s="53">
        <f>T172*(1-$D$70)*(1-IF(AND(5&gt;=$D$48,INDEX(Season_Flag,T$113)=1),$D$71,0))</f>
        <v/>
      </c>
      <c r="V172" s="53">
        <f>U172*(1-$D$70)*(1-IF(AND(6&gt;=$D$48,INDEX(Season_Flag,U$113)=1),$D$71,0))</f>
        <v/>
      </c>
      <c r="W172" s="53">
        <f>V172*(1-$D$70)*(1-IF(AND(7&gt;=$D$48,INDEX(Season_Flag,V$113)=1),$D$71,0))</f>
        <v/>
      </c>
      <c r="X172" s="53">
        <f>W172*(1-$D$70)*(1-IF(AND(8&gt;=$D$48,INDEX(Season_Flag,W$113)=1),$D$71,0))</f>
        <v/>
      </c>
      <c r="Y172" s="53">
        <f>X172*(1-$D$70)*(1-IF(AND(9&gt;=$D$48,INDEX(Season_Flag,X$113)=1),$D$71,0))</f>
        <v/>
      </c>
      <c r="Z172" s="53">
        <f>Y172*(1-$D$70)*(1-IF(AND(10&gt;=$D$48,INDEX(Season_Flag,Y$113)=1),$D$71,0))</f>
        <v/>
      </c>
      <c r="AA172" s="53">
        <f>Z172*(1-$D$70)*(1-IF(AND(11&gt;=$D$48,INDEX(Season_Flag,Z$113)=1),$D$71,0))</f>
        <v/>
      </c>
      <c r="AB172" s="53">
        <f>AA172*(1-$D$70)*(1-IF(AND(12&gt;=$D$48,INDEX(Season_Flag,AA$113)=1),$D$71,0))</f>
        <v/>
      </c>
      <c r="AC172" s="53">
        <f>AB172*(1-$D$70)*(1-IF(AND(13&gt;=$D$48,INDEX(Season_Flag,AB$113)=1),$D$71,0))</f>
        <v/>
      </c>
      <c r="AD172" s="53">
        <f>AC172*(1-$D$70)*(1-IF(AND(14&gt;=$D$48,INDEX(Season_Flag,AC$113)=1),$D$71,0))</f>
        <v/>
      </c>
      <c r="AE172" s="53">
        <f>AD172*(1-$D$70)*(1-IF(AND(15&gt;=$D$48,INDEX(Season_Flag,AD$113)=1),$D$71,0))</f>
        <v/>
      </c>
      <c r="AF172" s="53">
        <f>AE172*(1-$D$70)*(1-IF(AND(16&gt;=$D$48,INDEX(Season_Flag,AE$113)=1),$D$71,0))</f>
        <v/>
      </c>
      <c r="AG172" s="53">
        <f>AF172*(1-$D$70)*(1-IF(AND(17&gt;=$D$48,INDEX(Season_Flag,AF$113)=1),$D$71,0))</f>
        <v/>
      </c>
      <c r="AH172" s="53">
        <f>AG172*(1-$D$70)*(1-IF(AND(18&gt;=$D$48,INDEX(Season_Flag,AG$113)=1),$D$71,0))</f>
        <v/>
      </c>
      <c r="AI172" s="53">
        <f>AH172*(1-$D$70)*(1-IF(AND(19&gt;=$D$48,INDEX(Season_Flag,AH$113)=1),$D$71,0))</f>
        <v/>
      </c>
      <c r="AJ172" s="53">
        <f>AI172*(1-$D$70)*(1-IF(AND(20&gt;=$D$48,INDEX(Season_Flag,AI$113)=1),$D$71,0))</f>
        <v/>
      </c>
      <c r="AK172" s="53">
        <f>AJ172*(1-$D$70)*(1-IF(AND(21&gt;=$D$48,INDEX(Season_Flag,AJ$113)=1),$D$71,0))</f>
        <v/>
      </c>
      <c r="AL172" s="53">
        <f>AK172*(1-$D$70)*(1-IF(AND(22&gt;=$D$48,INDEX(Season_Flag,AK$113)=1),$D$71,0))</f>
        <v/>
      </c>
      <c r="AM172" s="53">
        <f>AL172*(1-$D$70)*(1-IF(AND(23&gt;=$D$48,INDEX(Season_Flag,AL$113)=1),$D$71,0))</f>
        <v/>
      </c>
      <c r="AN172" s="53">
        <f>AM172*(1-$D$70)*(1-IF(AND(24&gt;=$D$48,INDEX(Season_Flag,AM$113)=1),$D$71,0))</f>
        <v/>
      </c>
    </row>
    <row r="173">
      <c r="B173" s="7" t="inlineStr">
        <is>
          <t>Cohort signed in month 13</t>
        </is>
      </c>
      <c r="C173" s="5" t="inlineStr">
        <is>
          <t>institutes</t>
        </is>
      </c>
      <c r="Q173" s="53">
        <f>Q123</f>
        <v/>
      </c>
      <c r="R173" s="53">
        <f>Q173*(1-$D$70)*(1-IF(AND(1&gt;=$D$48,INDEX(Season_Flag,Q$113)=1),$D$71,0))</f>
        <v/>
      </c>
      <c r="S173" s="53">
        <f>R173*(1-$D$70)*(1-IF(AND(2&gt;=$D$48,INDEX(Season_Flag,R$113)=1),$D$71,0))</f>
        <v/>
      </c>
      <c r="T173" s="53">
        <f>S173*(1-$D$70)*(1-IF(AND(3&gt;=$D$48,INDEX(Season_Flag,S$113)=1),$D$71,0))</f>
        <v/>
      </c>
      <c r="U173" s="53">
        <f>T173*(1-$D$70)*(1-IF(AND(4&gt;=$D$48,INDEX(Season_Flag,T$113)=1),$D$71,0))</f>
        <v/>
      </c>
      <c r="V173" s="53">
        <f>U173*(1-$D$70)*(1-IF(AND(5&gt;=$D$48,INDEX(Season_Flag,U$113)=1),$D$71,0))</f>
        <v/>
      </c>
      <c r="W173" s="53">
        <f>V173*(1-$D$70)*(1-IF(AND(6&gt;=$D$48,INDEX(Season_Flag,V$113)=1),$D$71,0))</f>
        <v/>
      </c>
      <c r="X173" s="53">
        <f>W173*(1-$D$70)*(1-IF(AND(7&gt;=$D$48,INDEX(Season_Flag,W$113)=1),$D$71,0))</f>
        <v/>
      </c>
      <c r="Y173" s="53">
        <f>X173*(1-$D$70)*(1-IF(AND(8&gt;=$D$48,INDEX(Season_Flag,X$113)=1),$D$71,0))</f>
        <v/>
      </c>
      <c r="Z173" s="53">
        <f>Y173*(1-$D$70)*(1-IF(AND(9&gt;=$D$48,INDEX(Season_Flag,Y$113)=1),$D$71,0))</f>
        <v/>
      </c>
      <c r="AA173" s="53">
        <f>Z173*(1-$D$70)*(1-IF(AND(10&gt;=$D$48,INDEX(Season_Flag,Z$113)=1),$D$71,0))</f>
        <v/>
      </c>
      <c r="AB173" s="53">
        <f>AA173*(1-$D$70)*(1-IF(AND(11&gt;=$D$48,INDEX(Season_Flag,AA$113)=1),$D$71,0))</f>
        <v/>
      </c>
      <c r="AC173" s="53">
        <f>AB173*(1-$D$70)*(1-IF(AND(12&gt;=$D$48,INDEX(Season_Flag,AB$113)=1),$D$71,0))</f>
        <v/>
      </c>
      <c r="AD173" s="53">
        <f>AC173*(1-$D$70)*(1-IF(AND(13&gt;=$D$48,INDEX(Season_Flag,AC$113)=1),$D$71,0))</f>
        <v/>
      </c>
      <c r="AE173" s="53">
        <f>AD173*(1-$D$70)*(1-IF(AND(14&gt;=$D$48,INDEX(Season_Flag,AD$113)=1),$D$71,0))</f>
        <v/>
      </c>
      <c r="AF173" s="53">
        <f>AE173*(1-$D$70)*(1-IF(AND(15&gt;=$D$48,INDEX(Season_Flag,AE$113)=1),$D$71,0))</f>
        <v/>
      </c>
      <c r="AG173" s="53">
        <f>AF173*(1-$D$70)*(1-IF(AND(16&gt;=$D$48,INDEX(Season_Flag,AF$113)=1),$D$71,0))</f>
        <v/>
      </c>
      <c r="AH173" s="53">
        <f>AG173*(1-$D$70)*(1-IF(AND(17&gt;=$D$48,INDEX(Season_Flag,AG$113)=1),$D$71,0))</f>
        <v/>
      </c>
      <c r="AI173" s="53">
        <f>AH173*(1-$D$70)*(1-IF(AND(18&gt;=$D$48,INDEX(Season_Flag,AH$113)=1),$D$71,0))</f>
        <v/>
      </c>
      <c r="AJ173" s="53">
        <f>AI173*(1-$D$70)*(1-IF(AND(19&gt;=$D$48,INDEX(Season_Flag,AI$113)=1),$D$71,0))</f>
        <v/>
      </c>
      <c r="AK173" s="53">
        <f>AJ173*(1-$D$70)*(1-IF(AND(20&gt;=$D$48,INDEX(Season_Flag,AJ$113)=1),$D$71,0))</f>
        <v/>
      </c>
      <c r="AL173" s="53">
        <f>AK173*(1-$D$70)*(1-IF(AND(21&gt;=$D$48,INDEX(Season_Flag,AK$113)=1),$D$71,0))</f>
        <v/>
      </c>
      <c r="AM173" s="53">
        <f>AL173*(1-$D$70)*(1-IF(AND(22&gt;=$D$48,INDEX(Season_Flag,AL$113)=1),$D$71,0))</f>
        <v/>
      </c>
      <c r="AN173" s="53">
        <f>AM173*(1-$D$70)*(1-IF(AND(23&gt;=$D$48,INDEX(Season_Flag,AM$113)=1),$D$71,0))</f>
        <v/>
      </c>
    </row>
    <row r="174">
      <c r="B174" s="7" t="inlineStr">
        <is>
          <t>Cohort signed in month 14</t>
        </is>
      </c>
      <c r="C174" s="5" t="inlineStr">
        <is>
          <t>institutes</t>
        </is>
      </c>
      <c r="R174" s="53">
        <f>R123</f>
        <v/>
      </c>
      <c r="S174" s="53">
        <f>R174*(1-$D$70)*(1-IF(AND(1&gt;=$D$48,INDEX(Season_Flag,R$113)=1),$D$71,0))</f>
        <v/>
      </c>
      <c r="T174" s="53">
        <f>S174*(1-$D$70)*(1-IF(AND(2&gt;=$D$48,INDEX(Season_Flag,S$113)=1),$D$71,0))</f>
        <v/>
      </c>
      <c r="U174" s="53">
        <f>T174*(1-$D$70)*(1-IF(AND(3&gt;=$D$48,INDEX(Season_Flag,T$113)=1),$D$71,0))</f>
        <v/>
      </c>
      <c r="V174" s="53">
        <f>U174*(1-$D$70)*(1-IF(AND(4&gt;=$D$48,INDEX(Season_Flag,U$113)=1),$D$71,0))</f>
        <v/>
      </c>
      <c r="W174" s="53">
        <f>V174*(1-$D$70)*(1-IF(AND(5&gt;=$D$48,INDEX(Season_Flag,V$113)=1),$D$71,0))</f>
        <v/>
      </c>
      <c r="X174" s="53">
        <f>W174*(1-$D$70)*(1-IF(AND(6&gt;=$D$48,INDEX(Season_Flag,W$113)=1),$D$71,0))</f>
        <v/>
      </c>
      <c r="Y174" s="53">
        <f>X174*(1-$D$70)*(1-IF(AND(7&gt;=$D$48,INDEX(Season_Flag,X$113)=1),$D$71,0))</f>
        <v/>
      </c>
      <c r="Z174" s="53">
        <f>Y174*(1-$D$70)*(1-IF(AND(8&gt;=$D$48,INDEX(Season_Flag,Y$113)=1),$D$71,0))</f>
        <v/>
      </c>
      <c r="AA174" s="53">
        <f>Z174*(1-$D$70)*(1-IF(AND(9&gt;=$D$48,INDEX(Season_Flag,Z$113)=1),$D$71,0))</f>
        <v/>
      </c>
      <c r="AB174" s="53">
        <f>AA174*(1-$D$70)*(1-IF(AND(10&gt;=$D$48,INDEX(Season_Flag,AA$113)=1),$D$71,0))</f>
        <v/>
      </c>
      <c r="AC174" s="53">
        <f>AB174*(1-$D$70)*(1-IF(AND(11&gt;=$D$48,INDEX(Season_Flag,AB$113)=1),$D$71,0))</f>
        <v/>
      </c>
      <c r="AD174" s="53">
        <f>AC174*(1-$D$70)*(1-IF(AND(12&gt;=$D$48,INDEX(Season_Flag,AC$113)=1),$D$71,0))</f>
        <v/>
      </c>
      <c r="AE174" s="53">
        <f>AD174*(1-$D$70)*(1-IF(AND(13&gt;=$D$48,INDEX(Season_Flag,AD$113)=1),$D$71,0))</f>
        <v/>
      </c>
      <c r="AF174" s="53">
        <f>AE174*(1-$D$70)*(1-IF(AND(14&gt;=$D$48,INDEX(Season_Flag,AE$113)=1),$D$71,0))</f>
        <v/>
      </c>
      <c r="AG174" s="53">
        <f>AF174*(1-$D$70)*(1-IF(AND(15&gt;=$D$48,INDEX(Season_Flag,AF$113)=1),$D$71,0))</f>
        <v/>
      </c>
      <c r="AH174" s="53">
        <f>AG174*(1-$D$70)*(1-IF(AND(16&gt;=$D$48,INDEX(Season_Flag,AG$113)=1),$D$71,0))</f>
        <v/>
      </c>
      <c r="AI174" s="53">
        <f>AH174*(1-$D$70)*(1-IF(AND(17&gt;=$D$48,INDEX(Season_Flag,AH$113)=1),$D$71,0))</f>
        <v/>
      </c>
      <c r="AJ174" s="53">
        <f>AI174*(1-$D$70)*(1-IF(AND(18&gt;=$D$48,INDEX(Season_Flag,AI$113)=1),$D$71,0))</f>
        <v/>
      </c>
      <c r="AK174" s="53">
        <f>AJ174*(1-$D$70)*(1-IF(AND(19&gt;=$D$48,INDEX(Season_Flag,AJ$113)=1),$D$71,0))</f>
        <v/>
      </c>
      <c r="AL174" s="53">
        <f>AK174*(1-$D$70)*(1-IF(AND(20&gt;=$D$48,INDEX(Season_Flag,AK$113)=1),$D$71,0))</f>
        <v/>
      </c>
      <c r="AM174" s="53">
        <f>AL174*(1-$D$70)*(1-IF(AND(21&gt;=$D$48,INDEX(Season_Flag,AL$113)=1),$D$71,0))</f>
        <v/>
      </c>
      <c r="AN174" s="53">
        <f>AM174*(1-$D$70)*(1-IF(AND(22&gt;=$D$48,INDEX(Season_Flag,AM$113)=1),$D$71,0))</f>
        <v/>
      </c>
    </row>
    <row r="175">
      <c r="B175" s="7" t="inlineStr">
        <is>
          <t>Cohort signed in month 15</t>
        </is>
      </c>
      <c r="C175" s="5" t="inlineStr">
        <is>
          <t>institutes</t>
        </is>
      </c>
      <c r="S175" s="53">
        <f>S123</f>
        <v/>
      </c>
      <c r="T175" s="53">
        <f>S175*(1-$D$70)*(1-IF(AND(1&gt;=$D$48,INDEX(Season_Flag,S$113)=1),$D$71,0))</f>
        <v/>
      </c>
      <c r="U175" s="53">
        <f>T175*(1-$D$70)*(1-IF(AND(2&gt;=$D$48,INDEX(Season_Flag,T$113)=1),$D$71,0))</f>
        <v/>
      </c>
      <c r="V175" s="53">
        <f>U175*(1-$D$70)*(1-IF(AND(3&gt;=$D$48,INDEX(Season_Flag,U$113)=1),$D$71,0))</f>
        <v/>
      </c>
      <c r="W175" s="53">
        <f>V175*(1-$D$70)*(1-IF(AND(4&gt;=$D$48,INDEX(Season_Flag,V$113)=1),$D$71,0))</f>
        <v/>
      </c>
      <c r="X175" s="53">
        <f>W175*(1-$D$70)*(1-IF(AND(5&gt;=$D$48,INDEX(Season_Flag,W$113)=1),$D$71,0))</f>
        <v/>
      </c>
      <c r="Y175" s="53">
        <f>X175*(1-$D$70)*(1-IF(AND(6&gt;=$D$48,INDEX(Season_Flag,X$113)=1),$D$71,0))</f>
        <v/>
      </c>
      <c r="Z175" s="53">
        <f>Y175*(1-$D$70)*(1-IF(AND(7&gt;=$D$48,INDEX(Season_Flag,Y$113)=1),$D$71,0))</f>
        <v/>
      </c>
      <c r="AA175" s="53">
        <f>Z175*(1-$D$70)*(1-IF(AND(8&gt;=$D$48,INDEX(Season_Flag,Z$113)=1),$D$71,0))</f>
        <v/>
      </c>
      <c r="AB175" s="53">
        <f>AA175*(1-$D$70)*(1-IF(AND(9&gt;=$D$48,INDEX(Season_Flag,AA$113)=1),$D$71,0))</f>
        <v/>
      </c>
      <c r="AC175" s="53">
        <f>AB175*(1-$D$70)*(1-IF(AND(10&gt;=$D$48,INDEX(Season_Flag,AB$113)=1),$D$71,0))</f>
        <v/>
      </c>
      <c r="AD175" s="53">
        <f>AC175*(1-$D$70)*(1-IF(AND(11&gt;=$D$48,INDEX(Season_Flag,AC$113)=1),$D$71,0))</f>
        <v/>
      </c>
      <c r="AE175" s="53">
        <f>AD175*(1-$D$70)*(1-IF(AND(12&gt;=$D$48,INDEX(Season_Flag,AD$113)=1),$D$71,0))</f>
        <v/>
      </c>
      <c r="AF175" s="53">
        <f>AE175*(1-$D$70)*(1-IF(AND(13&gt;=$D$48,INDEX(Season_Flag,AE$113)=1),$D$71,0))</f>
        <v/>
      </c>
      <c r="AG175" s="53">
        <f>AF175*(1-$D$70)*(1-IF(AND(14&gt;=$D$48,INDEX(Season_Flag,AF$113)=1),$D$71,0))</f>
        <v/>
      </c>
      <c r="AH175" s="53">
        <f>AG175*(1-$D$70)*(1-IF(AND(15&gt;=$D$48,INDEX(Season_Flag,AG$113)=1),$D$71,0))</f>
        <v/>
      </c>
      <c r="AI175" s="53">
        <f>AH175*(1-$D$70)*(1-IF(AND(16&gt;=$D$48,INDEX(Season_Flag,AH$113)=1),$D$71,0))</f>
        <v/>
      </c>
      <c r="AJ175" s="53">
        <f>AI175*(1-$D$70)*(1-IF(AND(17&gt;=$D$48,INDEX(Season_Flag,AI$113)=1),$D$71,0))</f>
        <v/>
      </c>
      <c r="AK175" s="53">
        <f>AJ175*(1-$D$70)*(1-IF(AND(18&gt;=$D$48,INDEX(Season_Flag,AJ$113)=1),$D$71,0))</f>
        <v/>
      </c>
      <c r="AL175" s="53">
        <f>AK175*(1-$D$70)*(1-IF(AND(19&gt;=$D$48,INDEX(Season_Flag,AK$113)=1),$D$71,0))</f>
        <v/>
      </c>
      <c r="AM175" s="53">
        <f>AL175*(1-$D$70)*(1-IF(AND(20&gt;=$D$48,INDEX(Season_Flag,AL$113)=1),$D$71,0))</f>
        <v/>
      </c>
      <c r="AN175" s="53">
        <f>AM175*(1-$D$70)*(1-IF(AND(21&gt;=$D$48,INDEX(Season_Flag,AM$113)=1),$D$71,0))</f>
        <v/>
      </c>
    </row>
    <row r="176">
      <c r="B176" s="7" t="inlineStr">
        <is>
          <t>Cohort signed in month 16</t>
        </is>
      </c>
      <c r="C176" s="5" t="inlineStr">
        <is>
          <t>institutes</t>
        </is>
      </c>
      <c r="T176" s="53">
        <f>T123</f>
        <v/>
      </c>
      <c r="U176" s="53">
        <f>T176*(1-$D$70)*(1-IF(AND(1&gt;=$D$48,INDEX(Season_Flag,T$113)=1),$D$71,0))</f>
        <v/>
      </c>
      <c r="V176" s="53">
        <f>U176*(1-$D$70)*(1-IF(AND(2&gt;=$D$48,INDEX(Season_Flag,U$113)=1),$D$71,0))</f>
        <v/>
      </c>
      <c r="W176" s="53">
        <f>V176*(1-$D$70)*(1-IF(AND(3&gt;=$D$48,INDEX(Season_Flag,V$113)=1),$D$71,0))</f>
        <v/>
      </c>
      <c r="X176" s="53">
        <f>W176*(1-$D$70)*(1-IF(AND(4&gt;=$D$48,INDEX(Season_Flag,W$113)=1),$D$71,0))</f>
        <v/>
      </c>
      <c r="Y176" s="53">
        <f>X176*(1-$D$70)*(1-IF(AND(5&gt;=$D$48,INDEX(Season_Flag,X$113)=1),$D$71,0))</f>
        <v/>
      </c>
      <c r="Z176" s="53">
        <f>Y176*(1-$D$70)*(1-IF(AND(6&gt;=$D$48,INDEX(Season_Flag,Y$113)=1),$D$71,0))</f>
        <v/>
      </c>
      <c r="AA176" s="53">
        <f>Z176*(1-$D$70)*(1-IF(AND(7&gt;=$D$48,INDEX(Season_Flag,Z$113)=1),$D$71,0))</f>
        <v/>
      </c>
      <c r="AB176" s="53">
        <f>AA176*(1-$D$70)*(1-IF(AND(8&gt;=$D$48,INDEX(Season_Flag,AA$113)=1),$D$71,0))</f>
        <v/>
      </c>
      <c r="AC176" s="53">
        <f>AB176*(1-$D$70)*(1-IF(AND(9&gt;=$D$48,INDEX(Season_Flag,AB$113)=1),$D$71,0))</f>
        <v/>
      </c>
      <c r="AD176" s="53">
        <f>AC176*(1-$D$70)*(1-IF(AND(10&gt;=$D$48,INDEX(Season_Flag,AC$113)=1),$D$71,0))</f>
        <v/>
      </c>
      <c r="AE176" s="53">
        <f>AD176*(1-$D$70)*(1-IF(AND(11&gt;=$D$48,INDEX(Season_Flag,AD$113)=1),$D$71,0))</f>
        <v/>
      </c>
      <c r="AF176" s="53">
        <f>AE176*(1-$D$70)*(1-IF(AND(12&gt;=$D$48,INDEX(Season_Flag,AE$113)=1),$D$71,0))</f>
        <v/>
      </c>
      <c r="AG176" s="53">
        <f>AF176*(1-$D$70)*(1-IF(AND(13&gt;=$D$48,INDEX(Season_Flag,AF$113)=1),$D$71,0))</f>
        <v/>
      </c>
      <c r="AH176" s="53">
        <f>AG176*(1-$D$70)*(1-IF(AND(14&gt;=$D$48,INDEX(Season_Flag,AG$113)=1),$D$71,0))</f>
        <v/>
      </c>
      <c r="AI176" s="53">
        <f>AH176*(1-$D$70)*(1-IF(AND(15&gt;=$D$48,INDEX(Season_Flag,AH$113)=1),$D$71,0))</f>
        <v/>
      </c>
      <c r="AJ176" s="53">
        <f>AI176*(1-$D$70)*(1-IF(AND(16&gt;=$D$48,INDEX(Season_Flag,AI$113)=1),$D$71,0))</f>
        <v/>
      </c>
      <c r="AK176" s="53">
        <f>AJ176*(1-$D$70)*(1-IF(AND(17&gt;=$D$48,INDEX(Season_Flag,AJ$113)=1),$D$71,0))</f>
        <v/>
      </c>
      <c r="AL176" s="53">
        <f>AK176*(1-$D$70)*(1-IF(AND(18&gt;=$D$48,INDEX(Season_Flag,AK$113)=1),$D$71,0))</f>
        <v/>
      </c>
      <c r="AM176" s="53">
        <f>AL176*(1-$D$70)*(1-IF(AND(19&gt;=$D$48,INDEX(Season_Flag,AL$113)=1),$D$71,0))</f>
        <v/>
      </c>
      <c r="AN176" s="53">
        <f>AM176*(1-$D$70)*(1-IF(AND(20&gt;=$D$48,INDEX(Season_Flag,AM$113)=1),$D$71,0))</f>
        <v/>
      </c>
    </row>
    <row r="177">
      <c r="B177" s="7" t="inlineStr">
        <is>
          <t>Cohort signed in month 17</t>
        </is>
      </c>
      <c r="C177" s="5" t="inlineStr">
        <is>
          <t>institutes</t>
        </is>
      </c>
      <c r="U177" s="53">
        <f>U123</f>
        <v/>
      </c>
      <c r="V177" s="53">
        <f>U177*(1-$D$70)*(1-IF(AND(1&gt;=$D$48,INDEX(Season_Flag,U$113)=1),$D$71,0))</f>
        <v/>
      </c>
      <c r="W177" s="53">
        <f>V177*(1-$D$70)*(1-IF(AND(2&gt;=$D$48,INDEX(Season_Flag,V$113)=1),$D$71,0))</f>
        <v/>
      </c>
      <c r="X177" s="53">
        <f>W177*(1-$D$70)*(1-IF(AND(3&gt;=$D$48,INDEX(Season_Flag,W$113)=1),$D$71,0))</f>
        <v/>
      </c>
      <c r="Y177" s="53">
        <f>X177*(1-$D$70)*(1-IF(AND(4&gt;=$D$48,INDEX(Season_Flag,X$113)=1),$D$71,0))</f>
        <v/>
      </c>
      <c r="Z177" s="53">
        <f>Y177*(1-$D$70)*(1-IF(AND(5&gt;=$D$48,INDEX(Season_Flag,Y$113)=1),$D$71,0))</f>
        <v/>
      </c>
      <c r="AA177" s="53">
        <f>Z177*(1-$D$70)*(1-IF(AND(6&gt;=$D$48,INDEX(Season_Flag,Z$113)=1),$D$71,0))</f>
        <v/>
      </c>
      <c r="AB177" s="53">
        <f>AA177*(1-$D$70)*(1-IF(AND(7&gt;=$D$48,INDEX(Season_Flag,AA$113)=1),$D$71,0))</f>
        <v/>
      </c>
      <c r="AC177" s="53">
        <f>AB177*(1-$D$70)*(1-IF(AND(8&gt;=$D$48,INDEX(Season_Flag,AB$113)=1),$D$71,0))</f>
        <v/>
      </c>
      <c r="AD177" s="53">
        <f>AC177*(1-$D$70)*(1-IF(AND(9&gt;=$D$48,INDEX(Season_Flag,AC$113)=1),$D$71,0))</f>
        <v/>
      </c>
      <c r="AE177" s="53">
        <f>AD177*(1-$D$70)*(1-IF(AND(10&gt;=$D$48,INDEX(Season_Flag,AD$113)=1),$D$71,0))</f>
        <v/>
      </c>
      <c r="AF177" s="53">
        <f>AE177*(1-$D$70)*(1-IF(AND(11&gt;=$D$48,INDEX(Season_Flag,AE$113)=1),$D$71,0))</f>
        <v/>
      </c>
      <c r="AG177" s="53">
        <f>AF177*(1-$D$70)*(1-IF(AND(12&gt;=$D$48,INDEX(Season_Flag,AF$113)=1),$D$71,0))</f>
        <v/>
      </c>
      <c r="AH177" s="53">
        <f>AG177*(1-$D$70)*(1-IF(AND(13&gt;=$D$48,INDEX(Season_Flag,AG$113)=1),$D$71,0))</f>
        <v/>
      </c>
      <c r="AI177" s="53">
        <f>AH177*(1-$D$70)*(1-IF(AND(14&gt;=$D$48,INDEX(Season_Flag,AH$113)=1),$D$71,0))</f>
        <v/>
      </c>
      <c r="AJ177" s="53">
        <f>AI177*(1-$D$70)*(1-IF(AND(15&gt;=$D$48,INDEX(Season_Flag,AI$113)=1),$D$71,0))</f>
        <v/>
      </c>
      <c r="AK177" s="53">
        <f>AJ177*(1-$D$70)*(1-IF(AND(16&gt;=$D$48,INDEX(Season_Flag,AJ$113)=1),$D$71,0))</f>
        <v/>
      </c>
      <c r="AL177" s="53">
        <f>AK177*(1-$D$70)*(1-IF(AND(17&gt;=$D$48,INDEX(Season_Flag,AK$113)=1),$D$71,0))</f>
        <v/>
      </c>
      <c r="AM177" s="53">
        <f>AL177*(1-$D$70)*(1-IF(AND(18&gt;=$D$48,INDEX(Season_Flag,AL$113)=1),$D$71,0))</f>
        <v/>
      </c>
      <c r="AN177" s="53">
        <f>AM177*(1-$D$70)*(1-IF(AND(19&gt;=$D$48,INDEX(Season_Flag,AM$113)=1),$D$71,0))</f>
        <v/>
      </c>
    </row>
    <row r="178">
      <c r="B178" s="7" t="inlineStr">
        <is>
          <t>Cohort signed in month 18</t>
        </is>
      </c>
      <c r="C178" s="5" t="inlineStr">
        <is>
          <t>institutes</t>
        </is>
      </c>
      <c r="V178" s="53">
        <f>V123</f>
        <v/>
      </c>
      <c r="W178" s="53">
        <f>V178*(1-$D$70)*(1-IF(AND(1&gt;=$D$48,INDEX(Season_Flag,V$113)=1),$D$71,0))</f>
        <v/>
      </c>
      <c r="X178" s="53">
        <f>W178*(1-$D$70)*(1-IF(AND(2&gt;=$D$48,INDEX(Season_Flag,W$113)=1),$D$71,0))</f>
        <v/>
      </c>
      <c r="Y178" s="53">
        <f>X178*(1-$D$70)*(1-IF(AND(3&gt;=$D$48,INDEX(Season_Flag,X$113)=1),$D$71,0))</f>
        <v/>
      </c>
      <c r="Z178" s="53">
        <f>Y178*(1-$D$70)*(1-IF(AND(4&gt;=$D$48,INDEX(Season_Flag,Y$113)=1),$D$71,0))</f>
        <v/>
      </c>
      <c r="AA178" s="53">
        <f>Z178*(1-$D$70)*(1-IF(AND(5&gt;=$D$48,INDEX(Season_Flag,Z$113)=1),$D$71,0))</f>
        <v/>
      </c>
      <c r="AB178" s="53">
        <f>AA178*(1-$D$70)*(1-IF(AND(6&gt;=$D$48,INDEX(Season_Flag,AA$113)=1),$D$71,0))</f>
        <v/>
      </c>
      <c r="AC178" s="53">
        <f>AB178*(1-$D$70)*(1-IF(AND(7&gt;=$D$48,INDEX(Season_Flag,AB$113)=1),$D$71,0))</f>
        <v/>
      </c>
      <c r="AD178" s="53">
        <f>AC178*(1-$D$70)*(1-IF(AND(8&gt;=$D$48,INDEX(Season_Flag,AC$113)=1),$D$71,0))</f>
        <v/>
      </c>
      <c r="AE178" s="53">
        <f>AD178*(1-$D$70)*(1-IF(AND(9&gt;=$D$48,INDEX(Season_Flag,AD$113)=1),$D$71,0))</f>
        <v/>
      </c>
      <c r="AF178" s="53">
        <f>AE178*(1-$D$70)*(1-IF(AND(10&gt;=$D$48,INDEX(Season_Flag,AE$113)=1),$D$71,0))</f>
        <v/>
      </c>
      <c r="AG178" s="53">
        <f>AF178*(1-$D$70)*(1-IF(AND(11&gt;=$D$48,INDEX(Season_Flag,AF$113)=1),$D$71,0))</f>
        <v/>
      </c>
      <c r="AH178" s="53">
        <f>AG178*(1-$D$70)*(1-IF(AND(12&gt;=$D$48,INDEX(Season_Flag,AG$113)=1),$D$71,0))</f>
        <v/>
      </c>
      <c r="AI178" s="53">
        <f>AH178*(1-$D$70)*(1-IF(AND(13&gt;=$D$48,INDEX(Season_Flag,AH$113)=1),$D$71,0))</f>
        <v/>
      </c>
      <c r="AJ178" s="53">
        <f>AI178*(1-$D$70)*(1-IF(AND(14&gt;=$D$48,INDEX(Season_Flag,AI$113)=1),$D$71,0))</f>
        <v/>
      </c>
      <c r="AK178" s="53">
        <f>AJ178*(1-$D$70)*(1-IF(AND(15&gt;=$D$48,INDEX(Season_Flag,AJ$113)=1),$D$71,0))</f>
        <v/>
      </c>
      <c r="AL178" s="53">
        <f>AK178*(1-$D$70)*(1-IF(AND(16&gt;=$D$48,INDEX(Season_Flag,AK$113)=1),$D$71,0))</f>
        <v/>
      </c>
      <c r="AM178" s="53">
        <f>AL178*(1-$D$70)*(1-IF(AND(17&gt;=$D$48,INDEX(Season_Flag,AL$113)=1),$D$71,0))</f>
        <v/>
      </c>
      <c r="AN178" s="53">
        <f>AM178*(1-$D$70)*(1-IF(AND(18&gt;=$D$48,INDEX(Season_Flag,AM$113)=1),$D$71,0))</f>
        <v/>
      </c>
    </row>
    <row r="179">
      <c r="B179" s="7" t="inlineStr">
        <is>
          <t>Cohort signed in month 19</t>
        </is>
      </c>
      <c r="C179" s="5" t="inlineStr">
        <is>
          <t>institutes</t>
        </is>
      </c>
      <c r="W179" s="53">
        <f>W123</f>
        <v/>
      </c>
      <c r="X179" s="53">
        <f>W179*(1-$D$70)*(1-IF(AND(1&gt;=$D$48,INDEX(Season_Flag,W$113)=1),$D$71,0))</f>
        <v/>
      </c>
      <c r="Y179" s="53">
        <f>X179*(1-$D$70)*(1-IF(AND(2&gt;=$D$48,INDEX(Season_Flag,X$113)=1),$D$71,0))</f>
        <v/>
      </c>
      <c r="Z179" s="53">
        <f>Y179*(1-$D$70)*(1-IF(AND(3&gt;=$D$48,INDEX(Season_Flag,Y$113)=1),$D$71,0))</f>
        <v/>
      </c>
      <c r="AA179" s="53">
        <f>Z179*(1-$D$70)*(1-IF(AND(4&gt;=$D$48,INDEX(Season_Flag,Z$113)=1),$D$71,0))</f>
        <v/>
      </c>
      <c r="AB179" s="53">
        <f>AA179*(1-$D$70)*(1-IF(AND(5&gt;=$D$48,INDEX(Season_Flag,AA$113)=1),$D$71,0))</f>
        <v/>
      </c>
      <c r="AC179" s="53">
        <f>AB179*(1-$D$70)*(1-IF(AND(6&gt;=$D$48,INDEX(Season_Flag,AB$113)=1),$D$71,0))</f>
        <v/>
      </c>
      <c r="AD179" s="53">
        <f>AC179*(1-$D$70)*(1-IF(AND(7&gt;=$D$48,INDEX(Season_Flag,AC$113)=1),$D$71,0))</f>
        <v/>
      </c>
      <c r="AE179" s="53">
        <f>AD179*(1-$D$70)*(1-IF(AND(8&gt;=$D$48,INDEX(Season_Flag,AD$113)=1),$D$71,0))</f>
        <v/>
      </c>
      <c r="AF179" s="53">
        <f>AE179*(1-$D$70)*(1-IF(AND(9&gt;=$D$48,INDEX(Season_Flag,AE$113)=1),$D$71,0))</f>
        <v/>
      </c>
      <c r="AG179" s="53">
        <f>AF179*(1-$D$70)*(1-IF(AND(10&gt;=$D$48,INDEX(Season_Flag,AF$113)=1),$D$71,0))</f>
        <v/>
      </c>
      <c r="AH179" s="53">
        <f>AG179*(1-$D$70)*(1-IF(AND(11&gt;=$D$48,INDEX(Season_Flag,AG$113)=1),$D$71,0))</f>
        <v/>
      </c>
      <c r="AI179" s="53">
        <f>AH179*(1-$D$70)*(1-IF(AND(12&gt;=$D$48,INDEX(Season_Flag,AH$113)=1),$D$71,0))</f>
        <v/>
      </c>
      <c r="AJ179" s="53">
        <f>AI179*(1-$D$70)*(1-IF(AND(13&gt;=$D$48,INDEX(Season_Flag,AI$113)=1),$D$71,0))</f>
        <v/>
      </c>
      <c r="AK179" s="53">
        <f>AJ179*(1-$D$70)*(1-IF(AND(14&gt;=$D$48,INDEX(Season_Flag,AJ$113)=1),$D$71,0))</f>
        <v/>
      </c>
      <c r="AL179" s="53">
        <f>AK179*(1-$D$70)*(1-IF(AND(15&gt;=$D$48,INDEX(Season_Flag,AK$113)=1),$D$71,0))</f>
        <v/>
      </c>
      <c r="AM179" s="53">
        <f>AL179*(1-$D$70)*(1-IF(AND(16&gt;=$D$48,INDEX(Season_Flag,AL$113)=1),$D$71,0))</f>
        <v/>
      </c>
      <c r="AN179" s="53">
        <f>AM179*(1-$D$70)*(1-IF(AND(17&gt;=$D$48,INDEX(Season_Flag,AM$113)=1),$D$71,0))</f>
        <v/>
      </c>
    </row>
    <row r="180">
      <c r="B180" s="7" t="inlineStr">
        <is>
          <t>Cohort signed in month 20</t>
        </is>
      </c>
      <c r="C180" s="5" t="inlineStr">
        <is>
          <t>institutes</t>
        </is>
      </c>
      <c r="X180" s="53">
        <f>X123</f>
        <v/>
      </c>
      <c r="Y180" s="53">
        <f>X180*(1-$D$70)*(1-IF(AND(1&gt;=$D$48,INDEX(Season_Flag,X$113)=1),$D$71,0))</f>
        <v/>
      </c>
      <c r="Z180" s="53">
        <f>Y180*(1-$D$70)*(1-IF(AND(2&gt;=$D$48,INDEX(Season_Flag,Y$113)=1),$D$71,0))</f>
        <v/>
      </c>
      <c r="AA180" s="53">
        <f>Z180*(1-$D$70)*(1-IF(AND(3&gt;=$D$48,INDEX(Season_Flag,Z$113)=1),$D$71,0))</f>
        <v/>
      </c>
      <c r="AB180" s="53">
        <f>AA180*(1-$D$70)*(1-IF(AND(4&gt;=$D$48,INDEX(Season_Flag,AA$113)=1),$D$71,0))</f>
        <v/>
      </c>
      <c r="AC180" s="53">
        <f>AB180*(1-$D$70)*(1-IF(AND(5&gt;=$D$48,INDEX(Season_Flag,AB$113)=1),$D$71,0))</f>
        <v/>
      </c>
      <c r="AD180" s="53">
        <f>AC180*(1-$D$70)*(1-IF(AND(6&gt;=$D$48,INDEX(Season_Flag,AC$113)=1),$D$71,0))</f>
        <v/>
      </c>
      <c r="AE180" s="53">
        <f>AD180*(1-$D$70)*(1-IF(AND(7&gt;=$D$48,INDEX(Season_Flag,AD$113)=1),$D$71,0))</f>
        <v/>
      </c>
      <c r="AF180" s="53">
        <f>AE180*(1-$D$70)*(1-IF(AND(8&gt;=$D$48,INDEX(Season_Flag,AE$113)=1),$D$71,0))</f>
        <v/>
      </c>
      <c r="AG180" s="53">
        <f>AF180*(1-$D$70)*(1-IF(AND(9&gt;=$D$48,INDEX(Season_Flag,AF$113)=1),$D$71,0))</f>
        <v/>
      </c>
      <c r="AH180" s="53">
        <f>AG180*(1-$D$70)*(1-IF(AND(10&gt;=$D$48,INDEX(Season_Flag,AG$113)=1),$D$71,0))</f>
        <v/>
      </c>
      <c r="AI180" s="53">
        <f>AH180*(1-$D$70)*(1-IF(AND(11&gt;=$D$48,INDEX(Season_Flag,AH$113)=1),$D$71,0))</f>
        <v/>
      </c>
      <c r="AJ180" s="53">
        <f>AI180*(1-$D$70)*(1-IF(AND(12&gt;=$D$48,INDEX(Season_Flag,AI$113)=1),$D$71,0))</f>
        <v/>
      </c>
      <c r="AK180" s="53">
        <f>AJ180*(1-$D$70)*(1-IF(AND(13&gt;=$D$48,INDEX(Season_Flag,AJ$113)=1),$D$71,0))</f>
        <v/>
      </c>
      <c r="AL180" s="53">
        <f>AK180*(1-$D$70)*(1-IF(AND(14&gt;=$D$48,INDEX(Season_Flag,AK$113)=1),$D$71,0))</f>
        <v/>
      </c>
      <c r="AM180" s="53">
        <f>AL180*(1-$D$70)*(1-IF(AND(15&gt;=$D$48,INDEX(Season_Flag,AL$113)=1),$D$71,0))</f>
        <v/>
      </c>
      <c r="AN180" s="53">
        <f>AM180*(1-$D$70)*(1-IF(AND(16&gt;=$D$48,INDEX(Season_Flag,AM$113)=1),$D$71,0))</f>
        <v/>
      </c>
    </row>
    <row r="181">
      <c r="B181" s="7" t="inlineStr">
        <is>
          <t>Cohort signed in month 21</t>
        </is>
      </c>
      <c r="C181" s="5" t="inlineStr">
        <is>
          <t>institutes</t>
        </is>
      </c>
      <c r="Y181" s="53">
        <f>Y123</f>
        <v/>
      </c>
      <c r="Z181" s="53">
        <f>Y181*(1-$D$70)*(1-IF(AND(1&gt;=$D$48,INDEX(Season_Flag,Y$113)=1),$D$71,0))</f>
        <v/>
      </c>
      <c r="AA181" s="53">
        <f>Z181*(1-$D$70)*(1-IF(AND(2&gt;=$D$48,INDEX(Season_Flag,Z$113)=1),$D$71,0))</f>
        <v/>
      </c>
      <c r="AB181" s="53">
        <f>AA181*(1-$D$70)*(1-IF(AND(3&gt;=$D$48,INDEX(Season_Flag,AA$113)=1),$D$71,0))</f>
        <v/>
      </c>
      <c r="AC181" s="53">
        <f>AB181*(1-$D$70)*(1-IF(AND(4&gt;=$D$48,INDEX(Season_Flag,AB$113)=1),$D$71,0))</f>
        <v/>
      </c>
      <c r="AD181" s="53">
        <f>AC181*(1-$D$70)*(1-IF(AND(5&gt;=$D$48,INDEX(Season_Flag,AC$113)=1),$D$71,0))</f>
        <v/>
      </c>
      <c r="AE181" s="53">
        <f>AD181*(1-$D$70)*(1-IF(AND(6&gt;=$D$48,INDEX(Season_Flag,AD$113)=1),$D$71,0))</f>
        <v/>
      </c>
      <c r="AF181" s="53">
        <f>AE181*(1-$D$70)*(1-IF(AND(7&gt;=$D$48,INDEX(Season_Flag,AE$113)=1),$D$71,0))</f>
        <v/>
      </c>
      <c r="AG181" s="53">
        <f>AF181*(1-$D$70)*(1-IF(AND(8&gt;=$D$48,INDEX(Season_Flag,AF$113)=1),$D$71,0))</f>
        <v/>
      </c>
      <c r="AH181" s="53">
        <f>AG181*(1-$D$70)*(1-IF(AND(9&gt;=$D$48,INDEX(Season_Flag,AG$113)=1),$D$71,0))</f>
        <v/>
      </c>
      <c r="AI181" s="53">
        <f>AH181*(1-$D$70)*(1-IF(AND(10&gt;=$D$48,INDEX(Season_Flag,AH$113)=1),$D$71,0))</f>
        <v/>
      </c>
      <c r="AJ181" s="53">
        <f>AI181*(1-$D$70)*(1-IF(AND(11&gt;=$D$48,INDEX(Season_Flag,AI$113)=1),$D$71,0))</f>
        <v/>
      </c>
      <c r="AK181" s="53">
        <f>AJ181*(1-$D$70)*(1-IF(AND(12&gt;=$D$48,INDEX(Season_Flag,AJ$113)=1),$D$71,0))</f>
        <v/>
      </c>
      <c r="AL181" s="53">
        <f>AK181*(1-$D$70)*(1-IF(AND(13&gt;=$D$48,INDEX(Season_Flag,AK$113)=1),$D$71,0))</f>
        <v/>
      </c>
      <c r="AM181" s="53">
        <f>AL181*(1-$D$70)*(1-IF(AND(14&gt;=$D$48,INDEX(Season_Flag,AL$113)=1),$D$71,0))</f>
        <v/>
      </c>
      <c r="AN181" s="53">
        <f>AM181*(1-$D$70)*(1-IF(AND(15&gt;=$D$48,INDEX(Season_Flag,AM$113)=1),$D$71,0))</f>
        <v/>
      </c>
    </row>
    <row r="182">
      <c r="B182" s="7" t="inlineStr">
        <is>
          <t>Cohort signed in month 22</t>
        </is>
      </c>
      <c r="C182" s="5" t="inlineStr">
        <is>
          <t>institutes</t>
        </is>
      </c>
      <c r="Z182" s="53">
        <f>Z123</f>
        <v/>
      </c>
      <c r="AA182" s="53">
        <f>Z182*(1-$D$70)*(1-IF(AND(1&gt;=$D$48,INDEX(Season_Flag,Z$113)=1),$D$71,0))</f>
        <v/>
      </c>
      <c r="AB182" s="53">
        <f>AA182*(1-$D$70)*(1-IF(AND(2&gt;=$D$48,INDEX(Season_Flag,AA$113)=1),$D$71,0))</f>
        <v/>
      </c>
      <c r="AC182" s="53">
        <f>AB182*(1-$D$70)*(1-IF(AND(3&gt;=$D$48,INDEX(Season_Flag,AB$113)=1),$D$71,0))</f>
        <v/>
      </c>
      <c r="AD182" s="53">
        <f>AC182*(1-$D$70)*(1-IF(AND(4&gt;=$D$48,INDEX(Season_Flag,AC$113)=1),$D$71,0))</f>
        <v/>
      </c>
      <c r="AE182" s="53">
        <f>AD182*(1-$D$70)*(1-IF(AND(5&gt;=$D$48,INDEX(Season_Flag,AD$113)=1),$D$71,0))</f>
        <v/>
      </c>
      <c r="AF182" s="53">
        <f>AE182*(1-$D$70)*(1-IF(AND(6&gt;=$D$48,INDEX(Season_Flag,AE$113)=1),$D$71,0))</f>
        <v/>
      </c>
      <c r="AG182" s="53">
        <f>AF182*(1-$D$70)*(1-IF(AND(7&gt;=$D$48,INDEX(Season_Flag,AF$113)=1),$D$71,0))</f>
        <v/>
      </c>
      <c r="AH182" s="53">
        <f>AG182*(1-$D$70)*(1-IF(AND(8&gt;=$D$48,INDEX(Season_Flag,AG$113)=1),$D$71,0))</f>
        <v/>
      </c>
      <c r="AI182" s="53">
        <f>AH182*(1-$D$70)*(1-IF(AND(9&gt;=$D$48,INDEX(Season_Flag,AH$113)=1),$D$71,0))</f>
        <v/>
      </c>
      <c r="AJ182" s="53">
        <f>AI182*(1-$D$70)*(1-IF(AND(10&gt;=$D$48,INDEX(Season_Flag,AI$113)=1),$D$71,0))</f>
        <v/>
      </c>
      <c r="AK182" s="53">
        <f>AJ182*(1-$D$70)*(1-IF(AND(11&gt;=$D$48,INDEX(Season_Flag,AJ$113)=1),$D$71,0))</f>
        <v/>
      </c>
      <c r="AL182" s="53">
        <f>AK182*(1-$D$70)*(1-IF(AND(12&gt;=$D$48,INDEX(Season_Flag,AK$113)=1),$D$71,0))</f>
        <v/>
      </c>
      <c r="AM182" s="53">
        <f>AL182*(1-$D$70)*(1-IF(AND(13&gt;=$D$48,INDEX(Season_Flag,AL$113)=1),$D$71,0))</f>
        <v/>
      </c>
      <c r="AN182" s="53">
        <f>AM182*(1-$D$70)*(1-IF(AND(14&gt;=$D$48,INDEX(Season_Flag,AM$113)=1),$D$71,0))</f>
        <v/>
      </c>
    </row>
    <row r="183">
      <c r="B183" s="7" t="inlineStr">
        <is>
          <t>Cohort signed in month 23</t>
        </is>
      </c>
      <c r="C183" s="5" t="inlineStr">
        <is>
          <t>institutes</t>
        </is>
      </c>
      <c r="AA183" s="53">
        <f>AA123</f>
        <v/>
      </c>
      <c r="AB183" s="53">
        <f>AA183*(1-$D$70)*(1-IF(AND(1&gt;=$D$48,INDEX(Season_Flag,AA$113)=1),$D$71,0))</f>
        <v/>
      </c>
      <c r="AC183" s="53">
        <f>AB183*(1-$D$70)*(1-IF(AND(2&gt;=$D$48,INDEX(Season_Flag,AB$113)=1),$D$71,0))</f>
        <v/>
      </c>
      <c r="AD183" s="53">
        <f>AC183*(1-$D$70)*(1-IF(AND(3&gt;=$D$48,INDEX(Season_Flag,AC$113)=1),$D$71,0))</f>
        <v/>
      </c>
      <c r="AE183" s="53">
        <f>AD183*(1-$D$70)*(1-IF(AND(4&gt;=$D$48,INDEX(Season_Flag,AD$113)=1),$D$71,0))</f>
        <v/>
      </c>
      <c r="AF183" s="53">
        <f>AE183*(1-$D$70)*(1-IF(AND(5&gt;=$D$48,INDEX(Season_Flag,AE$113)=1),$D$71,0))</f>
        <v/>
      </c>
      <c r="AG183" s="53">
        <f>AF183*(1-$D$70)*(1-IF(AND(6&gt;=$D$48,INDEX(Season_Flag,AF$113)=1),$D$71,0))</f>
        <v/>
      </c>
      <c r="AH183" s="53">
        <f>AG183*(1-$D$70)*(1-IF(AND(7&gt;=$D$48,INDEX(Season_Flag,AG$113)=1),$D$71,0))</f>
        <v/>
      </c>
      <c r="AI183" s="53">
        <f>AH183*(1-$D$70)*(1-IF(AND(8&gt;=$D$48,INDEX(Season_Flag,AH$113)=1),$D$71,0))</f>
        <v/>
      </c>
      <c r="AJ183" s="53">
        <f>AI183*(1-$D$70)*(1-IF(AND(9&gt;=$D$48,INDEX(Season_Flag,AI$113)=1),$D$71,0))</f>
        <v/>
      </c>
      <c r="AK183" s="53">
        <f>AJ183*(1-$D$70)*(1-IF(AND(10&gt;=$D$48,INDEX(Season_Flag,AJ$113)=1),$D$71,0))</f>
        <v/>
      </c>
      <c r="AL183" s="53">
        <f>AK183*(1-$D$70)*(1-IF(AND(11&gt;=$D$48,INDEX(Season_Flag,AK$113)=1),$D$71,0))</f>
        <v/>
      </c>
      <c r="AM183" s="53">
        <f>AL183*(1-$D$70)*(1-IF(AND(12&gt;=$D$48,INDEX(Season_Flag,AL$113)=1),$D$71,0))</f>
        <v/>
      </c>
      <c r="AN183" s="53">
        <f>AM183*(1-$D$70)*(1-IF(AND(13&gt;=$D$48,INDEX(Season_Flag,AM$113)=1),$D$71,0))</f>
        <v/>
      </c>
    </row>
    <row r="184">
      <c r="B184" s="7" t="inlineStr">
        <is>
          <t>Cohort signed in month 24</t>
        </is>
      </c>
      <c r="C184" s="5" t="inlineStr">
        <is>
          <t>institutes</t>
        </is>
      </c>
      <c r="AB184" s="53">
        <f>AB123</f>
        <v/>
      </c>
      <c r="AC184" s="53">
        <f>AB184*(1-$D$70)*(1-IF(AND(1&gt;=$D$48,INDEX(Season_Flag,AB$113)=1),$D$71,0))</f>
        <v/>
      </c>
      <c r="AD184" s="53">
        <f>AC184*(1-$D$70)*(1-IF(AND(2&gt;=$D$48,INDEX(Season_Flag,AC$113)=1),$D$71,0))</f>
        <v/>
      </c>
      <c r="AE184" s="53">
        <f>AD184*(1-$D$70)*(1-IF(AND(3&gt;=$D$48,INDEX(Season_Flag,AD$113)=1),$D$71,0))</f>
        <v/>
      </c>
      <c r="AF184" s="53">
        <f>AE184*(1-$D$70)*(1-IF(AND(4&gt;=$D$48,INDEX(Season_Flag,AE$113)=1),$D$71,0))</f>
        <v/>
      </c>
      <c r="AG184" s="53">
        <f>AF184*(1-$D$70)*(1-IF(AND(5&gt;=$D$48,INDEX(Season_Flag,AF$113)=1),$D$71,0))</f>
        <v/>
      </c>
      <c r="AH184" s="53">
        <f>AG184*(1-$D$70)*(1-IF(AND(6&gt;=$D$48,INDEX(Season_Flag,AG$113)=1),$D$71,0))</f>
        <v/>
      </c>
      <c r="AI184" s="53">
        <f>AH184*(1-$D$70)*(1-IF(AND(7&gt;=$D$48,INDEX(Season_Flag,AH$113)=1),$D$71,0))</f>
        <v/>
      </c>
      <c r="AJ184" s="53">
        <f>AI184*(1-$D$70)*(1-IF(AND(8&gt;=$D$48,INDEX(Season_Flag,AI$113)=1),$D$71,0))</f>
        <v/>
      </c>
      <c r="AK184" s="53">
        <f>AJ184*(1-$D$70)*(1-IF(AND(9&gt;=$D$48,INDEX(Season_Flag,AJ$113)=1),$D$71,0))</f>
        <v/>
      </c>
      <c r="AL184" s="53">
        <f>AK184*(1-$D$70)*(1-IF(AND(10&gt;=$D$48,INDEX(Season_Flag,AK$113)=1),$D$71,0))</f>
        <v/>
      </c>
      <c r="AM184" s="53">
        <f>AL184*(1-$D$70)*(1-IF(AND(11&gt;=$D$48,INDEX(Season_Flag,AL$113)=1),$D$71,0))</f>
        <v/>
      </c>
      <c r="AN184" s="53">
        <f>AM184*(1-$D$70)*(1-IF(AND(12&gt;=$D$48,INDEX(Season_Flag,AM$113)=1),$D$71,0))</f>
        <v/>
      </c>
    </row>
    <row r="185">
      <c r="B185" s="7" t="inlineStr">
        <is>
          <t>Cohort signed in month 25</t>
        </is>
      </c>
      <c r="C185" s="5" t="inlineStr">
        <is>
          <t>institutes</t>
        </is>
      </c>
      <c r="AC185" s="53">
        <f>AC123</f>
        <v/>
      </c>
      <c r="AD185" s="53">
        <f>AC185*(1-$D$70)*(1-IF(AND(1&gt;=$D$48,INDEX(Season_Flag,AC$113)=1),$D$71,0))</f>
        <v/>
      </c>
      <c r="AE185" s="53">
        <f>AD185*(1-$D$70)*(1-IF(AND(2&gt;=$D$48,INDEX(Season_Flag,AD$113)=1),$D$71,0))</f>
        <v/>
      </c>
      <c r="AF185" s="53">
        <f>AE185*(1-$D$70)*(1-IF(AND(3&gt;=$D$48,INDEX(Season_Flag,AE$113)=1),$D$71,0))</f>
        <v/>
      </c>
      <c r="AG185" s="53">
        <f>AF185*(1-$D$70)*(1-IF(AND(4&gt;=$D$48,INDEX(Season_Flag,AF$113)=1),$D$71,0))</f>
        <v/>
      </c>
      <c r="AH185" s="53">
        <f>AG185*(1-$D$70)*(1-IF(AND(5&gt;=$D$48,INDEX(Season_Flag,AG$113)=1),$D$71,0))</f>
        <v/>
      </c>
      <c r="AI185" s="53">
        <f>AH185*(1-$D$70)*(1-IF(AND(6&gt;=$D$48,INDEX(Season_Flag,AH$113)=1),$D$71,0))</f>
        <v/>
      </c>
      <c r="AJ185" s="53">
        <f>AI185*(1-$D$70)*(1-IF(AND(7&gt;=$D$48,INDEX(Season_Flag,AI$113)=1),$D$71,0))</f>
        <v/>
      </c>
      <c r="AK185" s="53">
        <f>AJ185*(1-$D$70)*(1-IF(AND(8&gt;=$D$48,INDEX(Season_Flag,AJ$113)=1),$D$71,0))</f>
        <v/>
      </c>
      <c r="AL185" s="53">
        <f>AK185*(1-$D$70)*(1-IF(AND(9&gt;=$D$48,INDEX(Season_Flag,AK$113)=1),$D$71,0))</f>
        <v/>
      </c>
      <c r="AM185" s="53">
        <f>AL185*(1-$D$70)*(1-IF(AND(10&gt;=$D$48,INDEX(Season_Flag,AL$113)=1),$D$71,0))</f>
        <v/>
      </c>
      <c r="AN185" s="53">
        <f>AM185*(1-$D$70)*(1-IF(AND(11&gt;=$D$48,INDEX(Season_Flag,AM$113)=1),$D$71,0))</f>
        <v/>
      </c>
    </row>
    <row r="186">
      <c r="B186" s="7" t="inlineStr">
        <is>
          <t>Cohort signed in month 26</t>
        </is>
      </c>
      <c r="C186" s="5" t="inlineStr">
        <is>
          <t>institutes</t>
        </is>
      </c>
      <c r="AD186" s="53">
        <f>AD123</f>
        <v/>
      </c>
      <c r="AE186" s="53">
        <f>AD186*(1-$D$70)*(1-IF(AND(1&gt;=$D$48,INDEX(Season_Flag,AD$113)=1),$D$71,0))</f>
        <v/>
      </c>
      <c r="AF186" s="53">
        <f>AE186*(1-$D$70)*(1-IF(AND(2&gt;=$D$48,INDEX(Season_Flag,AE$113)=1),$D$71,0))</f>
        <v/>
      </c>
      <c r="AG186" s="53">
        <f>AF186*(1-$D$70)*(1-IF(AND(3&gt;=$D$48,INDEX(Season_Flag,AF$113)=1),$D$71,0))</f>
        <v/>
      </c>
      <c r="AH186" s="53">
        <f>AG186*(1-$D$70)*(1-IF(AND(4&gt;=$D$48,INDEX(Season_Flag,AG$113)=1),$D$71,0))</f>
        <v/>
      </c>
      <c r="AI186" s="53">
        <f>AH186*(1-$D$70)*(1-IF(AND(5&gt;=$D$48,INDEX(Season_Flag,AH$113)=1),$D$71,0))</f>
        <v/>
      </c>
      <c r="AJ186" s="53">
        <f>AI186*(1-$D$70)*(1-IF(AND(6&gt;=$D$48,INDEX(Season_Flag,AI$113)=1),$D$71,0))</f>
        <v/>
      </c>
      <c r="AK186" s="53">
        <f>AJ186*(1-$D$70)*(1-IF(AND(7&gt;=$D$48,INDEX(Season_Flag,AJ$113)=1),$D$71,0))</f>
        <v/>
      </c>
      <c r="AL186" s="53">
        <f>AK186*(1-$D$70)*(1-IF(AND(8&gt;=$D$48,INDEX(Season_Flag,AK$113)=1),$D$71,0))</f>
        <v/>
      </c>
      <c r="AM186" s="53">
        <f>AL186*(1-$D$70)*(1-IF(AND(9&gt;=$D$48,INDEX(Season_Flag,AL$113)=1),$D$71,0))</f>
        <v/>
      </c>
      <c r="AN186" s="53">
        <f>AM186*(1-$D$70)*(1-IF(AND(10&gt;=$D$48,INDEX(Season_Flag,AM$113)=1),$D$71,0))</f>
        <v/>
      </c>
    </row>
    <row r="187">
      <c r="B187" s="7" t="inlineStr">
        <is>
          <t>Cohort signed in month 27</t>
        </is>
      </c>
      <c r="C187" s="5" t="inlineStr">
        <is>
          <t>institutes</t>
        </is>
      </c>
      <c r="AE187" s="53">
        <f>AE123</f>
        <v/>
      </c>
      <c r="AF187" s="53">
        <f>AE187*(1-$D$70)*(1-IF(AND(1&gt;=$D$48,INDEX(Season_Flag,AE$113)=1),$D$71,0))</f>
        <v/>
      </c>
      <c r="AG187" s="53">
        <f>AF187*(1-$D$70)*(1-IF(AND(2&gt;=$D$48,INDEX(Season_Flag,AF$113)=1),$D$71,0))</f>
        <v/>
      </c>
      <c r="AH187" s="53">
        <f>AG187*(1-$D$70)*(1-IF(AND(3&gt;=$D$48,INDEX(Season_Flag,AG$113)=1),$D$71,0))</f>
        <v/>
      </c>
      <c r="AI187" s="53">
        <f>AH187*(1-$D$70)*(1-IF(AND(4&gt;=$D$48,INDEX(Season_Flag,AH$113)=1),$D$71,0))</f>
        <v/>
      </c>
      <c r="AJ187" s="53">
        <f>AI187*(1-$D$70)*(1-IF(AND(5&gt;=$D$48,INDEX(Season_Flag,AI$113)=1),$D$71,0))</f>
        <v/>
      </c>
      <c r="AK187" s="53">
        <f>AJ187*(1-$D$70)*(1-IF(AND(6&gt;=$D$48,INDEX(Season_Flag,AJ$113)=1),$D$71,0))</f>
        <v/>
      </c>
      <c r="AL187" s="53">
        <f>AK187*(1-$D$70)*(1-IF(AND(7&gt;=$D$48,INDEX(Season_Flag,AK$113)=1),$D$71,0))</f>
        <v/>
      </c>
      <c r="AM187" s="53">
        <f>AL187*(1-$D$70)*(1-IF(AND(8&gt;=$D$48,INDEX(Season_Flag,AL$113)=1),$D$71,0))</f>
        <v/>
      </c>
      <c r="AN187" s="53">
        <f>AM187*(1-$D$70)*(1-IF(AND(9&gt;=$D$48,INDEX(Season_Flag,AM$113)=1),$D$71,0))</f>
        <v/>
      </c>
    </row>
    <row r="188">
      <c r="B188" s="7" t="inlineStr">
        <is>
          <t>Cohort signed in month 28</t>
        </is>
      </c>
      <c r="C188" s="5" t="inlineStr">
        <is>
          <t>institutes</t>
        </is>
      </c>
      <c r="AF188" s="53">
        <f>AF123</f>
        <v/>
      </c>
      <c r="AG188" s="53">
        <f>AF188*(1-$D$70)*(1-IF(AND(1&gt;=$D$48,INDEX(Season_Flag,AF$113)=1),$D$71,0))</f>
        <v/>
      </c>
      <c r="AH188" s="53">
        <f>AG188*(1-$D$70)*(1-IF(AND(2&gt;=$D$48,INDEX(Season_Flag,AG$113)=1),$D$71,0))</f>
        <v/>
      </c>
      <c r="AI188" s="53">
        <f>AH188*(1-$D$70)*(1-IF(AND(3&gt;=$D$48,INDEX(Season_Flag,AH$113)=1),$D$71,0))</f>
        <v/>
      </c>
      <c r="AJ188" s="53">
        <f>AI188*(1-$D$70)*(1-IF(AND(4&gt;=$D$48,INDEX(Season_Flag,AI$113)=1),$D$71,0))</f>
        <v/>
      </c>
      <c r="AK188" s="53">
        <f>AJ188*(1-$D$70)*(1-IF(AND(5&gt;=$D$48,INDEX(Season_Flag,AJ$113)=1),$D$71,0))</f>
        <v/>
      </c>
      <c r="AL188" s="53">
        <f>AK188*(1-$D$70)*(1-IF(AND(6&gt;=$D$48,INDEX(Season_Flag,AK$113)=1),$D$71,0))</f>
        <v/>
      </c>
      <c r="AM188" s="53">
        <f>AL188*(1-$D$70)*(1-IF(AND(7&gt;=$D$48,INDEX(Season_Flag,AL$113)=1),$D$71,0))</f>
        <v/>
      </c>
      <c r="AN188" s="53">
        <f>AM188*(1-$D$70)*(1-IF(AND(8&gt;=$D$48,INDEX(Season_Flag,AM$113)=1),$D$71,0))</f>
        <v/>
      </c>
    </row>
    <row r="189">
      <c r="B189" s="7" t="inlineStr">
        <is>
          <t>Cohort signed in month 29</t>
        </is>
      </c>
      <c r="C189" s="5" t="inlineStr">
        <is>
          <t>institutes</t>
        </is>
      </c>
      <c r="AG189" s="53">
        <f>AG123</f>
        <v/>
      </c>
      <c r="AH189" s="53">
        <f>AG189*(1-$D$70)*(1-IF(AND(1&gt;=$D$48,INDEX(Season_Flag,AG$113)=1),$D$71,0))</f>
        <v/>
      </c>
      <c r="AI189" s="53">
        <f>AH189*(1-$D$70)*(1-IF(AND(2&gt;=$D$48,INDEX(Season_Flag,AH$113)=1),$D$71,0))</f>
        <v/>
      </c>
      <c r="AJ189" s="53">
        <f>AI189*(1-$D$70)*(1-IF(AND(3&gt;=$D$48,INDEX(Season_Flag,AI$113)=1),$D$71,0))</f>
        <v/>
      </c>
      <c r="AK189" s="53">
        <f>AJ189*(1-$D$70)*(1-IF(AND(4&gt;=$D$48,INDEX(Season_Flag,AJ$113)=1),$D$71,0))</f>
        <v/>
      </c>
      <c r="AL189" s="53">
        <f>AK189*(1-$D$70)*(1-IF(AND(5&gt;=$D$48,INDEX(Season_Flag,AK$113)=1),$D$71,0))</f>
        <v/>
      </c>
      <c r="AM189" s="53">
        <f>AL189*(1-$D$70)*(1-IF(AND(6&gt;=$D$48,INDEX(Season_Flag,AL$113)=1),$D$71,0))</f>
        <v/>
      </c>
      <c r="AN189" s="53">
        <f>AM189*(1-$D$70)*(1-IF(AND(7&gt;=$D$48,INDEX(Season_Flag,AM$113)=1),$D$71,0))</f>
        <v/>
      </c>
    </row>
    <row r="190">
      <c r="B190" s="7" t="inlineStr">
        <is>
          <t>Cohort signed in month 30</t>
        </is>
      </c>
      <c r="C190" s="5" t="inlineStr">
        <is>
          <t>institutes</t>
        </is>
      </c>
      <c r="AH190" s="53">
        <f>AH123</f>
        <v/>
      </c>
      <c r="AI190" s="53">
        <f>AH190*(1-$D$70)*(1-IF(AND(1&gt;=$D$48,INDEX(Season_Flag,AH$113)=1),$D$71,0))</f>
        <v/>
      </c>
      <c r="AJ190" s="53">
        <f>AI190*(1-$D$70)*(1-IF(AND(2&gt;=$D$48,INDEX(Season_Flag,AI$113)=1),$D$71,0))</f>
        <v/>
      </c>
      <c r="AK190" s="53">
        <f>AJ190*(1-$D$70)*(1-IF(AND(3&gt;=$D$48,INDEX(Season_Flag,AJ$113)=1),$D$71,0))</f>
        <v/>
      </c>
      <c r="AL190" s="53">
        <f>AK190*(1-$D$70)*(1-IF(AND(4&gt;=$D$48,INDEX(Season_Flag,AK$113)=1),$D$71,0))</f>
        <v/>
      </c>
      <c r="AM190" s="53">
        <f>AL190*(1-$D$70)*(1-IF(AND(5&gt;=$D$48,INDEX(Season_Flag,AL$113)=1),$D$71,0))</f>
        <v/>
      </c>
      <c r="AN190" s="53">
        <f>AM190*(1-$D$70)*(1-IF(AND(6&gt;=$D$48,INDEX(Season_Flag,AM$113)=1),$D$71,0))</f>
        <v/>
      </c>
    </row>
    <row r="191">
      <c r="B191" s="7" t="inlineStr">
        <is>
          <t>Cohort signed in month 31</t>
        </is>
      </c>
      <c r="C191" s="5" t="inlineStr">
        <is>
          <t>institutes</t>
        </is>
      </c>
      <c r="AI191" s="53">
        <f>AI123</f>
        <v/>
      </c>
      <c r="AJ191" s="53">
        <f>AI191*(1-$D$70)*(1-IF(AND(1&gt;=$D$48,INDEX(Season_Flag,AI$113)=1),$D$71,0))</f>
        <v/>
      </c>
      <c r="AK191" s="53">
        <f>AJ191*(1-$D$70)*(1-IF(AND(2&gt;=$D$48,INDEX(Season_Flag,AJ$113)=1),$D$71,0))</f>
        <v/>
      </c>
      <c r="AL191" s="53">
        <f>AK191*(1-$D$70)*(1-IF(AND(3&gt;=$D$48,INDEX(Season_Flag,AK$113)=1),$D$71,0))</f>
        <v/>
      </c>
      <c r="AM191" s="53">
        <f>AL191*(1-$D$70)*(1-IF(AND(4&gt;=$D$48,INDEX(Season_Flag,AL$113)=1),$D$71,0))</f>
        <v/>
      </c>
      <c r="AN191" s="53">
        <f>AM191*(1-$D$70)*(1-IF(AND(5&gt;=$D$48,INDEX(Season_Flag,AM$113)=1),$D$71,0))</f>
        <v/>
      </c>
    </row>
    <row r="192">
      <c r="B192" s="7" t="inlineStr">
        <is>
          <t>Cohort signed in month 32</t>
        </is>
      </c>
      <c r="C192" s="5" t="inlineStr">
        <is>
          <t>institutes</t>
        </is>
      </c>
      <c r="AJ192" s="53">
        <f>AJ123</f>
        <v/>
      </c>
      <c r="AK192" s="53">
        <f>AJ192*(1-$D$70)*(1-IF(AND(1&gt;=$D$48,INDEX(Season_Flag,AJ$113)=1),$D$71,0))</f>
        <v/>
      </c>
      <c r="AL192" s="53">
        <f>AK192*(1-$D$70)*(1-IF(AND(2&gt;=$D$48,INDEX(Season_Flag,AK$113)=1),$D$71,0))</f>
        <v/>
      </c>
      <c r="AM192" s="53">
        <f>AL192*(1-$D$70)*(1-IF(AND(3&gt;=$D$48,INDEX(Season_Flag,AL$113)=1),$D$71,0))</f>
        <v/>
      </c>
      <c r="AN192" s="53">
        <f>AM192*(1-$D$70)*(1-IF(AND(4&gt;=$D$48,INDEX(Season_Flag,AM$113)=1),$D$71,0))</f>
        <v/>
      </c>
    </row>
    <row r="193">
      <c r="B193" s="7" t="inlineStr">
        <is>
          <t>Cohort signed in month 33</t>
        </is>
      </c>
      <c r="C193" s="5" t="inlineStr">
        <is>
          <t>institutes</t>
        </is>
      </c>
      <c r="AK193" s="53">
        <f>AK123</f>
        <v/>
      </c>
      <c r="AL193" s="53">
        <f>AK193*(1-$D$70)*(1-IF(AND(1&gt;=$D$48,INDEX(Season_Flag,AK$113)=1),$D$71,0))</f>
        <v/>
      </c>
      <c r="AM193" s="53">
        <f>AL193*(1-$D$70)*(1-IF(AND(2&gt;=$D$48,INDEX(Season_Flag,AL$113)=1),$D$71,0))</f>
        <v/>
      </c>
      <c r="AN193" s="53">
        <f>AM193*(1-$D$70)*(1-IF(AND(3&gt;=$D$48,INDEX(Season_Flag,AM$113)=1),$D$71,0))</f>
        <v/>
      </c>
    </row>
    <row r="194">
      <c r="B194" s="7" t="inlineStr">
        <is>
          <t>Cohort signed in month 34</t>
        </is>
      </c>
      <c r="C194" s="5" t="inlineStr">
        <is>
          <t>institutes</t>
        </is>
      </c>
      <c r="AL194" s="53">
        <f>AL123</f>
        <v/>
      </c>
      <c r="AM194" s="53">
        <f>AL194*(1-$D$70)*(1-IF(AND(1&gt;=$D$48,INDEX(Season_Flag,AL$113)=1),$D$71,0))</f>
        <v/>
      </c>
      <c r="AN194" s="53">
        <f>AM194*(1-$D$70)*(1-IF(AND(2&gt;=$D$48,INDEX(Season_Flag,AM$113)=1),$D$71,0))</f>
        <v/>
      </c>
    </row>
    <row r="195">
      <c r="B195" s="7" t="inlineStr">
        <is>
          <t>Cohort signed in month 35</t>
        </is>
      </c>
      <c r="C195" s="5" t="inlineStr">
        <is>
          <t>institutes</t>
        </is>
      </c>
      <c r="AM195" s="53">
        <f>AM123</f>
        <v/>
      </c>
      <c r="AN195" s="53">
        <f>AM195*(1-$D$70)*(1-IF(AND(1&gt;=$D$48,INDEX(Season_Flag,AM$113)=1),$D$71,0))</f>
        <v/>
      </c>
    </row>
    <row r="196">
      <c r="B196" s="7" t="inlineStr">
        <is>
          <t>Cohort signed in month 36</t>
        </is>
      </c>
      <c r="C196" s="5" t="inlineStr">
        <is>
          <t>institutes</t>
        </is>
      </c>
      <c r="AN196" s="53">
        <f>AN123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N19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2" customWidth="1" min="2" max="2"/>
    <col width="14" customWidth="1" min="3" max="3"/>
    <col width="1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</cols>
  <sheetData>
    <row r="1">
      <c r="A1" s="1" t="inlineStr">
        <is>
          <t>3-year projection — Base: sales capacity → cohorts → P&amp;L → cash → funding ask</t>
        </is>
      </c>
    </row>
    <row r="2">
      <c r="A2" s="2" t="inlineStr">
        <is>
          <t>Months run April to March. Revenue starts after the free pilot. New institutes are capped by the addressable market. Rows 6-80 (inputs and per-institute vectors) are grouped: use the +/- in the left margin.</t>
        </is>
      </c>
    </row>
    <row r="3">
      <c r="B3" s="3" t="inlineStr">
        <is>
          <t>Scenario (1 = Bear, 2 = Base, 3 = Bull)</t>
        </is>
      </c>
      <c r="D3" s="37" t="n">
        <v>2</v>
      </c>
    </row>
    <row r="5" hidden="1" outlineLevel="1">
      <c r="A5" s="23" t="n"/>
      <c r="B5" s="22" t="inlineStr">
        <is>
          <t>Inputs used (linked from Assumptions; Bear / Base / Bull chosen by the scenario)</t>
        </is>
      </c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</row>
    <row r="6" hidden="1" outlineLevel="1">
      <c r="B6" s="7" t="inlineStr">
        <is>
          <t>Students per institute - Small</t>
        </is>
      </c>
      <c r="C6" s="5" t="inlineStr">
        <is>
          <t>students</t>
        </is>
      </c>
      <c r="D6" s="51">
        <f>IF(Assumptions!$N$6="Y",INDEX(Assumptions!$D$6:$F$6,$D$3),Assumptions!$E$6)</f>
        <v/>
      </c>
    </row>
    <row r="7" hidden="1" outlineLevel="1">
      <c r="B7" s="7" t="inlineStr">
        <is>
          <t>Students per institute - Mid</t>
        </is>
      </c>
      <c r="C7" s="5" t="inlineStr">
        <is>
          <t>students</t>
        </is>
      </c>
      <c r="D7" s="51">
        <f>IF(Assumptions!$N$7="Y",INDEX(Assumptions!$D$7:$F$7,$D$3),Assumptions!$E$7)</f>
        <v/>
      </c>
    </row>
    <row r="8" hidden="1" outlineLevel="1">
      <c r="B8" s="7" t="inlineStr">
        <is>
          <t>Students per institute - Large</t>
        </is>
      </c>
      <c r="C8" s="5" t="inlineStr">
        <is>
          <t>students</t>
        </is>
      </c>
      <c r="D8" s="51">
        <f>IF(Assumptions!$N$8="Y",INDEX(Assumptions!$D$8:$F$8,$D$3),Assumptions!$E$8)</f>
        <v/>
      </c>
    </row>
    <row r="9" hidden="1" outlineLevel="1">
      <c r="B9" s="7" t="inlineStr">
        <is>
          <t>Onboarding cost multiplier - Small</t>
        </is>
      </c>
      <c r="C9" s="5" t="inlineStr">
        <is>
          <t>x</t>
        </is>
      </c>
      <c r="D9" s="59">
        <f>IF(Assumptions!$N$12="Y",INDEX(Assumptions!$D$12:$F$12,$D$3),Assumptions!$E$12)</f>
        <v/>
      </c>
    </row>
    <row r="10" hidden="1" outlineLevel="1">
      <c r="B10" s="7" t="inlineStr">
        <is>
          <t>Onboarding cost multiplier - Mid</t>
        </is>
      </c>
      <c r="C10" s="5" t="inlineStr">
        <is>
          <t>x</t>
        </is>
      </c>
      <c r="D10" s="59">
        <f>IF(Assumptions!$N$13="Y",INDEX(Assumptions!$D$13:$F$13,$D$3),Assumptions!$E$13)</f>
        <v/>
      </c>
    </row>
    <row r="11" hidden="1" outlineLevel="1">
      <c r="B11" s="7" t="inlineStr">
        <is>
          <t>Onboarding cost multiplier - Large</t>
        </is>
      </c>
      <c r="C11" s="5" t="inlineStr">
        <is>
          <t>x</t>
        </is>
      </c>
      <c r="D11" s="59">
        <f>IF(Assumptions!$N$14="Y",INDEX(Assumptions!$D$14:$F$14,$D$3),Assumptions!$E$14)</f>
        <v/>
      </c>
    </row>
    <row r="12" hidden="1" outlineLevel="1">
      <c r="B12" s="7" t="inlineStr">
        <is>
          <t>Share of new institutes that are Small</t>
        </is>
      </c>
      <c r="C12" s="5" t="inlineStr">
        <is>
          <t>% of new logos</t>
        </is>
      </c>
      <c r="D12" s="45">
        <f>IF(Assumptions!$N$99="Y",INDEX(Assumptions!$D$99:$F$99,$D$3),Assumptions!$E$99)</f>
        <v/>
      </c>
    </row>
    <row r="13" hidden="1" outlineLevel="1">
      <c r="B13" s="7" t="inlineStr">
        <is>
          <t>Share of new institutes that are Mid</t>
        </is>
      </c>
      <c r="C13" s="5" t="inlineStr">
        <is>
          <t>% of new logos</t>
        </is>
      </c>
      <c r="D13" s="45">
        <f>IF(Assumptions!$N$100="Y",INDEX(Assumptions!$D$100:$F$100,$D$3),Assumptions!$E$100)</f>
        <v/>
      </c>
    </row>
    <row r="14" hidden="1" outlineLevel="1">
      <c r="B14" s="7" t="inlineStr">
        <is>
          <t>Share of new institutes that are Large</t>
        </is>
      </c>
      <c r="C14" s="5" t="inlineStr">
        <is>
          <t>% of new logos</t>
        </is>
      </c>
      <c r="D14" s="45">
        <f>IF(Assumptions!$N$101="Y",INDEX(Assumptions!$D$101:$F$101,$D$3),Assumptions!$E$101)</f>
        <v/>
      </c>
    </row>
    <row r="15" hidden="1" outlineLevel="1">
      <c r="B15" s="7" t="inlineStr">
        <is>
          <t>List price per active student per month</t>
        </is>
      </c>
      <c r="C15" s="5" t="inlineStr">
        <is>
          <t>Rs/student/month</t>
        </is>
      </c>
      <c r="D15" s="44">
        <f>IF(Assumptions!$N$38="Y",INDEX(Assumptions!$D$38:$F$38,$D$3),Assumptions!$E$38)</f>
        <v/>
      </c>
    </row>
    <row r="16" hidden="1" outlineLevel="1">
      <c r="B16" s="7" t="inlineStr">
        <is>
          <t>Minimum monthly fee per institute</t>
        </is>
      </c>
      <c r="C16" s="5" t="inlineStr">
        <is>
          <t>Rs/month</t>
        </is>
      </c>
      <c r="D16" s="44">
        <f>IF(Assumptions!$N$41="Y",INDEX(Assumptions!$D$41:$F$41,$D$3),Assumptions!$E$41)</f>
        <v/>
      </c>
    </row>
    <row r="17" hidden="1" outlineLevel="1">
      <c r="B17" s="7" t="inlineStr">
        <is>
          <t>Average negotiated discount off list</t>
        </is>
      </c>
      <c r="C17" s="5" t="inlineStr">
        <is>
          <t>%</t>
        </is>
      </c>
      <c r="D17" s="45">
        <f>IF(Assumptions!$N$42="Y",INDEX(Assumptions!$D$42:$F$42,$D$3),Assumptions!$E$42)</f>
        <v/>
      </c>
    </row>
    <row r="18" hidden="1" outlineLevel="1">
      <c r="B18" s="7" t="inlineStr">
        <is>
          <t>Share of institutes choosing annual prepay</t>
        </is>
      </c>
      <c r="C18" s="5" t="inlineStr">
        <is>
          <t>%</t>
        </is>
      </c>
      <c r="D18" s="45">
        <f>IF(Assumptions!$N$43="Y",INDEX(Assumptions!$D$43:$F$43,$D$3),Assumptions!$E$43)</f>
        <v/>
      </c>
    </row>
    <row r="19" hidden="1" outlineLevel="1">
      <c r="B19" s="7" t="inlineStr">
        <is>
          <t>Annual prepay discount</t>
        </is>
      </c>
      <c r="C19" s="5" t="inlineStr">
        <is>
          <t>%</t>
        </is>
      </c>
      <c r="D19" s="45">
        <f>IF(Assumptions!$N$44="Y",INDEX(Assumptions!$D$44:$F$44,$D$3),Assumptions!$E$44)</f>
        <v/>
      </c>
    </row>
    <row r="20" hidden="1" outlineLevel="1">
      <c r="B20" s="7" t="inlineStr">
        <is>
          <t>Bad debt / uncollected billing</t>
        </is>
      </c>
      <c r="C20" s="5" t="inlineStr">
        <is>
          <t>%</t>
        </is>
      </c>
      <c r="D20" s="45">
        <f>IF(Assumptions!$N$45="Y",INDEX(Assumptions!$D$45:$F$45,$D$3),Assumptions!$E$45)</f>
        <v/>
      </c>
    </row>
    <row r="21" hidden="1" outlineLevel="1">
      <c r="B21" s="7" t="inlineStr">
        <is>
          <t>Payment collection cost (blended)</t>
        </is>
      </c>
      <c r="C21" s="5" t="inlineStr">
        <is>
          <t>% of revenue</t>
        </is>
      </c>
      <c r="D21" s="45">
        <f>IF(Assumptions!$N$46="Y",INDEX(Assumptions!$D$46:$F$46,$D$3),Assumptions!$E$46)</f>
        <v/>
      </c>
    </row>
    <row r="22" hidden="1" outlineLevel="1">
      <c r="B22" s="7" t="inlineStr">
        <is>
          <t>AI parent reports per student per month</t>
        </is>
      </c>
      <c r="C22" s="5" t="inlineStr">
        <is>
          <t>reports</t>
        </is>
      </c>
      <c r="D22" s="51">
        <f>IF(Assumptions!$N$48="Y",INDEX(Assumptions!$D$48:$F$48,$D$3),Assumptions!$E$48)</f>
        <v/>
      </c>
    </row>
    <row r="23" hidden="1" outlineLevel="1">
      <c r="B23" s="7" t="inlineStr">
        <is>
          <t>LLM input tokens per report</t>
        </is>
      </c>
      <c r="C23" s="5" t="inlineStr">
        <is>
          <t>tokens</t>
        </is>
      </c>
      <c r="D23" s="51">
        <f>IF(Assumptions!$N$49="Y",INDEX(Assumptions!$D$49:$F$49,$D$3),Assumptions!$E$49)</f>
        <v/>
      </c>
    </row>
    <row r="24" hidden="1" outlineLevel="1">
      <c r="B24" s="7" t="inlineStr">
        <is>
          <t>LLM output tokens per report</t>
        </is>
      </c>
      <c r="C24" s="5" t="inlineStr">
        <is>
          <t>tokens</t>
        </is>
      </c>
      <c r="D24" s="51">
        <f>IF(Assumptions!$N$50="Y",INDEX(Assumptions!$D$50:$F$50,$D$3),Assumptions!$E$50)</f>
        <v/>
      </c>
    </row>
    <row r="25" hidden="1" outlineLevel="1">
      <c r="B25" s="7" t="inlineStr">
        <is>
          <t>LLM input price (hosted)</t>
        </is>
      </c>
      <c r="C25" s="5" t="inlineStr">
        <is>
          <t>Rs per 1M tokens</t>
        </is>
      </c>
      <c r="D25" s="48">
        <f>IF(Assumptions!$N$51="Y",INDEX(Assumptions!$D$51:$F$51,$D$3),Assumptions!$E$51)</f>
        <v/>
      </c>
    </row>
    <row r="26" hidden="1" outlineLevel="1">
      <c r="B26" s="7" t="inlineStr">
        <is>
          <t>LLM output price (hosted)</t>
        </is>
      </c>
      <c r="C26" s="5" t="inlineStr">
        <is>
          <t>Rs per 1M tokens</t>
        </is>
      </c>
      <c r="D26" s="48">
        <f>IF(Assumptions!$N$52="Y",INDEX(Assumptions!$D$52:$F$52,$D$3),Assumptions!$E$52)</f>
        <v/>
      </c>
    </row>
    <row r="27" hidden="1" outlineLevel="1">
      <c r="B27" s="7" t="inlineStr">
        <is>
          <t>WhatsApp utility messages per student per month</t>
        </is>
      </c>
      <c r="C27" s="5" t="inlineStr">
        <is>
          <t>messages</t>
        </is>
      </c>
      <c r="D27" s="51">
        <f>IF(Assumptions!$N$53="Y",INDEX(Assumptions!$D$53:$F$53,$D$3),Assumptions!$E$53)</f>
        <v/>
      </c>
    </row>
    <row r="28" hidden="1" outlineLevel="1">
      <c r="B28" s="7" t="inlineStr">
        <is>
          <t>WhatsApp utility message price (India)</t>
        </is>
      </c>
      <c r="C28" s="5" t="inlineStr">
        <is>
          <t>Rs/message</t>
        </is>
      </c>
      <c r="D28" s="48">
        <f>IF(Assumptions!$N$54="Y",INDEX(Assumptions!$D$54:$F$54,$D$3),Assumptions!$E$54)</f>
        <v/>
      </c>
    </row>
    <row r="29" hidden="1" outlineLevel="1">
      <c r="B29" s="7" t="inlineStr">
        <is>
          <t>Compute + storage + backups per student</t>
        </is>
      </c>
      <c r="C29" s="5" t="inlineStr">
        <is>
          <t>Rs/student/month</t>
        </is>
      </c>
      <c r="D29" s="48">
        <f>IF(Assumptions!$N$55="Y",INDEX(Assumptions!$D$55:$F$55,$D$3),Assumptions!$E$55)</f>
        <v/>
      </c>
    </row>
    <row r="30" hidden="1" outlineLevel="1">
      <c r="B30" s="7" t="inlineStr">
        <is>
          <t>Consent OTP + verification per student</t>
        </is>
      </c>
      <c r="C30" s="5" t="inlineStr">
        <is>
          <t>Rs/student/yr</t>
        </is>
      </c>
      <c r="D30" s="48">
        <f>IF(Assumptions!$N$56="Y",INDEX(Assumptions!$D$56:$F$56,$D$3),Assumptions!$E$56)</f>
        <v/>
      </c>
    </row>
    <row r="31" hidden="1" outlineLevel="1">
      <c r="B31" s="7" t="inlineStr">
        <is>
          <t>App server + managed Postgres + backups per stack</t>
        </is>
      </c>
      <c r="C31" s="5" t="inlineStr">
        <is>
          <t>Rs/month</t>
        </is>
      </c>
      <c r="D31" s="44">
        <f>IF(Assumptions!$N$57="Y",INDEX(Assumptions!$D$57:$F$57,$D$3),Assumptions!$E$57)</f>
        <v/>
      </c>
    </row>
    <row r="32" hidden="1" outlineLevel="1">
      <c r="B32" s="7" t="inlineStr">
        <is>
          <t>WhatsApp BSP platform fee per stack</t>
        </is>
      </c>
      <c r="C32" s="5" t="inlineStr">
        <is>
          <t>Rs/month</t>
        </is>
      </c>
      <c r="D32" s="44">
        <f>IF(Assumptions!$N$58="Y",INDEX(Assumptions!$D$58:$F$58,$D$3),Assumptions!$E$58)</f>
        <v/>
      </c>
    </row>
    <row r="33" hidden="1" outlineLevel="1">
      <c r="B33" s="7" t="inlineStr">
        <is>
          <t>Institutes sharing one server stack</t>
        </is>
      </c>
      <c r="C33" s="5" t="inlineStr">
        <is>
          <t>institutes</t>
        </is>
      </c>
      <c r="D33" s="51">
        <f>IF(Assumptions!$N$59="Y",INDEX(Assumptions!$D$59:$F$59,$D$3),Assumptions!$E$59)</f>
        <v/>
      </c>
    </row>
    <row r="34" hidden="1" outlineLevel="1">
      <c r="B34" s="7" t="inlineStr">
        <is>
          <t>DPDP compliance cost per institute</t>
        </is>
      </c>
      <c r="C34" s="5" t="inlineStr">
        <is>
          <t>Rs/month</t>
        </is>
      </c>
      <c r="D34" s="44">
        <f>IF(Assumptions!$N$60="Y",INDEX(Assumptions!$D$60:$F$60,$D$3),Assumptions!$E$60)</f>
        <v/>
      </c>
    </row>
    <row r="35" hidden="1" outlineLevel="1">
      <c r="B35" s="7" t="inlineStr">
        <is>
          <t>Customer-success / onboarding exec monthly CTC</t>
        </is>
      </c>
      <c r="C35" s="5" t="inlineStr">
        <is>
          <t>Rs/month</t>
        </is>
      </c>
      <c r="D35" s="44">
        <f>IF(Assumptions!$N$62="Y",INDEX(Assumptions!$D$62:$F$62,$D$3),Assumptions!$E$62)</f>
        <v/>
      </c>
    </row>
    <row r="36" hidden="1" outlineLevel="1">
      <c r="B36" s="7" t="inlineStr">
        <is>
          <t>Institutes per CSM</t>
        </is>
      </c>
      <c r="C36" s="5" t="inlineStr">
        <is>
          <t>institutes</t>
        </is>
      </c>
      <c r="D36" s="51">
        <f>IF(Assumptions!$N$63="Y",INDEX(Assumptions!$D$63:$F$63,$D$3),Assumptions!$E$63)</f>
        <v/>
      </c>
    </row>
    <row r="37" hidden="1" outlineLevel="1">
      <c r="B37" s="7" t="inlineStr">
        <is>
          <t>Field sales rep monthly CTC (incl. fuel)</t>
        </is>
      </c>
      <c r="C37" s="5" t="inlineStr">
        <is>
          <t>Rs/month</t>
        </is>
      </c>
      <c r="D37" s="44">
        <f>IF(Assumptions!$N$64="Y",INDEX(Assumptions!$D$64:$F$64,$D$3),Assumptions!$E$64)</f>
        <v/>
      </c>
    </row>
    <row r="38" hidden="1" outlineLevel="1">
      <c r="B38" s="7" t="inlineStr">
        <is>
          <t>Rep intercity travel + demo material per month</t>
        </is>
      </c>
      <c r="C38" s="5" t="inlineStr">
        <is>
          <t>Rs/month</t>
        </is>
      </c>
      <c r="D38" s="44">
        <f>IF(Assumptions!$N$65="Y",INDEX(Assumptions!$D$65:$F$65,$D$3),Assumptions!$E$65)</f>
        <v/>
      </c>
    </row>
    <row r="39" hidden="1" outlineLevel="1">
      <c r="B39" s="7" t="inlineStr">
        <is>
          <t>Sales overhead loading on rep cost (manager, incentives, recruiting, tools)</t>
        </is>
      </c>
      <c r="C39" s="5" t="inlineStr">
        <is>
          <t>% of rep cost</t>
        </is>
      </c>
      <c r="D39" s="45">
        <f>IF(Assumptions!$N$66="Y",INDEX(Assumptions!$D$66:$F$66,$D$3),Assumptions!$E$66)</f>
        <v/>
      </c>
    </row>
    <row r="40" hidden="1" outlineLevel="1">
      <c r="B40" s="7" t="inlineStr">
        <is>
          <t>Pilots started per rep per month (yearly avg)</t>
        </is>
      </c>
      <c r="C40" s="5" t="inlineStr">
        <is>
          <t>pilots</t>
        </is>
      </c>
      <c r="D40" s="58">
        <f>IF(Assumptions!$N$67="Y",INDEX(Assumptions!$D$67:$F$67,$D$3),Assumptions!$E$67)</f>
        <v/>
      </c>
    </row>
    <row r="41" hidden="1" outlineLevel="1">
      <c r="B41" s="7" t="inlineStr">
        <is>
          <t>Pilot-to-paid conversion</t>
        </is>
      </c>
      <c r="C41" s="5" t="inlineStr">
        <is>
          <t>%</t>
        </is>
      </c>
      <c r="D41" s="45">
        <f>IF(Assumptions!$N$68="Y",INDEX(Assumptions!$D$68:$F$68,$D$3),Assumptions!$E$68)</f>
        <v/>
      </c>
    </row>
    <row r="42" hidden="1" outlineLevel="1">
      <c r="B42" s="7" t="inlineStr">
        <is>
          <t>Free pilot length</t>
        </is>
      </c>
      <c r="C42" s="5" t="inlineStr">
        <is>
          <t>months</t>
        </is>
      </c>
      <c r="D42" s="51">
        <f>IF(Assumptions!$N$69="Y",INDEX(Assumptions!$D$69:$F$69,$D$3),Assumptions!$E$69)</f>
        <v/>
      </c>
    </row>
    <row r="43" hidden="1" outlineLevel="1">
      <c r="B43" s="7" t="inlineStr">
        <is>
          <t>Retro-pilot setup (import last year's Excel; show who left)</t>
        </is>
      </c>
      <c r="C43" s="5" t="inlineStr">
        <is>
          <t>Rs per pilot</t>
        </is>
      </c>
      <c r="D43" s="44">
        <f>IF(Assumptions!$N$70="Y",INDEX(Assumptions!$D$70:$F$70,$D$3),Assumptions!$E$70)</f>
        <v/>
      </c>
    </row>
    <row r="44" hidden="1" outlineLevel="1">
      <c r="B44" s="7" t="inlineStr">
        <is>
          <t>Onboarding cost per institute (mid)</t>
        </is>
      </c>
      <c r="C44" s="5" t="inlineStr">
        <is>
          <t>Rs</t>
        </is>
      </c>
      <c r="D44" s="44">
        <f>IF(Assumptions!$N$71="Y",INDEX(Assumptions!$D$71:$F$71,$D$3),Assumptions!$E$71)</f>
        <v/>
      </c>
    </row>
    <row r="45" hidden="1" outlineLevel="1">
      <c r="B45" s="7" t="inlineStr">
        <is>
          <t>Marketing spend per paid institute</t>
        </is>
      </c>
      <c r="C45" s="5" t="inlineStr">
        <is>
          <t>Rs</t>
        </is>
      </c>
      <c r="D45" s="44">
        <f>IF(Assumptions!$N$72="Y",INDEX(Assumptions!$D$72:$F$72,$D$3),Assumptions!$E$72)</f>
        <v/>
      </c>
    </row>
    <row r="46" hidden="1" outlineLevel="1">
      <c r="B46" s="7" t="inlineStr">
        <is>
          <t>Monthly logo churn for monthly payers</t>
        </is>
      </c>
      <c r="C46" s="5" t="inlineStr">
        <is>
          <t>%/month</t>
        </is>
      </c>
      <c r="D46" s="45">
        <f>IF(Assumptions!$N$74="Y",INDEX(Assumptions!$D$74:$F$74,$D$3),Assumptions!$E$74)</f>
        <v/>
      </c>
    </row>
    <row r="47" hidden="1" outlineLevel="1">
      <c r="B47" s="7" t="inlineStr">
        <is>
          <t>Non-renewal at session end (annual)</t>
        </is>
      </c>
      <c r="C47" s="5" t="inlineStr">
        <is>
          <t>% of logos</t>
        </is>
      </c>
      <c r="D47" s="45">
        <f>IF(Assumptions!$N$75="Y",INDEX(Assumptions!$D$75:$F$75,$D$3),Assumptions!$E$75)</f>
        <v/>
      </c>
    </row>
    <row r="48" hidden="1" outlineLevel="1">
      <c r="B48" s="7" t="inlineStr">
        <is>
          <t>Months a customer must have paid before the first renewal decision</t>
        </is>
      </c>
      <c r="C48" s="5" t="inlineStr">
        <is>
          <t>months</t>
        </is>
      </c>
      <c r="D48" s="51">
        <f>IF(Assumptions!$N$76="Y",INDEX(Assumptions!$D$76:$F$76,$D$3),Assumptions!$E$76)</f>
        <v/>
      </c>
    </row>
    <row r="49" hidden="1" outlineLevel="1">
      <c r="B49" s="7" t="inlineStr">
        <is>
          <t>Founders drawing a stipend</t>
        </is>
      </c>
      <c r="C49" s="5" t="inlineStr">
        <is>
          <t>people</t>
        </is>
      </c>
      <c r="D49" s="51">
        <f>IF(Assumptions!$N$80="Y",INDEX(Assumptions!$D$80:$F$80,$D$3),Assumptions!$E$80)</f>
        <v/>
      </c>
    </row>
    <row r="50" hidden="1" outlineLevel="1">
      <c r="B50" s="7" t="inlineStr">
        <is>
          <t>Founder stipend per month</t>
        </is>
      </c>
      <c r="C50" s="5" t="inlineStr">
        <is>
          <t>Rs/month</t>
        </is>
      </c>
      <c r="D50" s="44">
        <f>IF(Assumptions!$N$81="Y",INDEX(Assumptions!$D$81:$F$81,$D$3),Assumptions!$E$81)</f>
        <v/>
      </c>
    </row>
    <row r="51" hidden="1" outlineLevel="1">
      <c r="B51" s="7" t="inlineStr">
        <is>
          <t>Engineers in year 1</t>
        </is>
      </c>
      <c r="C51" s="5" t="inlineStr">
        <is>
          <t>people</t>
        </is>
      </c>
      <c r="D51" s="51">
        <f>IF(Assumptions!$N$82="Y",INDEX(Assumptions!$D$82:$F$82,$D$3),Assumptions!$E$82)</f>
        <v/>
      </c>
    </row>
    <row r="52" hidden="1" outlineLevel="1">
      <c r="B52" s="7" t="inlineStr">
        <is>
          <t>Engineers in year 2</t>
        </is>
      </c>
      <c r="C52" s="5" t="inlineStr">
        <is>
          <t>people</t>
        </is>
      </c>
      <c r="D52" s="51">
        <f>IF(Assumptions!$N$105="Y",INDEX(Assumptions!$D$105:$F$105,$D$3),Assumptions!$E$105)</f>
        <v/>
      </c>
    </row>
    <row r="53" hidden="1" outlineLevel="1">
      <c r="B53" s="7" t="inlineStr">
        <is>
          <t>Engineers in year 3</t>
        </is>
      </c>
      <c r="C53" s="5" t="inlineStr">
        <is>
          <t>people</t>
        </is>
      </c>
      <c r="D53" s="51">
        <f>IF(Assumptions!$N$106="Y",INDEX(Assumptions!$D$106:$F$106,$D$3),Assumptions!$E$106)</f>
        <v/>
      </c>
    </row>
    <row r="54" hidden="1" outlineLevel="1">
      <c r="B54" s="7" t="inlineStr">
        <is>
          <t>Engineer monthly CTC</t>
        </is>
      </c>
      <c r="C54" s="5" t="inlineStr">
        <is>
          <t>Rs/month</t>
        </is>
      </c>
      <c r="D54" s="44">
        <f>IF(Assumptions!$N$83="Y",INDEX(Assumptions!$D$83:$F$83,$D$3),Assumptions!$E$83)</f>
        <v/>
      </c>
    </row>
    <row r="55" hidden="1" outlineLevel="1">
      <c r="B55" s="7" t="inlineStr">
        <is>
          <t>Tools / office / legal per month</t>
        </is>
      </c>
      <c r="C55" s="5" t="inlineStr">
        <is>
          <t>Rs/month</t>
        </is>
      </c>
      <c r="D55" s="44">
        <f>IF(Assumptions!$N$84="Y",INDEX(Assumptions!$D$84:$F$84,$D$3),Assumptions!$E$84)</f>
        <v/>
      </c>
    </row>
    <row r="56" hidden="1" outlineLevel="1">
      <c r="B56" s="7" t="inlineStr">
        <is>
          <t>Field sales reps in year 1</t>
        </is>
      </c>
      <c r="C56" s="5" t="inlineStr">
        <is>
          <t>people</t>
        </is>
      </c>
      <c r="D56" s="51">
        <f>IF(Assumptions!$N$102="Y",INDEX(Assumptions!$D$102:$F$102,$D$3),Assumptions!$E$102)</f>
        <v/>
      </c>
    </row>
    <row r="57" hidden="1" outlineLevel="1">
      <c r="B57" s="7" t="inlineStr">
        <is>
          <t>Field sales reps in year 2</t>
        </is>
      </c>
      <c r="C57" s="5" t="inlineStr">
        <is>
          <t>people</t>
        </is>
      </c>
      <c r="D57" s="51">
        <f>IF(Assumptions!$N$103="Y",INDEX(Assumptions!$D$103:$F$103,$D$3),Assumptions!$E$103)</f>
        <v/>
      </c>
    </row>
    <row r="58" hidden="1" outlineLevel="1">
      <c r="B58" s="7" t="inlineStr">
        <is>
          <t>Field sales reps in year 3</t>
        </is>
      </c>
      <c r="C58" s="5" t="inlineStr">
        <is>
          <t>people</t>
        </is>
      </c>
      <c r="D58" s="51">
        <f>IF(Assumptions!$N$104="Y",INDEX(Assumptions!$D$104:$F$104,$D$3),Assumptions!$E$104)</f>
        <v/>
      </c>
    </row>
    <row r="59" hidden="1" outlineLevel="1">
      <c r="B59" s="7" t="inlineStr">
        <is>
          <t>Minimum product and engineering spend as a share of revenue</t>
        </is>
      </c>
      <c r="C59" s="5" t="inlineStr">
        <is>
          <t>% of revenue</t>
        </is>
      </c>
      <c r="D59" s="45">
        <f>IF(Assumptions!$N$107="Y",INDEX(Assumptions!$D$107:$F$107,$D$3),Assumptions!$E$107)</f>
        <v/>
      </c>
    </row>
    <row r="60" hidden="1" outlineLevel="1">
      <c r="B60" s="7" t="inlineStr">
        <is>
          <t>Minimum founders' and general costs as a share of revenue</t>
        </is>
      </c>
      <c r="C60" s="5" t="inlineStr">
        <is>
          <t>% of revenue</t>
        </is>
      </c>
      <c r="D60" s="45">
        <f>IF(Assumptions!$N$108="Y",INDEX(Assumptions!$D$108:$F$108,$D$3),Assumptions!$E$108)</f>
        <v/>
      </c>
    </row>
    <row r="61" hidden="1" outlineLevel="1">
      <c r="B61" s="7" t="inlineStr">
        <is>
          <t>Annual salary and cost inflation</t>
        </is>
      </c>
      <c r="C61" s="5" t="inlineStr">
        <is>
          <t>%/yr</t>
        </is>
      </c>
      <c r="D61" s="45">
        <f>IF(Assumptions!$N$109="Y",INDEX(Assumptions!$D$109:$F$109,$D$3),Assumptions!$E$109)</f>
        <v/>
      </c>
    </row>
    <row r="62" hidden="1" outlineLevel="1">
      <c r="B62" s="7" t="inlineStr">
        <is>
          <t>Days to collect an invoice (receivables)</t>
        </is>
      </c>
      <c r="C62" s="5" t="inlineStr">
        <is>
          <t>days</t>
        </is>
      </c>
      <c r="D62" s="51">
        <f>IF(Assumptions!$N$110="Y",INDEX(Assumptions!$D$110:$F$110,$D$3),Assumptions!$E$110)</f>
        <v/>
      </c>
    </row>
    <row r="63" hidden="1" outlineLevel="1">
      <c r="B63" s="7" t="inlineStr">
        <is>
          <t>Laptop and set-up cost per new hire</t>
        </is>
      </c>
      <c r="C63" s="5" t="inlineStr">
        <is>
          <t>Rs/hire</t>
        </is>
      </c>
      <c r="D63" s="44">
        <f>IF(Assumptions!$N$111="Y",INDEX(Assumptions!$D$111:$F$111,$D$3),Assumptions!$E$111)</f>
        <v/>
      </c>
    </row>
    <row r="64" hidden="1" outlineLevel="1">
      <c r="B64" s="7" t="inlineStr">
        <is>
          <t>Minimum cash buffer, in months of costs</t>
        </is>
      </c>
      <c r="C64" s="5" t="inlineStr">
        <is>
          <t>months</t>
        </is>
      </c>
      <c r="D64" s="51">
        <f>IF(Assumptions!$N$112="Y",INDEX(Assumptions!$D$112:$F$112,$D$3),Assumptions!$E$112)</f>
        <v/>
      </c>
    </row>
    <row r="65" hidden="1" outlineLevel="1">
      <c r="B65" s="7" t="inlineStr">
        <is>
          <t>Addressable institutes (SAM): independent, 150-2,000 students, five states</t>
        </is>
      </c>
      <c r="C65" s="5" t="inlineStr">
        <is>
          <t>institutes</t>
        </is>
      </c>
      <c r="D65" s="51">
        <f>IF(Assumptions!$N$113="Y",INDEX(Assumptions!$D$113:$F$113,$D$3),Assumptions!$E$113)</f>
        <v/>
      </c>
    </row>
    <row r="66" hidden="1" outlineLevel="1">
      <c r="B66" s="7" t="inlineStr">
        <is>
          <t>Maximum share of SAM won in 3 years (cumulative new logos)</t>
        </is>
      </c>
      <c r="C66" s="5" t="inlineStr">
        <is>
          <t>% of SAM</t>
        </is>
      </c>
      <c r="D66" s="45">
        <f>IF(Assumptions!$N$114="Y",INDEX(Assumptions!$D$114:$F$114,$D$3),Assumptions!$E$114)</f>
        <v/>
      </c>
    </row>
    <row r="67" hidden="1" outlineLevel="1">
      <c r="A67" s="23" t="n"/>
      <c r="B67" s="22" t="inlineStr">
        <is>
          <t>Derived values</t>
        </is>
      </c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  <c r="AF67" s="23" t="n"/>
      <c r="AG67" s="23" t="n"/>
      <c r="AH67" s="23" t="n"/>
      <c r="AI67" s="23" t="n"/>
      <c r="AJ67" s="23" t="n"/>
      <c r="AK67" s="23" t="n"/>
      <c r="AL67" s="23" t="n"/>
      <c r="AM67" s="23" t="n"/>
      <c r="AN67" s="23" t="n"/>
    </row>
    <row r="68" hidden="1" outlineLevel="1">
      <c r="B68" s="7" t="inlineStr">
        <is>
          <t>Effective discount (negotiation + prepay uptake × prepay discount)</t>
        </is>
      </c>
      <c r="C68" s="5" t="inlineStr">
        <is>
          <t>%</t>
        </is>
      </c>
      <c r="D68" s="39">
        <f>$D$17+$D$18*$D$19</f>
        <v/>
      </c>
    </row>
    <row r="69" hidden="1" outlineLevel="1">
      <c r="B69" s="7" t="inlineStr">
        <is>
          <t>Variable cost per active student per month</t>
        </is>
      </c>
      <c r="C69" s="5" t="inlineStr">
        <is>
          <t>₹/student/month</t>
        </is>
      </c>
      <c r="D69" s="47">
        <f>$D$22*($D$23*$D$25+$D$24*$D$26)/1000000+$D$27*$D$28+$D$29+$D$30/12</f>
        <v/>
      </c>
    </row>
    <row r="70" hidden="1" outlineLevel="1">
      <c r="B70" s="7" t="inlineStr">
        <is>
          <t>In-season churn, monthly payers only</t>
        </is>
      </c>
      <c r="C70" s="5" t="inlineStr">
        <is>
          <t>%/month</t>
        </is>
      </c>
      <c r="D70" s="39">
        <f>$D$46*(1-$D$18)</f>
        <v/>
      </c>
    </row>
    <row r="71" hidden="1" outlineLevel="1">
      <c r="B71" s="7" t="inlineStr">
        <is>
          <t>Extra churn per renewal month</t>
        </is>
      </c>
      <c r="C71" s="5" t="inlineStr">
        <is>
          <t>%/month</t>
        </is>
      </c>
      <c r="D71" s="39">
        <f>1-(1-$D$47)^(1/NRenew)</f>
        <v/>
      </c>
    </row>
    <row r="72" hidden="1" outlineLevel="1">
      <c r="B72" s="7" t="inlineStr">
        <is>
          <t>Average students per new institute (customer mix)</t>
        </is>
      </c>
      <c r="C72" s="5" t="inlineStr">
        <is>
          <t>students</t>
        </is>
      </c>
      <c r="D72" s="53">
        <f>$D$12*$D$6+$D$13*$D$7+$D$14*$D$8</f>
        <v/>
      </c>
    </row>
    <row r="73" hidden="1" outlineLevel="1">
      <c r="B73" s="7" t="inlineStr">
        <is>
          <t>Average onboarding-cost multiplier (customer mix)</t>
        </is>
      </c>
      <c r="C73" s="5" t="inlineStr">
        <is>
          <t>x</t>
        </is>
      </c>
      <c r="D73" s="41">
        <f>$D$12*$D$9+$D$13*$D$10+$D$14*$D$11</f>
        <v/>
      </c>
    </row>
    <row r="74" hidden="1" outlineLevel="1">
      <c r="B74" s="7" t="inlineStr">
        <is>
          <t>Cost of one free pilot (setup + serving the free months)</t>
        </is>
      </c>
      <c r="C74" s="5" t="inlineStr">
        <is>
          <t>₹</t>
        </is>
      </c>
      <c r="D74" s="50">
        <f>$D$43+$D$42*($D$72*$D$69+$D$34)</f>
        <v/>
      </c>
    </row>
    <row r="75" hidden="1" outlineLevel="1">
      <c r="B75" s="7" t="inlineStr">
        <is>
          <t>Market cap: addressable institutes × max penetration</t>
        </is>
      </c>
      <c r="C75" s="5" t="inlineStr">
        <is>
          <t>institutes</t>
        </is>
      </c>
      <c r="D75" s="53">
        <f>$D$65*$D$66</f>
        <v/>
      </c>
    </row>
    <row r="76" hidden="1" outlineLevel="1">
      <c r="B76" s="7" t="inlineStr">
        <is>
          <t>Average monthly revenue per institute over a year</t>
        </is>
      </c>
      <c r="C76" s="5" t="inlineStr">
        <is>
          <t>₹</t>
        </is>
      </c>
      <c r="D76" s="50">
        <f>AVERAGE(E82:P82)</f>
        <v/>
      </c>
    </row>
    <row r="77" hidden="1" outlineLevel="1">
      <c r="A77" s="23" t="n"/>
      <c r="B77" s="22" t="inlineStr">
        <is>
          <t>Per-institute revenue and cost by calendar month (April = 1), same formulas as Unit_Econ</t>
        </is>
      </c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23" t="n"/>
      <c r="AH77" s="23" t="n"/>
      <c r="AI77" s="23" t="n"/>
      <c r="AJ77" s="23" t="n"/>
      <c r="AK77" s="23" t="n"/>
      <c r="AL77" s="23" t="n"/>
      <c r="AM77" s="23" t="n"/>
      <c r="AN77" s="23" t="n"/>
    </row>
    <row r="78" hidden="1" outlineLevel="1">
      <c r="B78" s="36" t="inlineStr">
        <is>
          <t>Calendar month number</t>
        </is>
      </c>
      <c r="E78" s="62" t="n">
        <v>1</v>
      </c>
      <c r="F78" s="62" t="n">
        <v>2</v>
      </c>
      <c r="G78" s="62" t="n">
        <v>3</v>
      </c>
      <c r="H78" s="62" t="n">
        <v>4</v>
      </c>
      <c r="I78" s="62" t="n">
        <v>5</v>
      </c>
      <c r="J78" s="62" t="n">
        <v>6</v>
      </c>
      <c r="K78" s="62" t="n">
        <v>7</v>
      </c>
      <c r="L78" s="62" t="n">
        <v>8</v>
      </c>
      <c r="M78" s="62" t="n">
        <v>9</v>
      </c>
      <c r="N78" s="62" t="n">
        <v>10</v>
      </c>
      <c r="O78" s="62" t="n">
        <v>11</v>
      </c>
      <c r="P78" s="62" t="n">
        <v>12</v>
      </c>
    </row>
    <row r="79" hidden="1" outlineLevel="1">
      <c r="B79" s="7" t="inlineStr">
        <is>
          <t>Revenue per Small institute (ex-GST, after discounts and bad debt)</t>
        </is>
      </c>
      <c r="C79" s="5" t="inlineStr">
        <is>
          <t>₹</t>
        </is>
      </c>
      <c r="E79" s="50">
        <f>MAX($D$16,$D$6*INDEX(Season_Idx,E$78)*$D$15)*(1-$D$68)*(1-$D$20)</f>
        <v/>
      </c>
      <c r="F79" s="50">
        <f>MAX($D$16,$D$6*INDEX(Season_Idx,F$78)*$D$15)*(1-$D$68)*(1-$D$20)</f>
        <v/>
      </c>
      <c r="G79" s="50">
        <f>MAX($D$16,$D$6*INDEX(Season_Idx,G$78)*$D$15)*(1-$D$68)*(1-$D$20)</f>
        <v/>
      </c>
      <c r="H79" s="50">
        <f>MAX($D$16,$D$6*INDEX(Season_Idx,H$78)*$D$15)*(1-$D$68)*(1-$D$20)</f>
        <v/>
      </c>
      <c r="I79" s="50">
        <f>MAX($D$16,$D$6*INDEX(Season_Idx,I$78)*$D$15)*(1-$D$68)*(1-$D$20)</f>
        <v/>
      </c>
      <c r="J79" s="50">
        <f>MAX($D$16,$D$6*INDEX(Season_Idx,J$78)*$D$15)*(1-$D$68)*(1-$D$20)</f>
        <v/>
      </c>
      <c r="K79" s="50">
        <f>MAX($D$16,$D$6*INDEX(Season_Idx,K$78)*$D$15)*(1-$D$68)*(1-$D$20)</f>
        <v/>
      </c>
      <c r="L79" s="50">
        <f>MAX($D$16,$D$6*INDEX(Season_Idx,L$78)*$D$15)*(1-$D$68)*(1-$D$20)</f>
        <v/>
      </c>
      <c r="M79" s="50">
        <f>MAX($D$16,$D$6*INDEX(Season_Idx,M$78)*$D$15)*(1-$D$68)*(1-$D$20)</f>
        <v/>
      </c>
      <c r="N79" s="50">
        <f>MAX($D$16,$D$6*INDEX(Season_Idx,N$78)*$D$15)*(1-$D$68)*(1-$D$20)</f>
        <v/>
      </c>
      <c r="O79" s="50">
        <f>MAX($D$16,$D$6*INDEX(Season_Idx,O$78)*$D$15)*(1-$D$68)*(1-$D$20)</f>
        <v/>
      </c>
      <c r="P79" s="50">
        <f>MAX($D$16,$D$6*INDEX(Season_Idx,P$78)*$D$15)*(1-$D$68)*(1-$D$20)</f>
        <v/>
      </c>
    </row>
    <row r="80" hidden="1" outlineLevel="1">
      <c r="B80" s="7" t="inlineStr">
        <is>
          <t>Revenue per Mid institute (ex-GST, after discounts and bad debt)</t>
        </is>
      </c>
      <c r="C80" s="5" t="inlineStr">
        <is>
          <t>₹</t>
        </is>
      </c>
      <c r="E80" s="50">
        <f>MAX($D$16,$D$7*INDEX(Season_Idx,E$78)*$D$15)*(1-$D$68)*(1-$D$20)</f>
        <v/>
      </c>
      <c r="F80" s="50">
        <f>MAX($D$16,$D$7*INDEX(Season_Idx,F$78)*$D$15)*(1-$D$68)*(1-$D$20)</f>
        <v/>
      </c>
      <c r="G80" s="50">
        <f>MAX($D$16,$D$7*INDEX(Season_Idx,G$78)*$D$15)*(1-$D$68)*(1-$D$20)</f>
        <v/>
      </c>
      <c r="H80" s="50">
        <f>MAX($D$16,$D$7*INDEX(Season_Idx,H$78)*$D$15)*(1-$D$68)*(1-$D$20)</f>
        <v/>
      </c>
      <c r="I80" s="50">
        <f>MAX($D$16,$D$7*INDEX(Season_Idx,I$78)*$D$15)*(1-$D$68)*(1-$D$20)</f>
        <v/>
      </c>
      <c r="J80" s="50">
        <f>MAX($D$16,$D$7*INDEX(Season_Idx,J$78)*$D$15)*(1-$D$68)*(1-$D$20)</f>
        <v/>
      </c>
      <c r="K80" s="50">
        <f>MAX($D$16,$D$7*INDEX(Season_Idx,K$78)*$D$15)*(1-$D$68)*(1-$D$20)</f>
        <v/>
      </c>
      <c r="L80" s="50">
        <f>MAX($D$16,$D$7*INDEX(Season_Idx,L$78)*$D$15)*(1-$D$68)*(1-$D$20)</f>
        <v/>
      </c>
      <c r="M80" s="50">
        <f>MAX($D$16,$D$7*INDEX(Season_Idx,M$78)*$D$15)*(1-$D$68)*(1-$D$20)</f>
        <v/>
      </c>
      <c r="N80" s="50">
        <f>MAX($D$16,$D$7*INDEX(Season_Idx,N$78)*$D$15)*(1-$D$68)*(1-$D$20)</f>
        <v/>
      </c>
      <c r="O80" s="50">
        <f>MAX($D$16,$D$7*INDEX(Season_Idx,O$78)*$D$15)*(1-$D$68)*(1-$D$20)</f>
        <v/>
      </c>
      <c r="P80" s="50">
        <f>MAX($D$16,$D$7*INDEX(Season_Idx,P$78)*$D$15)*(1-$D$68)*(1-$D$20)</f>
        <v/>
      </c>
    </row>
    <row r="81" hidden="1" outlineLevel="1">
      <c r="B81" s="7" t="inlineStr">
        <is>
          <t>Revenue per Large institute (ex-GST, after discounts and bad debt)</t>
        </is>
      </c>
      <c r="C81" s="5" t="inlineStr">
        <is>
          <t>₹</t>
        </is>
      </c>
      <c r="E81" s="50">
        <f>MAX($D$16,$D$8*INDEX(Season_Idx,E$78)*$D$15)*(1-$D$68)*(1-$D$20)</f>
        <v/>
      </c>
      <c r="F81" s="50">
        <f>MAX($D$16,$D$8*INDEX(Season_Idx,F$78)*$D$15)*(1-$D$68)*(1-$D$20)</f>
        <v/>
      </c>
      <c r="G81" s="50">
        <f>MAX($D$16,$D$8*INDEX(Season_Idx,G$78)*$D$15)*(1-$D$68)*(1-$D$20)</f>
        <v/>
      </c>
      <c r="H81" s="50">
        <f>MAX($D$16,$D$8*INDEX(Season_Idx,H$78)*$D$15)*(1-$D$68)*(1-$D$20)</f>
        <v/>
      </c>
      <c r="I81" s="50">
        <f>MAX($D$16,$D$8*INDEX(Season_Idx,I$78)*$D$15)*(1-$D$68)*(1-$D$20)</f>
        <v/>
      </c>
      <c r="J81" s="50">
        <f>MAX($D$16,$D$8*INDEX(Season_Idx,J$78)*$D$15)*(1-$D$68)*(1-$D$20)</f>
        <v/>
      </c>
      <c r="K81" s="50">
        <f>MAX($D$16,$D$8*INDEX(Season_Idx,K$78)*$D$15)*(1-$D$68)*(1-$D$20)</f>
        <v/>
      </c>
      <c r="L81" s="50">
        <f>MAX($D$16,$D$8*INDEX(Season_Idx,L$78)*$D$15)*(1-$D$68)*(1-$D$20)</f>
        <v/>
      </c>
      <c r="M81" s="50">
        <f>MAX($D$16,$D$8*INDEX(Season_Idx,M$78)*$D$15)*(1-$D$68)*(1-$D$20)</f>
        <v/>
      </c>
      <c r="N81" s="50">
        <f>MAX($D$16,$D$8*INDEX(Season_Idx,N$78)*$D$15)*(1-$D$68)*(1-$D$20)</f>
        <v/>
      </c>
      <c r="O81" s="50">
        <f>MAX($D$16,$D$8*INDEX(Season_Idx,O$78)*$D$15)*(1-$D$68)*(1-$D$20)</f>
        <v/>
      </c>
      <c r="P81" s="50">
        <f>MAX($D$16,$D$8*INDEX(Season_Idx,P$78)*$D$15)*(1-$D$68)*(1-$D$20)</f>
        <v/>
      </c>
    </row>
    <row r="82" hidden="1" outlineLevel="1">
      <c r="B82" s="3" t="inlineStr">
        <is>
          <t>Revenue per institute, weighted by customer mix</t>
        </is>
      </c>
      <c r="C82" s="5" t="inlineStr">
        <is>
          <t>₹</t>
        </is>
      </c>
      <c r="E82" s="50">
        <f>$D$12*E79+$D$13*E80+$D$14*E81</f>
        <v/>
      </c>
      <c r="F82" s="50">
        <f>$D$12*F79+$D$13*F80+$D$14*F81</f>
        <v/>
      </c>
      <c r="G82" s="50">
        <f>$D$12*G79+$D$13*G80+$D$14*G81</f>
        <v/>
      </c>
      <c r="H82" s="50">
        <f>$D$12*H79+$D$13*H80+$D$14*H81</f>
        <v/>
      </c>
      <c r="I82" s="50">
        <f>$D$12*I79+$D$13*I80+$D$14*I81</f>
        <v/>
      </c>
      <c r="J82" s="50">
        <f>$D$12*J79+$D$13*J80+$D$14*J81</f>
        <v/>
      </c>
      <c r="K82" s="50">
        <f>$D$12*K79+$D$13*K80+$D$14*K81</f>
        <v/>
      </c>
      <c r="L82" s="50">
        <f>$D$12*L79+$D$13*L80+$D$14*L81</f>
        <v/>
      </c>
      <c r="M82" s="50">
        <f>$D$12*M79+$D$13*M80+$D$14*M81</f>
        <v/>
      </c>
      <c r="N82" s="50">
        <f>$D$12*N79+$D$13*N80+$D$14*N81</f>
        <v/>
      </c>
      <c r="O82" s="50">
        <f>$D$12*O79+$D$13*O80+$D$14*O81</f>
        <v/>
      </c>
      <c r="P82" s="50">
        <f>$D$12*P79+$D$13*P80+$D$14*P81</f>
        <v/>
      </c>
    </row>
    <row r="83" hidden="1" outlineLevel="1">
      <c r="B83" s="3" t="inlineStr">
        <is>
          <t>Variable cost per institute, weighted by customer mix</t>
        </is>
      </c>
      <c r="C83" s="5" t="inlineStr">
        <is>
          <t>₹</t>
        </is>
      </c>
      <c r="E83" s="50">
        <f>$D$69*$D$72*INDEX(Season_Idx,E$78)+$D$21*E82+$D$34</f>
        <v/>
      </c>
      <c r="F83" s="50">
        <f>$D$69*$D$72*INDEX(Season_Idx,F$78)+$D$21*F82+$D$34</f>
        <v/>
      </c>
      <c r="G83" s="50">
        <f>$D$69*$D$72*INDEX(Season_Idx,G$78)+$D$21*G82+$D$34</f>
        <v/>
      </c>
      <c r="H83" s="50">
        <f>$D$69*$D$72*INDEX(Season_Idx,H$78)+$D$21*H82+$D$34</f>
        <v/>
      </c>
      <c r="I83" s="50">
        <f>$D$69*$D$72*INDEX(Season_Idx,I$78)+$D$21*I82+$D$34</f>
        <v/>
      </c>
      <c r="J83" s="50">
        <f>$D$69*$D$72*INDEX(Season_Idx,J$78)+$D$21*J82+$D$34</f>
        <v/>
      </c>
      <c r="K83" s="50">
        <f>$D$69*$D$72*INDEX(Season_Idx,K$78)+$D$21*K82+$D$34</f>
        <v/>
      </c>
      <c r="L83" s="50">
        <f>$D$69*$D$72*INDEX(Season_Idx,L$78)+$D$21*L82+$D$34</f>
        <v/>
      </c>
      <c r="M83" s="50">
        <f>$D$69*$D$72*INDEX(Season_Idx,M$78)+$D$21*M82+$D$34</f>
        <v/>
      </c>
      <c r="N83" s="50">
        <f>$D$69*$D$72*INDEX(Season_Idx,N$78)+$D$21*N82+$D$34</f>
        <v/>
      </c>
      <c r="O83" s="50">
        <f>$D$69*$D$72*INDEX(Season_Idx,O$78)+$D$21*O82+$D$34</f>
        <v/>
      </c>
      <c r="P83" s="50">
        <f>$D$69*$D$72*INDEX(Season_Idx,P$78)+$D$21*P82+$D$34</f>
        <v/>
      </c>
    </row>
    <row r="85">
      <c r="A85" s="23" t="n"/>
      <c r="B85" s="22" t="inlineStr">
        <is>
          <t>Annual summary</t>
        </is>
      </c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23" t="n"/>
      <c r="AD85" s="23" t="n"/>
      <c r="AE85" s="23" t="n"/>
      <c r="AF85" s="23" t="n"/>
      <c r="AG85" s="23" t="n"/>
      <c r="AH85" s="23" t="n"/>
      <c r="AI85" s="23" t="n"/>
      <c r="AJ85" s="23" t="n"/>
      <c r="AK85" s="23" t="n"/>
      <c r="AL85" s="23" t="n"/>
      <c r="AM85" s="23" t="n"/>
      <c r="AN85" s="23" t="n"/>
    </row>
    <row r="86">
      <c r="B86" s="56" t="inlineStr">
        <is>
          <t>Financial year (April to March)</t>
        </is>
      </c>
      <c r="D86" s="63" t="n">
        <v>1</v>
      </c>
      <c r="E86" s="63" t="n">
        <v>2</v>
      </c>
      <c r="F86" s="63" t="n">
        <v>3</v>
      </c>
      <c r="G86" s="56" t="inlineStr">
        <is>
          <t>3-year total</t>
        </is>
      </c>
    </row>
    <row r="87">
      <c r="B87" s="7" t="inlineStr">
        <is>
          <t>Revenue</t>
        </is>
      </c>
      <c r="D87" s="52">
        <f>SUMIF($E$114:$AN$114,D$86,$E$128:$AN$128)</f>
        <v/>
      </c>
      <c r="E87" s="52">
        <f>SUMIF($E$114:$AN$114,E$86,$E$128:$AN$128)</f>
        <v/>
      </c>
      <c r="F87" s="52">
        <f>SUMIF($E$114:$AN$114,F$86,$E$128:$AN$128)</f>
        <v/>
      </c>
      <c r="G87" s="50">
        <f>SUM(D87:F87)</f>
        <v/>
      </c>
    </row>
    <row r="88">
      <c r="B88" s="7" t="inlineStr">
        <is>
          <t>Gross profit (after support)</t>
        </is>
      </c>
      <c r="D88" s="50">
        <f>SUMIF($E$114:$AN$114,D$86,$E$135:$AN$135)</f>
        <v/>
      </c>
      <c r="E88" s="50">
        <f>SUMIF($E$114:$AN$114,E$86,$E$135:$AN$135)</f>
        <v/>
      </c>
      <c r="F88" s="50">
        <f>SUMIF($E$114:$AN$114,F$86,$E$135:$AN$135)</f>
        <v/>
      </c>
      <c r="G88" s="50">
        <f>SUM(D88:F88)</f>
        <v/>
      </c>
    </row>
    <row r="89">
      <c r="B89" s="7" t="inlineStr">
        <is>
          <t>Gross margin</t>
        </is>
      </c>
      <c r="D89" s="39">
        <f>IF(D87&lt;&gt;0,D88/D87,0)</f>
        <v/>
      </c>
      <c r="E89" s="39">
        <f>IF(E87&lt;&gt;0,E88/E87,0)</f>
        <v/>
      </c>
      <c r="F89" s="39">
        <f>IF(F87&lt;&gt;0,F88/F87,0)</f>
        <v/>
      </c>
      <c r="G89" s="39">
        <f>IF(G87&lt;&gt;0,G88/G87,0)</f>
        <v/>
      </c>
    </row>
    <row r="90">
      <c r="B90" s="7" t="inlineStr">
        <is>
          <t>Sales and marketing</t>
        </is>
      </c>
      <c r="D90" s="50">
        <f>SUMIF($E$114:$AN$114,D$86,$E$141:$AN$141)</f>
        <v/>
      </c>
      <c r="E90" s="50">
        <f>SUMIF($E$114:$AN$114,E$86,$E$141:$AN$141)</f>
        <v/>
      </c>
      <c r="F90" s="50">
        <f>SUMIF($E$114:$AN$114,F$86,$E$141:$AN$141)</f>
        <v/>
      </c>
      <c r="G90" s="50">
        <f>SUM(D90:F90)</f>
        <v/>
      </c>
    </row>
    <row r="91">
      <c r="B91" s="7" t="inlineStr">
        <is>
          <t>Product and engineering</t>
        </is>
      </c>
      <c r="D91" s="50">
        <f>SUMIF($E$114:$AN$114,D$86,$E$143:$AN$143)</f>
        <v/>
      </c>
      <c r="E91" s="50">
        <f>SUMIF($E$114:$AN$114,E$86,$E$143:$AN$143)</f>
        <v/>
      </c>
      <c r="F91" s="50">
        <f>SUMIF($E$114:$AN$114,F$86,$E$143:$AN$143)</f>
        <v/>
      </c>
      <c r="G91" s="50">
        <f>SUM(D91:F91)</f>
        <v/>
      </c>
    </row>
    <row r="92">
      <c r="B92" s="7" t="inlineStr">
        <is>
          <t>Founders' stipends and general costs</t>
        </is>
      </c>
      <c r="D92" s="50">
        <f>SUMIF($E$114:$AN$114,D$86,$E$144:$AN$144)</f>
        <v/>
      </c>
      <c r="E92" s="50">
        <f>SUMIF($E$114:$AN$114,E$86,$E$144:$AN$144)</f>
        <v/>
      </c>
      <c r="F92" s="50">
        <f>SUMIF($E$114:$AN$114,F$86,$E$144:$AN$144)</f>
        <v/>
      </c>
      <c r="G92" s="50">
        <f>SUM(D92:F92)</f>
        <v/>
      </c>
    </row>
    <row r="93">
      <c r="B93" s="7" t="inlineStr">
        <is>
          <t>EBITDA</t>
        </is>
      </c>
      <c r="D93" s="52">
        <f>SUMIF($E$114:$AN$114,D$86,$E$146:$AN$146)</f>
        <v/>
      </c>
      <c r="E93" s="52">
        <f>SUMIF($E$114:$AN$114,E$86,$E$146:$AN$146)</f>
        <v/>
      </c>
      <c r="F93" s="52">
        <f>SUMIF($E$114:$AN$114,F$86,$E$146:$AN$146)</f>
        <v/>
      </c>
      <c r="G93" s="50">
        <f>SUM(D93:F93)</f>
        <v/>
      </c>
    </row>
    <row r="94">
      <c r="B94" s="7" t="inlineStr">
        <is>
          <t>EBITDA margin</t>
        </is>
      </c>
      <c r="D94" s="39">
        <f>IF(D87&lt;&gt;0,D93/D87,0)</f>
        <v/>
      </c>
      <c r="E94" s="39">
        <f>IF(E87&lt;&gt;0,E93/E87,0)</f>
        <v/>
      </c>
      <c r="F94" s="39">
        <f>IF(F87&lt;&gt;0,F93/F87,0)</f>
        <v/>
      </c>
      <c r="G94" s="39">
        <f>IF(G87&lt;&gt;0,G93/G87,0)</f>
        <v/>
      </c>
    </row>
    <row r="95">
      <c r="B95" s="7" t="inlineStr">
        <is>
          <t>New paying institutes</t>
        </is>
      </c>
      <c r="D95" s="53">
        <f>SUMIF($E$114:$AN$114,D$86,$E$123:$AN$123)</f>
        <v/>
      </c>
      <c r="E95" s="53">
        <f>SUMIF($E$114:$AN$114,E$86,$E$123:$AN$123)</f>
        <v/>
      </c>
      <c r="F95" s="53">
        <f>SUMIF($E$114:$AN$114,F$86,$E$123:$AN$123)</f>
        <v/>
      </c>
      <c r="G95" s="53">
        <f>SUM(D95:F95)</f>
        <v/>
      </c>
    </row>
    <row r="96">
      <c r="B96" s="7" t="inlineStr">
        <is>
          <t>Paying institutes at year end</t>
        </is>
      </c>
      <c r="D96" s="53">
        <f>INDEX($E$126:$AN$126,1,12*D$86)</f>
        <v/>
      </c>
      <c r="E96" s="53">
        <f>INDEX($E$126:$AN$126,1,12*E$86)</f>
        <v/>
      </c>
      <c r="F96" s="53">
        <f>INDEX($E$126:$AN$126,1,12*F$86)</f>
        <v/>
      </c>
    </row>
    <row r="97">
      <c r="B97" s="7" t="inlineStr">
        <is>
          <t>Run-rate annual revenue at year end (institutes × average yearly revenue per institute)</t>
        </is>
      </c>
      <c r="D97" s="52">
        <f>D96*$D$76*12</f>
        <v/>
      </c>
      <c r="E97" s="52">
        <f>E96*$D$76*12</f>
        <v/>
      </c>
      <c r="F97" s="52">
        <f>F96*$D$76*12</f>
        <v/>
      </c>
    </row>
    <row r="98">
      <c r="B98" s="7" t="inlineStr">
        <is>
          <t>Headcount at year end</t>
        </is>
      </c>
      <c r="D98" s="57">
        <f>INDEX($E$150:$AN$150,1,12*D$86)</f>
        <v/>
      </c>
      <c r="E98" s="57">
        <f>INDEX($E$150:$AN$150,1,12*E$86)</f>
        <v/>
      </c>
      <c r="F98" s="57">
        <f>INDEX($E$150:$AN$150,1,12*F$86)</f>
        <v/>
      </c>
    </row>
    <row r="100">
      <c r="A100" s="23" t="n"/>
      <c r="B100" s="22" t="inlineStr">
        <is>
          <t>Funding, break-even and market checks</t>
        </is>
      </c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  <c r="AA100" s="23" t="n"/>
      <c r="AB100" s="23" t="n"/>
      <c r="AC100" s="23" t="n"/>
      <c r="AD100" s="23" t="n"/>
      <c r="AE100" s="23" t="n"/>
      <c r="AF100" s="23" t="n"/>
      <c r="AG100" s="23" t="n"/>
      <c r="AH100" s="23" t="n"/>
      <c r="AI100" s="23" t="n"/>
      <c r="AJ100" s="23" t="n"/>
      <c r="AK100" s="23" t="n"/>
      <c r="AL100" s="23" t="n"/>
      <c r="AM100" s="23" t="n"/>
      <c r="AN100" s="23" t="n"/>
    </row>
    <row r="101">
      <c r="B101" s="7" t="inlineStr">
        <is>
          <t>Peak cash deficit before any funding</t>
        </is>
      </c>
      <c r="C101" s="5" t="inlineStr">
        <is>
          <t>₹</t>
        </is>
      </c>
      <c r="D101" s="52">
        <f>-MIN(0,MIN($E$154:$AN$154))</f>
        <v/>
      </c>
    </row>
    <row r="102">
      <c r="B102" s="7" t="inlineStr">
        <is>
          <t>Cash buffer: months of costs at the point of the deepest deficit</t>
        </is>
      </c>
      <c r="C102" s="5" t="inlineStr">
        <is>
          <t>₹</t>
        </is>
      </c>
      <c r="D102" s="52">
        <f>$D$64*INDEX($E$155:$AN$155,1,MATCH(MIN($E$154:$AN$154),$E$154:$AN$154,0))</f>
        <v/>
      </c>
    </row>
    <row r="103">
      <c r="B103" s="3" t="inlineStr">
        <is>
          <t>FUNDING THE MODEL SAYS WE NEED (peak deficit + buffer, rounded up to ₹5 lakh)</t>
        </is>
      </c>
      <c r="C103" s="5" t="inlineStr">
        <is>
          <t>₹</t>
        </is>
      </c>
      <c r="D103" s="64">
        <f>CEILING($D$101+$D$102,500000)</f>
        <v/>
      </c>
    </row>
    <row r="104">
      <c r="B104" s="7" t="inlineStr">
        <is>
          <t>Cash left at the end of month 36 if that funding arrives in month 1</t>
        </is>
      </c>
      <c r="C104" s="5" t="inlineStr">
        <is>
          <t>₹</t>
        </is>
      </c>
      <c r="D104" s="52">
        <f>$D$103+AN154</f>
        <v/>
      </c>
    </row>
    <row r="105">
      <c r="B105" s="7" t="inlineStr">
        <is>
          <t>Break-even month: first month of 3 in a row with EBITDA ≥ 0</t>
        </is>
      </c>
      <c r="C105" s="5" t="inlineStr">
        <is>
          <t>month #</t>
        </is>
      </c>
      <c r="D105" s="60">
        <f>IFERROR(MATCH(1,$E$158:$AN$158,0),"after month 36")</f>
        <v/>
      </c>
    </row>
    <row r="106">
      <c r="B106" s="7" t="inlineStr">
        <is>
          <t>Break-even month on a trailing-12-month basis (seasonality-proof)</t>
        </is>
      </c>
      <c r="C106" s="5" t="inlineStr">
        <is>
          <t>month #</t>
        </is>
      </c>
      <c r="D106" s="60">
        <f>IFERROR(MATCH(1,$E$159:$AN$159,0),"after month 36")</f>
        <v/>
      </c>
    </row>
    <row r="107">
      <c r="B107" s="7" t="inlineStr">
        <is>
          <t>Share of the addressable market paying us at month 36</t>
        </is>
      </c>
      <c r="C107" s="5" t="inlineStr">
        <is>
          <t>%</t>
        </is>
      </c>
      <c r="D107" s="40">
        <f>IF($D$65&gt;0,AN126/$D$65,0)</f>
        <v/>
      </c>
    </row>
    <row r="108">
      <c r="B108" s="7" t="inlineStr">
        <is>
          <t>Blended CAC realised (sales and marketing ÷ new paying institutes, 36 months)</t>
        </is>
      </c>
      <c r="C108" s="5" t="inlineStr">
        <is>
          <t>₹</t>
        </is>
      </c>
      <c r="D108" s="52">
        <f>IF(SUM($E$123:$AN$123)&gt;0,SUM($E$141:$AN$141)/SUM($E$123:$AN$123),0)</f>
        <v/>
      </c>
    </row>
    <row r="109">
      <c r="B109" s="7" t="inlineStr">
        <is>
          <t>Months in which the market cap limited sales</t>
        </is>
      </c>
      <c r="C109" s="5" t="inlineStr">
        <is>
          <t>months</t>
        </is>
      </c>
      <c r="D109" s="60">
        <f>SUMPRODUCT(($E$123:$AN$123&lt;$E$121:$AN$121-0.000001)*1)</f>
        <v/>
      </c>
    </row>
    <row r="111">
      <c r="A111" s="23" t="n"/>
      <c r="B111" s="22" t="inlineStr">
        <is>
          <t>Monthly model (36 months)</t>
        </is>
      </c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  <c r="AA111" s="23" t="n"/>
      <c r="AB111" s="23" t="n"/>
      <c r="AC111" s="23" t="n"/>
      <c r="AD111" s="23" t="n"/>
      <c r="AE111" s="23" t="n"/>
      <c r="AF111" s="23" t="n"/>
      <c r="AG111" s="23" t="n"/>
      <c r="AH111" s="23" t="n"/>
      <c r="AI111" s="23" t="n"/>
      <c r="AJ111" s="23" t="n"/>
      <c r="AK111" s="23" t="n"/>
      <c r="AL111" s="23" t="n"/>
      <c r="AM111" s="23" t="n"/>
      <c r="AN111" s="23" t="n"/>
    </row>
    <row r="112">
      <c r="B112" s="7" t="inlineStr">
        <is>
          <t>Month number</t>
        </is>
      </c>
      <c r="C112" s="5" t="inlineStr">
        <is>
          <t>no.</t>
        </is>
      </c>
      <c r="E112" s="65" t="n">
        <v>1</v>
      </c>
      <c r="F112" s="65">
        <f>E112+1</f>
        <v/>
      </c>
      <c r="G112" s="65">
        <f>F112+1</f>
        <v/>
      </c>
      <c r="H112" s="65">
        <f>G112+1</f>
        <v/>
      </c>
      <c r="I112" s="65">
        <f>H112+1</f>
        <v/>
      </c>
      <c r="J112" s="65">
        <f>I112+1</f>
        <v/>
      </c>
      <c r="K112" s="65">
        <f>J112+1</f>
        <v/>
      </c>
      <c r="L112" s="65">
        <f>K112+1</f>
        <v/>
      </c>
      <c r="M112" s="65">
        <f>L112+1</f>
        <v/>
      </c>
      <c r="N112" s="65">
        <f>M112+1</f>
        <v/>
      </c>
      <c r="O112" s="65">
        <f>N112+1</f>
        <v/>
      </c>
      <c r="P112" s="65">
        <f>O112+1</f>
        <v/>
      </c>
      <c r="Q112" s="65">
        <f>P112+1</f>
        <v/>
      </c>
      <c r="R112" s="65">
        <f>Q112+1</f>
        <v/>
      </c>
      <c r="S112" s="65">
        <f>R112+1</f>
        <v/>
      </c>
      <c r="T112" s="65">
        <f>S112+1</f>
        <v/>
      </c>
      <c r="U112" s="65">
        <f>T112+1</f>
        <v/>
      </c>
      <c r="V112" s="65">
        <f>U112+1</f>
        <v/>
      </c>
      <c r="W112" s="65">
        <f>V112+1</f>
        <v/>
      </c>
      <c r="X112" s="65">
        <f>W112+1</f>
        <v/>
      </c>
      <c r="Y112" s="65">
        <f>X112+1</f>
        <v/>
      </c>
      <c r="Z112" s="65">
        <f>Y112+1</f>
        <v/>
      </c>
      <c r="AA112" s="65">
        <f>Z112+1</f>
        <v/>
      </c>
      <c r="AB112" s="65">
        <f>AA112+1</f>
        <v/>
      </c>
      <c r="AC112" s="65">
        <f>AB112+1</f>
        <v/>
      </c>
      <c r="AD112" s="65">
        <f>AC112+1</f>
        <v/>
      </c>
      <c r="AE112" s="65">
        <f>AD112+1</f>
        <v/>
      </c>
      <c r="AF112" s="65">
        <f>AE112+1</f>
        <v/>
      </c>
      <c r="AG112" s="65">
        <f>AF112+1</f>
        <v/>
      </c>
      <c r="AH112" s="65">
        <f>AG112+1</f>
        <v/>
      </c>
      <c r="AI112" s="65">
        <f>AH112+1</f>
        <v/>
      </c>
      <c r="AJ112" s="65">
        <f>AI112+1</f>
        <v/>
      </c>
      <c r="AK112" s="65">
        <f>AJ112+1</f>
        <v/>
      </c>
      <c r="AL112" s="65">
        <f>AK112+1</f>
        <v/>
      </c>
      <c r="AM112" s="65">
        <f>AL112+1</f>
        <v/>
      </c>
      <c r="AN112" s="65">
        <f>AM112+1</f>
        <v/>
      </c>
    </row>
    <row r="113">
      <c r="B113" s="7" t="inlineStr">
        <is>
          <t>Calendar month (1 = April)</t>
        </is>
      </c>
      <c r="C113" s="5" t="inlineStr">
        <is>
          <t>no.</t>
        </is>
      </c>
      <c r="E113" s="57">
        <f>MOD(E112-1,12)+1</f>
        <v/>
      </c>
      <c r="F113" s="57">
        <f>MOD(F112-1,12)+1</f>
        <v/>
      </c>
      <c r="G113" s="57">
        <f>MOD(G112-1,12)+1</f>
        <v/>
      </c>
      <c r="H113" s="57">
        <f>MOD(H112-1,12)+1</f>
        <v/>
      </c>
      <c r="I113" s="57">
        <f>MOD(I112-1,12)+1</f>
        <v/>
      </c>
      <c r="J113" s="57">
        <f>MOD(J112-1,12)+1</f>
        <v/>
      </c>
      <c r="K113" s="57">
        <f>MOD(K112-1,12)+1</f>
        <v/>
      </c>
      <c r="L113" s="57">
        <f>MOD(L112-1,12)+1</f>
        <v/>
      </c>
      <c r="M113" s="57">
        <f>MOD(M112-1,12)+1</f>
        <v/>
      </c>
      <c r="N113" s="57">
        <f>MOD(N112-1,12)+1</f>
        <v/>
      </c>
      <c r="O113" s="57">
        <f>MOD(O112-1,12)+1</f>
        <v/>
      </c>
      <c r="P113" s="57">
        <f>MOD(P112-1,12)+1</f>
        <v/>
      </c>
      <c r="Q113" s="57">
        <f>MOD(Q112-1,12)+1</f>
        <v/>
      </c>
      <c r="R113" s="57">
        <f>MOD(R112-1,12)+1</f>
        <v/>
      </c>
      <c r="S113" s="57">
        <f>MOD(S112-1,12)+1</f>
        <v/>
      </c>
      <c r="T113" s="57">
        <f>MOD(T112-1,12)+1</f>
        <v/>
      </c>
      <c r="U113" s="57">
        <f>MOD(U112-1,12)+1</f>
        <v/>
      </c>
      <c r="V113" s="57">
        <f>MOD(V112-1,12)+1</f>
        <v/>
      </c>
      <c r="W113" s="57">
        <f>MOD(W112-1,12)+1</f>
        <v/>
      </c>
      <c r="X113" s="57">
        <f>MOD(X112-1,12)+1</f>
        <v/>
      </c>
      <c r="Y113" s="57">
        <f>MOD(Y112-1,12)+1</f>
        <v/>
      </c>
      <c r="Z113" s="57">
        <f>MOD(Z112-1,12)+1</f>
        <v/>
      </c>
      <c r="AA113" s="57">
        <f>MOD(AA112-1,12)+1</f>
        <v/>
      </c>
      <c r="AB113" s="57">
        <f>MOD(AB112-1,12)+1</f>
        <v/>
      </c>
      <c r="AC113" s="57">
        <f>MOD(AC112-1,12)+1</f>
        <v/>
      </c>
      <c r="AD113" s="57">
        <f>MOD(AD112-1,12)+1</f>
        <v/>
      </c>
      <c r="AE113" s="57">
        <f>MOD(AE112-1,12)+1</f>
        <v/>
      </c>
      <c r="AF113" s="57">
        <f>MOD(AF112-1,12)+1</f>
        <v/>
      </c>
      <c r="AG113" s="57">
        <f>MOD(AG112-1,12)+1</f>
        <v/>
      </c>
      <c r="AH113" s="57">
        <f>MOD(AH112-1,12)+1</f>
        <v/>
      </c>
      <c r="AI113" s="57">
        <f>MOD(AI112-1,12)+1</f>
        <v/>
      </c>
      <c r="AJ113" s="57">
        <f>MOD(AJ112-1,12)+1</f>
        <v/>
      </c>
      <c r="AK113" s="57">
        <f>MOD(AK112-1,12)+1</f>
        <v/>
      </c>
      <c r="AL113" s="57">
        <f>MOD(AL112-1,12)+1</f>
        <v/>
      </c>
      <c r="AM113" s="57">
        <f>MOD(AM112-1,12)+1</f>
        <v/>
      </c>
      <c r="AN113" s="57">
        <f>MOD(AN112-1,12)+1</f>
        <v/>
      </c>
    </row>
    <row r="114">
      <c r="B114" s="7" t="inlineStr">
        <is>
          <t>Financial year</t>
        </is>
      </c>
      <c r="C114" s="5" t="inlineStr">
        <is>
          <t>no.</t>
        </is>
      </c>
      <c r="E114" s="57">
        <f>INT((E112-1)/12)+1</f>
        <v/>
      </c>
      <c r="F114" s="57">
        <f>INT((F112-1)/12)+1</f>
        <v/>
      </c>
      <c r="G114" s="57">
        <f>INT((G112-1)/12)+1</f>
        <v/>
      </c>
      <c r="H114" s="57">
        <f>INT((H112-1)/12)+1</f>
        <v/>
      </c>
      <c r="I114" s="57">
        <f>INT((I112-1)/12)+1</f>
        <v/>
      </c>
      <c r="J114" s="57">
        <f>INT((J112-1)/12)+1</f>
        <v/>
      </c>
      <c r="K114" s="57">
        <f>INT((K112-1)/12)+1</f>
        <v/>
      </c>
      <c r="L114" s="57">
        <f>INT((L112-1)/12)+1</f>
        <v/>
      </c>
      <c r="M114" s="57">
        <f>INT((M112-1)/12)+1</f>
        <v/>
      </c>
      <c r="N114" s="57">
        <f>INT((N112-1)/12)+1</f>
        <v/>
      </c>
      <c r="O114" s="57">
        <f>INT((O112-1)/12)+1</f>
        <v/>
      </c>
      <c r="P114" s="57">
        <f>INT((P112-1)/12)+1</f>
        <v/>
      </c>
      <c r="Q114" s="57">
        <f>INT((Q112-1)/12)+1</f>
        <v/>
      </c>
      <c r="R114" s="57">
        <f>INT((R112-1)/12)+1</f>
        <v/>
      </c>
      <c r="S114" s="57">
        <f>INT((S112-1)/12)+1</f>
        <v/>
      </c>
      <c r="T114" s="57">
        <f>INT((T112-1)/12)+1</f>
        <v/>
      </c>
      <c r="U114" s="57">
        <f>INT((U112-1)/12)+1</f>
        <v/>
      </c>
      <c r="V114" s="57">
        <f>INT((V112-1)/12)+1</f>
        <v/>
      </c>
      <c r="W114" s="57">
        <f>INT((W112-1)/12)+1</f>
        <v/>
      </c>
      <c r="X114" s="57">
        <f>INT((X112-1)/12)+1</f>
        <v/>
      </c>
      <c r="Y114" s="57">
        <f>INT((Y112-1)/12)+1</f>
        <v/>
      </c>
      <c r="Z114" s="57">
        <f>INT((Z112-1)/12)+1</f>
        <v/>
      </c>
      <c r="AA114" s="57">
        <f>INT((AA112-1)/12)+1</f>
        <v/>
      </c>
      <c r="AB114" s="57">
        <f>INT((AB112-1)/12)+1</f>
        <v/>
      </c>
      <c r="AC114" s="57">
        <f>INT((AC112-1)/12)+1</f>
        <v/>
      </c>
      <c r="AD114" s="57">
        <f>INT((AD112-1)/12)+1</f>
        <v/>
      </c>
      <c r="AE114" s="57">
        <f>INT((AE112-1)/12)+1</f>
        <v/>
      </c>
      <c r="AF114" s="57">
        <f>INT((AF112-1)/12)+1</f>
        <v/>
      </c>
      <c r="AG114" s="57">
        <f>INT((AG112-1)/12)+1</f>
        <v/>
      </c>
      <c r="AH114" s="57">
        <f>INT((AH112-1)/12)+1</f>
        <v/>
      </c>
      <c r="AI114" s="57">
        <f>INT((AI112-1)/12)+1</f>
        <v/>
      </c>
      <c r="AJ114" s="57">
        <f>INT((AJ112-1)/12)+1</f>
        <v/>
      </c>
      <c r="AK114" s="57">
        <f>INT((AK112-1)/12)+1</f>
        <v/>
      </c>
      <c r="AL114" s="57">
        <f>INT((AL112-1)/12)+1</f>
        <v/>
      </c>
      <c r="AM114" s="57">
        <f>INT((AM112-1)/12)+1</f>
        <v/>
      </c>
      <c r="AN114" s="57">
        <f>INT((AN112-1)/12)+1</f>
        <v/>
      </c>
    </row>
    <row r="115">
      <c r="B115" s="7" t="inlineStr">
        <is>
          <t>Month</t>
        </is>
      </c>
      <c r="C115" s="5" t="inlineStr"/>
      <c r="E115" s="66">
        <f>INDEX(Seasonality!$B$5:$B$16,E113)&amp;" Y"&amp;E114</f>
        <v/>
      </c>
      <c r="F115" s="66">
        <f>INDEX(Seasonality!$B$5:$B$16,F113)&amp;" Y"&amp;F114</f>
        <v/>
      </c>
      <c r="G115" s="66">
        <f>INDEX(Seasonality!$B$5:$B$16,G113)&amp;" Y"&amp;G114</f>
        <v/>
      </c>
      <c r="H115" s="66">
        <f>INDEX(Seasonality!$B$5:$B$16,H113)&amp;" Y"&amp;H114</f>
        <v/>
      </c>
      <c r="I115" s="66">
        <f>INDEX(Seasonality!$B$5:$B$16,I113)&amp;" Y"&amp;I114</f>
        <v/>
      </c>
      <c r="J115" s="66">
        <f>INDEX(Seasonality!$B$5:$B$16,J113)&amp;" Y"&amp;J114</f>
        <v/>
      </c>
      <c r="K115" s="66">
        <f>INDEX(Seasonality!$B$5:$B$16,K113)&amp;" Y"&amp;K114</f>
        <v/>
      </c>
      <c r="L115" s="66">
        <f>INDEX(Seasonality!$B$5:$B$16,L113)&amp;" Y"&amp;L114</f>
        <v/>
      </c>
      <c r="M115" s="66">
        <f>INDEX(Seasonality!$B$5:$B$16,M113)&amp;" Y"&amp;M114</f>
        <v/>
      </c>
      <c r="N115" s="66">
        <f>INDEX(Seasonality!$B$5:$B$16,N113)&amp;" Y"&amp;N114</f>
        <v/>
      </c>
      <c r="O115" s="66">
        <f>INDEX(Seasonality!$B$5:$B$16,O113)&amp;" Y"&amp;O114</f>
        <v/>
      </c>
      <c r="P115" s="66">
        <f>INDEX(Seasonality!$B$5:$B$16,P113)&amp;" Y"&amp;P114</f>
        <v/>
      </c>
      <c r="Q115" s="66">
        <f>INDEX(Seasonality!$B$5:$B$16,Q113)&amp;" Y"&amp;Q114</f>
        <v/>
      </c>
      <c r="R115" s="66">
        <f>INDEX(Seasonality!$B$5:$B$16,R113)&amp;" Y"&amp;R114</f>
        <v/>
      </c>
      <c r="S115" s="66">
        <f>INDEX(Seasonality!$B$5:$B$16,S113)&amp;" Y"&amp;S114</f>
        <v/>
      </c>
      <c r="T115" s="66">
        <f>INDEX(Seasonality!$B$5:$B$16,T113)&amp;" Y"&amp;T114</f>
        <v/>
      </c>
      <c r="U115" s="66">
        <f>INDEX(Seasonality!$B$5:$B$16,U113)&amp;" Y"&amp;U114</f>
        <v/>
      </c>
      <c r="V115" s="66">
        <f>INDEX(Seasonality!$B$5:$B$16,V113)&amp;" Y"&amp;V114</f>
        <v/>
      </c>
      <c r="W115" s="66">
        <f>INDEX(Seasonality!$B$5:$B$16,W113)&amp;" Y"&amp;W114</f>
        <v/>
      </c>
      <c r="X115" s="66">
        <f>INDEX(Seasonality!$B$5:$B$16,X113)&amp;" Y"&amp;X114</f>
        <v/>
      </c>
      <c r="Y115" s="66">
        <f>INDEX(Seasonality!$B$5:$B$16,Y113)&amp;" Y"&amp;Y114</f>
        <v/>
      </c>
      <c r="Z115" s="66">
        <f>INDEX(Seasonality!$B$5:$B$16,Z113)&amp;" Y"&amp;Z114</f>
        <v/>
      </c>
      <c r="AA115" s="66">
        <f>INDEX(Seasonality!$B$5:$B$16,AA113)&amp;" Y"&amp;AA114</f>
        <v/>
      </c>
      <c r="AB115" s="66">
        <f>INDEX(Seasonality!$B$5:$B$16,AB113)&amp;" Y"&amp;AB114</f>
        <v/>
      </c>
      <c r="AC115" s="66">
        <f>INDEX(Seasonality!$B$5:$B$16,AC113)&amp;" Y"&amp;AC114</f>
        <v/>
      </c>
      <c r="AD115" s="66">
        <f>INDEX(Seasonality!$B$5:$B$16,AD113)&amp;" Y"&amp;AD114</f>
        <v/>
      </c>
      <c r="AE115" s="66">
        <f>INDEX(Seasonality!$B$5:$B$16,AE113)&amp;" Y"&amp;AE114</f>
        <v/>
      </c>
      <c r="AF115" s="66">
        <f>INDEX(Seasonality!$B$5:$B$16,AF113)&amp;" Y"&amp;AF114</f>
        <v/>
      </c>
      <c r="AG115" s="66">
        <f>INDEX(Seasonality!$B$5:$B$16,AG113)&amp;" Y"&amp;AG114</f>
        <v/>
      </c>
      <c r="AH115" s="66">
        <f>INDEX(Seasonality!$B$5:$B$16,AH113)&amp;" Y"&amp;AH114</f>
        <v/>
      </c>
      <c r="AI115" s="66">
        <f>INDEX(Seasonality!$B$5:$B$16,AI113)&amp;" Y"&amp;AI114</f>
        <v/>
      </c>
      <c r="AJ115" s="66">
        <f>INDEX(Seasonality!$B$5:$B$16,AJ113)&amp;" Y"&amp;AJ114</f>
        <v/>
      </c>
      <c r="AK115" s="66">
        <f>INDEX(Seasonality!$B$5:$B$16,AK113)&amp;" Y"&amp;AK114</f>
        <v/>
      </c>
      <c r="AL115" s="66">
        <f>INDEX(Seasonality!$B$5:$B$16,AL113)&amp;" Y"&amp;AL114</f>
        <v/>
      </c>
      <c r="AM115" s="66">
        <f>INDEX(Seasonality!$B$5:$B$16,AM113)&amp;" Y"&amp;AM114</f>
        <v/>
      </c>
      <c r="AN115" s="66">
        <f>INDEX(Seasonality!$B$5:$B$16,AN113)&amp;" Y"&amp;AN114</f>
        <v/>
      </c>
    </row>
    <row r="116">
      <c r="A116" s="23" t="n"/>
      <c r="B116" s="22" t="inlineStr">
        <is>
          <t>A. Sales engine</t>
        </is>
      </c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  <c r="AA116" s="23" t="n"/>
      <c r="AB116" s="23" t="n"/>
      <c r="AC116" s="23" t="n"/>
      <c r="AD116" s="23" t="n"/>
      <c r="AE116" s="23" t="n"/>
      <c r="AF116" s="23" t="n"/>
      <c r="AG116" s="23" t="n"/>
      <c r="AH116" s="23" t="n"/>
      <c r="AI116" s="23" t="n"/>
      <c r="AJ116" s="23" t="n"/>
      <c r="AK116" s="23" t="n"/>
      <c r="AL116" s="23" t="n"/>
      <c r="AM116" s="23" t="n"/>
      <c r="AN116" s="23" t="n"/>
    </row>
    <row r="117">
      <c r="B117" s="7" t="inlineStr">
        <is>
          <t>Cost inflation factor</t>
        </is>
      </c>
      <c r="C117" s="5" t="inlineStr">
        <is>
          <t>x</t>
        </is>
      </c>
      <c r="E117" s="41">
        <f>(1+$D$61)^(E114-1)</f>
        <v/>
      </c>
      <c r="F117" s="41">
        <f>(1+$D$61)^(F114-1)</f>
        <v/>
      </c>
      <c r="G117" s="41">
        <f>(1+$D$61)^(G114-1)</f>
        <v/>
      </c>
      <c r="H117" s="41">
        <f>(1+$D$61)^(H114-1)</f>
        <v/>
      </c>
      <c r="I117" s="41">
        <f>(1+$D$61)^(I114-1)</f>
        <v/>
      </c>
      <c r="J117" s="41">
        <f>(1+$D$61)^(J114-1)</f>
        <v/>
      </c>
      <c r="K117" s="41">
        <f>(1+$D$61)^(K114-1)</f>
        <v/>
      </c>
      <c r="L117" s="41">
        <f>(1+$D$61)^(L114-1)</f>
        <v/>
      </c>
      <c r="M117" s="41">
        <f>(1+$D$61)^(M114-1)</f>
        <v/>
      </c>
      <c r="N117" s="41">
        <f>(1+$D$61)^(N114-1)</f>
        <v/>
      </c>
      <c r="O117" s="41">
        <f>(1+$D$61)^(O114-1)</f>
        <v/>
      </c>
      <c r="P117" s="41">
        <f>(1+$D$61)^(P114-1)</f>
        <v/>
      </c>
      <c r="Q117" s="41">
        <f>(1+$D$61)^(Q114-1)</f>
        <v/>
      </c>
      <c r="R117" s="41">
        <f>(1+$D$61)^(R114-1)</f>
        <v/>
      </c>
      <c r="S117" s="41">
        <f>(1+$D$61)^(S114-1)</f>
        <v/>
      </c>
      <c r="T117" s="41">
        <f>(1+$D$61)^(T114-1)</f>
        <v/>
      </c>
      <c r="U117" s="41">
        <f>(1+$D$61)^(U114-1)</f>
        <v/>
      </c>
      <c r="V117" s="41">
        <f>(1+$D$61)^(V114-1)</f>
        <v/>
      </c>
      <c r="W117" s="41">
        <f>(1+$D$61)^(W114-1)</f>
        <v/>
      </c>
      <c r="X117" s="41">
        <f>(1+$D$61)^(X114-1)</f>
        <v/>
      </c>
      <c r="Y117" s="41">
        <f>(1+$D$61)^(Y114-1)</f>
        <v/>
      </c>
      <c r="Z117" s="41">
        <f>(1+$D$61)^(Z114-1)</f>
        <v/>
      </c>
      <c r="AA117" s="41">
        <f>(1+$D$61)^(AA114-1)</f>
        <v/>
      </c>
      <c r="AB117" s="41">
        <f>(1+$D$61)^(AB114-1)</f>
        <v/>
      </c>
      <c r="AC117" s="41">
        <f>(1+$D$61)^(AC114-1)</f>
        <v/>
      </c>
      <c r="AD117" s="41">
        <f>(1+$D$61)^(AD114-1)</f>
        <v/>
      </c>
      <c r="AE117" s="41">
        <f>(1+$D$61)^(AE114-1)</f>
        <v/>
      </c>
      <c r="AF117" s="41">
        <f>(1+$D$61)^(AF114-1)</f>
        <v/>
      </c>
      <c r="AG117" s="41">
        <f>(1+$D$61)^(AG114-1)</f>
        <v/>
      </c>
      <c r="AH117" s="41">
        <f>(1+$D$61)^(AH114-1)</f>
        <v/>
      </c>
      <c r="AI117" s="41">
        <f>(1+$D$61)^(AI114-1)</f>
        <v/>
      </c>
      <c r="AJ117" s="41">
        <f>(1+$D$61)^(AJ114-1)</f>
        <v/>
      </c>
      <c r="AK117" s="41">
        <f>(1+$D$61)^(AK114-1)</f>
        <v/>
      </c>
      <c r="AL117" s="41">
        <f>(1+$D$61)^(AL114-1)</f>
        <v/>
      </c>
      <c r="AM117" s="41">
        <f>(1+$D$61)^(AM114-1)</f>
        <v/>
      </c>
      <c r="AN117" s="41">
        <f>(1+$D$61)^(AN114-1)</f>
        <v/>
      </c>
    </row>
    <row r="118">
      <c r="B118" s="7" t="inlineStr">
        <is>
          <t>Sales intensity index</t>
        </is>
      </c>
      <c r="C118" s="5" t="inlineStr">
        <is>
          <t>x</t>
        </is>
      </c>
      <c r="E118" s="41">
        <f>INDEX(Sales_Idx,E113)</f>
        <v/>
      </c>
      <c r="F118" s="41">
        <f>INDEX(Sales_Idx,F113)</f>
        <v/>
      </c>
      <c r="G118" s="41">
        <f>INDEX(Sales_Idx,G113)</f>
        <v/>
      </c>
      <c r="H118" s="41">
        <f>INDEX(Sales_Idx,H113)</f>
        <v/>
      </c>
      <c r="I118" s="41">
        <f>INDEX(Sales_Idx,I113)</f>
        <v/>
      </c>
      <c r="J118" s="41">
        <f>INDEX(Sales_Idx,J113)</f>
        <v/>
      </c>
      <c r="K118" s="41">
        <f>INDEX(Sales_Idx,K113)</f>
        <v/>
      </c>
      <c r="L118" s="41">
        <f>INDEX(Sales_Idx,L113)</f>
        <v/>
      </c>
      <c r="M118" s="41">
        <f>INDEX(Sales_Idx,M113)</f>
        <v/>
      </c>
      <c r="N118" s="41">
        <f>INDEX(Sales_Idx,N113)</f>
        <v/>
      </c>
      <c r="O118" s="41">
        <f>INDEX(Sales_Idx,O113)</f>
        <v/>
      </c>
      <c r="P118" s="41">
        <f>INDEX(Sales_Idx,P113)</f>
        <v/>
      </c>
      <c r="Q118" s="41">
        <f>INDEX(Sales_Idx,Q113)</f>
        <v/>
      </c>
      <c r="R118" s="41">
        <f>INDEX(Sales_Idx,R113)</f>
        <v/>
      </c>
      <c r="S118" s="41">
        <f>INDEX(Sales_Idx,S113)</f>
        <v/>
      </c>
      <c r="T118" s="41">
        <f>INDEX(Sales_Idx,T113)</f>
        <v/>
      </c>
      <c r="U118" s="41">
        <f>INDEX(Sales_Idx,U113)</f>
        <v/>
      </c>
      <c r="V118" s="41">
        <f>INDEX(Sales_Idx,V113)</f>
        <v/>
      </c>
      <c r="W118" s="41">
        <f>INDEX(Sales_Idx,W113)</f>
        <v/>
      </c>
      <c r="X118" s="41">
        <f>INDEX(Sales_Idx,X113)</f>
        <v/>
      </c>
      <c r="Y118" s="41">
        <f>INDEX(Sales_Idx,Y113)</f>
        <v/>
      </c>
      <c r="Z118" s="41">
        <f>INDEX(Sales_Idx,Z113)</f>
        <v/>
      </c>
      <c r="AA118" s="41">
        <f>INDEX(Sales_Idx,AA113)</f>
        <v/>
      </c>
      <c r="AB118" s="41">
        <f>INDEX(Sales_Idx,AB113)</f>
        <v/>
      </c>
      <c r="AC118" s="41">
        <f>INDEX(Sales_Idx,AC113)</f>
        <v/>
      </c>
      <c r="AD118" s="41">
        <f>INDEX(Sales_Idx,AD113)</f>
        <v/>
      </c>
      <c r="AE118" s="41">
        <f>INDEX(Sales_Idx,AE113)</f>
        <v/>
      </c>
      <c r="AF118" s="41">
        <f>INDEX(Sales_Idx,AF113)</f>
        <v/>
      </c>
      <c r="AG118" s="41">
        <f>INDEX(Sales_Idx,AG113)</f>
        <v/>
      </c>
      <c r="AH118" s="41">
        <f>INDEX(Sales_Idx,AH113)</f>
        <v/>
      </c>
      <c r="AI118" s="41">
        <f>INDEX(Sales_Idx,AI113)</f>
        <v/>
      </c>
      <c r="AJ118" s="41">
        <f>INDEX(Sales_Idx,AJ113)</f>
        <v/>
      </c>
      <c r="AK118" s="41">
        <f>INDEX(Sales_Idx,AK113)</f>
        <v/>
      </c>
      <c r="AL118" s="41">
        <f>INDEX(Sales_Idx,AL113)</f>
        <v/>
      </c>
      <c r="AM118" s="41">
        <f>INDEX(Sales_Idx,AM113)</f>
        <v/>
      </c>
      <c r="AN118" s="41">
        <f>INDEX(Sales_Idx,AN113)</f>
        <v/>
      </c>
    </row>
    <row r="119">
      <c r="B119" s="7" t="inlineStr">
        <is>
          <t>Field sales reps</t>
        </is>
      </c>
      <c r="C119" s="5" t="inlineStr">
        <is>
          <t>people</t>
        </is>
      </c>
      <c r="E119" s="57">
        <f>CHOOSE(E114,$D$56,$D$57,$D$58)</f>
        <v/>
      </c>
      <c r="F119" s="57">
        <f>CHOOSE(F114,$D$56,$D$57,$D$58)</f>
        <v/>
      </c>
      <c r="G119" s="57">
        <f>CHOOSE(G114,$D$56,$D$57,$D$58)</f>
        <v/>
      </c>
      <c r="H119" s="57">
        <f>CHOOSE(H114,$D$56,$D$57,$D$58)</f>
        <v/>
      </c>
      <c r="I119" s="57">
        <f>CHOOSE(I114,$D$56,$D$57,$D$58)</f>
        <v/>
      </c>
      <c r="J119" s="57">
        <f>CHOOSE(J114,$D$56,$D$57,$D$58)</f>
        <v/>
      </c>
      <c r="K119" s="57">
        <f>CHOOSE(K114,$D$56,$D$57,$D$58)</f>
        <v/>
      </c>
      <c r="L119" s="57">
        <f>CHOOSE(L114,$D$56,$D$57,$D$58)</f>
        <v/>
      </c>
      <c r="M119" s="57">
        <f>CHOOSE(M114,$D$56,$D$57,$D$58)</f>
        <v/>
      </c>
      <c r="N119" s="57">
        <f>CHOOSE(N114,$D$56,$D$57,$D$58)</f>
        <v/>
      </c>
      <c r="O119" s="57">
        <f>CHOOSE(O114,$D$56,$D$57,$D$58)</f>
        <v/>
      </c>
      <c r="P119" s="57">
        <f>CHOOSE(P114,$D$56,$D$57,$D$58)</f>
        <v/>
      </c>
      <c r="Q119" s="57">
        <f>CHOOSE(Q114,$D$56,$D$57,$D$58)</f>
        <v/>
      </c>
      <c r="R119" s="57">
        <f>CHOOSE(R114,$D$56,$D$57,$D$58)</f>
        <v/>
      </c>
      <c r="S119" s="57">
        <f>CHOOSE(S114,$D$56,$D$57,$D$58)</f>
        <v/>
      </c>
      <c r="T119" s="57">
        <f>CHOOSE(T114,$D$56,$D$57,$D$58)</f>
        <v/>
      </c>
      <c r="U119" s="57">
        <f>CHOOSE(U114,$D$56,$D$57,$D$58)</f>
        <v/>
      </c>
      <c r="V119" s="57">
        <f>CHOOSE(V114,$D$56,$D$57,$D$58)</f>
        <v/>
      </c>
      <c r="W119" s="57">
        <f>CHOOSE(W114,$D$56,$D$57,$D$58)</f>
        <v/>
      </c>
      <c r="X119" s="57">
        <f>CHOOSE(X114,$D$56,$D$57,$D$58)</f>
        <v/>
      </c>
      <c r="Y119" s="57">
        <f>CHOOSE(Y114,$D$56,$D$57,$D$58)</f>
        <v/>
      </c>
      <c r="Z119" s="57">
        <f>CHOOSE(Z114,$D$56,$D$57,$D$58)</f>
        <v/>
      </c>
      <c r="AA119" s="57">
        <f>CHOOSE(AA114,$D$56,$D$57,$D$58)</f>
        <v/>
      </c>
      <c r="AB119" s="57">
        <f>CHOOSE(AB114,$D$56,$D$57,$D$58)</f>
        <v/>
      </c>
      <c r="AC119" s="57">
        <f>CHOOSE(AC114,$D$56,$D$57,$D$58)</f>
        <v/>
      </c>
      <c r="AD119" s="57">
        <f>CHOOSE(AD114,$D$56,$D$57,$D$58)</f>
        <v/>
      </c>
      <c r="AE119" s="57">
        <f>CHOOSE(AE114,$D$56,$D$57,$D$58)</f>
        <v/>
      </c>
      <c r="AF119" s="57">
        <f>CHOOSE(AF114,$D$56,$D$57,$D$58)</f>
        <v/>
      </c>
      <c r="AG119" s="57">
        <f>CHOOSE(AG114,$D$56,$D$57,$D$58)</f>
        <v/>
      </c>
      <c r="AH119" s="57">
        <f>CHOOSE(AH114,$D$56,$D$57,$D$58)</f>
        <v/>
      </c>
      <c r="AI119" s="57">
        <f>CHOOSE(AI114,$D$56,$D$57,$D$58)</f>
        <v/>
      </c>
      <c r="AJ119" s="57">
        <f>CHOOSE(AJ114,$D$56,$D$57,$D$58)</f>
        <v/>
      </c>
      <c r="AK119" s="57">
        <f>CHOOSE(AK114,$D$56,$D$57,$D$58)</f>
        <v/>
      </c>
      <c r="AL119" s="57">
        <f>CHOOSE(AL114,$D$56,$D$57,$D$58)</f>
        <v/>
      </c>
      <c r="AM119" s="57">
        <f>CHOOSE(AM114,$D$56,$D$57,$D$58)</f>
        <v/>
      </c>
      <c r="AN119" s="57">
        <f>CHOOSE(AN114,$D$56,$D$57,$D$58)</f>
        <v/>
      </c>
    </row>
    <row r="120">
      <c r="B120" s="7" t="inlineStr">
        <is>
          <t>Free pilots started</t>
        </is>
      </c>
      <c r="C120" s="5" t="inlineStr">
        <is>
          <t>pilots</t>
        </is>
      </c>
      <c r="E120" s="53">
        <f>E119*$D$40*E118</f>
        <v/>
      </c>
      <c r="F120" s="53">
        <f>F119*$D$40*F118</f>
        <v/>
      </c>
      <c r="G120" s="53">
        <f>G119*$D$40*G118</f>
        <v/>
      </c>
      <c r="H120" s="53">
        <f>H119*$D$40*H118</f>
        <v/>
      </c>
      <c r="I120" s="53">
        <f>I119*$D$40*I118</f>
        <v/>
      </c>
      <c r="J120" s="53">
        <f>J119*$D$40*J118</f>
        <v/>
      </c>
      <c r="K120" s="53">
        <f>K119*$D$40*K118</f>
        <v/>
      </c>
      <c r="L120" s="53">
        <f>L119*$D$40*L118</f>
        <v/>
      </c>
      <c r="M120" s="53">
        <f>M119*$D$40*M118</f>
        <v/>
      </c>
      <c r="N120" s="53">
        <f>N119*$D$40*N118</f>
        <v/>
      </c>
      <c r="O120" s="53">
        <f>O119*$D$40*O118</f>
        <v/>
      </c>
      <c r="P120" s="53">
        <f>P119*$D$40*P118</f>
        <v/>
      </c>
      <c r="Q120" s="53">
        <f>Q119*$D$40*Q118</f>
        <v/>
      </c>
      <c r="R120" s="53">
        <f>R119*$D$40*R118</f>
        <v/>
      </c>
      <c r="S120" s="53">
        <f>S119*$D$40*S118</f>
        <v/>
      </c>
      <c r="T120" s="53">
        <f>T119*$D$40*T118</f>
        <v/>
      </c>
      <c r="U120" s="53">
        <f>U119*$D$40*U118</f>
        <v/>
      </c>
      <c r="V120" s="53">
        <f>V119*$D$40*V118</f>
        <v/>
      </c>
      <c r="W120" s="53">
        <f>W119*$D$40*W118</f>
        <v/>
      </c>
      <c r="X120" s="53">
        <f>X119*$D$40*X118</f>
        <v/>
      </c>
      <c r="Y120" s="53">
        <f>Y119*$D$40*Y118</f>
        <v/>
      </c>
      <c r="Z120" s="53">
        <f>Z119*$D$40*Z118</f>
        <v/>
      </c>
      <c r="AA120" s="53">
        <f>AA119*$D$40*AA118</f>
        <v/>
      </c>
      <c r="AB120" s="53">
        <f>AB119*$D$40*AB118</f>
        <v/>
      </c>
      <c r="AC120" s="53">
        <f>AC119*$D$40*AC118</f>
        <v/>
      </c>
      <c r="AD120" s="53">
        <f>AD119*$D$40*AD118</f>
        <v/>
      </c>
      <c r="AE120" s="53">
        <f>AE119*$D$40*AE118</f>
        <v/>
      </c>
      <c r="AF120" s="53">
        <f>AF119*$D$40*AF118</f>
        <v/>
      </c>
      <c r="AG120" s="53">
        <f>AG119*$D$40*AG118</f>
        <v/>
      </c>
      <c r="AH120" s="53">
        <f>AH119*$D$40*AH118</f>
        <v/>
      </c>
      <c r="AI120" s="53">
        <f>AI119*$D$40*AI118</f>
        <v/>
      </c>
      <c r="AJ120" s="53">
        <f>AJ119*$D$40*AJ118</f>
        <v/>
      </c>
      <c r="AK120" s="53">
        <f>AK119*$D$40*AK118</f>
        <v/>
      </c>
      <c r="AL120" s="53">
        <f>AL119*$D$40*AL118</f>
        <v/>
      </c>
      <c r="AM120" s="53">
        <f>AM119*$D$40*AM118</f>
        <v/>
      </c>
      <c r="AN120" s="53">
        <f>AN119*$D$40*AN118</f>
        <v/>
      </c>
    </row>
    <row r="121">
      <c r="B121" s="7" t="inlineStr">
        <is>
          <t>New paying institutes before the market cap</t>
        </is>
      </c>
      <c r="C121" s="5" t="inlineStr">
        <is>
          <t>institutes</t>
        </is>
      </c>
      <c r="E121" s="53">
        <f>IF(E112&gt;$D$42,INDEX($E$120:$AN$120,1,E112-$D$42),0)*$D$41</f>
        <v/>
      </c>
      <c r="F121" s="53">
        <f>IF(F112&gt;$D$42,INDEX($E$120:$AN$120,1,F112-$D$42),0)*$D$41</f>
        <v/>
      </c>
      <c r="G121" s="53">
        <f>IF(G112&gt;$D$42,INDEX($E$120:$AN$120,1,G112-$D$42),0)*$D$41</f>
        <v/>
      </c>
      <c r="H121" s="53">
        <f>IF(H112&gt;$D$42,INDEX($E$120:$AN$120,1,H112-$D$42),0)*$D$41</f>
        <v/>
      </c>
      <c r="I121" s="53">
        <f>IF(I112&gt;$D$42,INDEX($E$120:$AN$120,1,I112-$D$42),0)*$D$41</f>
        <v/>
      </c>
      <c r="J121" s="53">
        <f>IF(J112&gt;$D$42,INDEX($E$120:$AN$120,1,J112-$D$42),0)*$D$41</f>
        <v/>
      </c>
      <c r="K121" s="53">
        <f>IF(K112&gt;$D$42,INDEX($E$120:$AN$120,1,K112-$D$42),0)*$D$41</f>
        <v/>
      </c>
      <c r="L121" s="53">
        <f>IF(L112&gt;$D$42,INDEX($E$120:$AN$120,1,L112-$D$42),0)*$D$41</f>
        <v/>
      </c>
      <c r="M121" s="53">
        <f>IF(M112&gt;$D$42,INDEX($E$120:$AN$120,1,M112-$D$42),0)*$D$41</f>
        <v/>
      </c>
      <c r="N121" s="53">
        <f>IF(N112&gt;$D$42,INDEX($E$120:$AN$120,1,N112-$D$42),0)*$D$41</f>
        <v/>
      </c>
      <c r="O121" s="53">
        <f>IF(O112&gt;$D$42,INDEX($E$120:$AN$120,1,O112-$D$42),0)*$D$41</f>
        <v/>
      </c>
      <c r="P121" s="53">
        <f>IF(P112&gt;$D$42,INDEX($E$120:$AN$120,1,P112-$D$42),0)*$D$41</f>
        <v/>
      </c>
      <c r="Q121" s="53">
        <f>IF(Q112&gt;$D$42,INDEX($E$120:$AN$120,1,Q112-$D$42),0)*$D$41</f>
        <v/>
      </c>
      <c r="R121" s="53">
        <f>IF(R112&gt;$D$42,INDEX($E$120:$AN$120,1,R112-$D$42),0)*$D$41</f>
        <v/>
      </c>
      <c r="S121" s="53">
        <f>IF(S112&gt;$D$42,INDEX($E$120:$AN$120,1,S112-$D$42),0)*$D$41</f>
        <v/>
      </c>
      <c r="T121" s="53">
        <f>IF(T112&gt;$D$42,INDEX($E$120:$AN$120,1,T112-$D$42),0)*$D$41</f>
        <v/>
      </c>
      <c r="U121" s="53">
        <f>IF(U112&gt;$D$42,INDEX($E$120:$AN$120,1,U112-$D$42),0)*$D$41</f>
        <v/>
      </c>
      <c r="V121" s="53">
        <f>IF(V112&gt;$D$42,INDEX($E$120:$AN$120,1,V112-$D$42),0)*$D$41</f>
        <v/>
      </c>
      <c r="W121" s="53">
        <f>IF(W112&gt;$D$42,INDEX($E$120:$AN$120,1,W112-$D$42),0)*$D$41</f>
        <v/>
      </c>
      <c r="X121" s="53">
        <f>IF(X112&gt;$D$42,INDEX($E$120:$AN$120,1,X112-$D$42),0)*$D$41</f>
        <v/>
      </c>
      <c r="Y121" s="53">
        <f>IF(Y112&gt;$D$42,INDEX($E$120:$AN$120,1,Y112-$D$42),0)*$D$41</f>
        <v/>
      </c>
      <c r="Z121" s="53">
        <f>IF(Z112&gt;$D$42,INDEX($E$120:$AN$120,1,Z112-$D$42),0)*$D$41</f>
        <v/>
      </c>
      <c r="AA121" s="53">
        <f>IF(AA112&gt;$D$42,INDEX($E$120:$AN$120,1,AA112-$D$42),0)*$D$41</f>
        <v/>
      </c>
      <c r="AB121" s="53">
        <f>IF(AB112&gt;$D$42,INDEX($E$120:$AN$120,1,AB112-$D$42),0)*$D$41</f>
        <v/>
      </c>
      <c r="AC121" s="53">
        <f>IF(AC112&gt;$D$42,INDEX($E$120:$AN$120,1,AC112-$D$42),0)*$D$41</f>
        <v/>
      </c>
      <c r="AD121" s="53">
        <f>IF(AD112&gt;$D$42,INDEX($E$120:$AN$120,1,AD112-$D$42),0)*$D$41</f>
        <v/>
      </c>
      <c r="AE121" s="53">
        <f>IF(AE112&gt;$D$42,INDEX($E$120:$AN$120,1,AE112-$D$42),0)*$D$41</f>
        <v/>
      </c>
      <c r="AF121" s="53">
        <f>IF(AF112&gt;$D$42,INDEX($E$120:$AN$120,1,AF112-$D$42),0)*$D$41</f>
        <v/>
      </c>
      <c r="AG121" s="53">
        <f>IF(AG112&gt;$D$42,INDEX($E$120:$AN$120,1,AG112-$D$42),0)*$D$41</f>
        <v/>
      </c>
      <c r="AH121" s="53">
        <f>IF(AH112&gt;$D$42,INDEX($E$120:$AN$120,1,AH112-$D$42),0)*$D$41</f>
        <v/>
      </c>
      <c r="AI121" s="53">
        <f>IF(AI112&gt;$D$42,INDEX($E$120:$AN$120,1,AI112-$D$42),0)*$D$41</f>
        <v/>
      </c>
      <c r="AJ121" s="53">
        <f>IF(AJ112&gt;$D$42,INDEX($E$120:$AN$120,1,AJ112-$D$42),0)*$D$41</f>
        <v/>
      </c>
      <c r="AK121" s="53">
        <f>IF(AK112&gt;$D$42,INDEX($E$120:$AN$120,1,AK112-$D$42),0)*$D$41</f>
        <v/>
      </c>
      <c r="AL121" s="53">
        <f>IF(AL112&gt;$D$42,INDEX($E$120:$AN$120,1,AL112-$D$42),0)*$D$41</f>
        <v/>
      </c>
      <c r="AM121" s="53">
        <f>IF(AM112&gt;$D$42,INDEX($E$120:$AN$120,1,AM112-$D$42),0)*$D$41</f>
        <v/>
      </c>
      <c r="AN121" s="53">
        <f>IF(AN112&gt;$D$42,INDEX($E$120:$AN$120,1,AN112-$D$42),0)*$D$41</f>
        <v/>
      </c>
    </row>
    <row r="122">
      <c r="B122" s="7" t="inlineStr">
        <is>
          <t>Market headroom left (SAM × max penetration − institutes won so far)</t>
        </is>
      </c>
      <c r="C122" s="5" t="inlineStr">
        <is>
          <t>institutes</t>
        </is>
      </c>
      <c r="E122" s="53">
        <f>MAX(0,$D$75)</f>
        <v/>
      </c>
      <c r="F122" s="53">
        <f>MAX(0,$D$75-E124)</f>
        <v/>
      </c>
      <c r="G122" s="53">
        <f>MAX(0,$D$75-F124)</f>
        <v/>
      </c>
      <c r="H122" s="53">
        <f>MAX(0,$D$75-G124)</f>
        <v/>
      </c>
      <c r="I122" s="53">
        <f>MAX(0,$D$75-H124)</f>
        <v/>
      </c>
      <c r="J122" s="53">
        <f>MAX(0,$D$75-I124)</f>
        <v/>
      </c>
      <c r="K122" s="53">
        <f>MAX(0,$D$75-J124)</f>
        <v/>
      </c>
      <c r="L122" s="53">
        <f>MAX(0,$D$75-K124)</f>
        <v/>
      </c>
      <c r="M122" s="53">
        <f>MAX(0,$D$75-L124)</f>
        <v/>
      </c>
      <c r="N122" s="53">
        <f>MAX(0,$D$75-M124)</f>
        <v/>
      </c>
      <c r="O122" s="53">
        <f>MAX(0,$D$75-N124)</f>
        <v/>
      </c>
      <c r="P122" s="53">
        <f>MAX(0,$D$75-O124)</f>
        <v/>
      </c>
      <c r="Q122" s="53">
        <f>MAX(0,$D$75-P124)</f>
        <v/>
      </c>
      <c r="R122" s="53">
        <f>MAX(0,$D$75-Q124)</f>
        <v/>
      </c>
      <c r="S122" s="53">
        <f>MAX(0,$D$75-R124)</f>
        <v/>
      </c>
      <c r="T122" s="53">
        <f>MAX(0,$D$75-S124)</f>
        <v/>
      </c>
      <c r="U122" s="53">
        <f>MAX(0,$D$75-T124)</f>
        <v/>
      </c>
      <c r="V122" s="53">
        <f>MAX(0,$D$75-U124)</f>
        <v/>
      </c>
      <c r="W122" s="53">
        <f>MAX(0,$D$75-V124)</f>
        <v/>
      </c>
      <c r="X122" s="53">
        <f>MAX(0,$D$75-W124)</f>
        <v/>
      </c>
      <c r="Y122" s="53">
        <f>MAX(0,$D$75-X124)</f>
        <v/>
      </c>
      <c r="Z122" s="53">
        <f>MAX(0,$D$75-Y124)</f>
        <v/>
      </c>
      <c r="AA122" s="53">
        <f>MAX(0,$D$75-Z124)</f>
        <v/>
      </c>
      <c r="AB122" s="53">
        <f>MAX(0,$D$75-AA124)</f>
        <v/>
      </c>
      <c r="AC122" s="53">
        <f>MAX(0,$D$75-AB124)</f>
        <v/>
      </c>
      <c r="AD122" s="53">
        <f>MAX(0,$D$75-AC124)</f>
        <v/>
      </c>
      <c r="AE122" s="53">
        <f>MAX(0,$D$75-AD124)</f>
        <v/>
      </c>
      <c r="AF122" s="53">
        <f>MAX(0,$D$75-AE124)</f>
        <v/>
      </c>
      <c r="AG122" s="53">
        <f>MAX(0,$D$75-AF124)</f>
        <v/>
      </c>
      <c r="AH122" s="53">
        <f>MAX(0,$D$75-AG124)</f>
        <v/>
      </c>
      <c r="AI122" s="53">
        <f>MAX(0,$D$75-AH124)</f>
        <v/>
      </c>
      <c r="AJ122" s="53">
        <f>MAX(0,$D$75-AI124)</f>
        <v/>
      </c>
      <c r="AK122" s="53">
        <f>MAX(0,$D$75-AJ124)</f>
        <v/>
      </c>
      <c r="AL122" s="53">
        <f>MAX(0,$D$75-AK124)</f>
        <v/>
      </c>
      <c r="AM122" s="53">
        <f>MAX(0,$D$75-AL124)</f>
        <v/>
      </c>
      <c r="AN122" s="53">
        <f>MAX(0,$D$75-AM124)</f>
        <v/>
      </c>
    </row>
    <row r="123">
      <c r="B123" s="7" t="inlineStr">
        <is>
          <t>New paying institutes</t>
        </is>
      </c>
      <c r="C123" s="5" t="inlineStr">
        <is>
          <t>institutes</t>
        </is>
      </c>
      <c r="E123" s="53">
        <f>MIN(E121,E122)</f>
        <v/>
      </c>
      <c r="F123" s="53">
        <f>MIN(F121,F122)</f>
        <v/>
      </c>
      <c r="G123" s="53">
        <f>MIN(G121,G122)</f>
        <v/>
      </c>
      <c r="H123" s="53">
        <f>MIN(H121,H122)</f>
        <v/>
      </c>
      <c r="I123" s="53">
        <f>MIN(I121,I122)</f>
        <v/>
      </c>
      <c r="J123" s="53">
        <f>MIN(J121,J122)</f>
        <v/>
      </c>
      <c r="K123" s="53">
        <f>MIN(K121,K122)</f>
        <v/>
      </c>
      <c r="L123" s="53">
        <f>MIN(L121,L122)</f>
        <v/>
      </c>
      <c r="M123" s="53">
        <f>MIN(M121,M122)</f>
        <v/>
      </c>
      <c r="N123" s="53">
        <f>MIN(N121,N122)</f>
        <v/>
      </c>
      <c r="O123" s="53">
        <f>MIN(O121,O122)</f>
        <v/>
      </c>
      <c r="P123" s="53">
        <f>MIN(P121,P122)</f>
        <v/>
      </c>
      <c r="Q123" s="53">
        <f>MIN(Q121,Q122)</f>
        <v/>
      </c>
      <c r="R123" s="53">
        <f>MIN(R121,R122)</f>
        <v/>
      </c>
      <c r="S123" s="53">
        <f>MIN(S121,S122)</f>
        <v/>
      </c>
      <c r="T123" s="53">
        <f>MIN(T121,T122)</f>
        <v/>
      </c>
      <c r="U123" s="53">
        <f>MIN(U121,U122)</f>
        <v/>
      </c>
      <c r="V123" s="53">
        <f>MIN(V121,V122)</f>
        <v/>
      </c>
      <c r="W123" s="53">
        <f>MIN(W121,W122)</f>
        <v/>
      </c>
      <c r="X123" s="53">
        <f>MIN(X121,X122)</f>
        <v/>
      </c>
      <c r="Y123" s="53">
        <f>MIN(Y121,Y122)</f>
        <v/>
      </c>
      <c r="Z123" s="53">
        <f>MIN(Z121,Z122)</f>
        <v/>
      </c>
      <c r="AA123" s="53">
        <f>MIN(AA121,AA122)</f>
        <v/>
      </c>
      <c r="AB123" s="53">
        <f>MIN(AB121,AB122)</f>
        <v/>
      </c>
      <c r="AC123" s="53">
        <f>MIN(AC121,AC122)</f>
        <v/>
      </c>
      <c r="AD123" s="53">
        <f>MIN(AD121,AD122)</f>
        <v/>
      </c>
      <c r="AE123" s="53">
        <f>MIN(AE121,AE122)</f>
        <v/>
      </c>
      <c r="AF123" s="53">
        <f>MIN(AF121,AF122)</f>
        <v/>
      </c>
      <c r="AG123" s="53">
        <f>MIN(AG121,AG122)</f>
        <v/>
      </c>
      <c r="AH123" s="53">
        <f>MIN(AH121,AH122)</f>
        <v/>
      </c>
      <c r="AI123" s="53">
        <f>MIN(AI121,AI122)</f>
        <v/>
      </c>
      <c r="AJ123" s="53">
        <f>MIN(AJ121,AJ122)</f>
        <v/>
      </c>
      <c r="AK123" s="53">
        <f>MIN(AK121,AK122)</f>
        <v/>
      </c>
      <c r="AL123" s="53">
        <f>MIN(AL121,AL122)</f>
        <v/>
      </c>
      <c r="AM123" s="53">
        <f>MIN(AM121,AM122)</f>
        <v/>
      </c>
      <c r="AN123" s="53">
        <f>MIN(AN121,AN122)</f>
        <v/>
      </c>
    </row>
    <row r="124">
      <c r="B124" s="7" t="inlineStr">
        <is>
          <t>Cumulative institutes won</t>
        </is>
      </c>
      <c r="C124" s="5" t="inlineStr">
        <is>
          <t>institutes</t>
        </is>
      </c>
      <c r="E124" s="53">
        <f>E123</f>
        <v/>
      </c>
      <c r="F124" s="53">
        <f>E124+F123</f>
        <v/>
      </c>
      <c r="G124" s="53">
        <f>F124+G123</f>
        <v/>
      </c>
      <c r="H124" s="53">
        <f>G124+H123</f>
        <v/>
      </c>
      <c r="I124" s="53">
        <f>H124+I123</f>
        <v/>
      </c>
      <c r="J124" s="53">
        <f>I124+J123</f>
        <v/>
      </c>
      <c r="K124" s="53">
        <f>J124+K123</f>
        <v/>
      </c>
      <c r="L124" s="53">
        <f>K124+L123</f>
        <v/>
      </c>
      <c r="M124" s="53">
        <f>L124+M123</f>
        <v/>
      </c>
      <c r="N124" s="53">
        <f>M124+N123</f>
        <v/>
      </c>
      <c r="O124" s="53">
        <f>N124+O123</f>
        <v/>
      </c>
      <c r="P124" s="53">
        <f>O124+P123</f>
        <v/>
      </c>
      <c r="Q124" s="53">
        <f>P124+Q123</f>
        <v/>
      </c>
      <c r="R124" s="53">
        <f>Q124+R123</f>
        <v/>
      </c>
      <c r="S124" s="53">
        <f>R124+S123</f>
        <v/>
      </c>
      <c r="T124" s="53">
        <f>S124+T123</f>
        <v/>
      </c>
      <c r="U124" s="53">
        <f>T124+U123</f>
        <v/>
      </c>
      <c r="V124" s="53">
        <f>U124+V123</f>
        <v/>
      </c>
      <c r="W124" s="53">
        <f>V124+W123</f>
        <v/>
      </c>
      <c r="X124" s="53">
        <f>W124+X123</f>
        <v/>
      </c>
      <c r="Y124" s="53">
        <f>X124+Y123</f>
        <v/>
      </c>
      <c r="Z124" s="53">
        <f>Y124+Z123</f>
        <v/>
      </c>
      <c r="AA124" s="53">
        <f>Z124+AA123</f>
        <v/>
      </c>
      <c r="AB124" s="53">
        <f>AA124+AB123</f>
        <v/>
      </c>
      <c r="AC124" s="53">
        <f>AB124+AC123</f>
        <v/>
      </c>
      <c r="AD124" s="53">
        <f>AC124+AD123</f>
        <v/>
      </c>
      <c r="AE124" s="53">
        <f>AD124+AE123</f>
        <v/>
      </c>
      <c r="AF124" s="53">
        <f>AE124+AF123</f>
        <v/>
      </c>
      <c r="AG124" s="53">
        <f>AF124+AG123</f>
        <v/>
      </c>
      <c r="AH124" s="53">
        <f>AG124+AH123</f>
        <v/>
      </c>
      <c r="AI124" s="53">
        <f>AH124+AI123</f>
        <v/>
      </c>
      <c r="AJ124" s="53">
        <f>AI124+AJ123</f>
        <v/>
      </c>
      <c r="AK124" s="53">
        <f>AJ124+AK123</f>
        <v/>
      </c>
      <c r="AL124" s="53">
        <f>AK124+AL123</f>
        <v/>
      </c>
      <c r="AM124" s="53">
        <f>AL124+AM123</f>
        <v/>
      </c>
      <c r="AN124" s="53">
        <f>AM124+AN123</f>
        <v/>
      </c>
    </row>
    <row r="125">
      <c r="A125" s="23" t="n"/>
      <c r="B125" s="22" t="inlineStr">
        <is>
          <t>B. Customers and revenue</t>
        </is>
      </c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  <c r="AA125" s="23" t="n"/>
      <c r="AB125" s="23" t="n"/>
      <c r="AC125" s="23" t="n"/>
      <c r="AD125" s="23" t="n"/>
      <c r="AE125" s="23" t="n"/>
      <c r="AF125" s="23" t="n"/>
      <c r="AG125" s="23" t="n"/>
      <c r="AH125" s="23" t="n"/>
      <c r="AI125" s="23" t="n"/>
      <c r="AJ125" s="23" t="n"/>
      <c r="AK125" s="23" t="n"/>
      <c r="AL125" s="23" t="n"/>
      <c r="AM125" s="23" t="n"/>
      <c r="AN125" s="23" t="n"/>
    </row>
    <row r="126">
      <c r="B126" s="3" t="inlineStr">
        <is>
          <t>Paying institutes (end of month)</t>
        </is>
      </c>
      <c r="C126" s="5" t="inlineStr">
        <is>
          <t>institutes</t>
        </is>
      </c>
      <c r="E126" s="53">
        <f>SUM(E161:E196)</f>
        <v/>
      </c>
      <c r="F126" s="53">
        <f>SUM(F161:F196)</f>
        <v/>
      </c>
      <c r="G126" s="53">
        <f>SUM(G161:G196)</f>
        <v/>
      </c>
      <c r="H126" s="53">
        <f>SUM(H161:H196)</f>
        <v/>
      </c>
      <c r="I126" s="53">
        <f>SUM(I161:I196)</f>
        <v/>
      </c>
      <c r="J126" s="53">
        <f>SUM(J161:J196)</f>
        <v/>
      </c>
      <c r="K126" s="53">
        <f>SUM(K161:K196)</f>
        <v/>
      </c>
      <c r="L126" s="53">
        <f>SUM(L161:L196)</f>
        <v/>
      </c>
      <c r="M126" s="53">
        <f>SUM(M161:M196)</f>
        <v/>
      </c>
      <c r="N126" s="53">
        <f>SUM(N161:N196)</f>
        <v/>
      </c>
      <c r="O126" s="53">
        <f>SUM(O161:O196)</f>
        <v/>
      </c>
      <c r="P126" s="53">
        <f>SUM(P161:P196)</f>
        <v/>
      </c>
      <c r="Q126" s="53">
        <f>SUM(Q161:Q196)</f>
        <v/>
      </c>
      <c r="R126" s="53">
        <f>SUM(R161:R196)</f>
        <v/>
      </c>
      <c r="S126" s="53">
        <f>SUM(S161:S196)</f>
        <v/>
      </c>
      <c r="T126" s="53">
        <f>SUM(T161:T196)</f>
        <v/>
      </c>
      <c r="U126" s="53">
        <f>SUM(U161:U196)</f>
        <v/>
      </c>
      <c r="V126" s="53">
        <f>SUM(V161:V196)</f>
        <v/>
      </c>
      <c r="W126" s="53">
        <f>SUM(W161:W196)</f>
        <v/>
      </c>
      <c r="X126" s="53">
        <f>SUM(X161:X196)</f>
        <v/>
      </c>
      <c r="Y126" s="53">
        <f>SUM(Y161:Y196)</f>
        <v/>
      </c>
      <c r="Z126" s="53">
        <f>SUM(Z161:Z196)</f>
        <v/>
      </c>
      <c r="AA126" s="53">
        <f>SUM(AA161:AA196)</f>
        <v/>
      </c>
      <c r="AB126" s="53">
        <f>SUM(AB161:AB196)</f>
        <v/>
      </c>
      <c r="AC126" s="53">
        <f>SUM(AC161:AC196)</f>
        <v/>
      </c>
      <c r="AD126" s="53">
        <f>SUM(AD161:AD196)</f>
        <v/>
      </c>
      <c r="AE126" s="53">
        <f>SUM(AE161:AE196)</f>
        <v/>
      </c>
      <c r="AF126" s="53">
        <f>SUM(AF161:AF196)</f>
        <v/>
      </c>
      <c r="AG126" s="53">
        <f>SUM(AG161:AG196)</f>
        <v/>
      </c>
      <c r="AH126" s="53">
        <f>SUM(AH161:AH196)</f>
        <v/>
      </c>
      <c r="AI126" s="53">
        <f>SUM(AI161:AI196)</f>
        <v/>
      </c>
      <c r="AJ126" s="53">
        <f>SUM(AJ161:AJ196)</f>
        <v/>
      </c>
      <c r="AK126" s="53">
        <f>SUM(AK161:AK196)</f>
        <v/>
      </c>
      <c r="AL126" s="53">
        <f>SUM(AL161:AL196)</f>
        <v/>
      </c>
      <c r="AM126" s="53">
        <f>SUM(AM161:AM196)</f>
        <v/>
      </c>
      <c r="AN126" s="53">
        <f>SUM(AN161:AN196)</f>
        <v/>
      </c>
    </row>
    <row r="127">
      <c r="B127" s="7" t="inlineStr">
        <is>
          <t>Revenue per paying institute this month</t>
        </is>
      </c>
      <c r="C127" s="5" t="inlineStr">
        <is>
          <t>₹</t>
        </is>
      </c>
      <c r="E127" s="50">
        <f>INDEX($E$82:$P$82,1,E113)</f>
        <v/>
      </c>
      <c r="F127" s="50">
        <f>INDEX($E$82:$P$82,1,F113)</f>
        <v/>
      </c>
      <c r="G127" s="50">
        <f>INDEX($E$82:$P$82,1,G113)</f>
        <v/>
      </c>
      <c r="H127" s="50">
        <f>INDEX($E$82:$P$82,1,H113)</f>
        <v/>
      </c>
      <c r="I127" s="50">
        <f>INDEX($E$82:$P$82,1,I113)</f>
        <v/>
      </c>
      <c r="J127" s="50">
        <f>INDEX($E$82:$P$82,1,J113)</f>
        <v/>
      </c>
      <c r="K127" s="50">
        <f>INDEX($E$82:$P$82,1,K113)</f>
        <v/>
      </c>
      <c r="L127" s="50">
        <f>INDEX($E$82:$P$82,1,L113)</f>
        <v/>
      </c>
      <c r="M127" s="50">
        <f>INDEX($E$82:$P$82,1,M113)</f>
        <v/>
      </c>
      <c r="N127" s="50">
        <f>INDEX($E$82:$P$82,1,N113)</f>
        <v/>
      </c>
      <c r="O127" s="50">
        <f>INDEX($E$82:$P$82,1,O113)</f>
        <v/>
      </c>
      <c r="P127" s="50">
        <f>INDEX($E$82:$P$82,1,P113)</f>
        <v/>
      </c>
      <c r="Q127" s="50">
        <f>INDEX($E$82:$P$82,1,Q113)</f>
        <v/>
      </c>
      <c r="R127" s="50">
        <f>INDEX($E$82:$P$82,1,R113)</f>
        <v/>
      </c>
      <c r="S127" s="50">
        <f>INDEX($E$82:$P$82,1,S113)</f>
        <v/>
      </c>
      <c r="T127" s="50">
        <f>INDEX($E$82:$P$82,1,T113)</f>
        <v/>
      </c>
      <c r="U127" s="50">
        <f>INDEX($E$82:$P$82,1,U113)</f>
        <v/>
      </c>
      <c r="V127" s="50">
        <f>INDEX($E$82:$P$82,1,V113)</f>
        <v/>
      </c>
      <c r="W127" s="50">
        <f>INDEX($E$82:$P$82,1,W113)</f>
        <v/>
      </c>
      <c r="X127" s="50">
        <f>INDEX($E$82:$P$82,1,X113)</f>
        <v/>
      </c>
      <c r="Y127" s="50">
        <f>INDEX($E$82:$P$82,1,Y113)</f>
        <v/>
      </c>
      <c r="Z127" s="50">
        <f>INDEX($E$82:$P$82,1,Z113)</f>
        <v/>
      </c>
      <c r="AA127" s="50">
        <f>INDEX($E$82:$P$82,1,AA113)</f>
        <v/>
      </c>
      <c r="AB127" s="50">
        <f>INDEX($E$82:$P$82,1,AB113)</f>
        <v/>
      </c>
      <c r="AC127" s="50">
        <f>INDEX($E$82:$P$82,1,AC113)</f>
        <v/>
      </c>
      <c r="AD127" s="50">
        <f>INDEX($E$82:$P$82,1,AD113)</f>
        <v/>
      </c>
      <c r="AE127" s="50">
        <f>INDEX($E$82:$P$82,1,AE113)</f>
        <v/>
      </c>
      <c r="AF127" s="50">
        <f>INDEX($E$82:$P$82,1,AF113)</f>
        <v/>
      </c>
      <c r="AG127" s="50">
        <f>INDEX($E$82:$P$82,1,AG113)</f>
        <v/>
      </c>
      <c r="AH127" s="50">
        <f>INDEX($E$82:$P$82,1,AH113)</f>
        <v/>
      </c>
      <c r="AI127" s="50">
        <f>INDEX($E$82:$P$82,1,AI113)</f>
        <v/>
      </c>
      <c r="AJ127" s="50">
        <f>INDEX($E$82:$P$82,1,AJ113)</f>
        <v/>
      </c>
      <c r="AK127" s="50">
        <f>INDEX($E$82:$P$82,1,AK113)</f>
        <v/>
      </c>
      <c r="AL127" s="50">
        <f>INDEX($E$82:$P$82,1,AL113)</f>
        <v/>
      </c>
      <c r="AM127" s="50">
        <f>INDEX($E$82:$P$82,1,AM113)</f>
        <v/>
      </c>
      <c r="AN127" s="50">
        <f>INDEX($E$82:$P$82,1,AN113)</f>
        <v/>
      </c>
    </row>
    <row r="128">
      <c r="B128" s="3" t="inlineStr">
        <is>
          <t>Revenue (ex-GST)</t>
        </is>
      </c>
      <c r="C128" s="5" t="inlineStr">
        <is>
          <t>₹</t>
        </is>
      </c>
      <c r="E128" s="52">
        <f>E126*E127</f>
        <v/>
      </c>
      <c r="F128" s="52">
        <f>F126*F127</f>
        <v/>
      </c>
      <c r="G128" s="52">
        <f>G126*G127</f>
        <v/>
      </c>
      <c r="H128" s="52">
        <f>H126*H127</f>
        <v/>
      </c>
      <c r="I128" s="52">
        <f>I126*I127</f>
        <v/>
      </c>
      <c r="J128" s="52">
        <f>J126*J127</f>
        <v/>
      </c>
      <c r="K128" s="52">
        <f>K126*K127</f>
        <v/>
      </c>
      <c r="L128" s="52">
        <f>L126*L127</f>
        <v/>
      </c>
      <c r="M128" s="52">
        <f>M126*M127</f>
        <v/>
      </c>
      <c r="N128" s="52">
        <f>N126*N127</f>
        <v/>
      </c>
      <c r="O128" s="52">
        <f>O126*O127</f>
        <v/>
      </c>
      <c r="P128" s="52">
        <f>P126*P127</f>
        <v/>
      </c>
      <c r="Q128" s="52">
        <f>Q126*Q127</f>
        <v/>
      </c>
      <c r="R128" s="52">
        <f>R126*R127</f>
        <v/>
      </c>
      <c r="S128" s="52">
        <f>S126*S127</f>
        <v/>
      </c>
      <c r="T128" s="52">
        <f>T126*T127</f>
        <v/>
      </c>
      <c r="U128" s="52">
        <f>U126*U127</f>
        <v/>
      </c>
      <c r="V128" s="52">
        <f>V126*V127</f>
        <v/>
      </c>
      <c r="W128" s="52">
        <f>W126*W127</f>
        <v/>
      </c>
      <c r="X128" s="52">
        <f>X126*X127</f>
        <v/>
      </c>
      <c r="Y128" s="52">
        <f>Y126*Y127</f>
        <v/>
      </c>
      <c r="Z128" s="52">
        <f>Z126*Z127</f>
        <v/>
      </c>
      <c r="AA128" s="52">
        <f>AA126*AA127</f>
        <v/>
      </c>
      <c r="AB128" s="52">
        <f>AB126*AB127</f>
        <v/>
      </c>
      <c r="AC128" s="52">
        <f>AC126*AC127</f>
        <v/>
      </c>
      <c r="AD128" s="52">
        <f>AD126*AD127</f>
        <v/>
      </c>
      <c r="AE128" s="52">
        <f>AE126*AE127</f>
        <v/>
      </c>
      <c r="AF128" s="52">
        <f>AF126*AF127</f>
        <v/>
      </c>
      <c r="AG128" s="52">
        <f>AG126*AG127</f>
        <v/>
      </c>
      <c r="AH128" s="52">
        <f>AH126*AH127</f>
        <v/>
      </c>
      <c r="AI128" s="52">
        <f>AI126*AI127</f>
        <v/>
      </c>
      <c r="AJ128" s="52">
        <f>AJ126*AJ127</f>
        <v/>
      </c>
      <c r="AK128" s="52">
        <f>AK126*AK127</f>
        <v/>
      </c>
      <c r="AL128" s="52">
        <f>AL126*AL127</f>
        <v/>
      </c>
      <c r="AM128" s="52">
        <f>AM126*AM127</f>
        <v/>
      </c>
      <c r="AN128" s="52">
        <f>AN126*AN127</f>
        <v/>
      </c>
    </row>
    <row r="129">
      <c r="A129" s="23" t="n"/>
      <c r="B129" s="22" t="inlineStr">
        <is>
          <t>C. Cost of serving customers</t>
        </is>
      </c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  <c r="AA129" s="23" t="n"/>
      <c r="AB129" s="23" t="n"/>
      <c r="AC129" s="23" t="n"/>
      <c r="AD129" s="23" t="n"/>
      <c r="AE129" s="23" t="n"/>
      <c r="AF129" s="23" t="n"/>
      <c r="AG129" s="23" t="n"/>
      <c r="AH129" s="23" t="n"/>
      <c r="AI129" s="23" t="n"/>
      <c r="AJ129" s="23" t="n"/>
      <c r="AK129" s="23" t="n"/>
      <c r="AL129" s="23" t="n"/>
      <c r="AM129" s="23" t="n"/>
      <c r="AN129" s="23" t="n"/>
    </row>
    <row r="130">
      <c r="B130" s="7" t="inlineStr">
        <is>
          <t>Variable cost of serving (AI, WhatsApp, compute, consent, payment fees, compliance)</t>
        </is>
      </c>
      <c r="C130" s="5" t="inlineStr">
        <is>
          <t>₹</t>
        </is>
      </c>
      <c r="E130" s="50">
        <f>E126*INDEX($E$83:$P$83,1,E113)</f>
        <v/>
      </c>
      <c r="F130" s="50">
        <f>F126*INDEX($E$83:$P$83,1,F113)</f>
        <v/>
      </c>
      <c r="G130" s="50">
        <f>G126*INDEX($E$83:$P$83,1,G113)</f>
        <v/>
      </c>
      <c r="H130" s="50">
        <f>H126*INDEX($E$83:$P$83,1,H113)</f>
        <v/>
      </c>
      <c r="I130" s="50">
        <f>I126*INDEX($E$83:$P$83,1,I113)</f>
        <v/>
      </c>
      <c r="J130" s="50">
        <f>J126*INDEX($E$83:$P$83,1,J113)</f>
        <v/>
      </c>
      <c r="K130" s="50">
        <f>K126*INDEX($E$83:$P$83,1,K113)</f>
        <v/>
      </c>
      <c r="L130" s="50">
        <f>L126*INDEX($E$83:$P$83,1,L113)</f>
        <v/>
      </c>
      <c r="M130" s="50">
        <f>M126*INDEX($E$83:$P$83,1,M113)</f>
        <v/>
      </c>
      <c r="N130" s="50">
        <f>N126*INDEX($E$83:$P$83,1,N113)</f>
        <v/>
      </c>
      <c r="O130" s="50">
        <f>O126*INDEX($E$83:$P$83,1,O113)</f>
        <v/>
      </c>
      <c r="P130" s="50">
        <f>P126*INDEX($E$83:$P$83,1,P113)</f>
        <v/>
      </c>
      <c r="Q130" s="50">
        <f>Q126*INDEX($E$83:$P$83,1,Q113)</f>
        <v/>
      </c>
      <c r="R130" s="50">
        <f>R126*INDEX($E$83:$P$83,1,R113)</f>
        <v/>
      </c>
      <c r="S130" s="50">
        <f>S126*INDEX($E$83:$P$83,1,S113)</f>
        <v/>
      </c>
      <c r="T130" s="50">
        <f>T126*INDEX($E$83:$P$83,1,T113)</f>
        <v/>
      </c>
      <c r="U130" s="50">
        <f>U126*INDEX($E$83:$P$83,1,U113)</f>
        <v/>
      </c>
      <c r="V130" s="50">
        <f>V126*INDEX($E$83:$P$83,1,V113)</f>
        <v/>
      </c>
      <c r="W130" s="50">
        <f>W126*INDEX($E$83:$P$83,1,W113)</f>
        <v/>
      </c>
      <c r="X130" s="50">
        <f>X126*INDEX($E$83:$P$83,1,X113)</f>
        <v/>
      </c>
      <c r="Y130" s="50">
        <f>Y126*INDEX($E$83:$P$83,1,Y113)</f>
        <v/>
      </c>
      <c r="Z130" s="50">
        <f>Z126*INDEX($E$83:$P$83,1,Z113)</f>
        <v/>
      </c>
      <c r="AA130" s="50">
        <f>AA126*INDEX($E$83:$P$83,1,AA113)</f>
        <v/>
      </c>
      <c r="AB130" s="50">
        <f>AB126*INDEX($E$83:$P$83,1,AB113)</f>
        <v/>
      </c>
      <c r="AC130" s="50">
        <f>AC126*INDEX($E$83:$P$83,1,AC113)</f>
        <v/>
      </c>
      <c r="AD130" s="50">
        <f>AD126*INDEX($E$83:$P$83,1,AD113)</f>
        <v/>
      </c>
      <c r="AE130" s="50">
        <f>AE126*INDEX($E$83:$P$83,1,AE113)</f>
        <v/>
      </c>
      <c r="AF130" s="50">
        <f>AF126*INDEX($E$83:$P$83,1,AF113)</f>
        <v/>
      </c>
      <c r="AG130" s="50">
        <f>AG126*INDEX($E$83:$P$83,1,AG113)</f>
        <v/>
      </c>
      <c r="AH130" s="50">
        <f>AH126*INDEX($E$83:$P$83,1,AH113)</f>
        <v/>
      </c>
      <c r="AI130" s="50">
        <f>AI126*INDEX($E$83:$P$83,1,AI113)</f>
        <v/>
      </c>
      <c r="AJ130" s="50">
        <f>AJ126*INDEX($E$83:$P$83,1,AJ113)</f>
        <v/>
      </c>
      <c r="AK130" s="50">
        <f>AK126*INDEX($E$83:$P$83,1,AK113)</f>
        <v/>
      </c>
      <c r="AL130" s="50">
        <f>AL126*INDEX($E$83:$P$83,1,AL113)</f>
        <v/>
      </c>
      <c r="AM130" s="50">
        <f>AM126*INDEX($E$83:$P$83,1,AM113)</f>
        <v/>
      </c>
      <c r="AN130" s="50">
        <f>AN126*INDEX($E$83:$P$83,1,AN113)</f>
        <v/>
      </c>
    </row>
    <row r="131">
      <c r="B131" s="7" t="inlineStr">
        <is>
          <t>Server stacks needed</t>
        </is>
      </c>
      <c r="C131" s="5" t="inlineStr">
        <is>
          <t>stacks</t>
        </is>
      </c>
      <c r="E131" s="57">
        <f>IF(E126&gt;0,CEILING(E126/$D$33,1),0)</f>
        <v/>
      </c>
      <c r="F131" s="57">
        <f>IF(F126&gt;0,CEILING(F126/$D$33,1),0)</f>
        <v/>
      </c>
      <c r="G131" s="57">
        <f>IF(G126&gt;0,CEILING(G126/$D$33,1),0)</f>
        <v/>
      </c>
      <c r="H131" s="57">
        <f>IF(H126&gt;0,CEILING(H126/$D$33,1),0)</f>
        <v/>
      </c>
      <c r="I131" s="57">
        <f>IF(I126&gt;0,CEILING(I126/$D$33,1),0)</f>
        <v/>
      </c>
      <c r="J131" s="57">
        <f>IF(J126&gt;0,CEILING(J126/$D$33,1),0)</f>
        <v/>
      </c>
      <c r="K131" s="57">
        <f>IF(K126&gt;0,CEILING(K126/$D$33,1),0)</f>
        <v/>
      </c>
      <c r="L131" s="57">
        <f>IF(L126&gt;0,CEILING(L126/$D$33,1),0)</f>
        <v/>
      </c>
      <c r="M131" s="57">
        <f>IF(M126&gt;0,CEILING(M126/$D$33,1),0)</f>
        <v/>
      </c>
      <c r="N131" s="57">
        <f>IF(N126&gt;0,CEILING(N126/$D$33,1),0)</f>
        <v/>
      </c>
      <c r="O131" s="57">
        <f>IF(O126&gt;0,CEILING(O126/$D$33,1),0)</f>
        <v/>
      </c>
      <c r="P131" s="57">
        <f>IF(P126&gt;0,CEILING(P126/$D$33,1),0)</f>
        <v/>
      </c>
      <c r="Q131" s="57">
        <f>IF(Q126&gt;0,CEILING(Q126/$D$33,1),0)</f>
        <v/>
      </c>
      <c r="R131" s="57">
        <f>IF(R126&gt;0,CEILING(R126/$D$33,1),0)</f>
        <v/>
      </c>
      <c r="S131" s="57">
        <f>IF(S126&gt;0,CEILING(S126/$D$33,1),0)</f>
        <v/>
      </c>
      <c r="T131" s="57">
        <f>IF(T126&gt;0,CEILING(T126/$D$33,1),0)</f>
        <v/>
      </c>
      <c r="U131" s="57">
        <f>IF(U126&gt;0,CEILING(U126/$D$33,1),0)</f>
        <v/>
      </c>
      <c r="V131" s="57">
        <f>IF(V126&gt;0,CEILING(V126/$D$33,1),0)</f>
        <v/>
      </c>
      <c r="W131" s="57">
        <f>IF(W126&gt;0,CEILING(W126/$D$33,1),0)</f>
        <v/>
      </c>
      <c r="X131" s="57">
        <f>IF(X126&gt;0,CEILING(X126/$D$33,1),0)</f>
        <v/>
      </c>
      <c r="Y131" s="57">
        <f>IF(Y126&gt;0,CEILING(Y126/$D$33,1),0)</f>
        <v/>
      </c>
      <c r="Z131" s="57">
        <f>IF(Z126&gt;0,CEILING(Z126/$D$33,1),0)</f>
        <v/>
      </c>
      <c r="AA131" s="57">
        <f>IF(AA126&gt;0,CEILING(AA126/$D$33,1),0)</f>
        <v/>
      </c>
      <c r="AB131" s="57">
        <f>IF(AB126&gt;0,CEILING(AB126/$D$33,1),0)</f>
        <v/>
      </c>
      <c r="AC131" s="57">
        <f>IF(AC126&gt;0,CEILING(AC126/$D$33,1),0)</f>
        <v/>
      </c>
      <c r="AD131" s="57">
        <f>IF(AD126&gt;0,CEILING(AD126/$D$33,1),0)</f>
        <v/>
      </c>
      <c r="AE131" s="57">
        <f>IF(AE126&gt;0,CEILING(AE126/$D$33,1),0)</f>
        <v/>
      </c>
      <c r="AF131" s="57">
        <f>IF(AF126&gt;0,CEILING(AF126/$D$33,1),0)</f>
        <v/>
      </c>
      <c r="AG131" s="57">
        <f>IF(AG126&gt;0,CEILING(AG126/$D$33,1),0)</f>
        <v/>
      </c>
      <c r="AH131" s="57">
        <f>IF(AH126&gt;0,CEILING(AH126/$D$33,1),0)</f>
        <v/>
      </c>
      <c r="AI131" s="57">
        <f>IF(AI126&gt;0,CEILING(AI126/$D$33,1),0)</f>
        <v/>
      </c>
      <c r="AJ131" s="57">
        <f>IF(AJ126&gt;0,CEILING(AJ126/$D$33,1),0)</f>
        <v/>
      </c>
      <c r="AK131" s="57">
        <f>IF(AK126&gt;0,CEILING(AK126/$D$33,1),0)</f>
        <v/>
      </c>
      <c r="AL131" s="57">
        <f>IF(AL126&gt;0,CEILING(AL126/$D$33,1),0)</f>
        <v/>
      </c>
      <c r="AM131" s="57">
        <f>IF(AM126&gt;0,CEILING(AM126/$D$33,1),0)</f>
        <v/>
      </c>
      <c r="AN131" s="57">
        <f>IF(AN126&gt;0,CEILING(AN126/$D$33,1),0)</f>
        <v/>
      </c>
    </row>
    <row r="132">
      <c r="B132" s="7" t="inlineStr">
        <is>
          <t>Hosting and WhatsApp provider fee</t>
        </is>
      </c>
      <c r="C132" s="5" t="inlineStr">
        <is>
          <t>₹</t>
        </is>
      </c>
      <c r="E132" s="50">
        <f>E131*($D$31+$D$32)</f>
        <v/>
      </c>
      <c r="F132" s="50">
        <f>F131*($D$31+$D$32)</f>
        <v/>
      </c>
      <c r="G132" s="50">
        <f>G131*($D$31+$D$32)</f>
        <v/>
      </c>
      <c r="H132" s="50">
        <f>H131*($D$31+$D$32)</f>
        <v/>
      </c>
      <c r="I132" s="50">
        <f>I131*($D$31+$D$32)</f>
        <v/>
      </c>
      <c r="J132" s="50">
        <f>J131*($D$31+$D$32)</f>
        <v/>
      </c>
      <c r="K132" s="50">
        <f>K131*($D$31+$D$32)</f>
        <v/>
      </c>
      <c r="L132" s="50">
        <f>L131*($D$31+$D$32)</f>
        <v/>
      </c>
      <c r="M132" s="50">
        <f>M131*($D$31+$D$32)</f>
        <v/>
      </c>
      <c r="N132" s="50">
        <f>N131*($D$31+$D$32)</f>
        <v/>
      </c>
      <c r="O132" s="50">
        <f>O131*($D$31+$D$32)</f>
        <v/>
      </c>
      <c r="P132" s="50">
        <f>P131*($D$31+$D$32)</f>
        <v/>
      </c>
      <c r="Q132" s="50">
        <f>Q131*($D$31+$D$32)</f>
        <v/>
      </c>
      <c r="R132" s="50">
        <f>R131*($D$31+$D$32)</f>
        <v/>
      </c>
      <c r="S132" s="50">
        <f>S131*($D$31+$D$32)</f>
        <v/>
      </c>
      <c r="T132" s="50">
        <f>T131*($D$31+$D$32)</f>
        <v/>
      </c>
      <c r="U132" s="50">
        <f>U131*($D$31+$D$32)</f>
        <v/>
      </c>
      <c r="V132" s="50">
        <f>V131*($D$31+$D$32)</f>
        <v/>
      </c>
      <c r="W132" s="50">
        <f>W131*($D$31+$D$32)</f>
        <v/>
      </c>
      <c r="X132" s="50">
        <f>X131*($D$31+$D$32)</f>
        <v/>
      </c>
      <c r="Y132" s="50">
        <f>Y131*($D$31+$D$32)</f>
        <v/>
      </c>
      <c r="Z132" s="50">
        <f>Z131*($D$31+$D$32)</f>
        <v/>
      </c>
      <c r="AA132" s="50">
        <f>AA131*($D$31+$D$32)</f>
        <v/>
      </c>
      <c r="AB132" s="50">
        <f>AB131*($D$31+$D$32)</f>
        <v/>
      </c>
      <c r="AC132" s="50">
        <f>AC131*($D$31+$D$32)</f>
        <v/>
      </c>
      <c r="AD132" s="50">
        <f>AD131*($D$31+$D$32)</f>
        <v/>
      </c>
      <c r="AE132" s="50">
        <f>AE131*($D$31+$D$32)</f>
        <v/>
      </c>
      <c r="AF132" s="50">
        <f>AF131*($D$31+$D$32)</f>
        <v/>
      </c>
      <c r="AG132" s="50">
        <f>AG131*($D$31+$D$32)</f>
        <v/>
      </c>
      <c r="AH132" s="50">
        <f>AH131*($D$31+$D$32)</f>
        <v/>
      </c>
      <c r="AI132" s="50">
        <f>AI131*($D$31+$D$32)</f>
        <v/>
      </c>
      <c r="AJ132" s="50">
        <f>AJ131*($D$31+$D$32)</f>
        <v/>
      </c>
      <c r="AK132" s="50">
        <f>AK131*($D$31+$D$32)</f>
        <v/>
      </c>
      <c r="AL132" s="50">
        <f>AL131*($D$31+$D$32)</f>
        <v/>
      </c>
      <c r="AM132" s="50">
        <f>AM131*($D$31+$D$32)</f>
        <v/>
      </c>
      <c r="AN132" s="50">
        <f>AN131*($D$31+$D$32)</f>
        <v/>
      </c>
    </row>
    <row r="133">
      <c r="B133" s="7" t="inlineStr">
        <is>
          <t>Customer-success staff</t>
        </is>
      </c>
      <c r="C133" s="5" t="inlineStr">
        <is>
          <t>people</t>
        </is>
      </c>
      <c r="E133" s="57">
        <f>IF(E126&gt;0,CEILING(E126/$D$36,1),0)</f>
        <v/>
      </c>
      <c r="F133" s="57">
        <f>IF(F126&gt;0,CEILING(F126/$D$36,1),0)</f>
        <v/>
      </c>
      <c r="G133" s="57">
        <f>IF(G126&gt;0,CEILING(G126/$D$36,1),0)</f>
        <v/>
      </c>
      <c r="H133" s="57">
        <f>IF(H126&gt;0,CEILING(H126/$D$36,1),0)</f>
        <v/>
      </c>
      <c r="I133" s="57">
        <f>IF(I126&gt;0,CEILING(I126/$D$36,1),0)</f>
        <v/>
      </c>
      <c r="J133" s="57">
        <f>IF(J126&gt;0,CEILING(J126/$D$36,1),0)</f>
        <v/>
      </c>
      <c r="K133" s="57">
        <f>IF(K126&gt;0,CEILING(K126/$D$36,1),0)</f>
        <v/>
      </c>
      <c r="L133" s="57">
        <f>IF(L126&gt;0,CEILING(L126/$D$36,1),0)</f>
        <v/>
      </c>
      <c r="M133" s="57">
        <f>IF(M126&gt;0,CEILING(M126/$D$36,1),0)</f>
        <v/>
      </c>
      <c r="N133" s="57">
        <f>IF(N126&gt;0,CEILING(N126/$D$36,1),0)</f>
        <v/>
      </c>
      <c r="O133" s="57">
        <f>IF(O126&gt;0,CEILING(O126/$D$36,1),0)</f>
        <v/>
      </c>
      <c r="P133" s="57">
        <f>IF(P126&gt;0,CEILING(P126/$D$36,1),0)</f>
        <v/>
      </c>
      <c r="Q133" s="57">
        <f>IF(Q126&gt;0,CEILING(Q126/$D$36,1),0)</f>
        <v/>
      </c>
      <c r="R133" s="57">
        <f>IF(R126&gt;0,CEILING(R126/$D$36,1),0)</f>
        <v/>
      </c>
      <c r="S133" s="57">
        <f>IF(S126&gt;0,CEILING(S126/$D$36,1),0)</f>
        <v/>
      </c>
      <c r="T133" s="57">
        <f>IF(T126&gt;0,CEILING(T126/$D$36,1),0)</f>
        <v/>
      </c>
      <c r="U133" s="57">
        <f>IF(U126&gt;0,CEILING(U126/$D$36,1),0)</f>
        <v/>
      </c>
      <c r="V133" s="57">
        <f>IF(V126&gt;0,CEILING(V126/$D$36,1),0)</f>
        <v/>
      </c>
      <c r="W133" s="57">
        <f>IF(W126&gt;0,CEILING(W126/$D$36,1),0)</f>
        <v/>
      </c>
      <c r="X133" s="57">
        <f>IF(X126&gt;0,CEILING(X126/$D$36,1),0)</f>
        <v/>
      </c>
      <c r="Y133" s="57">
        <f>IF(Y126&gt;0,CEILING(Y126/$D$36,1),0)</f>
        <v/>
      </c>
      <c r="Z133" s="57">
        <f>IF(Z126&gt;0,CEILING(Z126/$D$36,1),0)</f>
        <v/>
      </c>
      <c r="AA133" s="57">
        <f>IF(AA126&gt;0,CEILING(AA126/$D$36,1),0)</f>
        <v/>
      </c>
      <c r="AB133" s="57">
        <f>IF(AB126&gt;0,CEILING(AB126/$D$36,1),0)</f>
        <v/>
      </c>
      <c r="AC133" s="57">
        <f>IF(AC126&gt;0,CEILING(AC126/$D$36,1),0)</f>
        <v/>
      </c>
      <c r="AD133" s="57">
        <f>IF(AD126&gt;0,CEILING(AD126/$D$36,1),0)</f>
        <v/>
      </c>
      <c r="AE133" s="57">
        <f>IF(AE126&gt;0,CEILING(AE126/$D$36,1),0)</f>
        <v/>
      </c>
      <c r="AF133" s="57">
        <f>IF(AF126&gt;0,CEILING(AF126/$D$36,1),0)</f>
        <v/>
      </c>
      <c r="AG133" s="57">
        <f>IF(AG126&gt;0,CEILING(AG126/$D$36,1),0)</f>
        <v/>
      </c>
      <c r="AH133" s="57">
        <f>IF(AH126&gt;0,CEILING(AH126/$D$36,1),0)</f>
        <v/>
      </c>
      <c r="AI133" s="57">
        <f>IF(AI126&gt;0,CEILING(AI126/$D$36,1),0)</f>
        <v/>
      </c>
      <c r="AJ133" s="57">
        <f>IF(AJ126&gt;0,CEILING(AJ126/$D$36,1),0)</f>
        <v/>
      </c>
      <c r="AK133" s="57">
        <f>IF(AK126&gt;0,CEILING(AK126/$D$36,1),0)</f>
        <v/>
      </c>
      <c r="AL133" s="57">
        <f>IF(AL126&gt;0,CEILING(AL126/$D$36,1),0)</f>
        <v/>
      </c>
      <c r="AM133" s="57">
        <f>IF(AM126&gt;0,CEILING(AM126/$D$36,1),0)</f>
        <v/>
      </c>
      <c r="AN133" s="57">
        <f>IF(AN126&gt;0,CEILING(AN126/$D$36,1),0)</f>
        <v/>
      </c>
    </row>
    <row r="134">
      <c r="B134" s="7" t="inlineStr">
        <is>
          <t>Customer-success cost</t>
        </is>
      </c>
      <c r="C134" s="5" t="inlineStr">
        <is>
          <t>₹</t>
        </is>
      </c>
      <c r="E134" s="50">
        <f>E133*$D$35*E117</f>
        <v/>
      </c>
      <c r="F134" s="50">
        <f>F133*$D$35*F117</f>
        <v/>
      </c>
      <c r="G134" s="50">
        <f>G133*$D$35*G117</f>
        <v/>
      </c>
      <c r="H134" s="50">
        <f>H133*$D$35*H117</f>
        <v/>
      </c>
      <c r="I134" s="50">
        <f>I133*$D$35*I117</f>
        <v/>
      </c>
      <c r="J134" s="50">
        <f>J133*$D$35*J117</f>
        <v/>
      </c>
      <c r="K134" s="50">
        <f>K133*$D$35*K117</f>
        <v/>
      </c>
      <c r="L134" s="50">
        <f>L133*$D$35*L117</f>
        <v/>
      </c>
      <c r="M134" s="50">
        <f>M133*$D$35*M117</f>
        <v/>
      </c>
      <c r="N134" s="50">
        <f>N133*$D$35*N117</f>
        <v/>
      </c>
      <c r="O134" s="50">
        <f>O133*$D$35*O117</f>
        <v/>
      </c>
      <c r="P134" s="50">
        <f>P133*$D$35*P117</f>
        <v/>
      </c>
      <c r="Q134" s="50">
        <f>Q133*$D$35*Q117</f>
        <v/>
      </c>
      <c r="R134" s="50">
        <f>R133*$D$35*R117</f>
        <v/>
      </c>
      <c r="S134" s="50">
        <f>S133*$D$35*S117</f>
        <v/>
      </c>
      <c r="T134" s="50">
        <f>T133*$D$35*T117</f>
        <v/>
      </c>
      <c r="U134" s="50">
        <f>U133*$D$35*U117</f>
        <v/>
      </c>
      <c r="V134" s="50">
        <f>V133*$D$35*V117</f>
        <v/>
      </c>
      <c r="W134" s="50">
        <f>W133*$D$35*W117</f>
        <v/>
      </c>
      <c r="X134" s="50">
        <f>X133*$D$35*X117</f>
        <v/>
      </c>
      <c r="Y134" s="50">
        <f>Y133*$D$35*Y117</f>
        <v/>
      </c>
      <c r="Z134" s="50">
        <f>Z133*$D$35*Z117</f>
        <v/>
      </c>
      <c r="AA134" s="50">
        <f>AA133*$D$35*AA117</f>
        <v/>
      </c>
      <c r="AB134" s="50">
        <f>AB133*$D$35*AB117</f>
        <v/>
      </c>
      <c r="AC134" s="50">
        <f>AC133*$D$35*AC117</f>
        <v/>
      </c>
      <c r="AD134" s="50">
        <f>AD133*$D$35*AD117</f>
        <v/>
      </c>
      <c r="AE134" s="50">
        <f>AE133*$D$35*AE117</f>
        <v/>
      </c>
      <c r="AF134" s="50">
        <f>AF133*$D$35*AF117</f>
        <v/>
      </c>
      <c r="AG134" s="50">
        <f>AG133*$D$35*AG117</f>
        <v/>
      </c>
      <c r="AH134" s="50">
        <f>AH133*$D$35*AH117</f>
        <v/>
      </c>
      <c r="AI134" s="50">
        <f>AI133*$D$35*AI117</f>
        <v/>
      </c>
      <c r="AJ134" s="50">
        <f>AJ133*$D$35*AJ117</f>
        <v/>
      </c>
      <c r="AK134" s="50">
        <f>AK133*$D$35*AK117</f>
        <v/>
      </c>
      <c r="AL134" s="50">
        <f>AL133*$D$35*AL117</f>
        <v/>
      </c>
      <c r="AM134" s="50">
        <f>AM133*$D$35*AM117</f>
        <v/>
      </c>
      <c r="AN134" s="50">
        <f>AN133*$D$35*AN117</f>
        <v/>
      </c>
    </row>
    <row r="135">
      <c r="B135" s="3" t="inlineStr">
        <is>
          <t>Gross profit (SaaS convention: after support)</t>
        </is>
      </c>
      <c r="C135" s="5" t="inlineStr">
        <is>
          <t>₹</t>
        </is>
      </c>
      <c r="E135" s="50">
        <f>E128-E130-E132-E134</f>
        <v/>
      </c>
      <c r="F135" s="50">
        <f>F128-F130-F132-F134</f>
        <v/>
      </c>
      <c r="G135" s="50">
        <f>G128-G130-G132-G134</f>
        <v/>
      </c>
      <c r="H135" s="50">
        <f>H128-H130-H132-H134</f>
        <v/>
      </c>
      <c r="I135" s="50">
        <f>I128-I130-I132-I134</f>
        <v/>
      </c>
      <c r="J135" s="50">
        <f>J128-J130-J132-J134</f>
        <v/>
      </c>
      <c r="K135" s="50">
        <f>K128-K130-K132-K134</f>
        <v/>
      </c>
      <c r="L135" s="50">
        <f>L128-L130-L132-L134</f>
        <v/>
      </c>
      <c r="M135" s="50">
        <f>M128-M130-M132-M134</f>
        <v/>
      </c>
      <c r="N135" s="50">
        <f>N128-N130-N132-N134</f>
        <v/>
      </c>
      <c r="O135" s="50">
        <f>O128-O130-O132-O134</f>
        <v/>
      </c>
      <c r="P135" s="50">
        <f>P128-P130-P132-P134</f>
        <v/>
      </c>
      <c r="Q135" s="50">
        <f>Q128-Q130-Q132-Q134</f>
        <v/>
      </c>
      <c r="R135" s="50">
        <f>R128-R130-R132-R134</f>
        <v/>
      </c>
      <c r="S135" s="50">
        <f>S128-S130-S132-S134</f>
        <v/>
      </c>
      <c r="T135" s="50">
        <f>T128-T130-T132-T134</f>
        <v/>
      </c>
      <c r="U135" s="50">
        <f>U128-U130-U132-U134</f>
        <v/>
      </c>
      <c r="V135" s="50">
        <f>V128-V130-V132-V134</f>
        <v/>
      </c>
      <c r="W135" s="50">
        <f>W128-W130-W132-W134</f>
        <v/>
      </c>
      <c r="X135" s="50">
        <f>X128-X130-X132-X134</f>
        <v/>
      </c>
      <c r="Y135" s="50">
        <f>Y128-Y130-Y132-Y134</f>
        <v/>
      </c>
      <c r="Z135" s="50">
        <f>Z128-Z130-Z132-Z134</f>
        <v/>
      </c>
      <c r="AA135" s="50">
        <f>AA128-AA130-AA132-AA134</f>
        <v/>
      </c>
      <c r="AB135" s="50">
        <f>AB128-AB130-AB132-AB134</f>
        <v/>
      </c>
      <c r="AC135" s="50">
        <f>AC128-AC130-AC132-AC134</f>
        <v/>
      </c>
      <c r="AD135" s="50">
        <f>AD128-AD130-AD132-AD134</f>
        <v/>
      </c>
      <c r="AE135" s="50">
        <f>AE128-AE130-AE132-AE134</f>
        <v/>
      </c>
      <c r="AF135" s="50">
        <f>AF128-AF130-AF132-AF134</f>
        <v/>
      </c>
      <c r="AG135" s="50">
        <f>AG128-AG130-AG132-AG134</f>
        <v/>
      </c>
      <c r="AH135" s="50">
        <f>AH128-AH130-AH132-AH134</f>
        <v/>
      </c>
      <c r="AI135" s="50">
        <f>AI128-AI130-AI132-AI134</f>
        <v/>
      </c>
      <c r="AJ135" s="50">
        <f>AJ128-AJ130-AJ132-AJ134</f>
        <v/>
      </c>
      <c r="AK135" s="50">
        <f>AK128-AK130-AK132-AK134</f>
        <v/>
      </c>
      <c r="AL135" s="50">
        <f>AL128-AL130-AL132-AL134</f>
        <v/>
      </c>
      <c r="AM135" s="50">
        <f>AM128-AM130-AM132-AM134</f>
        <v/>
      </c>
      <c r="AN135" s="50">
        <f>AN128-AN130-AN132-AN134</f>
        <v/>
      </c>
    </row>
    <row r="136">
      <c r="A136" s="23" t="n"/>
      <c r="B136" s="22" t="inlineStr">
        <is>
          <t>D. Operating costs</t>
        </is>
      </c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  <c r="AA136" s="23" t="n"/>
      <c r="AB136" s="23" t="n"/>
      <c r="AC136" s="23" t="n"/>
      <c r="AD136" s="23" t="n"/>
      <c r="AE136" s="23" t="n"/>
      <c r="AF136" s="23" t="n"/>
      <c r="AG136" s="23" t="n"/>
      <c r="AH136" s="23" t="n"/>
      <c r="AI136" s="23" t="n"/>
      <c r="AJ136" s="23" t="n"/>
      <c r="AK136" s="23" t="n"/>
      <c r="AL136" s="23" t="n"/>
      <c r="AM136" s="23" t="n"/>
      <c r="AN136" s="23" t="n"/>
    </row>
    <row r="137">
      <c r="B137" s="7" t="inlineStr">
        <is>
          <t>Sales team (rep cost + travel, with overhead loading)</t>
        </is>
      </c>
      <c r="C137" s="5" t="inlineStr">
        <is>
          <t>₹</t>
        </is>
      </c>
      <c r="E137" s="50">
        <f>E119*($D$37+$D$38)*E117*(1+$D$39)</f>
        <v/>
      </c>
      <c r="F137" s="50">
        <f>F119*($D$37+$D$38)*F117*(1+$D$39)</f>
        <v/>
      </c>
      <c r="G137" s="50">
        <f>G119*($D$37+$D$38)*G117*(1+$D$39)</f>
        <v/>
      </c>
      <c r="H137" s="50">
        <f>H119*($D$37+$D$38)*H117*(1+$D$39)</f>
        <v/>
      </c>
      <c r="I137" s="50">
        <f>I119*($D$37+$D$38)*I117*(1+$D$39)</f>
        <v/>
      </c>
      <c r="J137" s="50">
        <f>J119*($D$37+$D$38)*J117*(1+$D$39)</f>
        <v/>
      </c>
      <c r="K137" s="50">
        <f>K119*($D$37+$D$38)*K117*(1+$D$39)</f>
        <v/>
      </c>
      <c r="L137" s="50">
        <f>L119*($D$37+$D$38)*L117*(1+$D$39)</f>
        <v/>
      </c>
      <c r="M137" s="50">
        <f>M119*($D$37+$D$38)*M117*(1+$D$39)</f>
        <v/>
      </c>
      <c r="N137" s="50">
        <f>N119*($D$37+$D$38)*N117*(1+$D$39)</f>
        <v/>
      </c>
      <c r="O137" s="50">
        <f>O119*($D$37+$D$38)*O117*(1+$D$39)</f>
        <v/>
      </c>
      <c r="P137" s="50">
        <f>P119*($D$37+$D$38)*P117*(1+$D$39)</f>
        <v/>
      </c>
      <c r="Q137" s="50">
        <f>Q119*($D$37+$D$38)*Q117*(1+$D$39)</f>
        <v/>
      </c>
      <c r="R137" s="50">
        <f>R119*($D$37+$D$38)*R117*(1+$D$39)</f>
        <v/>
      </c>
      <c r="S137" s="50">
        <f>S119*($D$37+$D$38)*S117*(1+$D$39)</f>
        <v/>
      </c>
      <c r="T137" s="50">
        <f>T119*($D$37+$D$38)*T117*(1+$D$39)</f>
        <v/>
      </c>
      <c r="U137" s="50">
        <f>U119*($D$37+$D$38)*U117*(1+$D$39)</f>
        <v/>
      </c>
      <c r="V137" s="50">
        <f>V119*($D$37+$D$38)*V117*(1+$D$39)</f>
        <v/>
      </c>
      <c r="W137" s="50">
        <f>W119*($D$37+$D$38)*W117*(1+$D$39)</f>
        <v/>
      </c>
      <c r="X137" s="50">
        <f>X119*($D$37+$D$38)*X117*(1+$D$39)</f>
        <v/>
      </c>
      <c r="Y137" s="50">
        <f>Y119*($D$37+$D$38)*Y117*(1+$D$39)</f>
        <v/>
      </c>
      <c r="Z137" s="50">
        <f>Z119*($D$37+$D$38)*Z117*(1+$D$39)</f>
        <v/>
      </c>
      <c r="AA137" s="50">
        <f>AA119*($D$37+$D$38)*AA117*(1+$D$39)</f>
        <v/>
      </c>
      <c r="AB137" s="50">
        <f>AB119*($D$37+$D$38)*AB117*(1+$D$39)</f>
        <v/>
      </c>
      <c r="AC137" s="50">
        <f>AC119*($D$37+$D$38)*AC117*(1+$D$39)</f>
        <v/>
      </c>
      <c r="AD137" s="50">
        <f>AD119*($D$37+$D$38)*AD117*(1+$D$39)</f>
        <v/>
      </c>
      <c r="AE137" s="50">
        <f>AE119*($D$37+$D$38)*AE117*(1+$D$39)</f>
        <v/>
      </c>
      <c r="AF137" s="50">
        <f>AF119*($D$37+$D$38)*AF117*(1+$D$39)</f>
        <v/>
      </c>
      <c r="AG137" s="50">
        <f>AG119*($D$37+$D$38)*AG117*(1+$D$39)</f>
        <v/>
      </c>
      <c r="AH137" s="50">
        <f>AH119*($D$37+$D$38)*AH117*(1+$D$39)</f>
        <v/>
      </c>
      <c r="AI137" s="50">
        <f>AI119*($D$37+$D$38)*AI117*(1+$D$39)</f>
        <v/>
      </c>
      <c r="AJ137" s="50">
        <f>AJ119*($D$37+$D$38)*AJ117*(1+$D$39)</f>
        <v/>
      </c>
      <c r="AK137" s="50">
        <f>AK119*($D$37+$D$38)*AK117*(1+$D$39)</f>
        <v/>
      </c>
      <c r="AL137" s="50">
        <f>AL119*($D$37+$D$38)*AL117*(1+$D$39)</f>
        <v/>
      </c>
      <c r="AM137" s="50">
        <f>AM119*($D$37+$D$38)*AM117*(1+$D$39)</f>
        <v/>
      </c>
      <c r="AN137" s="50">
        <f>AN119*($D$37+$D$38)*AN117*(1+$D$39)</f>
        <v/>
      </c>
    </row>
    <row r="138">
      <c r="B138" s="7" t="inlineStr">
        <is>
          <t>Marketing</t>
        </is>
      </c>
      <c r="C138" s="5" t="inlineStr">
        <is>
          <t>₹</t>
        </is>
      </c>
      <c r="E138" s="50">
        <f>E123*$D$45</f>
        <v/>
      </c>
      <c r="F138" s="50">
        <f>F123*$D$45</f>
        <v/>
      </c>
      <c r="G138" s="50">
        <f>G123*$D$45</f>
        <v/>
      </c>
      <c r="H138" s="50">
        <f>H123*$D$45</f>
        <v/>
      </c>
      <c r="I138" s="50">
        <f>I123*$D$45</f>
        <v/>
      </c>
      <c r="J138" s="50">
        <f>J123*$D$45</f>
        <v/>
      </c>
      <c r="K138" s="50">
        <f>K123*$D$45</f>
        <v/>
      </c>
      <c r="L138" s="50">
        <f>L123*$D$45</f>
        <v/>
      </c>
      <c r="M138" s="50">
        <f>M123*$D$45</f>
        <v/>
      </c>
      <c r="N138" s="50">
        <f>N123*$D$45</f>
        <v/>
      </c>
      <c r="O138" s="50">
        <f>O123*$D$45</f>
        <v/>
      </c>
      <c r="P138" s="50">
        <f>P123*$D$45</f>
        <v/>
      </c>
      <c r="Q138" s="50">
        <f>Q123*$D$45</f>
        <v/>
      </c>
      <c r="R138" s="50">
        <f>R123*$D$45</f>
        <v/>
      </c>
      <c r="S138" s="50">
        <f>S123*$D$45</f>
        <v/>
      </c>
      <c r="T138" s="50">
        <f>T123*$D$45</f>
        <v/>
      </c>
      <c r="U138" s="50">
        <f>U123*$D$45</f>
        <v/>
      </c>
      <c r="V138" s="50">
        <f>V123*$D$45</f>
        <v/>
      </c>
      <c r="W138" s="50">
        <f>W123*$D$45</f>
        <v/>
      </c>
      <c r="X138" s="50">
        <f>X123*$D$45</f>
        <v/>
      </c>
      <c r="Y138" s="50">
        <f>Y123*$D$45</f>
        <v/>
      </c>
      <c r="Z138" s="50">
        <f>Z123*$D$45</f>
        <v/>
      </c>
      <c r="AA138" s="50">
        <f>AA123*$D$45</f>
        <v/>
      </c>
      <c r="AB138" s="50">
        <f>AB123*$D$45</f>
        <v/>
      </c>
      <c r="AC138" s="50">
        <f>AC123*$D$45</f>
        <v/>
      </c>
      <c r="AD138" s="50">
        <f>AD123*$D$45</f>
        <v/>
      </c>
      <c r="AE138" s="50">
        <f>AE123*$D$45</f>
        <v/>
      </c>
      <c r="AF138" s="50">
        <f>AF123*$D$45</f>
        <v/>
      </c>
      <c r="AG138" s="50">
        <f>AG123*$D$45</f>
        <v/>
      </c>
      <c r="AH138" s="50">
        <f>AH123*$D$45</f>
        <v/>
      </c>
      <c r="AI138" s="50">
        <f>AI123*$D$45</f>
        <v/>
      </c>
      <c r="AJ138" s="50">
        <f>AJ123*$D$45</f>
        <v/>
      </c>
      <c r="AK138" s="50">
        <f>AK123*$D$45</f>
        <v/>
      </c>
      <c r="AL138" s="50">
        <f>AL123*$D$45</f>
        <v/>
      </c>
      <c r="AM138" s="50">
        <f>AM123*$D$45</f>
        <v/>
      </c>
      <c r="AN138" s="50">
        <f>AN123*$D$45</f>
        <v/>
      </c>
    </row>
    <row r="139">
      <c r="B139" s="7" t="inlineStr">
        <is>
          <t>Free pilots (setup + serving)</t>
        </is>
      </c>
      <c r="C139" s="5" t="inlineStr">
        <is>
          <t>₹</t>
        </is>
      </c>
      <c r="E139" s="50">
        <f>E120*$D$74</f>
        <v/>
      </c>
      <c r="F139" s="50">
        <f>F120*$D$74</f>
        <v/>
      </c>
      <c r="G139" s="50">
        <f>G120*$D$74</f>
        <v/>
      </c>
      <c r="H139" s="50">
        <f>H120*$D$74</f>
        <v/>
      </c>
      <c r="I139" s="50">
        <f>I120*$D$74</f>
        <v/>
      </c>
      <c r="J139" s="50">
        <f>J120*$D$74</f>
        <v/>
      </c>
      <c r="K139" s="50">
        <f>K120*$D$74</f>
        <v/>
      </c>
      <c r="L139" s="50">
        <f>L120*$D$74</f>
        <v/>
      </c>
      <c r="M139" s="50">
        <f>M120*$D$74</f>
        <v/>
      </c>
      <c r="N139" s="50">
        <f>N120*$D$74</f>
        <v/>
      </c>
      <c r="O139" s="50">
        <f>O120*$D$74</f>
        <v/>
      </c>
      <c r="P139" s="50">
        <f>P120*$D$74</f>
        <v/>
      </c>
      <c r="Q139" s="50">
        <f>Q120*$D$74</f>
        <v/>
      </c>
      <c r="R139" s="50">
        <f>R120*$D$74</f>
        <v/>
      </c>
      <c r="S139" s="50">
        <f>S120*$D$74</f>
        <v/>
      </c>
      <c r="T139" s="50">
        <f>T120*$D$74</f>
        <v/>
      </c>
      <c r="U139" s="50">
        <f>U120*$D$74</f>
        <v/>
      </c>
      <c r="V139" s="50">
        <f>V120*$D$74</f>
        <v/>
      </c>
      <c r="W139" s="50">
        <f>W120*$D$74</f>
        <v/>
      </c>
      <c r="X139" s="50">
        <f>X120*$D$74</f>
        <v/>
      </c>
      <c r="Y139" s="50">
        <f>Y120*$D$74</f>
        <v/>
      </c>
      <c r="Z139" s="50">
        <f>Z120*$D$74</f>
        <v/>
      </c>
      <c r="AA139" s="50">
        <f>AA120*$D$74</f>
        <v/>
      </c>
      <c r="AB139" s="50">
        <f>AB120*$D$74</f>
        <v/>
      </c>
      <c r="AC139" s="50">
        <f>AC120*$D$74</f>
        <v/>
      </c>
      <c r="AD139" s="50">
        <f>AD120*$D$74</f>
        <v/>
      </c>
      <c r="AE139" s="50">
        <f>AE120*$D$74</f>
        <v/>
      </c>
      <c r="AF139" s="50">
        <f>AF120*$D$74</f>
        <v/>
      </c>
      <c r="AG139" s="50">
        <f>AG120*$D$74</f>
        <v/>
      </c>
      <c r="AH139" s="50">
        <f>AH120*$D$74</f>
        <v/>
      </c>
      <c r="AI139" s="50">
        <f>AI120*$D$74</f>
        <v/>
      </c>
      <c r="AJ139" s="50">
        <f>AJ120*$D$74</f>
        <v/>
      </c>
      <c r="AK139" s="50">
        <f>AK120*$D$74</f>
        <v/>
      </c>
      <c r="AL139" s="50">
        <f>AL120*$D$74</f>
        <v/>
      </c>
      <c r="AM139" s="50">
        <f>AM120*$D$74</f>
        <v/>
      </c>
      <c r="AN139" s="50">
        <f>AN120*$D$74</f>
        <v/>
      </c>
    </row>
    <row r="140">
      <c r="B140" s="7" t="inlineStr">
        <is>
          <t>Onboarding of new paying institutes</t>
        </is>
      </c>
      <c r="C140" s="5" t="inlineStr">
        <is>
          <t>₹</t>
        </is>
      </c>
      <c r="E140" s="50">
        <f>E123*$D$44*$D$73</f>
        <v/>
      </c>
      <c r="F140" s="50">
        <f>F123*$D$44*$D$73</f>
        <v/>
      </c>
      <c r="G140" s="50">
        <f>G123*$D$44*$D$73</f>
        <v/>
      </c>
      <c r="H140" s="50">
        <f>H123*$D$44*$D$73</f>
        <v/>
      </c>
      <c r="I140" s="50">
        <f>I123*$D$44*$D$73</f>
        <v/>
      </c>
      <c r="J140" s="50">
        <f>J123*$D$44*$D$73</f>
        <v/>
      </c>
      <c r="K140" s="50">
        <f>K123*$D$44*$D$73</f>
        <v/>
      </c>
      <c r="L140" s="50">
        <f>L123*$D$44*$D$73</f>
        <v/>
      </c>
      <c r="M140" s="50">
        <f>M123*$D$44*$D$73</f>
        <v/>
      </c>
      <c r="N140" s="50">
        <f>N123*$D$44*$D$73</f>
        <v/>
      </c>
      <c r="O140" s="50">
        <f>O123*$D$44*$D$73</f>
        <v/>
      </c>
      <c r="P140" s="50">
        <f>P123*$D$44*$D$73</f>
        <v/>
      </c>
      <c r="Q140" s="50">
        <f>Q123*$D$44*$D$73</f>
        <v/>
      </c>
      <c r="R140" s="50">
        <f>R123*$D$44*$D$73</f>
        <v/>
      </c>
      <c r="S140" s="50">
        <f>S123*$D$44*$D$73</f>
        <v/>
      </c>
      <c r="T140" s="50">
        <f>T123*$D$44*$D$73</f>
        <v/>
      </c>
      <c r="U140" s="50">
        <f>U123*$D$44*$D$73</f>
        <v/>
      </c>
      <c r="V140" s="50">
        <f>V123*$D$44*$D$73</f>
        <v/>
      </c>
      <c r="W140" s="50">
        <f>W123*$D$44*$D$73</f>
        <v/>
      </c>
      <c r="X140" s="50">
        <f>X123*$D$44*$D$73</f>
        <v/>
      </c>
      <c r="Y140" s="50">
        <f>Y123*$D$44*$D$73</f>
        <v/>
      </c>
      <c r="Z140" s="50">
        <f>Z123*$D$44*$D$73</f>
        <v/>
      </c>
      <c r="AA140" s="50">
        <f>AA123*$D$44*$D$73</f>
        <v/>
      </c>
      <c r="AB140" s="50">
        <f>AB123*$D$44*$D$73</f>
        <v/>
      </c>
      <c r="AC140" s="50">
        <f>AC123*$D$44*$D$73</f>
        <v/>
      </c>
      <c r="AD140" s="50">
        <f>AD123*$D$44*$D$73</f>
        <v/>
      </c>
      <c r="AE140" s="50">
        <f>AE123*$D$44*$D$73</f>
        <v/>
      </c>
      <c r="AF140" s="50">
        <f>AF123*$D$44*$D$73</f>
        <v/>
      </c>
      <c r="AG140" s="50">
        <f>AG123*$D$44*$D$73</f>
        <v/>
      </c>
      <c r="AH140" s="50">
        <f>AH123*$D$44*$D$73</f>
        <v/>
      </c>
      <c r="AI140" s="50">
        <f>AI123*$D$44*$D$73</f>
        <v/>
      </c>
      <c r="AJ140" s="50">
        <f>AJ123*$D$44*$D$73</f>
        <v/>
      </c>
      <c r="AK140" s="50">
        <f>AK123*$D$44*$D$73</f>
        <v/>
      </c>
      <c r="AL140" s="50">
        <f>AL123*$D$44*$D$73</f>
        <v/>
      </c>
      <c r="AM140" s="50">
        <f>AM123*$D$44*$D$73</f>
        <v/>
      </c>
      <c r="AN140" s="50">
        <f>AN123*$D$44*$D$73</f>
        <v/>
      </c>
    </row>
    <row r="141">
      <c r="B141" s="7" t="inlineStr">
        <is>
          <t>Sales and marketing, total</t>
        </is>
      </c>
      <c r="C141" s="5" t="inlineStr">
        <is>
          <t>₹</t>
        </is>
      </c>
      <c r="E141" s="50">
        <f>E137+E138+E139+E140</f>
        <v/>
      </c>
      <c r="F141" s="50">
        <f>F137+F138+F139+F140</f>
        <v/>
      </c>
      <c r="G141" s="50">
        <f>G137+G138+G139+G140</f>
        <v/>
      </c>
      <c r="H141" s="50">
        <f>H137+H138+H139+H140</f>
        <v/>
      </c>
      <c r="I141" s="50">
        <f>I137+I138+I139+I140</f>
        <v/>
      </c>
      <c r="J141" s="50">
        <f>J137+J138+J139+J140</f>
        <v/>
      </c>
      <c r="K141" s="50">
        <f>K137+K138+K139+K140</f>
        <v/>
      </c>
      <c r="L141" s="50">
        <f>L137+L138+L139+L140</f>
        <v/>
      </c>
      <c r="M141" s="50">
        <f>M137+M138+M139+M140</f>
        <v/>
      </c>
      <c r="N141" s="50">
        <f>N137+N138+N139+N140</f>
        <v/>
      </c>
      <c r="O141" s="50">
        <f>O137+O138+O139+O140</f>
        <v/>
      </c>
      <c r="P141" s="50">
        <f>P137+P138+P139+P140</f>
        <v/>
      </c>
      <c r="Q141" s="50">
        <f>Q137+Q138+Q139+Q140</f>
        <v/>
      </c>
      <c r="R141" s="50">
        <f>R137+R138+R139+R140</f>
        <v/>
      </c>
      <c r="S141" s="50">
        <f>S137+S138+S139+S140</f>
        <v/>
      </c>
      <c r="T141" s="50">
        <f>T137+T138+T139+T140</f>
        <v/>
      </c>
      <c r="U141" s="50">
        <f>U137+U138+U139+U140</f>
        <v/>
      </c>
      <c r="V141" s="50">
        <f>V137+V138+V139+V140</f>
        <v/>
      </c>
      <c r="W141" s="50">
        <f>W137+W138+W139+W140</f>
        <v/>
      </c>
      <c r="X141" s="50">
        <f>X137+X138+X139+X140</f>
        <v/>
      </c>
      <c r="Y141" s="50">
        <f>Y137+Y138+Y139+Y140</f>
        <v/>
      </c>
      <c r="Z141" s="50">
        <f>Z137+Z138+Z139+Z140</f>
        <v/>
      </c>
      <c r="AA141" s="50">
        <f>AA137+AA138+AA139+AA140</f>
        <v/>
      </c>
      <c r="AB141" s="50">
        <f>AB137+AB138+AB139+AB140</f>
        <v/>
      </c>
      <c r="AC141" s="50">
        <f>AC137+AC138+AC139+AC140</f>
        <v/>
      </c>
      <c r="AD141" s="50">
        <f>AD137+AD138+AD139+AD140</f>
        <v/>
      </c>
      <c r="AE141" s="50">
        <f>AE137+AE138+AE139+AE140</f>
        <v/>
      </c>
      <c r="AF141" s="50">
        <f>AF137+AF138+AF139+AF140</f>
        <v/>
      </c>
      <c r="AG141" s="50">
        <f>AG137+AG138+AG139+AG140</f>
        <v/>
      </c>
      <c r="AH141" s="50">
        <f>AH137+AH138+AH139+AH140</f>
        <v/>
      </c>
      <c r="AI141" s="50">
        <f>AI137+AI138+AI139+AI140</f>
        <v/>
      </c>
      <c r="AJ141" s="50">
        <f>AJ137+AJ138+AJ139+AJ140</f>
        <v/>
      </c>
      <c r="AK141" s="50">
        <f>AK137+AK138+AK139+AK140</f>
        <v/>
      </c>
      <c r="AL141" s="50">
        <f>AL137+AL138+AL139+AL140</f>
        <v/>
      </c>
      <c r="AM141" s="50">
        <f>AM137+AM138+AM139+AM140</f>
        <v/>
      </c>
      <c r="AN141" s="50">
        <f>AN137+AN138+AN139+AN140</f>
        <v/>
      </c>
    </row>
    <row r="142">
      <c r="B142" s="7" t="inlineStr">
        <is>
          <t>Engineers</t>
        </is>
      </c>
      <c r="C142" s="5" t="inlineStr">
        <is>
          <t>people</t>
        </is>
      </c>
      <c r="E142" s="57">
        <f>CHOOSE(E114,$D$51,$D$52,$D$53)</f>
        <v/>
      </c>
      <c r="F142" s="57">
        <f>CHOOSE(F114,$D$51,$D$52,$D$53)</f>
        <v/>
      </c>
      <c r="G142" s="57">
        <f>CHOOSE(G114,$D$51,$D$52,$D$53)</f>
        <v/>
      </c>
      <c r="H142" s="57">
        <f>CHOOSE(H114,$D$51,$D$52,$D$53)</f>
        <v/>
      </c>
      <c r="I142" s="57">
        <f>CHOOSE(I114,$D$51,$D$52,$D$53)</f>
        <v/>
      </c>
      <c r="J142" s="57">
        <f>CHOOSE(J114,$D$51,$D$52,$D$53)</f>
        <v/>
      </c>
      <c r="K142" s="57">
        <f>CHOOSE(K114,$D$51,$D$52,$D$53)</f>
        <v/>
      </c>
      <c r="L142" s="57">
        <f>CHOOSE(L114,$D$51,$D$52,$D$53)</f>
        <v/>
      </c>
      <c r="M142" s="57">
        <f>CHOOSE(M114,$D$51,$D$52,$D$53)</f>
        <v/>
      </c>
      <c r="N142" s="57">
        <f>CHOOSE(N114,$D$51,$D$52,$D$53)</f>
        <v/>
      </c>
      <c r="O142" s="57">
        <f>CHOOSE(O114,$D$51,$D$52,$D$53)</f>
        <v/>
      </c>
      <c r="P142" s="57">
        <f>CHOOSE(P114,$D$51,$D$52,$D$53)</f>
        <v/>
      </c>
      <c r="Q142" s="57">
        <f>CHOOSE(Q114,$D$51,$D$52,$D$53)</f>
        <v/>
      </c>
      <c r="R142" s="57">
        <f>CHOOSE(R114,$D$51,$D$52,$D$53)</f>
        <v/>
      </c>
      <c r="S142" s="57">
        <f>CHOOSE(S114,$D$51,$D$52,$D$53)</f>
        <v/>
      </c>
      <c r="T142" s="57">
        <f>CHOOSE(T114,$D$51,$D$52,$D$53)</f>
        <v/>
      </c>
      <c r="U142" s="57">
        <f>CHOOSE(U114,$D$51,$D$52,$D$53)</f>
        <v/>
      </c>
      <c r="V142" s="57">
        <f>CHOOSE(V114,$D$51,$D$52,$D$53)</f>
        <v/>
      </c>
      <c r="W142" s="57">
        <f>CHOOSE(W114,$D$51,$D$52,$D$53)</f>
        <v/>
      </c>
      <c r="X142" s="57">
        <f>CHOOSE(X114,$D$51,$D$52,$D$53)</f>
        <v/>
      </c>
      <c r="Y142" s="57">
        <f>CHOOSE(Y114,$D$51,$D$52,$D$53)</f>
        <v/>
      </c>
      <c r="Z142" s="57">
        <f>CHOOSE(Z114,$D$51,$D$52,$D$53)</f>
        <v/>
      </c>
      <c r="AA142" s="57">
        <f>CHOOSE(AA114,$D$51,$D$52,$D$53)</f>
        <v/>
      </c>
      <c r="AB142" s="57">
        <f>CHOOSE(AB114,$D$51,$D$52,$D$53)</f>
        <v/>
      </c>
      <c r="AC142" s="57">
        <f>CHOOSE(AC114,$D$51,$D$52,$D$53)</f>
        <v/>
      </c>
      <c r="AD142" s="57">
        <f>CHOOSE(AD114,$D$51,$D$52,$D$53)</f>
        <v/>
      </c>
      <c r="AE142" s="57">
        <f>CHOOSE(AE114,$D$51,$D$52,$D$53)</f>
        <v/>
      </c>
      <c r="AF142" s="57">
        <f>CHOOSE(AF114,$D$51,$D$52,$D$53)</f>
        <v/>
      </c>
      <c r="AG142" s="57">
        <f>CHOOSE(AG114,$D$51,$D$52,$D$53)</f>
        <v/>
      </c>
      <c r="AH142" s="57">
        <f>CHOOSE(AH114,$D$51,$D$52,$D$53)</f>
        <v/>
      </c>
      <c r="AI142" s="57">
        <f>CHOOSE(AI114,$D$51,$D$52,$D$53)</f>
        <v/>
      </c>
      <c r="AJ142" s="57">
        <f>CHOOSE(AJ114,$D$51,$D$52,$D$53)</f>
        <v/>
      </c>
      <c r="AK142" s="57">
        <f>CHOOSE(AK114,$D$51,$D$52,$D$53)</f>
        <v/>
      </c>
      <c r="AL142" s="57">
        <f>CHOOSE(AL114,$D$51,$D$52,$D$53)</f>
        <v/>
      </c>
      <c r="AM142" s="57">
        <f>CHOOSE(AM114,$D$51,$D$52,$D$53)</f>
        <v/>
      </c>
      <c r="AN142" s="57">
        <f>CHOOSE(AN114,$D$51,$D$52,$D$53)</f>
        <v/>
      </c>
    </row>
    <row r="143">
      <c r="B143" s="7" t="inlineStr">
        <is>
          <t>Product and engineering (the larger of the planned engineers and a share of revenue)</t>
        </is>
      </c>
      <c r="C143" s="5" t="inlineStr">
        <is>
          <t>₹</t>
        </is>
      </c>
      <c r="E143" s="50">
        <f>MAX(E142*$D$54*E117,$D$59*E128)</f>
        <v/>
      </c>
      <c r="F143" s="50">
        <f>MAX(F142*$D$54*F117,$D$59*F128)</f>
        <v/>
      </c>
      <c r="G143" s="50">
        <f>MAX(G142*$D$54*G117,$D$59*G128)</f>
        <v/>
      </c>
      <c r="H143" s="50">
        <f>MAX(H142*$D$54*H117,$D$59*H128)</f>
        <v/>
      </c>
      <c r="I143" s="50">
        <f>MAX(I142*$D$54*I117,$D$59*I128)</f>
        <v/>
      </c>
      <c r="J143" s="50">
        <f>MAX(J142*$D$54*J117,$D$59*J128)</f>
        <v/>
      </c>
      <c r="K143" s="50">
        <f>MAX(K142*$D$54*K117,$D$59*K128)</f>
        <v/>
      </c>
      <c r="L143" s="50">
        <f>MAX(L142*$D$54*L117,$D$59*L128)</f>
        <v/>
      </c>
      <c r="M143" s="50">
        <f>MAX(M142*$D$54*M117,$D$59*M128)</f>
        <v/>
      </c>
      <c r="N143" s="50">
        <f>MAX(N142*$D$54*N117,$D$59*N128)</f>
        <v/>
      </c>
      <c r="O143" s="50">
        <f>MAX(O142*$D$54*O117,$D$59*O128)</f>
        <v/>
      </c>
      <c r="P143" s="50">
        <f>MAX(P142*$D$54*P117,$D$59*P128)</f>
        <v/>
      </c>
      <c r="Q143" s="50">
        <f>MAX(Q142*$D$54*Q117,$D$59*Q128)</f>
        <v/>
      </c>
      <c r="R143" s="50">
        <f>MAX(R142*$D$54*R117,$D$59*R128)</f>
        <v/>
      </c>
      <c r="S143" s="50">
        <f>MAX(S142*$D$54*S117,$D$59*S128)</f>
        <v/>
      </c>
      <c r="T143" s="50">
        <f>MAX(T142*$D$54*T117,$D$59*T128)</f>
        <v/>
      </c>
      <c r="U143" s="50">
        <f>MAX(U142*$D$54*U117,$D$59*U128)</f>
        <v/>
      </c>
      <c r="V143" s="50">
        <f>MAX(V142*$D$54*V117,$D$59*V128)</f>
        <v/>
      </c>
      <c r="W143" s="50">
        <f>MAX(W142*$D$54*W117,$D$59*W128)</f>
        <v/>
      </c>
      <c r="X143" s="50">
        <f>MAX(X142*$D$54*X117,$D$59*X128)</f>
        <v/>
      </c>
      <c r="Y143" s="50">
        <f>MAX(Y142*$D$54*Y117,$D$59*Y128)</f>
        <v/>
      </c>
      <c r="Z143" s="50">
        <f>MAX(Z142*$D$54*Z117,$D$59*Z128)</f>
        <v/>
      </c>
      <c r="AA143" s="50">
        <f>MAX(AA142*$D$54*AA117,$D$59*AA128)</f>
        <v/>
      </c>
      <c r="AB143" s="50">
        <f>MAX(AB142*$D$54*AB117,$D$59*AB128)</f>
        <v/>
      </c>
      <c r="AC143" s="50">
        <f>MAX(AC142*$D$54*AC117,$D$59*AC128)</f>
        <v/>
      </c>
      <c r="AD143" s="50">
        <f>MAX(AD142*$D$54*AD117,$D$59*AD128)</f>
        <v/>
      </c>
      <c r="AE143" s="50">
        <f>MAX(AE142*$D$54*AE117,$D$59*AE128)</f>
        <v/>
      </c>
      <c r="AF143" s="50">
        <f>MAX(AF142*$D$54*AF117,$D$59*AF128)</f>
        <v/>
      </c>
      <c r="AG143" s="50">
        <f>MAX(AG142*$D$54*AG117,$D$59*AG128)</f>
        <v/>
      </c>
      <c r="AH143" s="50">
        <f>MAX(AH142*$D$54*AH117,$D$59*AH128)</f>
        <v/>
      </c>
      <c r="AI143" s="50">
        <f>MAX(AI142*$D$54*AI117,$D$59*AI128)</f>
        <v/>
      </c>
      <c r="AJ143" s="50">
        <f>MAX(AJ142*$D$54*AJ117,$D$59*AJ128)</f>
        <v/>
      </c>
      <c r="AK143" s="50">
        <f>MAX(AK142*$D$54*AK117,$D$59*AK128)</f>
        <v/>
      </c>
      <c r="AL143" s="50">
        <f>MAX(AL142*$D$54*AL117,$D$59*AL128)</f>
        <v/>
      </c>
      <c r="AM143" s="50">
        <f>MAX(AM142*$D$54*AM117,$D$59*AM128)</f>
        <v/>
      </c>
      <c r="AN143" s="50">
        <f>MAX(AN142*$D$54*AN117,$D$59*AN128)</f>
        <v/>
      </c>
    </row>
    <row r="144">
      <c r="B144" s="7" t="inlineStr">
        <is>
          <t>Founders' stipends and general costs (the larger of the plan and a share of revenue)</t>
        </is>
      </c>
      <c r="C144" s="5" t="inlineStr">
        <is>
          <t>₹</t>
        </is>
      </c>
      <c r="E144" s="50">
        <f>MAX(($D$49*$D$50+$D$55)*E117,$D$60*E128)</f>
        <v/>
      </c>
      <c r="F144" s="50">
        <f>MAX(($D$49*$D$50+$D$55)*F117,$D$60*F128)</f>
        <v/>
      </c>
      <c r="G144" s="50">
        <f>MAX(($D$49*$D$50+$D$55)*G117,$D$60*G128)</f>
        <v/>
      </c>
      <c r="H144" s="50">
        <f>MAX(($D$49*$D$50+$D$55)*H117,$D$60*H128)</f>
        <v/>
      </c>
      <c r="I144" s="50">
        <f>MAX(($D$49*$D$50+$D$55)*I117,$D$60*I128)</f>
        <v/>
      </c>
      <c r="J144" s="50">
        <f>MAX(($D$49*$D$50+$D$55)*J117,$D$60*J128)</f>
        <v/>
      </c>
      <c r="K144" s="50">
        <f>MAX(($D$49*$D$50+$D$55)*K117,$D$60*K128)</f>
        <v/>
      </c>
      <c r="L144" s="50">
        <f>MAX(($D$49*$D$50+$D$55)*L117,$D$60*L128)</f>
        <v/>
      </c>
      <c r="M144" s="50">
        <f>MAX(($D$49*$D$50+$D$55)*M117,$D$60*M128)</f>
        <v/>
      </c>
      <c r="N144" s="50">
        <f>MAX(($D$49*$D$50+$D$55)*N117,$D$60*N128)</f>
        <v/>
      </c>
      <c r="O144" s="50">
        <f>MAX(($D$49*$D$50+$D$55)*O117,$D$60*O128)</f>
        <v/>
      </c>
      <c r="P144" s="50">
        <f>MAX(($D$49*$D$50+$D$55)*P117,$D$60*P128)</f>
        <v/>
      </c>
      <c r="Q144" s="50">
        <f>MAX(($D$49*$D$50+$D$55)*Q117,$D$60*Q128)</f>
        <v/>
      </c>
      <c r="R144" s="50">
        <f>MAX(($D$49*$D$50+$D$55)*R117,$D$60*R128)</f>
        <v/>
      </c>
      <c r="S144" s="50">
        <f>MAX(($D$49*$D$50+$D$55)*S117,$D$60*S128)</f>
        <v/>
      </c>
      <c r="T144" s="50">
        <f>MAX(($D$49*$D$50+$D$55)*T117,$D$60*T128)</f>
        <v/>
      </c>
      <c r="U144" s="50">
        <f>MAX(($D$49*$D$50+$D$55)*U117,$D$60*U128)</f>
        <v/>
      </c>
      <c r="V144" s="50">
        <f>MAX(($D$49*$D$50+$D$55)*V117,$D$60*V128)</f>
        <v/>
      </c>
      <c r="W144" s="50">
        <f>MAX(($D$49*$D$50+$D$55)*W117,$D$60*W128)</f>
        <v/>
      </c>
      <c r="X144" s="50">
        <f>MAX(($D$49*$D$50+$D$55)*X117,$D$60*X128)</f>
        <v/>
      </c>
      <c r="Y144" s="50">
        <f>MAX(($D$49*$D$50+$D$55)*Y117,$D$60*Y128)</f>
        <v/>
      </c>
      <c r="Z144" s="50">
        <f>MAX(($D$49*$D$50+$D$55)*Z117,$D$60*Z128)</f>
        <v/>
      </c>
      <c r="AA144" s="50">
        <f>MAX(($D$49*$D$50+$D$55)*AA117,$D$60*AA128)</f>
        <v/>
      </c>
      <c r="AB144" s="50">
        <f>MAX(($D$49*$D$50+$D$55)*AB117,$D$60*AB128)</f>
        <v/>
      </c>
      <c r="AC144" s="50">
        <f>MAX(($D$49*$D$50+$D$55)*AC117,$D$60*AC128)</f>
        <v/>
      </c>
      <c r="AD144" s="50">
        <f>MAX(($D$49*$D$50+$D$55)*AD117,$D$60*AD128)</f>
        <v/>
      </c>
      <c r="AE144" s="50">
        <f>MAX(($D$49*$D$50+$D$55)*AE117,$D$60*AE128)</f>
        <v/>
      </c>
      <c r="AF144" s="50">
        <f>MAX(($D$49*$D$50+$D$55)*AF117,$D$60*AF128)</f>
        <v/>
      </c>
      <c r="AG144" s="50">
        <f>MAX(($D$49*$D$50+$D$55)*AG117,$D$60*AG128)</f>
        <v/>
      </c>
      <c r="AH144" s="50">
        <f>MAX(($D$49*$D$50+$D$55)*AH117,$D$60*AH128)</f>
        <v/>
      </c>
      <c r="AI144" s="50">
        <f>MAX(($D$49*$D$50+$D$55)*AI117,$D$60*AI128)</f>
        <v/>
      </c>
      <c r="AJ144" s="50">
        <f>MAX(($D$49*$D$50+$D$55)*AJ117,$D$60*AJ128)</f>
        <v/>
      </c>
      <c r="AK144" s="50">
        <f>MAX(($D$49*$D$50+$D$55)*AK117,$D$60*AK128)</f>
        <v/>
      </c>
      <c r="AL144" s="50">
        <f>MAX(($D$49*$D$50+$D$55)*AL117,$D$60*AL128)</f>
        <v/>
      </c>
      <c r="AM144" s="50">
        <f>MAX(($D$49*$D$50+$D$55)*AM117,$D$60*AM128)</f>
        <v/>
      </c>
      <c r="AN144" s="50">
        <f>MAX(($D$49*$D$50+$D$55)*AN117,$D$60*AN128)</f>
        <v/>
      </c>
    </row>
    <row r="145">
      <c r="B145" s="7" t="inlineStr">
        <is>
          <t>Total operating costs</t>
        </is>
      </c>
      <c r="C145" s="5" t="inlineStr">
        <is>
          <t>₹</t>
        </is>
      </c>
      <c r="E145" s="50">
        <f>E141+E143+E144</f>
        <v/>
      </c>
      <c r="F145" s="50">
        <f>F141+F143+F144</f>
        <v/>
      </c>
      <c r="G145" s="50">
        <f>G141+G143+G144</f>
        <v/>
      </c>
      <c r="H145" s="50">
        <f>H141+H143+H144</f>
        <v/>
      </c>
      <c r="I145" s="50">
        <f>I141+I143+I144</f>
        <v/>
      </c>
      <c r="J145" s="50">
        <f>J141+J143+J144</f>
        <v/>
      </c>
      <c r="K145" s="50">
        <f>K141+K143+K144</f>
        <v/>
      </c>
      <c r="L145" s="50">
        <f>L141+L143+L144</f>
        <v/>
      </c>
      <c r="M145" s="50">
        <f>M141+M143+M144</f>
        <v/>
      </c>
      <c r="N145" s="50">
        <f>N141+N143+N144</f>
        <v/>
      </c>
      <c r="O145" s="50">
        <f>O141+O143+O144</f>
        <v/>
      </c>
      <c r="P145" s="50">
        <f>P141+P143+P144</f>
        <v/>
      </c>
      <c r="Q145" s="50">
        <f>Q141+Q143+Q144</f>
        <v/>
      </c>
      <c r="R145" s="50">
        <f>R141+R143+R144</f>
        <v/>
      </c>
      <c r="S145" s="50">
        <f>S141+S143+S144</f>
        <v/>
      </c>
      <c r="T145" s="50">
        <f>T141+T143+T144</f>
        <v/>
      </c>
      <c r="U145" s="50">
        <f>U141+U143+U144</f>
        <v/>
      </c>
      <c r="V145" s="50">
        <f>V141+V143+V144</f>
        <v/>
      </c>
      <c r="W145" s="50">
        <f>W141+W143+W144</f>
        <v/>
      </c>
      <c r="X145" s="50">
        <f>X141+X143+X144</f>
        <v/>
      </c>
      <c r="Y145" s="50">
        <f>Y141+Y143+Y144</f>
        <v/>
      </c>
      <c r="Z145" s="50">
        <f>Z141+Z143+Z144</f>
        <v/>
      </c>
      <c r="AA145" s="50">
        <f>AA141+AA143+AA144</f>
        <v/>
      </c>
      <c r="AB145" s="50">
        <f>AB141+AB143+AB144</f>
        <v/>
      </c>
      <c r="AC145" s="50">
        <f>AC141+AC143+AC144</f>
        <v/>
      </c>
      <c r="AD145" s="50">
        <f>AD141+AD143+AD144</f>
        <v/>
      </c>
      <c r="AE145" s="50">
        <f>AE141+AE143+AE144</f>
        <v/>
      </c>
      <c r="AF145" s="50">
        <f>AF141+AF143+AF144</f>
        <v/>
      </c>
      <c r="AG145" s="50">
        <f>AG141+AG143+AG144</f>
        <v/>
      </c>
      <c r="AH145" s="50">
        <f>AH141+AH143+AH144</f>
        <v/>
      </c>
      <c r="AI145" s="50">
        <f>AI141+AI143+AI144</f>
        <v/>
      </c>
      <c r="AJ145" s="50">
        <f>AJ141+AJ143+AJ144</f>
        <v/>
      </c>
      <c r="AK145" s="50">
        <f>AK141+AK143+AK144</f>
        <v/>
      </c>
      <c r="AL145" s="50">
        <f>AL141+AL143+AL144</f>
        <v/>
      </c>
      <c r="AM145" s="50">
        <f>AM141+AM143+AM144</f>
        <v/>
      </c>
      <c r="AN145" s="50">
        <f>AN141+AN143+AN144</f>
        <v/>
      </c>
    </row>
    <row r="146">
      <c r="B146" s="3" t="inlineStr">
        <is>
          <t>EBITDA</t>
        </is>
      </c>
      <c r="C146" s="5" t="inlineStr">
        <is>
          <t>₹</t>
        </is>
      </c>
      <c r="E146" s="52">
        <f>E135-E145</f>
        <v/>
      </c>
      <c r="F146" s="52">
        <f>F135-F145</f>
        <v/>
      </c>
      <c r="G146" s="52">
        <f>G135-G145</f>
        <v/>
      </c>
      <c r="H146" s="52">
        <f>H135-H145</f>
        <v/>
      </c>
      <c r="I146" s="52">
        <f>I135-I145</f>
        <v/>
      </c>
      <c r="J146" s="52">
        <f>J135-J145</f>
        <v/>
      </c>
      <c r="K146" s="52">
        <f>K135-K145</f>
        <v/>
      </c>
      <c r="L146" s="52">
        <f>L135-L145</f>
        <v/>
      </c>
      <c r="M146" s="52">
        <f>M135-M145</f>
        <v/>
      </c>
      <c r="N146" s="52">
        <f>N135-N145</f>
        <v/>
      </c>
      <c r="O146" s="52">
        <f>O135-O145</f>
        <v/>
      </c>
      <c r="P146" s="52">
        <f>P135-P145</f>
        <v/>
      </c>
      <c r="Q146" s="52">
        <f>Q135-Q145</f>
        <v/>
      </c>
      <c r="R146" s="52">
        <f>R135-R145</f>
        <v/>
      </c>
      <c r="S146" s="52">
        <f>S135-S145</f>
        <v/>
      </c>
      <c r="T146" s="52">
        <f>T135-T145</f>
        <v/>
      </c>
      <c r="U146" s="52">
        <f>U135-U145</f>
        <v/>
      </c>
      <c r="V146" s="52">
        <f>V135-V145</f>
        <v/>
      </c>
      <c r="W146" s="52">
        <f>W135-W145</f>
        <v/>
      </c>
      <c r="X146" s="52">
        <f>X135-X145</f>
        <v/>
      </c>
      <c r="Y146" s="52">
        <f>Y135-Y145</f>
        <v/>
      </c>
      <c r="Z146" s="52">
        <f>Z135-Z145</f>
        <v/>
      </c>
      <c r="AA146" s="52">
        <f>AA135-AA145</f>
        <v/>
      </c>
      <c r="AB146" s="52">
        <f>AB135-AB145</f>
        <v/>
      </c>
      <c r="AC146" s="52">
        <f>AC135-AC145</f>
        <v/>
      </c>
      <c r="AD146" s="52">
        <f>AD135-AD145</f>
        <v/>
      </c>
      <c r="AE146" s="52">
        <f>AE135-AE145</f>
        <v/>
      </c>
      <c r="AF146" s="52">
        <f>AF135-AF145</f>
        <v/>
      </c>
      <c r="AG146" s="52">
        <f>AG135-AG145</f>
        <v/>
      </c>
      <c r="AH146" s="52">
        <f>AH135-AH145</f>
        <v/>
      </c>
      <c r="AI146" s="52">
        <f>AI135-AI145</f>
        <v/>
      </c>
      <c r="AJ146" s="52">
        <f>AJ135-AJ145</f>
        <v/>
      </c>
      <c r="AK146" s="52">
        <f>AK135-AK145</f>
        <v/>
      </c>
      <c r="AL146" s="52">
        <f>AL135-AL145</f>
        <v/>
      </c>
      <c r="AM146" s="52">
        <f>AM135-AM145</f>
        <v/>
      </c>
      <c r="AN146" s="52">
        <f>AN135-AN145</f>
        <v/>
      </c>
    </row>
    <row r="147">
      <c r="A147" s="23" t="n"/>
      <c r="B147" s="22" t="inlineStr">
        <is>
          <t>E. Cash and funding</t>
        </is>
      </c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  <c r="AA147" s="23" t="n"/>
      <c r="AB147" s="23" t="n"/>
      <c r="AC147" s="23" t="n"/>
      <c r="AD147" s="23" t="n"/>
      <c r="AE147" s="23" t="n"/>
      <c r="AF147" s="23" t="n"/>
      <c r="AG147" s="23" t="n"/>
      <c r="AH147" s="23" t="n"/>
      <c r="AI147" s="23" t="n"/>
      <c r="AJ147" s="23" t="n"/>
      <c r="AK147" s="23" t="n"/>
      <c r="AL147" s="23" t="n"/>
      <c r="AM147" s="23" t="n"/>
      <c r="AN147" s="23" t="n"/>
    </row>
    <row r="148">
      <c r="B148" s="7" t="inlineStr">
        <is>
          <t>Receivables outstanding</t>
        </is>
      </c>
      <c r="C148" s="5" t="inlineStr">
        <is>
          <t>₹</t>
        </is>
      </c>
      <c r="E148" s="50">
        <f>E128*$D$62/30</f>
        <v/>
      </c>
      <c r="F148" s="50">
        <f>F128*$D$62/30</f>
        <v/>
      </c>
      <c r="G148" s="50">
        <f>G128*$D$62/30</f>
        <v/>
      </c>
      <c r="H148" s="50">
        <f>H128*$D$62/30</f>
        <v/>
      </c>
      <c r="I148" s="50">
        <f>I128*$D$62/30</f>
        <v/>
      </c>
      <c r="J148" s="50">
        <f>J128*$D$62/30</f>
        <v/>
      </c>
      <c r="K148" s="50">
        <f>K128*$D$62/30</f>
        <v/>
      </c>
      <c r="L148" s="50">
        <f>L128*$D$62/30</f>
        <v/>
      </c>
      <c r="M148" s="50">
        <f>M128*$D$62/30</f>
        <v/>
      </c>
      <c r="N148" s="50">
        <f>N128*$D$62/30</f>
        <v/>
      </c>
      <c r="O148" s="50">
        <f>O128*$D$62/30</f>
        <v/>
      </c>
      <c r="P148" s="50">
        <f>P128*$D$62/30</f>
        <v/>
      </c>
      <c r="Q148" s="50">
        <f>Q128*$D$62/30</f>
        <v/>
      </c>
      <c r="R148" s="50">
        <f>R128*$D$62/30</f>
        <v/>
      </c>
      <c r="S148" s="50">
        <f>S128*$D$62/30</f>
        <v/>
      </c>
      <c r="T148" s="50">
        <f>T128*$D$62/30</f>
        <v/>
      </c>
      <c r="U148" s="50">
        <f>U128*$D$62/30</f>
        <v/>
      </c>
      <c r="V148" s="50">
        <f>V128*$D$62/30</f>
        <v/>
      </c>
      <c r="W148" s="50">
        <f>W128*$D$62/30</f>
        <v/>
      </c>
      <c r="X148" s="50">
        <f>X128*$D$62/30</f>
        <v/>
      </c>
      <c r="Y148" s="50">
        <f>Y128*$D$62/30</f>
        <v/>
      </c>
      <c r="Z148" s="50">
        <f>Z128*$D$62/30</f>
        <v/>
      </c>
      <c r="AA148" s="50">
        <f>AA128*$D$62/30</f>
        <v/>
      </c>
      <c r="AB148" s="50">
        <f>AB128*$D$62/30</f>
        <v/>
      </c>
      <c r="AC148" s="50">
        <f>AC128*$D$62/30</f>
        <v/>
      </c>
      <c r="AD148" s="50">
        <f>AD128*$D$62/30</f>
        <v/>
      </c>
      <c r="AE148" s="50">
        <f>AE128*$D$62/30</f>
        <v/>
      </c>
      <c r="AF148" s="50">
        <f>AF128*$D$62/30</f>
        <v/>
      </c>
      <c r="AG148" s="50">
        <f>AG128*$D$62/30</f>
        <v/>
      </c>
      <c r="AH148" s="50">
        <f>AH128*$D$62/30</f>
        <v/>
      </c>
      <c r="AI148" s="50">
        <f>AI128*$D$62/30</f>
        <v/>
      </c>
      <c r="AJ148" s="50">
        <f>AJ128*$D$62/30</f>
        <v/>
      </c>
      <c r="AK148" s="50">
        <f>AK128*$D$62/30</f>
        <v/>
      </c>
      <c r="AL148" s="50">
        <f>AL128*$D$62/30</f>
        <v/>
      </c>
      <c r="AM148" s="50">
        <f>AM128*$D$62/30</f>
        <v/>
      </c>
      <c r="AN148" s="50">
        <f>AN128*$D$62/30</f>
        <v/>
      </c>
    </row>
    <row r="149">
      <c r="B149" s="7" t="inlineStr">
        <is>
          <t>Increase in receivables</t>
        </is>
      </c>
      <c r="C149" s="5" t="inlineStr">
        <is>
          <t>₹</t>
        </is>
      </c>
      <c r="E149" s="50">
        <f>E148</f>
        <v/>
      </c>
      <c r="F149" s="50">
        <f>F148-E148</f>
        <v/>
      </c>
      <c r="G149" s="50">
        <f>G148-F148</f>
        <v/>
      </c>
      <c r="H149" s="50">
        <f>H148-G148</f>
        <v/>
      </c>
      <c r="I149" s="50">
        <f>I148-H148</f>
        <v/>
      </c>
      <c r="J149" s="50">
        <f>J148-I148</f>
        <v/>
      </c>
      <c r="K149" s="50">
        <f>K148-J148</f>
        <v/>
      </c>
      <c r="L149" s="50">
        <f>L148-K148</f>
        <v/>
      </c>
      <c r="M149" s="50">
        <f>M148-L148</f>
        <v/>
      </c>
      <c r="N149" s="50">
        <f>N148-M148</f>
        <v/>
      </c>
      <c r="O149" s="50">
        <f>O148-N148</f>
        <v/>
      </c>
      <c r="P149" s="50">
        <f>P148-O148</f>
        <v/>
      </c>
      <c r="Q149" s="50">
        <f>Q148-P148</f>
        <v/>
      </c>
      <c r="R149" s="50">
        <f>R148-Q148</f>
        <v/>
      </c>
      <c r="S149" s="50">
        <f>S148-R148</f>
        <v/>
      </c>
      <c r="T149" s="50">
        <f>T148-S148</f>
        <v/>
      </c>
      <c r="U149" s="50">
        <f>U148-T148</f>
        <v/>
      </c>
      <c r="V149" s="50">
        <f>V148-U148</f>
        <v/>
      </c>
      <c r="W149" s="50">
        <f>W148-V148</f>
        <v/>
      </c>
      <c r="X149" s="50">
        <f>X148-W148</f>
        <v/>
      </c>
      <c r="Y149" s="50">
        <f>Y148-X148</f>
        <v/>
      </c>
      <c r="Z149" s="50">
        <f>Z148-Y148</f>
        <v/>
      </c>
      <c r="AA149" s="50">
        <f>AA148-Z148</f>
        <v/>
      </c>
      <c r="AB149" s="50">
        <f>AB148-AA148</f>
        <v/>
      </c>
      <c r="AC149" s="50">
        <f>AC148-AB148</f>
        <v/>
      </c>
      <c r="AD149" s="50">
        <f>AD148-AC148</f>
        <v/>
      </c>
      <c r="AE149" s="50">
        <f>AE148-AD148</f>
        <v/>
      </c>
      <c r="AF149" s="50">
        <f>AF148-AE148</f>
        <v/>
      </c>
      <c r="AG149" s="50">
        <f>AG148-AF148</f>
        <v/>
      </c>
      <c r="AH149" s="50">
        <f>AH148-AG148</f>
        <v/>
      </c>
      <c r="AI149" s="50">
        <f>AI148-AH148</f>
        <v/>
      </c>
      <c r="AJ149" s="50">
        <f>AJ148-AI148</f>
        <v/>
      </c>
      <c r="AK149" s="50">
        <f>AK148-AJ148</f>
        <v/>
      </c>
      <c r="AL149" s="50">
        <f>AL148-AK148</f>
        <v/>
      </c>
      <c r="AM149" s="50">
        <f>AM148-AL148</f>
        <v/>
      </c>
      <c r="AN149" s="50">
        <f>AN148-AM148</f>
        <v/>
      </c>
    </row>
    <row r="150">
      <c r="B150" s="7" t="inlineStr">
        <is>
          <t>Headcount (founders + reps + engineers + customer success)</t>
        </is>
      </c>
      <c r="C150" s="5" t="inlineStr">
        <is>
          <t>people</t>
        </is>
      </c>
      <c r="E150" s="57">
        <f>$D$49+E119+E142+E133</f>
        <v/>
      </c>
      <c r="F150" s="57">
        <f>$D$49+F119+F142+F133</f>
        <v/>
      </c>
      <c r="G150" s="57">
        <f>$D$49+G119+G142+G133</f>
        <v/>
      </c>
      <c r="H150" s="57">
        <f>$D$49+H119+H142+H133</f>
        <v/>
      </c>
      <c r="I150" s="57">
        <f>$D$49+I119+I142+I133</f>
        <v/>
      </c>
      <c r="J150" s="57">
        <f>$D$49+J119+J142+J133</f>
        <v/>
      </c>
      <c r="K150" s="57">
        <f>$D$49+K119+K142+K133</f>
        <v/>
      </c>
      <c r="L150" s="57">
        <f>$D$49+L119+L142+L133</f>
        <v/>
      </c>
      <c r="M150" s="57">
        <f>$D$49+M119+M142+M133</f>
        <v/>
      </c>
      <c r="N150" s="57">
        <f>$D$49+N119+N142+N133</f>
        <v/>
      </c>
      <c r="O150" s="57">
        <f>$D$49+O119+O142+O133</f>
        <v/>
      </c>
      <c r="P150" s="57">
        <f>$D$49+P119+P142+P133</f>
        <v/>
      </c>
      <c r="Q150" s="57">
        <f>$D$49+Q119+Q142+Q133</f>
        <v/>
      </c>
      <c r="R150" s="57">
        <f>$D$49+R119+R142+R133</f>
        <v/>
      </c>
      <c r="S150" s="57">
        <f>$D$49+S119+S142+S133</f>
        <v/>
      </c>
      <c r="T150" s="57">
        <f>$D$49+T119+T142+T133</f>
        <v/>
      </c>
      <c r="U150" s="57">
        <f>$D$49+U119+U142+U133</f>
        <v/>
      </c>
      <c r="V150" s="57">
        <f>$D$49+V119+V142+V133</f>
        <v/>
      </c>
      <c r="W150" s="57">
        <f>$D$49+W119+W142+W133</f>
        <v/>
      </c>
      <c r="X150" s="57">
        <f>$D$49+X119+X142+X133</f>
        <v/>
      </c>
      <c r="Y150" s="57">
        <f>$D$49+Y119+Y142+Y133</f>
        <v/>
      </c>
      <c r="Z150" s="57">
        <f>$D$49+Z119+Z142+Z133</f>
        <v/>
      </c>
      <c r="AA150" s="57">
        <f>$D$49+AA119+AA142+AA133</f>
        <v/>
      </c>
      <c r="AB150" s="57">
        <f>$D$49+AB119+AB142+AB133</f>
        <v/>
      </c>
      <c r="AC150" s="57">
        <f>$D$49+AC119+AC142+AC133</f>
        <v/>
      </c>
      <c r="AD150" s="57">
        <f>$D$49+AD119+AD142+AD133</f>
        <v/>
      </c>
      <c r="AE150" s="57">
        <f>$D$49+AE119+AE142+AE133</f>
        <v/>
      </c>
      <c r="AF150" s="57">
        <f>$D$49+AF119+AF142+AF133</f>
        <v/>
      </c>
      <c r="AG150" s="57">
        <f>$D$49+AG119+AG142+AG133</f>
        <v/>
      </c>
      <c r="AH150" s="57">
        <f>$D$49+AH119+AH142+AH133</f>
        <v/>
      </c>
      <c r="AI150" s="57">
        <f>$D$49+AI119+AI142+AI133</f>
        <v/>
      </c>
      <c r="AJ150" s="57">
        <f>$D$49+AJ119+AJ142+AJ133</f>
        <v/>
      </c>
      <c r="AK150" s="57">
        <f>$D$49+AK119+AK142+AK133</f>
        <v/>
      </c>
      <c r="AL150" s="57">
        <f>$D$49+AL119+AL142+AL133</f>
        <v/>
      </c>
      <c r="AM150" s="57">
        <f>$D$49+AM119+AM142+AM133</f>
        <v/>
      </c>
      <c r="AN150" s="57">
        <f>$D$49+AN119+AN142+AN133</f>
        <v/>
      </c>
    </row>
    <row r="151">
      <c r="B151" s="7" t="inlineStr">
        <is>
          <t>New hires</t>
        </is>
      </c>
      <c r="C151" s="5" t="inlineStr">
        <is>
          <t>people</t>
        </is>
      </c>
      <c r="E151" s="57">
        <f>E150</f>
        <v/>
      </c>
      <c r="F151" s="57">
        <f>MAX(0,F150-E150)</f>
        <v/>
      </c>
      <c r="G151" s="57">
        <f>MAX(0,G150-F150)</f>
        <v/>
      </c>
      <c r="H151" s="57">
        <f>MAX(0,H150-G150)</f>
        <v/>
      </c>
      <c r="I151" s="57">
        <f>MAX(0,I150-H150)</f>
        <v/>
      </c>
      <c r="J151" s="57">
        <f>MAX(0,J150-I150)</f>
        <v/>
      </c>
      <c r="K151" s="57">
        <f>MAX(0,K150-J150)</f>
        <v/>
      </c>
      <c r="L151" s="57">
        <f>MAX(0,L150-K150)</f>
        <v/>
      </c>
      <c r="M151" s="57">
        <f>MAX(0,M150-L150)</f>
        <v/>
      </c>
      <c r="N151" s="57">
        <f>MAX(0,N150-M150)</f>
        <v/>
      </c>
      <c r="O151" s="57">
        <f>MAX(0,O150-N150)</f>
        <v/>
      </c>
      <c r="P151" s="57">
        <f>MAX(0,P150-O150)</f>
        <v/>
      </c>
      <c r="Q151" s="57">
        <f>MAX(0,Q150-P150)</f>
        <v/>
      </c>
      <c r="R151" s="57">
        <f>MAX(0,R150-Q150)</f>
        <v/>
      </c>
      <c r="S151" s="57">
        <f>MAX(0,S150-R150)</f>
        <v/>
      </c>
      <c r="T151" s="57">
        <f>MAX(0,T150-S150)</f>
        <v/>
      </c>
      <c r="U151" s="57">
        <f>MAX(0,U150-T150)</f>
        <v/>
      </c>
      <c r="V151" s="57">
        <f>MAX(0,V150-U150)</f>
        <v/>
      </c>
      <c r="W151" s="57">
        <f>MAX(0,W150-V150)</f>
        <v/>
      </c>
      <c r="X151" s="57">
        <f>MAX(0,X150-W150)</f>
        <v/>
      </c>
      <c r="Y151" s="57">
        <f>MAX(0,Y150-X150)</f>
        <v/>
      </c>
      <c r="Z151" s="57">
        <f>MAX(0,Z150-Y150)</f>
        <v/>
      </c>
      <c r="AA151" s="57">
        <f>MAX(0,AA150-Z150)</f>
        <v/>
      </c>
      <c r="AB151" s="57">
        <f>MAX(0,AB150-AA150)</f>
        <v/>
      </c>
      <c r="AC151" s="57">
        <f>MAX(0,AC150-AB150)</f>
        <v/>
      </c>
      <c r="AD151" s="57">
        <f>MAX(0,AD150-AC150)</f>
        <v/>
      </c>
      <c r="AE151" s="57">
        <f>MAX(0,AE150-AD150)</f>
        <v/>
      </c>
      <c r="AF151" s="57">
        <f>MAX(0,AF150-AE150)</f>
        <v/>
      </c>
      <c r="AG151" s="57">
        <f>MAX(0,AG150-AF150)</f>
        <v/>
      </c>
      <c r="AH151" s="57">
        <f>MAX(0,AH150-AG150)</f>
        <v/>
      </c>
      <c r="AI151" s="57">
        <f>MAX(0,AI150-AH150)</f>
        <v/>
      </c>
      <c r="AJ151" s="57">
        <f>MAX(0,AJ150-AI150)</f>
        <v/>
      </c>
      <c r="AK151" s="57">
        <f>MAX(0,AK150-AJ150)</f>
        <v/>
      </c>
      <c r="AL151" s="57">
        <f>MAX(0,AL150-AK150)</f>
        <v/>
      </c>
      <c r="AM151" s="57">
        <f>MAX(0,AM150-AL150)</f>
        <v/>
      </c>
      <c r="AN151" s="57">
        <f>MAX(0,AN150-AM150)</f>
        <v/>
      </c>
    </row>
    <row r="152">
      <c r="B152" s="7" t="inlineStr">
        <is>
          <t>Equipment for new hires</t>
        </is>
      </c>
      <c r="C152" s="5" t="inlineStr">
        <is>
          <t>₹</t>
        </is>
      </c>
      <c r="E152" s="50">
        <f>E151*$D$63</f>
        <v/>
      </c>
      <c r="F152" s="50">
        <f>F151*$D$63</f>
        <v/>
      </c>
      <c r="G152" s="50">
        <f>G151*$D$63</f>
        <v/>
      </c>
      <c r="H152" s="50">
        <f>H151*$D$63</f>
        <v/>
      </c>
      <c r="I152" s="50">
        <f>I151*$D$63</f>
        <v/>
      </c>
      <c r="J152" s="50">
        <f>J151*$D$63</f>
        <v/>
      </c>
      <c r="K152" s="50">
        <f>K151*$D$63</f>
        <v/>
      </c>
      <c r="L152" s="50">
        <f>L151*$D$63</f>
        <v/>
      </c>
      <c r="M152" s="50">
        <f>M151*$D$63</f>
        <v/>
      </c>
      <c r="N152" s="50">
        <f>N151*$D$63</f>
        <v/>
      </c>
      <c r="O152" s="50">
        <f>O151*$D$63</f>
        <v/>
      </c>
      <c r="P152" s="50">
        <f>P151*$D$63</f>
        <v/>
      </c>
      <c r="Q152" s="50">
        <f>Q151*$D$63</f>
        <v/>
      </c>
      <c r="R152" s="50">
        <f>R151*$D$63</f>
        <v/>
      </c>
      <c r="S152" s="50">
        <f>S151*$D$63</f>
        <v/>
      </c>
      <c r="T152" s="50">
        <f>T151*$D$63</f>
        <v/>
      </c>
      <c r="U152" s="50">
        <f>U151*$D$63</f>
        <v/>
      </c>
      <c r="V152" s="50">
        <f>V151*$D$63</f>
        <v/>
      </c>
      <c r="W152" s="50">
        <f>W151*$D$63</f>
        <v/>
      </c>
      <c r="X152" s="50">
        <f>X151*$D$63</f>
        <v/>
      </c>
      <c r="Y152" s="50">
        <f>Y151*$D$63</f>
        <v/>
      </c>
      <c r="Z152" s="50">
        <f>Z151*$D$63</f>
        <v/>
      </c>
      <c r="AA152" s="50">
        <f>AA151*$D$63</f>
        <v/>
      </c>
      <c r="AB152" s="50">
        <f>AB151*$D$63</f>
        <v/>
      </c>
      <c r="AC152" s="50">
        <f>AC151*$D$63</f>
        <v/>
      </c>
      <c r="AD152" s="50">
        <f>AD151*$D$63</f>
        <v/>
      </c>
      <c r="AE152" s="50">
        <f>AE151*$D$63</f>
        <v/>
      </c>
      <c r="AF152" s="50">
        <f>AF151*$D$63</f>
        <v/>
      </c>
      <c r="AG152" s="50">
        <f>AG151*$D$63</f>
        <v/>
      </c>
      <c r="AH152" s="50">
        <f>AH151*$D$63</f>
        <v/>
      </c>
      <c r="AI152" s="50">
        <f>AI151*$D$63</f>
        <v/>
      </c>
      <c r="AJ152" s="50">
        <f>AJ151*$D$63</f>
        <v/>
      </c>
      <c r="AK152" s="50">
        <f>AK151*$D$63</f>
        <v/>
      </c>
      <c r="AL152" s="50">
        <f>AL151*$D$63</f>
        <v/>
      </c>
      <c r="AM152" s="50">
        <f>AM151*$D$63</f>
        <v/>
      </c>
      <c r="AN152" s="50">
        <f>AN151*$D$63</f>
        <v/>
      </c>
    </row>
    <row r="153">
      <c r="B153" s="7" t="inlineStr">
        <is>
          <t>Net cash flow before any funding</t>
        </is>
      </c>
      <c r="C153" s="5" t="inlineStr">
        <is>
          <t>₹</t>
        </is>
      </c>
      <c r="E153" s="50">
        <f>E146-E149-E152</f>
        <v/>
      </c>
      <c r="F153" s="50">
        <f>F146-F149-F152</f>
        <v/>
      </c>
      <c r="G153" s="50">
        <f>G146-G149-G152</f>
        <v/>
      </c>
      <c r="H153" s="50">
        <f>H146-H149-H152</f>
        <v/>
      </c>
      <c r="I153" s="50">
        <f>I146-I149-I152</f>
        <v/>
      </c>
      <c r="J153" s="50">
        <f>J146-J149-J152</f>
        <v/>
      </c>
      <c r="K153" s="50">
        <f>K146-K149-K152</f>
        <v/>
      </c>
      <c r="L153" s="50">
        <f>L146-L149-L152</f>
        <v/>
      </c>
      <c r="M153" s="50">
        <f>M146-M149-M152</f>
        <v/>
      </c>
      <c r="N153" s="50">
        <f>N146-N149-N152</f>
        <v/>
      </c>
      <c r="O153" s="50">
        <f>O146-O149-O152</f>
        <v/>
      </c>
      <c r="P153" s="50">
        <f>P146-P149-P152</f>
        <v/>
      </c>
      <c r="Q153" s="50">
        <f>Q146-Q149-Q152</f>
        <v/>
      </c>
      <c r="R153" s="50">
        <f>R146-R149-R152</f>
        <v/>
      </c>
      <c r="S153" s="50">
        <f>S146-S149-S152</f>
        <v/>
      </c>
      <c r="T153" s="50">
        <f>T146-T149-T152</f>
        <v/>
      </c>
      <c r="U153" s="50">
        <f>U146-U149-U152</f>
        <v/>
      </c>
      <c r="V153" s="50">
        <f>V146-V149-V152</f>
        <v/>
      </c>
      <c r="W153" s="50">
        <f>W146-W149-W152</f>
        <v/>
      </c>
      <c r="X153" s="50">
        <f>X146-X149-X152</f>
        <v/>
      </c>
      <c r="Y153" s="50">
        <f>Y146-Y149-Y152</f>
        <v/>
      </c>
      <c r="Z153" s="50">
        <f>Z146-Z149-Z152</f>
        <v/>
      </c>
      <c r="AA153" s="50">
        <f>AA146-AA149-AA152</f>
        <v/>
      </c>
      <c r="AB153" s="50">
        <f>AB146-AB149-AB152</f>
        <v/>
      </c>
      <c r="AC153" s="50">
        <f>AC146-AC149-AC152</f>
        <v/>
      </c>
      <c r="AD153" s="50">
        <f>AD146-AD149-AD152</f>
        <v/>
      </c>
      <c r="AE153" s="50">
        <f>AE146-AE149-AE152</f>
        <v/>
      </c>
      <c r="AF153" s="50">
        <f>AF146-AF149-AF152</f>
        <v/>
      </c>
      <c r="AG153" s="50">
        <f>AG146-AG149-AG152</f>
        <v/>
      </c>
      <c r="AH153" s="50">
        <f>AH146-AH149-AH152</f>
        <v/>
      </c>
      <c r="AI153" s="50">
        <f>AI146-AI149-AI152</f>
        <v/>
      </c>
      <c r="AJ153" s="50">
        <f>AJ146-AJ149-AJ152</f>
        <v/>
      </c>
      <c r="AK153" s="50">
        <f>AK146-AK149-AK152</f>
        <v/>
      </c>
      <c r="AL153" s="50">
        <f>AL146-AL149-AL152</f>
        <v/>
      </c>
      <c r="AM153" s="50">
        <f>AM146-AM149-AM152</f>
        <v/>
      </c>
      <c r="AN153" s="50">
        <f>AN146-AN149-AN152</f>
        <v/>
      </c>
    </row>
    <row r="154">
      <c r="B154" s="7" t="inlineStr">
        <is>
          <t>Cumulative cash before funding</t>
        </is>
      </c>
      <c r="C154" s="5" t="inlineStr">
        <is>
          <t>₹</t>
        </is>
      </c>
      <c r="E154" s="50">
        <f>E153</f>
        <v/>
      </c>
      <c r="F154" s="50">
        <f>E154+F153</f>
        <v/>
      </c>
      <c r="G154" s="50">
        <f>F154+G153</f>
        <v/>
      </c>
      <c r="H154" s="50">
        <f>G154+H153</f>
        <v/>
      </c>
      <c r="I154" s="50">
        <f>H154+I153</f>
        <v/>
      </c>
      <c r="J154" s="50">
        <f>I154+J153</f>
        <v/>
      </c>
      <c r="K154" s="50">
        <f>J154+K153</f>
        <v/>
      </c>
      <c r="L154" s="50">
        <f>K154+L153</f>
        <v/>
      </c>
      <c r="M154" s="50">
        <f>L154+M153</f>
        <v/>
      </c>
      <c r="N154" s="50">
        <f>M154+N153</f>
        <v/>
      </c>
      <c r="O154" s="50">
        <f>N154+O153</f>
        <v/>
      </c>
      <c r="P154" s="50">
        <f>O154+P153</f>
        <v/>
      </c>
      <c r="Q154" s="50">
        <f>P154+Q153</f>
        <v/>
      </c>
      <c r="R154" s="50">
        <f>Q154+R153</f>
        <v/>
      </c>
      <c r="S154" s="50">
        <f>R154+S153</f>
        <v/>
      </c>
      <c r="T154" s="50">
        <f>S154+T153</f>
        <v/>
      </c>
      <c r="U154" s="50">
        <f>T154+U153</f>
        <v/>
      </c>
      <c r="V154" s="50">
        <f>U154+V153</f>
        <v/>
      </c>
      <c r="W154" s="50">
        <f>V154+W153</f>
        <v/>
      </c>
      <c r="X154" s="50">
        <f>W154+X153</f>
        <v/>
      </c>
      <c r="Y154" s="50">
        <f>X154+Y153</f>
        <v/>
      </c>
      <c r="Z154" s="50">
        <f>Y154+Z153</f>
        <v/>
      </c>
      <c r="AA154" s="50">
        <f>Z154+AA153</f>
        <v/>
      </c>
      <c r="AB154" s="50">
        <f>AA154+AB153</f>
        <v/>
      </c>
      <c r="AC154" s="50">
        <f>AB154+AC153</f>
        <v/>
      </c>
      <c r="AD154" s="50">
        <f>AC154+AD153</f>
        <v/>
      </c>
      <c r="AE154" s="50">
        <f>AD154+AE153</f>
        <v/>
      </c>
      <c r="AF154" s="50">
        <f>AE154+AF153</f>
        <v/>
      </c>
      <c r="AG154" s="50">
        <f>AF154+AG153</f>
        <v/>
      </c>
      <c r="AH154" s="50">
        <f>AG154+AH153</f>
        <v/>
      </c>
      <c r="AI154" s="50">
        <f>AH154+AI153</f>
        <v/>
      </c>
      <c r="AJ154" s="50">
        <f>AI154+AJ153</f>
        <v/>
      </c>
      <c r="AK154" s="50">
        <f>AJ154+AK153</f>
        <v/>
      </c>
      <c r="AL154" s="50">
        <f>AK154+AL153</f>
        <v/>
      </c>
      <c r="AM154" s="50">
        <f>AL154+AM153</f>
        <v/>
      </c>
      <c r="AN154" s="50">
        <f>AM154+AN153</f>
        <v/>
      </c>
    </row>
    <row r="155">
      <c r="B155" s="7" t="inlineStr">
        <is>
          <t>Total cash costs this month (used for the buffer)</t>
        </is>
      </c>
      <c r="C155" s="5" t="inlineStr">
        <is>
          <t>₹</t>
        </is>
      </c>
      <c r="E155" s="50">
        <f>E130+E132+E134+E145</f>
        <v/>
      </c>
      <c r="F155" s="50">
        <f>F130+F132+F134+F145</f>
        <v/>
      </c>
      <c r="G155" s="50">
        <f>G130+G132+G134+G145</f>
        <v/>
      </c>
      <c r="H155" s="50">
        <f>H130+H132+H134+H145</f>
        <v/>
      </c>
      <c r="I155" s="50">
        <f>I130+I132+I134+I145</f>
        <v/>
      </c>
      <c r="J155" s="50">
        <f>J130+J132+J134+J145</f>
        <v/>
      </c>
      <c r="K155" s="50">
        <f>K130+K132+K134+K145</f>
        <v/>
      </c>
      <c r="L155" s="50">
        <f>L130+L132+L134+L145</f>
        <v/>
      </c>
      <c r="M155" s="50">
        <f>M130+M132+M134+M145</f>
        <v/>
      </c>
      <c r="N155" s="50">
        <f>N130+N132+N134+N145</f>
        <v/>
      </c>
      <c r="O155" s="50">
        <f>O130+O132+O134+O145</f>
        <v/>
      </c>
      <c r="P155" s="50">
        <f>P130+P132+P134+P145</f>
        <v/>
      </c>
      <c r="Q155" s="50">
        <f>Q130+Q132+Q134+Q145</f>
        <v/>
      </c>
      <c r="R155" s="50">
        <f>R130+R132+R134+R145</f>
        <v/>
      </c>
      <c r="S155" s="50">
        <f>S130+S132+S134+S145</f>
        <v/>
      </c>
      <c r="T155" s="50">
        <f>T130+T132+T134+T145</f>
        <v/>
      </c>
      <c r="U155" s="50">
        <f>U130+U132+U134+U145</f>
        <v/>
      </c>
      <c r="V155" s="50">
        <f>V130+V132+V134+V145</f>
        <v/>
      </c>
      <c r="W155" s="50">
        <f>W130+W132+W134+W145</f>
        <v/>
      </c>
      <c r="X155" s="50">
        <f>X130+X132+X134+X145</f>
        <v/>
      </c>
      <c r="Y155" s="50">
        <f>Y130+Y132+Y134+Y145</f>
        <v/>
      </c>
      <c r="Z155" s="50">
        <f>Z130+Z132+Z134+Z145</f>
        <v/>
      </c>
      <c r="AA155" s="50">
        <f>AA130+AA132+AA134+AA145</f>
        <v/>
      </c>
      <c r="AB155" s="50">
        <f>AB130+AB132+AB134+AB145</f>
        <v/>
      </c>
      <c r="AC155" s="50">
        <f>AC130+AC132+AC134+AC145</f>
        <v/>
      </c>
      <c r="AD155" s="50">
        <f>AD130+AD132+AD134+AD145</f>
        <v/>
      </c>
      <c r="AE155" s="50">
        <f>AE130+AE132+AE134+AE145</f>
        <v/>
      </c>
      <c r="AF155" s="50">
        <f>AF130+AF132+AF134+AF145</f>
        <v/>
      </c>
      <c r="AG155" s="50">
        <f>AG130+AG132+AG134+AG145</f>
        <v/>
      </c>
      <c r="AH155" s="50">
        <f>AH130+AH132+AH134+AH145</f>
        <v/>
      </c>
      <c r="AI155" s="50">
        <f>AI130+AI132+AI134+AI145</f>
        <v/>
      </c>
      <c r="AJ155" s="50">
        <f>AJ130+AJ132+AJ134+AJ145</f>
        <v/>
      </c>
      <c r="AK155" s="50">
        <f>AK130+AK132+AK134+AK145</f>
        <v/>
      </c>
      <c r="AL155" s="50">
        <f>AL130+AL132+AL134+AL145</f>
        <v/>
      </c>
      <c r="AM155" s="50">
        <f>AM130+AM132+AM134+AM145</f>
        <v/>
      </c>
      <c r="AN155" s="50">
        <f>AN130+AN132+AN134+AN145</f>
        <v/>
      </c>
    </row>
    <row r="156">
      <c r="B156" s="3" t="inlineStr">
        <is>
          <t>Cash balance with the funding ask received in month 1</t>
        </is>
      </c>
      <c r="C156" s="5" t="inlineStr">
        <is>
          <t>₹</t>
        </is>
      </c>
      <c r="E156" s="52">
        <f>$D$103+E154</f>
        <v/>
      </c>
      <c r="F156" s="52">
        <f>$D$103+F154</f>
        <v/>
      </c>
      <c r="G156" s="52">
        <f>$D$103+G154</f>
        <v/>
      </c>
      <c r="H156" s="52">
        <f>$D$103+H154</f>
        <v/>
      </c>
      <c r="I156" s="52">
        <f>$D$103+I154</f>
        <v/>
      </c>
      <c r="J156" s="52">
        <f>$D$103+J154</f>
        <v/>
      </c>
      <c r="K156" s="52">
        <f>$D$103+K154</f>
        <v/>
      </c>
      <c r="L156" s="52">
        <f>$D$103+L154</f>
        <v/>
      </c>
      <c r="M156" s="52">
        <f>$D$103+M154</f>
        <v/>
      </c>
      <c r="N156" s="52">
        <f>$D$103+N154</f>
        <v/>
      </c>
      <c r="O156" s="52">
        <f>$D$103+O154</f>
        <v/>
      </c>
      <c r="P156" s="52">
        <f>$D$103+P154</f>
        <v/>
      </c>
      <c r="Q156" s="52">
        <f>$D$103+Q154</f>
        <v/>
      </c>
      <c r="R156" s="52">
        <f>$D$103+R154</f>
        <v/>
      </c>
      <c r="S156" s="52">
        <f>$D$103+S154</f>
        <v/>
      </c>
      <c r="T156" s="52">
        <f>$D$103+T154</f>
        <v/>
      </c>
      <c r="U156" s="52">
        <f>$D$103+U154</f>
        <v/>
      </c>
      <c r="V156" s="52">
        <f>$D$103+V154</f>
        <v/>
      </c>
      <c r="W156" s="52">
        <f>$D$103+W154</f>
        <v/>
      </c>
      <c r="X156" s="52">
        <f>$D$103+X154</f>
        <v/>
      </c>
      <c r="Y156" s="52">
        <f>$D$103+Y154</f>
        <v/>
      </c>
      <c r="Z156" s="52">
        <f>$D$103+Z154</f>
        <v/>
      </c>
      <c r="AA156" s="52">
        <f>$D$103+AA154</f>
        <v/>
      </c>
      <c r="AB156" s="52">
        <f>$D$103+AB154</f>
        <v/>
      </c>
      <c r="AC156" s="52">
        <f>$D$103+AC154</f>
        <v/>
      </c>
      <c r="AD156" s="52">
        <f>$D$103+AD154</f>
        <v/>
      </c>
      <c r="AE156" s="52">
        <f>$D$103+AE154</f>
        <v/>
      </c>
      <c r="AF156" s="52">
        <f>$D$103+AF154</f>
        <v/>
      </c>
      <c r="AG156" s="52">
        <f>$D$103+AG154</f>
        <v/>
      </c>
      <c r="AH156" s="52">
        <f>$D$103+AH154</f>
        <v/>
      </c>
      <c r="AI156" s="52">
        <f>$D$103+AI154</f>
        <v/>
      </c>
      <c r="AJ156" s="52">
        <f>$D$103+AJ154</f>
        <v/>
      </c>
      <c r="AK156" s="52">
        <f>$D$103+AK154</f>
        <v/>
      </c>
      <c r="AL156" s="52">
        <f>$D$103+AL154</f>
        <v/>
      </c>
      <c r="AM156" s="52">
        <f>$D$103+AM154</f>
        <v/>
      </c>
      <c r="AN156" s="52">
        <f>$D$103+AN154</f>
        <v/>
      </c>
    </row>
    <row r="157">
      <c r="B157" s="7" t="inlineStr">
        <is>
          <t>Trailing-12-month EBITDA</t>
        </is>
      </c>
      <c r="C157" s="5" t="inlineStr">
        <is>
          <t>₹</t>
        </is>
      </c>
      <c r="E157" s="50">
        <f>""</f>
        <v/>
      </c>
      <c r="F157" s="50">
        <f>""</f>
        <v/>
      </c>
      <c r="G157" s="50">
        <f>""</f>
        <v/>
      </c>
      <c r="H157" s="50">
        <f>""</f>
        <v/>
      </c>
      <c r="I157" s="50">
        <f>""</f>
        <v/>
      </c>
      <c r="J157" s="50">
        <f>""</f>
        <v/>
      </c>
      <c r="K157" s="50">
        <f>""</f>
        <v/>
      </c>
      <c r="L157" s="50">
        <f>""</f>
        <v/>
      </c>
      <c r="M157" s="50">
        <f>""</f>
        <v/>
      </c>
      <c r="N157" s="50">
        <f>""</f>
        <v/>
      </c>
      <c r="O157" s="50">
        <f>""</f>
        <v/>
      </c>
      <c r="P157" s="50">
        <f>SUM(E146:P146)</f>
        <v/>
      </c>
      <c r="Q157" s="50">
        <f>SUM(F146:Q146)</f>
        <v/>
      </c>
      <c r="R157" s="50">
        <f>SUM(G146:R146)</f>
        <v/>
      </c>
      <c r="S157" s="50">
        <f>SUM(H146:S146)</f>
        <v/>
      </c>
      <c r="T157" s="50">
        <f>SUM(I146:T146)</f>
        <v/>
      </c>
      <c r="U157" s="50">
        <f>SUM(J146:U146)</f>
        <v/>
      </c>
      <c r="V157" s="50">
        <f>SUM(K146:V146)</f>
        <v/>
      </c>
      <c r="W157" s="50">
        <f>SUM(L146:W146)</f>
        <v/>
      </c>
      <c r="X157" s="50">
        <f>SUM(M146:X146)</f>
        <v/>
      </c>
      <c r="Y157" s="50">
        <f>SUM(N146:Y146)</f>
        <v/>
      </c>
      <c r="Z157" s="50">
        <f>SUM(O146:Z146)</f>
        <v/>
      </c>
      <c r="AA157" s="50">
        <f>SUM(P146:AA146)</f>
        <v/>
      </c>
      <c r="AB157" s="50">
        <f>SUM(Q146:AB146)</f>
        <v/>
      </c>
      <c r="AC157" s="50">
        <f>SUM(R146:AC146)</f>
        <v/>
      </c>
      <c r="AD157" s="50">
        <f>SUM(S146:AD146)</f>
        <v/>
      </c>
      <c r="AE157" s="50">
        <f>SUM(T146:AE146)</f>
        <v/>
      </c>
      <c r="AF157" s="50">
        <f>SUM(U146:AF146)</f>
        <v/>
      </c>
      <c r="AG157" s="50">
        <f>SUM(V146:AG146)</f>
        <v/>
      </c>
      <c r="AH157" s="50">
        <f>SUM(W146:AH146)</f>
        <v/>
      </c>
      <c r="AI157" s="50">
        <f>SUM(X146:AI146)</f>
        <v/>
      </c>
      <c r="AJ157" s="50">
        <f>SUM(Y146:AJ146)</f>
        <v/>
      </c>
      <c r="AK157" s="50">
        <f>SUM(Z146:AK146)</f>
        <v/>
      </c>
      <c r="AL157" s="50">
        <f>SUM(AA146:AL146)</f>
        <v/>
      </c>
      <c r="AM157" s="50">
        <f>SUM(AB146:AM146)</f>
        <v/>
      </c>
      <c r="AN157" s="50">
        <f>SUM(AC146:AN146)</f>
        <v/>
      </c>
    </row>
    <row r="158">
      <c r="B158" s="7" t="inlineStr">
        <is>
          <t>Flag: EBITDA ≥ 0 for 3 months in a row</t>
        </is>
      </c>
      <c r="C158" s="5" t="inlineStr">
        <is>
          <t>1/0</t>
        </is>
      </c>
      <c r="E158" s="57">
        <f>IF(AND(E146&gt;=0,F146&gt;=0,G146&gt;=0),1,0)</f>
        <v/>
      </c>
      <c r="F158" s="57">
        <f>IF(AND(F146&gt;=0,G146&gt;=0,H146&gt;=0),1,0)</f>
        <v/>
      </c>
      <c r="G158" s="57">
        <f>IF(AND(G146&gt;=0,H146&gt;=0,I146&gt;=0),1,0)</f>
        <v/>
      </c>
      <c r="H158" s="57">
        <f>IF(AND(H146&gt;=0,I146&gt;=0,J146&gt;=0),1,0)</f>
        <v/>
      </c>
      <c r="I158" s="57">
        <f>IF(AND(I146&gt;=0,J146&gt;=0,K146&gt;=0),1,0)</f>
        <v/>
      </c>
      <c r="J158" s="57">
        <f>IF(AND(J146&gt;=0,K146&gt;=0,L146&gt;=0),1,0)</f>
        <v/>
      </c>
      <c r="K158" s="57">
        <f>IF(AND(K146&gt;=0,L146&gt;=0,M146&gt;=0),1,0)</f>
        <v/>
      </c>
      <c r="L158" s="57">
        <f>IF(AND(L146&gt;=0,M146&gt;=0,N146&gt;=0),1,0)</f>
        <v/>
      </c>
      <c r="M158" s="57">
        <f>IF(AND(M146&gt;=0,N146&gt;=0,O146&gt;=0),1,0)</f>
        <v/>
      </c>
      <c r="N158" s="57">
        <f>IF(AND(N146&gt;=0,O146&gt;=0,P146&gt;=0),1,0)</f>
        <v/>
      </c>
      <c r="O158" s="57">
        <f>IF(AND(O146&gt;=0,P146&gt;=0,Q146&gt;=0),1,0)</f>
        <v/>
      </c>
      <c r="P158" s="57">
        <f>IF(AND(P146&gt;=0,Q146&gt;=0,R146&gt;=0),1,0)</f>
        <v/>
      </c>
      <c r="Q158" s="57">
        <f>IF(AND(Q146&gt;=0,R146&gt;=0,S146&gt;=0),1,0)</f>
        <v/>
      </c>
      <c r="R158" s="57">
        <f>IF(AND(R146&gt;=0,S146&gt;=0,T146&gt;=0),1,0)</f>
        <v/>
      </c>
      <c r="S158" s="57">
        <f>IF(AND(S146&gt;=0,T146&gt;=0,U146&gt;=0),1,0)</f>
        <v/>
      </c>
      <c r="T158" s="57">
        <f>IF(AND(T146&gt;=0,U146&gt;=0,V146&gt;=0),1,0)</f>
        <v/>
      </c>
      <c r="U158" s="57">
        <f>IF(AND(U146&gt;=0,V146&gt;=0,W146&gt;=0),1,0)</f>
        <v/>
      </c>
      <c r="V158" s="57">
        <f>IF(AND(V146&gt;=0,W146&gt;=0,X146&gt;=0),1,0)</f>
        <v/>
      </c>
      <c r="W158" s="57">
        <f>IF(AND(W146&gt;=0,X146&gt;=0,Y146&gt;=0),1,0)</f>
        <v/>
      </c>
      <c r="X158" s="57">
        <f>IF(AND(X146&gt;=0,Y146&gt;=0,Z146&gt;=0),1,0)</f>
        <v/>
      </c>
      <c r="Y158" s="57">
        <f>IF(AND(Y146&gt;=0,Z146&gt;=0,AA146&gt;=0),1,0)</f>
        <v/>
      </c>
      <c r="Z158" s="57">
        <f>IF(AND(Z146&gt;=0,AA146&gt;=0,AB146&gt;=0),1,0)</f>
        <v/>
      </c>
      <c r="AA158" s="57">
        <f>IF(AND(AA146&gt;=0,AB146&gt;=0,AC146&gt;=0),1,0)</f>
        <v/>
      </c>
      <c r="AB158" s="57">
        <f>IF(AND(AB146&gt;=0,AC146&gt;=0,AD146&gt;=0),1,0)</f>
        <v/>
      </c>
      <c r="AC158" s="57">
        <f>IF(AND(AC146&gt;=0,AD146&gt;=0,AE146&gt;=0),1,0)</f>
        <v/>
      </c>
      <c r="AD158" s="57">
        <f>IF(AND(AD146&gt;=0,AE146&gt;=0,AF146&gt;=0),1,0)</f>
        <v/>
      </c>
      <c r="AE158" s="57">
        <f>IF(AND(AE146&gt;=0,AF146&gt;=0,AG146&gt;=0),1,0)</f>
        <v/>
      </c>
      <c r="AF158" s="57">
        <f>IF(AND(AF146&gt;=0,AG146&gt;=0,AH146&gt;=0),1,0)</f>
        <v/>
      </c>
      <c r="AG158" s="57">
        <f>IF(AND(AG146&gt;=0,AH146&gt;=0,AI146&gt;=0),1,0)</f>
        <v/>
      </c>
      <c r="AH158" s="57">
        <f>IF(AND(AH146&gt;=0,AI146&gt;=0,AJ146&gt;=0),1,0)</f>
        <v/>
      </c>
      <c r="AI158" s="57">
        <f>IF(AND(AI146&gt;=0,AJ146&gt;=0,AK146&gt;=0),1,0)</f>
        <v/>
      </c>
      <c r="AJ158" s="57">
        <f>IF(AND(AJ146&gt;=0,AK146&gt;=0,AL146&gt;=0),1,0)</f>
        <v/>
      </c>
      <c r="AK158" s="57">
        <f>IF(AND(AK146&gt;=0,AL146&gt;=0,AM146&gt;=0),1,0)</f>
        <v/>
      </c>
      <c r="AL158" s="57">
        <f>IF(AND(AL146&gt;=0,AM146&gt;=0,AN146&gt;=0),1,0)</f>
        <v/>
      </c>
      <c r="AM158" s="57">
        <f>0</f>
        <v/>
      </c>
      <c r="AN158" s="57">
        <f>0</f>
        <v/>
      </c>
    </row>
    <row r="159">
      <c r="B159" s="7" t="inlineStr">
        <is>
          <t>Flag: trailing-12-month EBITDA ≥ 0</t>
        </is>
      </c>
      <c r="C159" s="5" t="inlineStr">
        <is>
          <t>1/0</t>
        </is>
      </c>
      <c r="E159" s="57">
        <f>0</f>
        <v/>
      </c>
      <c r="F159" s="57">
        <f>0</f>
        <v/>
      </c>
      <c r="G159" s="57">
        <f>0</f>
        <v/>
      </c>
      <c r="H159" s="57">
        <f>0</f>
        <v/>
      </c>
      <c r="I159" s="57">
        <f>0</f>
        <v/>
      </c>
      <c r="J159" s="57">
        <f>0</f>
        <v/>
      </c>
      <c r="K159" s="57">
        <f>0</f>
        <v/>
      </c>
      <c r="L159" s="57">
        <f>0</f>
        <v/>
      </c>
      <c r="M159" s="57">
        <f>0</f>
        <v/>
      </c>
      <c r="N159" s="57">
        <f>0</f>
        <v/>
      </c>
      <c r="O159" s="57">
        <f>0</f>
        <v/>
      </c>
      <c r="P159" s="57">
        <f>IF(P157&gt;=0,1,0)</f>
        <v/>
      </c>
      <c r="Q159" s="57">
        <f>IF(Q157&gt;=0,1,0)</f>
        <v/>
      </c>
      <c r="R159" s="57">
        <f>IF(R157&gt;=0,1,0)</f>
        <v/>
      </c>
      <c r="S159" s="57">
        <f>IF(S157&gt;=0,1,0)</f>
        <v/>
      </c>
      <c r="T159" s="57">
        <f>IF(T157&gt;=0,1,0)</f>
        <v/>
      </c>
      <c r="U159" s="57">
        <f>IF(U157&gt;=0,1,0)</f>
        <v/>
      </c>
      <c r="V159" s="57">
        <f>IF(V157&gt;=0,1,0)</f>
        <v/>
      </c>
      <c r="W159" s="57">
        <f>IF(W157&gt;=0,1,0)</f>
        <v/>
      </c>
      <c r="X159" s="57">
        <f>IF(X157&gt;=0,1,0)</f>
        <v/>
      </c>
      <c r="Y159" s="57">
        <f>IF(Y157&gt;=0,1,0)</f>
        <v/>
      </c>
      <c r="Z159" s="57">
        <f>IF(Z157&gt;=0,1,0)</f>
        <v/>
      </c>
      <c r="AA159" s="57">
        <f>IF(AA157&gt;=0,1,0)</f>
        <v/>
      </c>
      <c r="AB159" s="57">
        <f>IF(AB157&gt;=0,1,0)</f>
        <v/>
      </c>
      <c r="AC159" s="57">
        <f>IF(AC157&gt;=0,1,0)</f>
        <v/>
      </c>
      <c r="AD159" s="57">
        <f>IF(AD157&gt;=0,1,0)</f>
        <v/>
      </c>
      <c r="AE159" s="57">
        <f>IF(AE157&gt;=0,1,0)</f>
        <v/>
      </c>
      <c r="AF159" s="57">
        <f>IF(AF157&gt;=0,1,0)</f>
        <v/>
      </c>
      <c r="AG159" s="57">
        <f>IF(AG157&gt;=0,1,0)</f>
        <v/>
      </c>
      <c r="AH159" s="57">
        <f>IF(AH157&gt;=0,1,0)</f>
        <v/>
      </c>
      <c r="AI159" s="57">
        <f>IF(AI157&gt;=0,1,0)</f>
        <v/>
      </c>
      <c r="AJ159" s="57">
        <f>IF(AJ157&gt;=0,1,0)</f>
        <v/>
      </c>
      <c r="AK159" s="57">
        <f>IF(AK157&gt;=0,1,0)</f>
        <v/>
      </c>
      <c r="AL159" s="57">
        <f>IF(AL157&gt;=0,1,0)</f>
        <v/>
      </c>
      <c r="AM159" s="57">
        <f>IF(AM157&gt;=0,1,0)</f>
        <v/>
      </c>
      <c r="AN159" s="57">
        <f>IF(AN157&gt;=0,1,0)</f>
        <v/>
      </c>
    </row>
    <row r="160">
      <c r="A160" s="23" t="n"/>
      <c r="B160" s="22" t="inlineStr">
        <is>
          <t>F. Cohorts: institutes still paying, by month they signed (rows) and calendar month (columns)</t>
        </is>
      </c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  <c r="AA160" s="23" t="n"/>
      <c r="AB160" s="23" t="n"/>
      <c r="AC160" s="23" t="n"/>
      <c r="AD160" s="23" t="n"/>
      <c r="AE160" s="23" t="n"/>
      <c r="AF160" s="23" t="n"/>
      <c r="AG160" s="23" t="n"/>
      <c r="AH160" s="23" t="n"/>
      <c r="AI160" s="23" t="n"/>
      <c r="AJ160" s="23" t="n"/>
      <c r="AK160" s="23" t="n"/>
      <c r="AL160" s="23" t="n"/>
      <c r="AM160" s="23" t="n"/>
      <c r="AN160" s="23" t="n"/>
    </row>
    <row r="161">
      <c r="B161" s="7" t="inlineStr">
        <is>
          <t>Cohort signed in month 1</t>
        </is>
      </c>
      <c r="C161" s="5" t="inlineStr">
        <is>
          <t>institutes</t>
        </is>
      </c>
      <c r="E161" s="53">
        <f>E123</f>
        <v/>
      </c>
      <c r="F161" s="53">
        <f>E161*(1-$D$70)*(1-IF(AND(1&gt;=$D$48,INDEX(Season_Flag,E$113)=1),$D$71,0))</f>
        <v/>
      </c>
      <c r="G161" s="53">
        <f>F161*(1-$D$70)*(1-IF(AND(2&gt;=$D$48,INDEX(Season_Flag,F$113)=1),$D$71,0))</f>
        <v/>
      </c>
      <c r="H161" s="53">
        <f>G161*(1-$D$70)*(1-IF(AND(3&gt;=$D$48,INDEX(Season_Flag,G$113)=1),$D$71,0))</f>
        <v/>
      </c>
      <c r="I161" s="53">
        <f>H161*(1-$D$70)*(1-IF(AND(4&gt;=$D$48,INDEX(Season_Flag,H$113)=1),$D$71,0))</f>
        <v/>
      </c>
      <c r="J161" s="53">
        <f>I161*(1-$D$70)*(1-IF(AND(5&gt;=$D$48,INDEX(Season_Flag,I$113)=1),$D$71,0))</f>
        <v/>
      </c>
      <c r="K161" s="53">
        <f>J161*(1-$D$70)*(1-IF(AND(6&gt;=$D$48,INDEX(Season_Flag,J$113)=1),$D$71,0))</f>
        <v/>
      </c>
      <c r="L161" s="53">
        <f>K161*(1-$D$70)*(1-IF(AND(7&gt;=$D$48,INDEX(Season_Flag,K$113)=1),$D$71,0))</f>
        <v/>
      </c>
      <c r="M161" s="53">
        <f>L161*(1-$D$70)*(1-IF(AND(8&gt;=$D$48,INDEX(Season_Flag,L$113)=1),$D$71,0))</f>
        <v/>
      </c>
      <c r="N161" s="53">
        <f>M161*(1-$D$70)*(1-IF(AND(9&gt;=$D$48,INDEX(Season_Flag,M$113)=1),$D$71,0))</f>
        <v/>
      </c>
      <c r="O161" s="53">
        <f>N161*(1-$D$70)*(1-IF(AND(10&gt;=$D$48,INDEX(Season_Flag,N$113)=1),$D$71,0))</f>
        <v/>
      </c>
      <c r="P161" s="53">
        <f>O161*(1-$D$70)*(1-IF(AND(11&gt;=$D$48,INDEX(Season_Flag,O$113)=1),$D$71,0))</f>
        <v/>
      </c>
      <c r="Q161" s="53">
        <f>P161*(1-$D$70)*(1-IF(AND(12&gt;=$D$48,INDEX(Season_Flag,P$113)=1),$D$71,0))</f>
        <v/>
      </c>
      <c r="R161" s="53">
        <f>Q161*(1-$D$70)*(1-IF(AND(13&gt;=$D$48,INDEX(Season_Flag,Q$113)=1),$D$71,0))</f>
        <v/>
      </c>
      <c r="S161" s="53">
        <f>R161*(1-$D$70)*(1-IF(AND(14&gt;=$D$48,INDEX(Season_Flag,R$113)=1),$D$71,0))</f>
        <v/>
      </c>
      <c r="T161" s="53">
        <f>S161*(1-$D$70)*(1-IF(AND(15&gt;=$D$48,INDEX(Season_Flag,S$113)=1),$D$71,0))</f>
        <v/>
      </c>
      <c r="U161" s="53">
        <f>T161*(1-$D$70)*(1-IF(AND(16&gt;=$D$48,INDEX(Season_Flag,T$113)=1),$D$71,0))</f>
        <v/>
      </c>
      <c r="V161" s="53">
        <f>U161*(1-$D$70)*(1-IF(AND(17&gt;=$D$48,INDEX(Season_Flag,U$113)=1),$D$71,0))</f>
        <v/>
      </c>
      <c r="W161" s="53">
        <f>V161*(1-$D$70)*(1-IF(AND(18&gt;=$D$48,INDEX(Season_Flag,V$113)=1),$D$71,0))</f>
        <v/>
      </c>
      <c r="X161" s="53">
        <f>W161*(1-$D$70)*(1-IF(AND(19&gt;=$D$48,INDEX(Season_Flag,W$113)=1),$D$71,0))</f>
        <v/>
      </c>
      <c r="Y161" s="53">
        <f>X161*(1-$D$70)*(1-IF(AND(20&gt;=$D$48,INDEX(Season_Flag,X$113)=1),$D$71,0))</f>
        <v/>
      </c>
      <c r="Z161" s="53">
        <f>Y161*(1-$D$70)*(1-IF(AND(21&gt;=$D$48,INDEX(Season_Flag,Y$113)=1),$D$71,0))</f>
        <v/>
      </c>
      <c r="AA161" s="53">
        <f>Z161*(1-$D$70)*(1-IF(AND(22&gt;=$D$48,INDEX(Season_Flag,Z$113)=1),$D$71,0))</f>
        <v/>
      </c>
      <c r="AB161" s="53">
        <f>AA161*(1-$D$70)*(1-IF(AND(23&gt;=$D$48,INDEX(Season_Flag,AA$113)=1),$D$71,0))</f>
        <v/>
      </c>
      <c r="AC161" s="53">
        <f>AB161*(1-$D$70)*(1-IF(AND(24&gt;=$D$48,INDEX(Season_Flag,AB$113)=1),$D$71,0))</f>
        <v/>
      </c>
      <c r="AD161" s="53">
        <f>AC161*(1-$D$70)*(1-IF(AND(25&gt;=$D$48,INDEX(Season_Flag,AC$113)=1),$D$71,0))</f>
        <v/>
      </c>
      <c r="AE161" s="53">
        <f>AD161*(1-$D$70)*(1-IF(AND(26&gt;=$D$48,INDEX(Season_Flag,AD$113)=1),$D$71,0))</f>
        <v/>
      </c>
      <c r="AF161" s="53">
        <f>AE161*(1-$D$70)*(1-IF(AND(27&gt;=$D$48,INDEX(Season_Flag,AE$113)=1),$D$71,0))</f>
        <v/>
      </c>
      <c r="AG161" s="53">
        <f>AF161*(1-$D$70)*(1-IF(AND(28&gt;=$D$48,INDEX(Season_Flag,AF$113)=1),$D$71,0))</f>
        <v/>
      </c>
      <c r="AH161" s="53">
        <f>AG161*(1-$D$70)*(1-IF(AND(29&gt;=$D$48,INDEX(Season_Flag,AG$113)=1),$D$71,0))</f>
        <v/>
      </c>
      <c r="AI161" s="53">
        <f>AH161*(1-$D$70)*(1-IF(AND(30&gt;=$D$48,INDEX(Season_Flag,AH$113)=1),$D$71,0))</f>
        <v/>
      </c>
      <c r="AJ161" s="53">
        <f>AI161*(1-$D$70)*(1-IF(AND(31&gt;=$D$48,INDEX(Season_Flag,AI$113)=1),$D$71,0))</f>
        <v/>
      </c>
      <c r="AK161" s="53">
        <f>AJ161*(1-$D$70)*(1-IF(AND(32&gt;=$D$48,INDEX(Season_Flag,AJ$113)=1),$D$71,0))</f>
        <v/>
      </c>
      <c r="AL161" s="53">
        <f>AK161*(1-$D$70)*(1-IF(AND(33&gt;=$D$48,INDEX(Season_Flag,AK$113)=1),$D$71,0))</f>
        <v/>
      </c>
      <c r="AM161" s="53">
        <f>AL161*(1-$D$70)*(1-IF(AND(34&gt;=$D$48,INDEX(Season_Flag,AL$113)=1),$D$71,0))</f>
        <v/>
      </c>
      <c r="AN161" s="53">
        <f>AM161*(1-$D$70)*(1-IF(AND(35&gt;=$D$48,INDEX(Season_Flag,AM$113)=1),$D$71,0))</f>
        <v/>
      </c>
    </row>
    <row r="162">
      <c r="B162" s="7" t="inlineStr">
        <is>
          <t>Cohort signed in month 2</t>
        </is>
      </c>
      <c r="C162" s="5" t="inlineStr">
        <is>
          <t>institutes</t>
        </is>
      </c>
      <c r="F162" s="53">
        <f>F123</f>
        <v/>
      </c>
      <c r="G162" s="53">
        <f>F162*(1-$D$70)*(1-IF(AND(1&gt;=$D$48,INDEX(Season_Flag,F$113)=1),$D$71,0))</f>
        <v/>
      </c>
      <c r="H162" s="53">
        <f>G162*(1-$D$70)*(1-IF(AND(2&gt;=$D$48,INDEX(Season_Flag,G$113)=1),$D$71,0))</f>
        <v/>
      </c>
      <c r="I162" s="53">
        <f>H162*(1-$D$70)*(1-IF(AND(3&gt;=$D$48,INDEX(Season_Flag,H$113)=1),$D$71,0))</f>
        <v/>
      </c>
      <c r="J162" s="53">
        <f>I162*(1-$D$70)*(1-IF(AND(4&gt;=$D$48,INDEX(Season_Flag,I$113)=1),$D$71,0))</f>
        <v/>
      </c>
      <c r="K162" s="53">
        <f>J162*(1-$D$70)*(1-IF(AND(5&gt;=$D$48,INDEX(Season_Flag,J$113)=1),$D$71,0))</f>
        <v/>
      </c>
      <c r="L162" s="53">
        <f>K162*(1-$D$70)*(1-IF(AND(6&gt;=$D$48,INDEX(Season_Flag,K$113)=1),$D$71,0))</f>
        <v/>
      </c>
      <c r="M162" s="53">
        <f>L162*(1-$D$70)*(1-IF(AND(7&gt;=$D$48,INDEX(Season_Flag,L$113)=1),$D$71,0))</f>
        <v/>
      </c>
      <c r="N162" s="53">
        <f>M162*(1-$D$70)*(1-IF(AND(8&gt;=$D$48,INDEX(Season_Flag,M$113)=1),$D$71,0))</f>
        <v/>
      </c>
      <c r="O162" s="53">
        <f>N162*(1-$D$70)*(1-IF(AND(9&gt;=$D$48,INDEX(Season_Flag,N$113)=1),$D$71,0))</f>
        <v/>
      </c>
      <c r="P162" s="53">
        <f>O162*(1-$D$70)*(1-IF(AND(10&gt;=$D$48,INDEX(Season_Flag,O$113)=1),$D$71,0))</f>
        <v/>
      </c>
      <c r="Q162" s="53">
        <f>P162*(1-$D$70)*(1-IF(AND(11&gt;=$D$48,INDEX(Season_Flag,P$113)=1),$D$71,0))</f>
        <v/>
      </c>
      <c r="R162" s="53">
        <f>Q162*(1-$D$70)*(1-IF(AND(12&gt;=$D$48,INDEX(Season_Flag,Q$113)=1),$D$71,0))</f>
        <v/>
      </c>
      <c r="S162" s="53">
        <f>R162*(1-$D$70)*(1-IF(AND(13&gt;=$D$48,INDEX(Season_Flag,R$113)=1),$D$71,0))</f>
        <v/>
      </c>
      <c r="T162" s="53">
        <f>S162*(1-$D$70)*(1-IF(AND(14&gt;=$D$48,INDEX(Season_Flag,S$113)=1),$D$71,0))</f>
        <v/>
      </c>
      <c r="U162" s="53">
        <f>T162*(1-$D$70)*(1-IF(AND(15&gt;=$D$48,INDEX(Season_Flag,T$113)=1),$D$71,0))</f>
        <v/>
      </c>
      <c r="V162" s="53">
        <f>U162*(1-$D$70)*(1-IF(AND(16&gt;=$D$48,INDEX(Season_Flag,U$113)=1),$D$71,0))</f>
        <v/>
      </c>
      <c r="W162" s="53">
        <f>V162*(1-$D$70)*(1-IF(AND(17&gt;=$D$48,INDEX(Season_Flag,V$113)=1),$D$71,0))</f>
        <v/>
      </c>
      <c r="X162" s="53">
        <f>W162*(1-$D$70)*(1-IF(AND(18&gt;=$D$48,INDEX(Season_Flag,W$113)=1),$D$71,0))</f>
        <v/>
      </c>
      <c r="Y162" s="53">
        <f>X162*(1-$D$70)*(1-IF(AND(19&gt;=$D$48,INDEX(Season_Flag,X$113)=1),$D$71,0))</f>
        <v/>
      </c>
      <c r="Z162" s="53">
        <f>Y162*(1-$D$70)*(1-IF(AND(20&gt;=$D$48,INDEX(Season_Flag,Y$113)=1),$D$71,0))</f>
        <v/>
      </c>
      <c r="AA162" s="53">
        <f>Z162*(1-$D$70)*(1-IF(AND(21&gt;=$D$48,INDEX(Season_Flag,Z$113)=1),$D$71,0))</f>
        <v/>
      </c>
      <c r="AB162" s="53">
        <f>AA162*(1-$D$70)*(1-IF(AND(22&gt;=$D$48,INDEX(Season_Flag,AA$113)=1),$D$71,0))</f>
        <v/>
      </c>
      <c r="AC162" s="53">
        <f>AB162*(1-$D$70)*(1-IF(AND(23&gt;=$D$48,INDEX(Season_Flag,AB$113)=1),$D$71,0))</f>
        <v/>
      </c>
      <c r="AD162" s="53">
        <f>AC162*(1-$D$70)*(1-IF(AND(24&gt;=$D$48,INDEX(Season_Flag,AC$113)=1),$D$71,0))</f>
        <v/>
      </c>
      <c r="AE162" s="53">
        <f>AD162*(1-$D$70)*(1-IF(AND(25&gt;=$D$48,INDEX(Season_Flag,AD$113)=1),$D$71,0))</f>
        <v/>
      </c>
      <c r="AF162" s="53">
        <f>AE162*(1-$D$70)*(1-IF(AND(26&gt;=$D$48,INDEX(Season_Flag,AE$113)=1),$D$71,0))</f>
        <v/>
      </c>
      <c r="AG162" s="53">
        <f>AF162*(1-$D$70)*(1-IF(AND(27&gt;=$D$48,INDEX(Season_Flag,AF$113)=1),$D$71,0))</f>
        <v/>
      </c>
      <c r="AH162" s="53">
        <f>AG162*(1-$D$70)*(1-IF(AND(28&gt;=$D$48,INDEX(Season_Flag,AG$113)=1),$D$71,0))</f>
        <v/>
      </c>
      <c r="AI162" s="53">
        <f>AH162*(1-$D$70)*(1-IF(AND(29&gt;=$D$48,INDEX(Season_Flag,AH$113)=1),$D$71,0))</f>
        <v/>
      </c>
      <c r="AJ162" s="53">
        <f>AI162*(1-$D$70)*(1-IF(AND(30&gt;=$D$48,INDEX(Season_Flag,AI$113)=1),$D$71,0))</f>
        <v/>
      </c>
      <c r="AK162" s="53">
        <f>AJ162*(1-$D$70)*(1-IF(AND(31&gt;=$D$48,INDEX(Season_Flag,AJ$113)=1),$D$71,0))</f>
        <v/>
      </c>
      <c r="AL162" s="53">
        <f>AK162*(1-$D$70)*(1-IF(AND(32&gt;=$D$48,INDEX(Season_Flag,AK$113)=1),$D$71,0))</f>
        <v/>
      </c>
      <c r="AM162" s="53">
        <f>AL162*(1-$D$70)*(1-IF(AND(33&gt;=$D$48,INDEX(Season_Flag,AL$113)=1),$D$71,0))</f>
        <v/>
      </c>
      <c r="AN162" s="53">
        <f>AM162*(1-$D$70)*(1-IF(AND(34&gt;=$D$48,INDEX(Season_Flag,AM$113)=1),$D$71,0))</f>
        <v/>
      </c>
    </row>
    <row r="163">
      <c r="B163" s="7" t="inlineStr">
        <is>
          <t>Cohort signed in month 3</t>
        </is>
      </c>
      <c r="C163" s="5" t="inlineStr">
        <is>
          <t>institutes</t>
        </is>
      </c>
      <c r="G163" s="53">
        <f>G123</f>
        <v/>
      </c>
      <c r="H163" s="53">
        <f>G163*(1-$D$70)*(1-IF(AND(1&gt;=$D$48,INDEX(Season_Flag,G$113)=1),$D$71,0))</f>
        <v/>
      </c>
      <c r="I163" s="53">
        <f>H163*(1-$D$70)*(1-IF(AND(2&gt;=$D$48,INDEX(Season_Flag,H$113)=1),$D$71,0))</f>
        <v/>
      </c>
      <c r="J163" s="53">
        <f>I163*(1-$D$70)*(1-IF(AND(3&gt;=$D$48,INDEX(Season_Flag,I$113)=1),$D$71,0))</f>
        <v/>
      </c>
      <c r="K163" s="53">
        <f>J163*(1-$D$70)*(1-IF(AND(4&gt;=$D$48,INDEX(Season_Flag,J$113)=1),$D$71,0))</f>
        <v/>
      </c>
      <c r="L163" s="53">
        <f>K163*(1-$D$70)*(1-IF(AND(5&gt;=$D$48,INDEX(Season_Flag,K$113)=1),$D$71,0))</f>
        <v/>
      </c>
      <c r="M163" s="53">
        <f>L163*(1-$D$70)*(1-IF(AND(6&gt;=$D$48,INDEX(Season_Flag,L$113)=1),$D$71,0))</f>
        <v/>
      </c>
      <c r="N163" s="53">
        <f>M163*(1-$D$70)*(1-IF(AND(7&gt;=$D$48,INDEX(Season_Flag,M$113)=1),$D$71,0))</f>
        <v/>
      </c>
      <c r="O163" s="53">
        <f>N163*(1-$D$70)*(1-IF(AND(8&gt;=$D$48,INDEX(Season_Flag,N$113)=1),$D$71,0))</f>
        <v/>
      </c>
      <c r="P163" s="53">
        <f>O163*(1-$D$70)*(1-IF(AND(9&gt;=$D$48,INDEX(Season_Flag,O$113)=1),$D$71,0))</f>
        <v/>
      </c>
      <c r="Q163" s="53">
        <f>P163*(1-$D$70)*(1-IF(AND(10&gt;=$D$48,INDEX(Season_Flag,P$113)=1),$D$71,0))</f>
        <v/>
      </c>
      <c r="R163" s="53">
        <f>Q163*(1-$D$70)*(1-IF(AND(11&gt;=$D$48,INDEX(Season_Flag,Q$113)=1),$D$71,0))</f>
        <v/>
      </c>
      <c r="S163" s="53">
        <f>R163*(1-$D$70)*(1-IF(AND(12&gt;=$D$48,INDEX(Season_Flag,R$113)=1),$D$71,0))</f>
        <v/>
      </c>
      <c r="T163" s="53">
        <f>S163*(1-$D$70)*(1-IF(AND(13&gt;=$D$48,INDEX(Season_Flag,S$113)=1),$D$71,0))</f>
        <v/>
      </c>
      <c r="U163" s="53">
        <f>T163*(1-$D$70)*(1-IF(AND(14&gt;=$D$48,INDEX(Season_Flag,T$113)=1),$D$71,0))</f>
        <v/>
      </c>
      <c r="V163" s="53">
        <f>U163*(1-$D$70)*(1-IF(AND(15&gt;=$D$48,INDEX(Season_Flag,U$113)=1),$D$71,0))</f>
        <v/>
      </c>
      <c r="W163" s="53">
        <f>V163*(1-$D$70)*(1-IF(AND(16&gt;=$D$48,INDEX(Season_Flag,V$113)=1),$D$71,0))</f>
        <v/>
      </c>
      <c r="X163" s="53">
        <f>W163*(1-$D$70)*(1-IF(AND(17&gt;=$D$48,INDEX(Season_Flag,W$113)=1),$D$71,0))</f>
        <v/>
      </c>
      <c r="Y163" s="53">
        <f>X163*(1-$D$70)*(1-IF(AND(18&gt;=$D$48,INDEX(Season_Flag,X$113)=1),$D$71,0))</f>
        <v/>
      </c>
      <c r="Z163" s="53">
        <f>Y163*(1-$D$70)*(1-IF(AND(19&gt;=$D$48,INDEX(Season_Flag,Y$113)=1),$D$71,0))</f>
        <v/>
      </c>
      <c r="AA163" s="53">
        <f>Z163*(1-$D$70)*(1-IF(AND(20&gt;=$D$48,INDEX(Season_Flag,Z$113)=1),$D$71,0))</f>
        <v/>
      </c>
      <c r="AB163" s="53">
        <f>AA163*(1-$D$70)*(1-IF(AND(21&gt;=$D$48,INDEX(Season_Flag,AA$113)=1),$D$71,0))</f>
        <v/>
      </c>
      <c r="AC163" s="53">
        <f>AB163*(1-$D$70)*(1-IF(AND(22&gt;=$D$48,INDEX(Season_Flag,AB$113)=1),$D$71,0))</f>
        <v/>
      </c>
      <c r="AD163" s="53">
        <f>AC163*(1-$D$70)*(1-IF(AND(23&gt;=$D$48,INDEX(Season_Flag,AC$113)=1),$D$71,0))</f>
        <v/>
      </c>
      <c r="AE163" s="53">
        <f>AD163*(1-$D$70)*(1-IF(AND(24&gt;=$D$48,INDEX(Season_Flag,AD$113)=1),$D$71,0))</f>
        <v/>
      </c>
      <c r="AF163" s="53">
        <f>AE163*(1-$D$70)*(1-IF(AND(25&gt;=$D$48,INDEX(Season_Flag,AE$113)=1),$D$71,0))</f>
        <v/>
      </c>
      <c r="AG163" s="53">
        <f>AF163*(1-$D$70)*(1-IF(AND(26&gt;=$D$48,INDEX(Season_Flag,AF$113)=1),$D$71,0))</f>
        <v/>
      </c>
      <c r="AH163" s="53">
        <f>AG163*(1-$D$70)*(1-IF(AND(27&gt;=$D$48,INDEX(Season_Flag,AG$113)=1),$D$71,0))</f>
        <v/>
      </c>
      <c r="AI163" s="53">
        <f>AH163*(1-$D$70)*(1-IF(AND(28&gt;=$D$48,INDEX(Season_Flag,AH$113)=1),$D$71,0))</f>
        <v/>
      </c>
      <c r="AJ163" s="53">
        <f>AI163*(1-$D$70)*(1-IF(AND(29&gt;=$D$48,INDEX(Season_Flag,AI$113)=1),$D$71,0))</f>
        <v/>
      </c>
      <c r="AK163" s="53">
        <f>AJ163*(1-$D$70)*(1-IF(AND(30&gt;=$D$48,INDEX(Season_Flag,AJ$113)=1),$D$71,0))</f>
        <v/>
      </c>
      <c r="AL163" s="53">
        <f>AK163*(1-$D$70)*(1-IF(AND(31&gt;=$D$48,INDEX(Season_Flag,AK$113)=1),$D$71,0))</f>
        <v/>
      </c>
      <c r="AM163" s="53">
        <f>AL163*(1-$D$70)*(1-IF(AND(32&gt;=$D$48,INDEX(Season_Flag,AL$113)=1),$D$71,0))</f>
        <v/>
      </c>
      <c r="AN163" s="53">
        <f>AM163*(1-$D$70)*(1-IF(AND(33&gt;=$D$48,INDEX(Season_Flag,AM$113)=1),$D$71,0))</f>
        <v/>
      </c>
    </row>
    <row r="164">
      <c r="B164" s="7" t="inlineStr">
        <is>
          <t>Cohort signed in month 4</t>
        </is>
      </c>
      <c r="C164" s="5" t="inlineStr">
        <is>
          <t>institutes</t>
        </is>
      </c>
      <c r="H164" s="53">
        <f>H123</f>
        <v/>
      </c>
      <c r="I164" s="53">
        <f>H164*(1-$D$70)*(1-IF(AND(1&gt;=$D$48,INDEX(Season_Flag,H$113)=1),$D$71,0))</f>
        <v/>
      </c>
      <c r="J164" s="53">
        <f>I164*(1-$D$70)*(1-IF(AND(2&gt;=$D$48,INDEX(Season_Flag,I$113)=1),$D$71,0))</f>
        <v/>
      </c>
      <c r="K164" s="53">
        <f>J164*(1-$D$70)*(1-IF(AND(3&gt;=$D$48,INDEX(Season_Flag,J$113)=1),$D$71,0))</f>
        <v/>
      </c>
      <c r="L164" s="53">
        <f>K164*(1-$D$70)*(1-IF(AND(4&gt;=$D$48,INDEX(Season_Flag,K$113)=1),$D$71,0))</f>
        <v/>
      </c>
      <c r="M164" s="53">
        <f>L164*(1-$D$70)*(1-IF(AND(5&gt;=$D$48,INDEX(Season_Flag,L$113)=1),$D$71,0))</f>
        <v/>
      </c>
      <c r="N164" s="53">
        <f>M164*(1-$D$70)*(1-IF(AND(6&gt;=$D$48,INDEX(Season_Flag,M$113)=1),$D$71,0))</f>
        <v/>
      </c>
      <c r="O164" s="53">
        <f>N164*(1-$D$70)*(1-IF(AND(7&gt;=$D$48,INDEX(Season_Flag,N$113)=1),$D$71,0))</f>
        <v/>
      </c>
      <c r="P164" s="53">
        <f>O164*(1-$D$70)*(1-IF(AND(8&gt;=$D$48,INDEX(Season_Flag,O$113)=1),$D$71,0))</f>
        <v/>
      </c>
      <c r="Q164" s="53">
        <f>P164*(1-$D$70)*(1-IF(AND(9&gt;=$D$48,INDEX(Season_Flag,P$113)=1),$D$71,0))</f>
        <v/>
      </c>
      <c r="R164" s="53">
        <f>Q164*(1-$D$70)*(1-IF(AND(10&gt;=$D$48,INDEX(Season_Flag,Q$113)=1),$D$71,0))</f>
        <v/>
      </c>
      <c r="S164" s="53">
        <f>R164*(1-$D$70)*(1-IF(AND(11&gt;=$D$48,INDEX(Season_Flag,R$113)=1),$D$71,0))</f>
        <v/>
      </c>
      <c r="T164" s="53">
        <f>S164*(1-$D$70)*(1-IF(AND(12&gt;=$D$48,INDEX(Season_Flag,S$113)=1),$D$71,0))</f>
        <v/>
      </c>
      <c r="U164" s="53">
        <f>T164*(1-$D$70)*(1-IF(AND(13&gt;=$D$48,INDEX(Season_Flag,T$113)=1),$D$71,0))</f>
        <v/>
      </c>
      <c r="V164" s="53">
        <f>U164*(1-$D$70)*(1-IF(AND(14&gt;=$D$48,INDEX(Season_Flag,U$113)=1),$D$71,0))</f>
        <v/>
      </c>
      <c r="W164" s="53">
        <f>V164*(1-$D$70)*(1-IF(AND(15&gt;=$D$48,INDEX(Season_Flag,V$113)=1),$D$71,0))</f>
        <v/>
      </c>
      <c r="X164" s="53">
        <f>W164*(1-$D$70)*(1-IF(AND(16&gt;=$D$48,INDEX(Season_Flag,W$113)=1),$D$71,0))</f>
        <v/>
      </c>
      <c r="Y164" s="53">
        <f>X164*(1-$D$70)*(1-IF(AND(17&gt;=$D$48,INDEX(Season_Flag,X$113)=1),$D$71,0))</f>
        <v/>
      </c>
      <c r="Z164" s="53">
        <f>Y164*(1-$D$70)*(1-IF(AND(18&gt;=$D$48,INDEX(Season_Flag,Y$113)=1),$D$71,0))</f>
        <v/>
      </c>
      <c r="AA164" s="53">
        <f>Z164*(1-$D$70)*(1-IF(AND(19&gt;=$D$48,INDEX(Season_Flag,Z$113)=1),$D$71,0))</f>
        <v/>
      </c>
      <c r="AB164" s="53">
        <f>AA164*(1-$D$70)*(1-IF(AND(20&gt;=$D$48,INDEX(Season_Flag,AA$113)=1),$D$71,0))</f>
        <v/>
      </c>
      <c r="AC164" s="53">
        <f>AB164*(1-$D$70)*(1-IF(AND(21&gt;=$D$48,INDEX(Season_Flag,AB$113)=1),$D$71,0))</f>
        <v/>
      </c>
      <c r="AD164" s="53">
        <f>AC164*(1-$D$70)*(1-IF(AND(22&gt;=$D$48,INDEX(Season_Flag,AC$113)=1),$D$71,0))</f>
        <v/>
      </c>
      <c r="AE164" s="53">
        <f>AD164*(1-$D$70)*(1-IF(AND(23&gt;=$D$48,INDEX(Season_Flag,AD$113)=1),$D$71,0))</f>
        <v/>
      </c>
      <c r="AF164" s="53">
        <f>AE164*(1-$D$70)*(1-IF(AND(24&gt;=$D$48,INDEX(Season_Flag,AE$113)=1),$D$71,0))</f>
        <v/>
      </c>
      <c r="AG164" s="53">
        <f>AF164*(1-$D$70)*(1-IF(AND(25&gt;=$D$48,INDEX(Season_Flag,AF$113)=1),$D$71,0))</f>
        <v/>
      </c>
      <c r="AH164" s="53">
        <f>AG164*(1-$D$70)*(1-IF(AND(26&gt;=$D$48,INDEX(Season_Flag,AG$113)=1),$D$71,0))</f>
        <v/>
      </c>
      <c r="AI164" s="53">
        <f>AH164*(1-$D$70)*(1-IF(AND(27&gt;=$D$48,INDEX(Season_Flag,AH$113)=1),$D$71,0))</f>
        <v/>
      </c>
      <c r="AJ164" s="53">
        <f>AI164*(1-$D$70)*(1-IF(AND(28&gt;=$D$48,INDEX(Season_Flag,AI$113)=1),$D$71,0))</f>
        <v/>
      </c>
      <c r="AK164" s="53">
        <f>AJ164*(1-$D$70)*(1-IF(AND(29&gt;=$D$48,INDEX(Season_Flag,AJ$113)=1),$D$71,0))</f>
        <v/>
      </c>
      <c r="AL164" s="53">
        <f>AK164*(1-$D$70)*(1-IF(AND(30&gt;=$D$48,INDEX(Season_Flag,AK$113)=1),$D$71,0))</f>
        <v/>
      </c>
      <c r="AM164" s="53">
        <f>AL164*(1-$D$70)*(1-IF(AND(31&gt;=$D$48,INDEX(Season_Flag,AL$113)=1),$D$71,0))</f>
        <v/>
      </c>
      <c r="AN164" s="53">
        <f>AM164*(1-$D$70)*(1-IF(AND(32&gt;=$D$48,INDEX(Season_Flag,AM$113)=1),$D$71,0))</f>
        <v/>
      </c>
    </row>
    <row r="165">
      <c r="B165" s="7" t="inlineStr">
        <is>
          <t>Cohort signed in month 5</t>
        </is>
      </c>
      <c r="C165" s="5" t="inlineStr">
        <is>
          <t>institutes</t>
        </is>
      </c>
      <c r="I165" s="53">
        <f>I123</f>
        <v/>
      </c>
      <c r="J165" s="53">
        <f>I165*(1-$D$70)*(1-IF(AND(1&gt;=$D$48,INDEX(Season_Flag,I$113)=1),$D$71,0))</f>
        <v/>
      </c>
      <c r="K165" s="53">
        <f>J165*(1-$D$70)*(1-IF(AND(2&gt;=$D$48,INDEX(Season_Flag,J$113)=1),$D$71,0))</f>
        <v/>
      </c>
      <c r="L165" s="53">
        <f>K165*(1-$D$70)*(1-IF(AND(3&gt;=$D$48,INDEX(Season_Flag,K$113)=1),$D$71,0))</f>
        <v/>
      </c>
      <c r="M165" s="53">
        <f>L165*(1-$D$70)*(1-IF(AND(4&gt;=$D$48,INDEX(Season_Flag,L$113)=1),$D$71,0))</f>
        <v/>
      </c>
      <c r="N165" s="53">
        <f>M165*(1-$D$70)*(1-IF(AND(5&gt;=$D$48,INDEX(Season_Flag,M$113)=1),$D$71,0))</f>
        <v/>
      </c>
      <c r="O165" s="53">
        <f>N165*(1-$D$70)*(1-IF(AND(6&gt;=$D$48,INDEX(Season_Flag,N$113)=1),$D$71,0))</f>
        <v/>
      </c>
      <c r="P165" s="53">
        <f>O165*(1-$D$70)*(1-IF(AND(7&gt;=$D$48,INDEX(Season_Flag,O$113)=1),$D$71,0))</f>
        <v/>
      </c>
      <c r="Q165" s="53">
        <f>P165*(1-$D$70)*(1-IF(AND(8&gt;=$D$48,INDEX(Season_Flag,P$113)=1),$D$71,0))</f>
        <v/>
      </c>
      <c r="R165" s="53">
        <f>Q165*(1-$D$70)*(1-IF(AND(9&gt;=$D$48,INDEX(Season_Flag,Q$113)=1),$D$71,0))</f>
        <v/>
      </c>
      <c r="S165" s="53">
        <f>R165*(1-$D$70)*(1-IF(AND(10&gt;=$D$48,INDEX(Season_Flag,R$113)=1),$D$71,0))</f>
        <v/>
      </c>
      <c r="T165" s="53">
        <f>S165*(1-$D$70)*(1-IF(AND(11&gt;=$D$48,INDEX(Season_Flag,S$113)=1),$D$71,0))</f>
        <v/>
      </c>
      <c r="U165" s="53">
        <f>T165*(1-$D$70)*(1-IF(AND(12&gt;=$D$48,INDEX(Season_Flag,T$113)=1),$D$71,0))</f>
        <v/>
      </c>
      <c r="V165" s="53">
        <f>U165*(1-$D$70)*(1-IF(AND(13&gt;=$D$48,INDEX(Season_Flag,U$113)=1),$D$71,0))</f>
        <v/>
      </c>
      <c r="W165" s="53">
        <f>V165*(1-$D$70)*(1-IF(AND(14&gt;=$D$48,INDEX(Season_Flag,V$113)=1),$D$71,0))</f>
        <v/>
      </c>
      <c r="X165" s="53">
        <f>W165*(1-$D$70)*(1-IF(AND(15&gt;=$D$48,INDEX(Season_Flag,W$113)=1),$D$71,0))</f>
        <v/>
      </c>
      <c r="Y165" s="53">
        <f>X165*(1-$D$70)*(1-IF(AND(16&gt;=$D$48,INDEX(Season_Flag,X$113)=1),$D$71,0))</f>
        <v/>
      </c>
      <c r="Z165" s="53">
        <f>Y165*(1-$D$70)*(1-IF(AND(17&gt;=$D$48,INDEX(Season_Flag,Y$113)=1),$D$71,0))</f>
        <v/>
      </c>
      <c r="AA165" s="53">
        <f>Z165*(1-$D$70)*(1-IF(AND(18&gt;=$D$48,INDEX(Season_Flag,Z$113)=1),$D$71,0))</f>
        <v/>
      </c>
      <c r="AB165" s="53">
        <f>AA165*(1-$D$70)*(1-IF(AND(19&gt;=$D$48,INDEX(Season_Flag,AA$113)=1),$D$71,0))</f>
        <v/>
      </c>
      <c r="AC165" s="53">
        <f>AB165*(1-$D$70)*(1-IF(AND(20&gt;=$D$48,INDEX(Season_Flag,AB$113)=1),$D$71,0))</f>
        <v/>
      </c>
      <c r="AD165" s="53">
        <f>AC165*(1-$D$70)*(1-IF(AND(21&gt;=$D$48,INDEX(Season_Flag,AC$113)=1),$D$71,0))</f>
        <v/>
      </c>
      <c r="AE165" s="53">
        <f>AD165*(1-$D$70)*(1-IF(AND(22&gt;=$D$48,INDEX(Season_Flag,AD$113)=1),$D$71,0))</f>
        <v/>
      </c>
      <c r="AF165" s="53">
        <f>AE165*(1-$D$70)*(1-IF(AND(23&gt;=$D$48,INDEX(Season_Flag,AE$113)=1),$D$71,0))</f>
        <v/>
      </c>
      <c r="AG165" s="53">
        <f>AF165*(1-$D$70)*(1-IF(AND(24&gt;=$D$48,INDEX(Season_Flag,AF$113)=1),$D$71,0))</f>
        <v/>
      </c>
      <c r="AH165" s="53">
        <f>AG165*(1-$D$70)*(1-IF(AND(25&gt;=$D$48,INDEX(Season_Flag,AG$113)=1),$D$71,0))</f>
        <v/>
      </c>
      <c r="AI165" s="53">
        <f>AH165*(1-$D$70)*(1-IF(AND(26&gt;=$D$48,INDEX(Season_Flag,AH$113)=1),$D$71,0))</f>
        <v/>
      </c>
      <c r="AJ165" s="53">
        <f>AI165*(1-$D$70)*(1-IF(AND(27&gt;=$D$48,INDEX(Season_Flag,AI$113)=1),$D$71,0))</f>
        <v/>
      </c>
      <c r="AK165" s="53">
        <f>AJ165*(1-$D$70)*(1-IF(AND(28&gt;=$D$48,INDEX(Season_Flag,AJ$113)=1),$D$71,0))</f>
        <v/>
      </c>
      <c r="AL165" s="53">
        <f>AK165*(1-$D$70)*(1-IF(AND(29&gt;=$D$48,INDEX(Season_Flag,AK$113)=1),$D$71,0))</f>
        <v/>
      </c>
      <c r="AM165" s="53">
        <f>AL165*(1-$D$70)*(1-IF(AND(30&gt;=$D$48,INDEX(Season_Flag,AL$113)=1),$D$71,0))</f>
        <v/>
      </c>
      <c r="AN165" s="53">
        <f>AM165*(1-$D$70)*(1-IF(AND(31&gt;=$D$48,INDEX(Season_Flag,AM$113)=1),$D$71,0))</f>
        <v/>
      </c>
    </row>
    <row r="166">
      <c r="B166" s="7" t="inlineStr">
        <is>
          <t>Cohort signed in month 6</t>
        </is>
      </c>
      <c r="C166" s="5" t="inlineStr">
        <is>
          <t>institutes</t>
        </is>
      </c>
      <c r="J166" s="53">
        <f>J123</f>
        <v/>
      </c>
      <c r="K166" s="53">
        <f>J166*(1-$D$70)*(1-IF(AND(1&gt;=$D$48,INDEX(Season_Flag,J$113)=1),$D$71,0))</f>
        <v/>
      </c>
      <c r="L166" s="53">
        <f>K166*(1-$D$70)*(1-IF(AND(2&gt;=$D$48,INDEX(Season_Flag,K$113)=1),$D$71,0))</f>
        <v/>
      </c>
      <c r="M166" s="53">
        <f>L166*(1-$D$70)*(1-IF(AND(3&gt;=$D$48,INDEX(Season_Flag,L$113)=1),$D$71,0))</f>
        <v/>
      </c>
      <c r="N166" s="53">
        <f>M166*(1-$D$70)*(1-IF(AND(4&gt;=$D$48,INDEX(Season_Flag,M$113)=1),$D$71,0))</f>
        <v/>
      </c>
      <c r="O166" s="53">
        <f>N166*(1-$D$70)*(1-IF(AND(5&gt;=$D$48,INDEX(Season_Flag,N$113)=1),$D$71,0))</f>
        <v/>
      </c>
      <c r="P166" s="53">
        <f>O166*(1-$D$70)*(1-IF(AND(6&gt;=$D$48,INDEX(Season_Flag,O$113)=1),$D$71,0))</f>
        <v/>
      </c>
      <c r="Q166" s="53">
        <f>P166*(1-$D$70)*(1-IF(AND(7&gt;=$D$48,INDEX(Season_Flag,P$113)=1),$D$71,0))</f>
        <v/>
      </c>
      <c r="R166" s="53">
        <f>Q166*(1-$D$70)*(1-IF(AND(8&gt;=$D$48,INDEX(Season_Flag,Q$113)=1),$D$71,0))</f>
        <v/>
      </c>
      <c r="S166" s="53">
        <f>R166*(1-$D$70)*(1-IF(AND(9&gt;=$D$48,INDEX(Season_Flag,R$113)=1),$D$71,0))</f>
        <v/>
      </c>
      <c r="T166" s="53">
        <f>S166*(1-$D$70)*(1-IF(AND(10&gt;=$D$48,INDEX(Season_Flag,S$113)=1),$D$71,0))</f>
        <v/>
      </c>
      <c r="U166" s="53">
        <f>T166*(1-$D$70)*(1-IF(AND(11&gt;=$D$48,INDEX(Season_Flag,T$113)=1),$D$71,0))</f>
        <v/>
      </c>
      <c r="V166" s="53">
        <f>U166*(1-$D$70)*(1-IF(AND(12&gt;=$D$48,INDEX(Season_Flag,U$113)=1),$D$71,0))</f>
        <v/>
      </c>
      <c r="W166" s="53">
        <f>V166*(1-$D$70)*(1-IF(AND(13&gt;=$D$48,INDEX(Season_Flag,V$113)=1),$D$71,0))</f>
        <v/>
      </c>
      <c r="X166" s="53">
        <f>W166*(1-$D$70)*(1-IF(AND(14&gt;=$D$48,INDEX(Season_Flag,W$113)=1),$D$71,0))</f>
        <v/>
      </c>
      <c r="Y166" s="53">
        <f>X166*(1-$D$70)*(1-IF(AND(15&gt;=$D$48,INDEX(Season_Flag,X$113)=1),$D$71,0))</f>
        <v/>
      </c>
      <c r="Z166" s="53">
        <f>Y166*(1-$D$70)*(1-IF(AND(16&gt;=$D$48,INDEX(Season_Flag,Y$113)=1),$D$71,0))</f>
        <v/>
      </c>
      <c r="AA166" s="53">
        <f>Z166*(1-$D$70)*(1-IF(AND(17&gt;=$D$48,INDEX(Season_Flag,Z$113)=1),$D$71,0))</f>
        <v/>
      </c>
      <c r="AB166" s="53">
        <f>AA166*(1-$D$70)*(1-IF(AND(18&gt;=$D$48,INDEX(Season_Flag,AA$113)=1),$D$71,0))</f>
        <v/>
      </c>
      <c r="AC166" s="53">
        <f>AB166*(1-$D$70)*(1-IF(AND(19&gt;=$D$48,INDEX(Season_Flag,AB$113)=1),$D$71,0))</f>
        <v/>
      </c>
      <c r="AD166" s="53">
        <f>AC166*(1-$D$70)*(1-IF(AND(20&gt;=$D$48,INDEX(Season_Flag,AC$113)=1),$D$71,0))</f>
        <v/>
      </c>
      <c r="AE166" s="53">
        <f>AD166*(1-$D$70)*(1-IF(AND(21&gt;=$D$48,INDEX(Season_Flag,AD$113)=1),$D$71,0))</f>
        <v/>
      </c>
      <c r="AF166" s="53">
        <f>AE166*(1-$D$70)*(1-IF(AND(22&gt;=$D$48,INDEX(Season_Flag,AE$113)=1),$D$71,0))</f>
        <v/>
      </c>
      <c r="AG166" s="53">
        <f>AF166*(1-$D$70)*(1-IF(AND(23&gt;=$D$48,INDEX(Season_Flag,AF$113)=1),$D$71,0))</f>
        <v/>
      </c>
      <c r="AH166" s="53">
        <f>AG166*(1-$D$70)*(1-IF(AND(24&gt;=$D$48,INDEX(Season_Flag,AG$113)=1),$D$71,0))</f>
        <v/>
      </c>
      <c r="AI166" s="53">
        <f>AH166*(1-$D$70)*(1-IF(AND(25&gt;=$D$48,INDEX(Season_Flag,AH$113)=1),$D$71,0))</f>
        <v/>
      </c>
      <c r="AJ166" s="53">
        <f>AI166*(1-$D$70)*(1-IF(AND(26&gt;=$D$48,INDEX(Season_Flag,AI$113)=1),$D$71,0))</f>
        <v/>
      </c>
      <c r="AK166" s="53">
        <f>AJ166*(1-$D$70)*(1-IF(AND(27&gt;=$D$48,INDEX(Season_Flag,AJ$113)=1),$D$71,0))</f>
        <v/>
      </c>
      <c r="AL166" s="53">
        <f>AK166*(1-$D$70)*(1-IF(AND(28&gt;=$D$48,INDEX(Season_Flag,AK$113)=1),$D$71,0))</f>
        <v/>
      </c>
      <c r="AM166" s="53">
        <f>AL166*(1-$D$70)*(1-IF(AND(29&gt;=$D$48,INDEX(Season_Flag,AL$113)=1),$D$71,0))</f>
        <v/>
      </c>
      <c r="AN166" s="53">
        <f>AM166*(1-$D$70)*(1-IF(AND(30&gt;=$D$48,INDEX(Season_Flag,AM$113)=1),$D$71,0))</f>
        <v/>
      </c>
    </row>
    <row r="167">
      <c r="B167" s="7" t="inlineStr">
        <is>
          <t>Cohort signed in month 7</t>
        </is>
      </c>
      <c r="C167" s="5" t="inlineStr">
        <is>
          <t>institutes</t>
        </is>
      </c>
      <c r="K167" s="53">
        <f>K123</f>
        <v/>
      </c>
      <c r="L167" s="53">
        <f>K167*(1-$D$70)*(1-IF(AND(1&gt;=$D$48,INDEX(Season_Flag,K$113)=1),$D$71,0))</f>
        <v/>
      </c>
      <c r="M167" s="53">
        <f>L167*(1-$D$70)*(1-IF(AND(2&gt;=$D$48,INDEX(Season_Flag,L$113)=1),$D$71,0))</f>
        <v/>
      </c>
      <c r="N167" s="53">
        <f>M167*(1-$D$70)*(1-IF(AND(3&gt;=$D$48,INDEX(Season_Flag,M$113)=1),$D$71,0))</f>
        <v/>
      </c>
      <c r="O167" s="53">
        <f>N167*(1-$D$70)*(1-IF(AND(4&gt;=$D$48,INDEX(Season_Flag,N$113)=1),$D$71,0))</f>
        <v/>
      </c>
      <c r="P167" s="53">
        <f>O167*(1-$D$70)*(1-IF(AND(5&gt;=$D$48,INDEX(Season_Flag,O$113)=1),$D$71,0))</f>
        <v/>
      </c>
      <c r="Q167" s="53">
        <f>P167*(1-$D$70)*(1-IF(AND(6&gt;=$D$48,INDEX(Season_Flag,P$113)=1),$D$71,0))</f>
        <v/>
      </c>
      <c r="R167" s="53">
        <f>Q167*(1-$D$70)*(1-IF(AND(7&gt;=$D$48,INDEX(Season_Flag,Q$113)=1),$D$71,0))</f>
        <v/>
      </c>
      <c r="S167" s="53">
        <f>R167*(1-$D$70)*(1-IF(AND(8&gt;=$D$48,INDEX(Season_Flag,R$113)=1),$D$71,0))</f>
        <v/>
      </c>
      <c r="T167" s="53">
        <f>S167*(1-$D$70)*(1-IF(AND(9&gt;=$D$48,INDEX(Season_Flag,S$113)=1),$D$71,0))</f>
        <v/>
      </c>
      <c r="U167" s="53">
        <f>T167*(1-$D$70)*(1-IF(AND(10&gt;=$D$48,INDEX(Season_Flag,T$113)=1),$D$71,0))</f>
        <v/>
      </c>
      <c r="V167" s="53">
        <f>U167*(1-$D$70)*(1-IF(AND(11&gt;=$D$48,INDEX(Season_Flag,U$113)=1),$D$71,0))</f>
        <v/>
      </c>
      <c r="W167" s="53">
        <f>V167*(1-$D$70)*(1-IF(AND(12&gt;=$D$48,INDEX(Season_Flag,V$113)=1),$D$71,0))</f>
        <v/>
      </c>
      <c r="X167" s="53">
        <f>W167*(1-$D$70)*(1-IF(AND(13&gt;=$D$48,INDEX(Season_Flag,W$113)=1),$D$71,0))</f>
        <v/>
      </c>
      <c r="Y167" s="53">
        <f>X167*(1-$D$70)*(1-IF(AND(14&gt;=$D$48,INDEX(Season_Flag,X$113)=1),$D$71,0))</f>
        <v/>
      </c>
      <c r="Z167" s="53">
        <f>Y167*(1-$D$70)*(1-IF(AND(15&gt;=$D$48,INDEX(Season_Flag,Y$113)=1),$D$71,0))</f>
        <v/>
      </c>
      <c r="AA167" s="53">
        <f>Z167*(1-$D$70)*(1-IF(AND(16&gt;=$D$48,INDEX(Season_Flag,Z$113)=1),$D$71,0))</f>
        <v/>
      </c>
      <c r="AB167" s="53">
        <f>AA167*(1-$D$70)*(1-IF(AND(17&gt;=$D$48,INDEX(Season_Flag,AA$113)=1),$D$71,0))</f>
        <v/>
      </c>
      <c r="AC167" s="53">
        <f>AB167*(1-$D$70)*(1-IF(AND(18&gt;=$D$48,INDEX(Season_Flag,AB$113)=1),$D$71,0))</f>
        <v/>
      </c>
      <c r="AD167" s="53">
        <f>AC167*(1-$D$70)*(1-IF(AND(19&gt;=$D$48,INDEX(Season_Flag,AC$113)=1),$D$71,0))</f>
        <v/>
      </c>
      <c r="AE167" s="53">
        <f>AD167*(1-$D$70)*(1-IF(AND(20&gt;=$D$48,INDEX(Season_Flag,AD$113)=1),$D$71,0))</f>
        <v/>
      </c>
      <c r="AF167" s="53">
        <f>AE167*(1-$D$70)*(1-IF(AND(21&gt;=$D$48,INDEX(Season_Flag,AE$113)=1),$D$71,0))</f>
        <v/>
      </c>
      <c r="AG167" s="53">
        <f>AF167*(1-$D$70)*(1-IF(AND(22&gt;=$D$48,INDEX(Season_Flag,AF$113)=1),$D$71,0))</f>
        <v/>
      </c>
      <c r="AH167" s="53">
        <f>AG167*(1-$D$70)*(1-IF(AND(23&gt;=$D$48,INDEX(Season_Flag,AG$113)=1),$D$71,0))</f>
        <v/>
      </c>
      <c r="AI167" s="53">
        <f>AH167*(1-$D$70)*(1-IF(AND(24&gt;=$D$48,INDEX(Season_Flag,AH$113)=1),$D$71,0))</f>
        <v/>
      </c>
      <c r="AJ167" s="53">
        <f>AI167*(1-$D$70)*(1-IF(AND(25&gt;=$D$48,INDEX(Season_Flag,AI$113)=1),$D$71,0))</f>
        <v/>
      </c>
      <c r="AK167" s="53">
        <f>AJ167*(1-$D$70)*(1-IF(AND(26&gt;=$D$48,INDEX(Season_Flag,AJ$113)=1),$D$71,0))</f>
        <v/>
      </c>
      <c r="AL167" s="53">
        <f>AK167*(1-$D$70)*(1-IF(AND(27&gt;=$D$48,INDEX(Season_Flag,AK$113)=1),$D$71,0))</f>
        <v/>
      </c>
      <c r="AM167" s="53">
        <f>AL167*(1-$D$70)*(1-IF(AND(28&gt;=$D$48,INDEX(Season_Flag,AL$113)=1),$D$71,0))</f>
        <v/>
      </c>
      <c r="AN167" s="53">
        <f>AM167*(1-$D$70)*(1-IF(AND(29&gt;=$D$48,INDEX(Season_Flag,AM$113)=1),$D$71,0))</f>
        <v/>
      </c>
    </row>
    <row r="168">
      <c r="B168" s="7" t="inlineStr">
        <is>
          <t>Cohort signed in month 8</t>
        </is>
      </c>
      <c r="C168" s="5" t="inlineStr">
        <is>
          <t>institutes</t>
        </is>
      </c>
      <c r="L168" s="53">
        <f>L123</f>
        <v/>
      </c>
      <c r="M168" s="53">
        <f>L168*(1-$D$70)*(1-IF(AND(1&gt;=$D$48,INDEX(Season_Flag,L$113)=1),$D$71,0))</f>
        <v/>
      </c>
      <c r="N168" s="53">
        <f>M168*(1-$D$70)*(1-IF(AND(2&gt;=$D$48,INDEX(Season_Flag,M$113)=1),$D$71,0))</f>
        <v/>
      </c>
      <c r="O168" s="53">
        <f>N168*(1-$D$70)*(1-IF(AND(3&gt;=$D$48,INDEX(Season_Flag,N$113)=1),$D$71,0))</f>
        <v/>
      </c>
      <c r="P168" s="53">
        <f>O168*(1-$D$70)*(1-IF(AND(4&gt;=$D$48,INDEX(Season_Flag,O$113)=1),$D$71,0))</f>
        <v/>
      </c>
      <c r="Q168" s="53">
        <f>P168*(1-$D$70)*(1-IF(AND(5&gt;=$D$48,INDEX(Season_Flag,P$113)=1),$D$71,0))</f>
        <v/>
      </c>
      <c r="R168" s="53">
        <f>Q168*(1-$D$70)*(1-IF(AND(6&gt;=$D$48,INDEX(Season_Flag,Q$113)=1),$D$71,0))</f>
        <v/>
      </c>
      <c r="S168" s="53">
        <f>R168*(1-$D$70)*(1-IF(AND(7&gt;=$D$48,INDEX(Season_Flag,R$113)=1),$D$71,0))</f>
        <v/>
      </c>
      <c r="T168" s="53">
        <f>S168*(1-$D$70)*(1-IF(AND(8&gt;=$D$48,INDEX(Season_Flag,S$113)=1),$D$71,0))</f>
        <v/>
      </c>
      <c r="U168" s="53">
        <f>T168*(1-$D$70)*(1-IF(AND(9&gt;=$D$48,INDEX(Season_Flag,T$113)=1),$D$71,0))</f>
        <v/>
      </c>
      <c r="V168" s="53">
        <f>U168*(1-$D$70)*(1-IF(AND(10&gt;=$D$48,INDEX(Season_Flag,U$113)=1),$D$71,0))</f>
        <v/>
      </c>
      <c r="W168" s="53">
        <f>V168*(1-$D$70)*(1-IF(AND(11&gt;=$D$48,INDEX(Season_Flag,V$113)=1),$D$71,0))</f>
        <v/>
      </c>
      <c r="X168" s="53">
        <f>W168*(1-$D$70)*(1-IF(AND(12&gt;=$D$48,INDEX(Season_Flag,W$113)=1),$D$71,0))</f>
        <v/>
      </c>
      <c r="Y168" s="53">
        <f>X168*(1-$D$70)*(1-IF(AND(13&gt;=$D$48,INDEX(Season_Flag,X$113)=1),$D$71,0))</f>
        <v/>
      </c>
      <c r="Z168" s="53">
        <f>Y168*(1-$D$70)*(1-IF(AND(14&gt;=$D$48,INDEX(Season_Flag,Y$113)=1),$D$71,0))</f>
        <v/>
      </c>
      <c r="AA168" s="53">
        <f>Z168*(1-$D$70)*(1-IF(AND(15&gt;=$D$48,INDEX(Season_Flag,Z$113)=1),$D$71,0))</f>
        <v/>
      </c>
      <c r="AB168" s="53">
        <f>AA168*(1-$D$70)*(1-IF(AND(16&gt;=$D$48,INDEX(Season_Flag,AA$113)=1),$D$71,0))</f>
        <v/>
      </c>
      <c r="AC168" s="53">
        <f>AB168*(1-$D$70)*(1-IF(AND(17&gt;=$D$48,INDEX(Season_Flag,AB$113)=1),$D$71,0))</f>
        <v/>
      </c>
      <c r="AD168" s="53">
        <f>AC168*(1-$D$70)*(1-IF(AND(18&gt;=$D$48,INDEX(Season_Flag,AC$113)=1),$D$71,0))</f>
        <v/>
      </c>
      <c r="AE168" s="53">
        <f>AD168*(1-$D$70)*(1-IF(AND(19&gt;=$D$48,INDEX(Season_Flag,AD$113)=1),$D$71,0))</f>
        <v/>
      </c>
      <c r="AF168" s="53">
        <f>AE168*(1-$D$70)*(1-IF(AND(20&gt;=$D$48,INDEX(Season_Flag,AE$113)=1),$D$71,0))</f>
        <v/>
      </c>
      <c r="AG168" s="53">
        <f>AF168*(1-$D$70)*(1-IF(AND(21&gt;=$D$48,INDEX(Season_Flag,AF$113)=1),$D$71,0))</f>
        <v/>
      </c>
      <c r="AH168" s="53">
        <f>AG168*(1-$D$70)*(1-IF(AND(22&gt;=$D$48,INDEX(Season_Flag,AG$113)=1),$D$71,0))</f>
        <v/>
      </c>
      <c r="AI168" s="53">
        <f>AH168*(1-$D$70)*(1-IF(AND(23&gt;=$D$48,INDEX(Season_Flag,AH$113)=1),$D$71,0))</f>
        <v/>
      </c>
      <c r="AJ168" s="53">
        <f>AI168*(1-$D$70)*(1-IF(AND(24&gt;=$D$48,INDEX(Season_Flag,AI$113)=1),$D$71,0))</f>
        <v/>
      </c>
      <c r="AK168" s="53">
        <f>AJ168*(1-$D$70)*(1-IF(AND(25&gt;=$D$48,INDEX(Season_Flag,AJ$113)=1),$D$71,0))</f>
        <v/>
      </c>
      <c r="AL168" s="53">
        <f>AK168*(1-$D$70)*(1-IF(AND(26&gt;=$D$48,INDEX(Season_Flag,AK$113)=1),$D$71,0))</f>
        <v/>
      </c>
      <c r="AM168" s="53">
        <f>AL168*(1-$D$70)*(1-IF(AND(27&gt;=$D$48,INDEX(Season_Flag,AL$113)=1),$D$71,0))</f>
        <v/>
      </c>
      <c r="AN168" s="53">
        <f>AM168*(1-$D$70)*(1-IF(AND(28&gt;=$D$48,INDEX(Season_Flag,AM$113)=1),$D$71,0))</f>
        <v/>
      </c>
    </row>
    <row r="169">
      <c r="B169" s="7" t="inlineStr">
        <is>
          <t>Cohort signed in month 9</t>
        </is>
      </c>
      <c r="C169" s="5" t="inlineStr">
        <is>
          <t>institutes</t>
        </is>
      </c>
      <c r="M169" s="53">
        <f>M123</f>
        <v/>
      </c>
      <c r="N169" s="53">
        <f>M169*(1-$D$70)*(1-IF(AND(1&gt;=$D$48,INDEX(Season_Flag,M$113)=1),$D$71,0))</f>
        <v/>
      </c>
      <c r="O169" s="53">
        <f>N169*(1-$D$70)*(1-IF(AND(2&gt;=$D$48,INDEX(Season_Flag,N$113)=1),$D$71,0))</f>
        <v/>
      </c>
      <c r="P169" s="53">
        <f>O169*(1-$D$70)*(1-IF(AND(3&gt;=$D$48,INDEX(Season_Flag,O$113)=1),$D$71,0))</f>
        <v/>
      </c>
      <c r="Q169" s="53">
        <f>P169*(1-$D$70)*(1-IF(AND(4&gt;=$D$48,INDEX(Season_Flag,P$113)=1),$D$71,0))</f>
        <v/>
      </c>
      <c r="R169" s="53">
        <f>Q169*(1-$D$70)*(1-IF(AND(5&gt;=$D$48,INDEX(Season_Flag,Q$113)=1),$D$71,0))</f>
        <v/>
      </c>
      <c r="S169" s="53">
        <f>R169*(1-$D$70)*(1-IF(AND(6&gt;=$D$48,INDEX(Season_Flag,R$113)=1),$D$71,0))</f>
        <v/>
      </c>
      <c r="T169" s="53">
        <f>S169*(1-$D$70)*(1-IF(AND(7&gt;=$D$48,INDEX(Season_Flag,S$113)=1),$D$71,0))</f>
        <v/>
      </c>
      <c r="U169" s="53">
        <f>T169*(1-$D$70)*(1-IF(AND(8&gt;=$D$48,INDEX(Season_Flag,T$113)=1),$D$71,0))</f>
        <v/>
      </c>
      <c r="V169" s="53">
        <f>U169*(1-$D$70)*(1-IF(AND(9&gt;=$D$48,INDEX(Season_Flag,U$113)=1),$D$71,0))</f>
        <v/>
      </c>
      <c r="W169" s="53">
        <f>V169*(1-$D$70)*(1-IF(AND(10&gt;=$D$48,INDEX(Season_Flag,V$113)=1),$D$71,0))</f>
        <v/>
      </c>
      <c r="X169" s="53">
        <f>W169*(1-$D$70)*(1-IF(AND(11&gt;=$D$48,INDEX(Season_Flag,W$113)=1),$D$71,0))</f>
        <v/>
      </c>
      <c r="Y169" s="53">
        <f>X169*(1-$D$70)*(1-IF(AND(12&gt;=$D$48,INDEX(Season_Flag,X$113)=1),$D$71,0))</f>
        <v/>
      </c>
      <c r="Z169" s="53">
        <f>Y169*(1-$D$70)*(1-IF(AND(13&gt;=$D$48,INDEX(Season_Flag,Y$113)=1),$D$71,0))</f>
        <v/>
      </c>
      <c r="AA169" s="53">
        <f>Z169*(1-$D$70)*(1-IF(AND(14&gt;=$D$48,INDEX(Season_Flag,Z$113)=1),$D$71,0))</f>
        <v/>
      </c>
      <c r="AB169" s="53">
        <f>AA169*(1-$D$70)*(1-IF(AND(15&gt;=$D$48,INDEX(Season_Flag,AA$113)=1),$D$71,0))</f>
        <v/>
      </c>
      <c r="AC169" s="53">
        <f>AB169*(1-$D$70)*(1-IF(AND(16&gt;=$D$48,INDEX(Season_Flag,AB$113)=1),$D$71,0))</f>
        <v/>
      </c>
      <c r="AD169" s="53">
        <f>AC169*(1-$D$70)*(1-IF(AND(17&gt;=$D$48,INDEX(Season_Flag,AC$113)=1),$D$71,0))</f>
        <v/>
      </c>
      <c r="AE169" s="53">
        <f>AD169*(1-$D$70)*(1-IF(AND(18&gt;=$D$48,INDEX(Season_Flag,AD$113)=1),$D$71,0))</f>
        <v/>
      </c>
      <c r="AF169" s="53">
        <f>AE169*(1-$D$70)*(1-IF(AND(19&gt;=$D$48,INDEX(Season_Flag,AE$113)=1),$D$71,0))</f>
        <v/>
      </c>
      <c r="AG169" s="53">
        <f>AF169*(1-$D$70)*(1-IF(AND(20&gt;=$D$48,INDEX(Season_Flag,AF$113)=1),$D$71,0))</f>
        <v/>
      </c>
      <c r="AH169" s="53">
        <f>AG169*(1-$D$70)*(1-IF(AND(21&gt;=$D$48,INDEX(Season_Flag,AG$113)=1),$D$71,0))</f>
        <v/>
      </c>
      <c r="AI169" s="53">
        <f>AH169*(1-$D$70)*(1-IF(AND(22&gt;=$D$48,INDEX(Season_Flag,AH$113)=1),$D$71,0))</f>
        <v/>
      </c>
      <c r="AJ169" s="53">
        <f>AI169*(1-$D$70)*(1-IF(AND(23&gt;=$D$48,INDEX(Season_Flag,AI$113)=1),$D$71,0))</f>
        <v/>
      </c>
      <c r="AK169" s="53">
        <f>AJ169*(1-$D$70)*(1-IF(AND(24&gt;=$D$48,INDEX(Season_Flag,AJ$113)=1),$D$71,0))</f>
        <v/>
      </c>
      <c r="AL169" s="53">
        <f>AK169*(1-$D$70)*(1-IF(AND(25&gt;=$D$48,INDEX(Season_Flag,AK$113)=1),$D$71,0))</f>
        <v/>
      </c>
      <c r="AM169" s="53">
        <f>AL169*(1-$D$70)*(1-IF(AND(26&gt;=$D$48,INDEX(Season_Flag,AL$113)=1),$D$71,0))</f>
        <v/>
      </c>
      <c r="AN169" s="53">
        <f>AM169*(1-$D$70)*(1-IF(AND(27&gt;=$D$48,INDEX(Season_Flag,AM$113)=1),$D$71,0))</f>
        <v/>
      </c>
    </row>
    <row r="170">
      <c r="B170" s="7" t="inlineStr">
        <is>
          <t>Cohort signed in month 10</t>
        </is>
      </c>
      <c r="C170" s="5" t="inlineStr">
        <is>
          <t>institutes</t>
        </is>
      </c>
      <c r="N170" s="53">
        <f>N123</f>
        <v/>
      </c>
      <c r="O170" s="53">
        <f>N170*(1-$D$70)*(1-IF(AND(1&gt;=$D$48,INDEX(Season_Flag,N$113)=1),$D$71,0))</f>
        <v/>
      </c>
      <c r="P170" s="53">
        <f>O170*(1-$D$70)*(1-IF(AND(2&gt;=$D$48,INDEX(Season_Flag,O$113)=1),$D$71,0))</f>
        <v/>
      </c>
      <c r="Q170" s="53">
        <f>P170*(1-$D$70)*(1-IF(AND(3&gt;=$D$48,INDEX(Season_Flag,P$113)=1),$D$71,0))</f>
        <v/>
      </c>
      <c r="R170" s="53">
        <f>Q170*(1-$D$70)*(1-IF(AND(4&gt;=$D$48,INDEX(Season_Flag,Q$113)=1),$D$71,0))</f>
        <v/>
      </c>
      <c r="S170" s="53">
        <f>R170*(1-$D$70)*(1-IF(AND(5&gt;=$D$48,INDEX(Season_Flag,R$113)=1),$D$71,0))</f>
        <v/>
      </c>
      <c r="T170" s="53">
        <f>S170*(1-$D$70)*(1-IF(AND(6&gt;=$D$48,INDEX(Season_Flag,S$113)=1),$D$71,0))</f>
        <v/>
      </c>
      <c r="U170" s="53">
        <f>T170*(1-$D$70)*(1-IF(AND(7&gt;=$D$48,INDEX(Season_Flag,T$113)=1),$D$71,0))</f>
        <v/>
      </c>
      <c r="V170" s="53">
        <f>U170*(1-$D$70)*(1-IF(AND(8&gt;=$D$48,INDEX(Season_Flag,U$113)=1),$D$71,0))</f>
        <v/>
      </c>
      <c r="W170" s="53">
        <f>V170*(1-$D$70)*(1-IF(AND(9&gt;=$D$48,INDEX(Season_Flag,V$113)=1),$D$71,0))</f>
        <v/>
      </c>
      <c r="X170" s="53">
        <f>W170*(1-$D$70)*(1-IF(AND(10&gt;=$D$48,INDEX(Season_Flag,W$113)=1),$D$71,0))</f>
        <v/>
      </c>
      <c r="Y170" s="53">
        <f>X170*(1-$D$70)*(1-IF(AND(11&gt;=$D$48,INDEX(Season_Flag,X$113)=1),$D$71,0))</f>
        <v/>
      </c>
      <c r="Z170" s="53">
        <f>Y170*(1-$D$70)*(1-IF(AND(12&gt;=$D$48,INDEX(Season_Flag,Y$113)=1),$D$71,0))</f>
        <v/>
      </c>
      <c r="AA170" s="53">
        <f>Z170*(1-$D$70)*(1-IF(AND(13&gt;=$D$48,INDEX(Season_Flag,Z$113)=1),$D$71,0))</f>
        <v/>
      </c>
      <c r="AB170" s="53">
        <f>AA170*(1-$D$70)*(1-IF(AND(14&gt;=$D$48,INDEX(Season_Flag,AA$113)=1),$D$71,0))</f>
        <v/>
      </c>
      <c r="AC170" s="53">
        <f>AB170*(1-$D$70)*(1-IF(AND(15&gt;=$D$48,INDEX(Season_Flag,AB$113)=1),$D$71,0))</f>
        <v/>
      </c>
      <c r="AD170" s="53">
        <f>AC170*(1-$D$70)*(1-IF(AND(16&gt;=$D$48,INDEX(Season_Flag,AC$113)=1),$D$71,0))</f>
        <v/>
      </c>
      <c r="AE170" s="53">
        <f>AD170*(1-$D$70)*(1-IF(AND(17&gt;=$D$48,INDEX(Season_Flag,AD$113)=1),$D$71,0))</f>
        <v/>
      </c>
      <c r="AF170" s="53">
        <f>AE170*(1-$D$70)*(1-IF(AND(18&gt;=$D$48,INDEX(Season_Flag,AE$113)=1),$D$71,0))</f>
        <v/>
      </c>
      <c r="AG170" s="53">
        <f>AF170*(1-$D$70)*(1-IF(AND(19&gt;=$D$48,INDEX(Season_Flag,AF$113)=1),$D$71,0))</f>
        <v/>
      </c>
      <c r="AH170" s="53">
        <f>AG170*(1-$D$70)*(1-IF(AND(20&gt;=$D$48,INDEX(Season_Flag,AG$113)=1),$D$71,0))</f>
        <v/>
      </c>
      <c r="AI170" s="53">
        <f>AH170*(1-$D$70)*(1-IF(AND(21&gt;=$D$48,INDEX(Season_Flag,AH$113)=1),$D$71,0))</f>
        <v/>
      </c>
      <c r="AJ170" s="53">
        <f>AI170*(1-$D$70)*(1-IF(AND(22&gt;=$D$48,INDEX(Season_Flag,AI$113)=1),$D$71,0))</f>
        <v/>
      </c>
      <c r="AK170" s="53">
        <f>AJ170*(1-$D$70)*(1-IF(AND(23&gt;=$D$48,INDEX(Season_Flag,AJ$113)=1),$D$71,0))</f>
        <v/>
      </c>
      <c r="AL170" s="53">
        <f>AK170*(1-$D$70)*(1-IF(AND(24&gt;=$D$48,INDEX(Season_Flag,AK$113)=1),$D$71,0))</f>
        <v/>
      </c>
      <c r="AM170" s="53">
        <f>AL170*(1-$D$70)*(1-IF(AND(25&gt;=$D$48,INDEX(Season_Flag,AL$113)=1),$D$71,0))</f>
        <v/>
      </c>
      <c r="AN170" s="53">
        <f>AM170*(1-$D$70)*(1-IF(AND(26&gt;=$D$48,INDEX(Season_Flag,AM$113)=1),$D$71,0))</f>
        <v/>
      </c>
    </row>
    <row r="171">
      <c r="B171" s="7" t="inlineStr">
        <is>
          <t>Cohort signed in month 11</t>
        </is>
      </c>
      <c r="C171" s="5" t="inlineStr">
        <is>
          <t>institutes</t>
        </is>
      </c>
      <c r="O171" s="53">
        <f>O123</f>
        <v/>
      </c>
      <c r="P171" s="53">
        <f>O171*(1-$D$70)*(1-IF(AND(1&gt;=$D$48,INDEX(Season_Flag,O$113)=1),$D$71,0))</f>
        <v/>
      </c>
      <c r="Q171" s="53">
        <f>P171*(1-$D$70)*(1-IF(AND(2&gt;=$D$48,INDEX(Season_Flag,P$113)=1),$D$71,0))</f>
        <v/>
      </c>
      <c r="R171" s="53">
        <f>Q171*(1-$D$70)*(1-IF(AND(3&gt;=$D$48,INDEX(Season_Flag,Q$113)=1),$D$71,0))</f>
        <v/>
      </c>
      <c r="S171" s="53">
        <f>R171*(1-$D$70)*(1-IF(AND(4&gt;=$D$48,INDEX(Season_Flag,R$113)=1),$D$71,0))</f>
        <v/>
      </c>
      <c r="T171" s="53">
        <f>S171*(1-$D$70)*(1-IF(AND(5&gt;=$D$48,INDEX(Season_Flag,S$113)=1),$D$71,0))</f>
        <v/>
      </c>
      <c r="U171" s="53">
        <f>T171*(1-$D$70)*(1-IF(AND(6&gt;=$D$48,INDEX(Season_Flag,T$113)=1),$D$71,0))</f>
        <v/>
      </c>
      <c r="V171" s="53">
        <f>U171*(1-$D$70)*(1-IF(AND(7&gt;=$D$48,INDEX(Season_Flag,U$113)=1),$D$71,0))</f>
        <v/>
      </c>
      <c r="W171" s="53">
        <f>V171*(1-$D$70)*(1-IF(AND(8&gt;=$D$48,INDEX(Season_Flag,V$113)=1),$D$71,0))</f>
        <v/>
      </c>
      <c r="X171" s="53">
        <f>W171*(1-$D$70)*(1-IF(AND(9&gt;=$D$48,INDEX(Season_Flag,W$113)=1),$D$71,0))</f>
        <v/>
      </c>
      <c r="Y171" s="53">
        <f>X171*(1-$D$70)*(1-IF(AND(10&gt;=$D$48,INDEX(Season_Flag,X$113)=1),$D$71,0))</f>
        <v/>
      </c>
      <c r="Z171" s="53">
        <f>Y171*(1-$D$70)*(1-IF(AND(11&gt;=$D$48,INDEX(Season_Flag,Y$113)=1),$D$71,0))</f>
        <v/>
      </c>
      <c r="AA171" s="53">
        <f>Z171*(1-$D$70)*(1-IF(AND(12&gt;=$D$48,INDEX(Season_Flag,Z$113)=1),$D$71,0))</f>
        <v/>
      </c>
      <c r="AB171" s="53">
        <f>AA171*(1-$D$70)*(1-IF(AND(13&gt;=$D$48,INDEX(Season_Flag,AA$113)=1),$D$71,0))</f>
        <v/>
      </c>
      <c r="AC171" s="53">
        <f>AB171*(1-$D$70)*(1-IF(AND(14&gt;=$D$48,INDEX(Season_Flag,AB$113)=1),$D$71,0))</f>
        <v/>
      </c>
      <c r="AD171" s="53">
        <f>AC171*(1-$D$70)*(1-IF(AND(15&gt;=$D$48,INDEX(Season_Flag,AC$113)=1),$D$71,0))</f>
        <v/>
      </c>
      <c r="AE171" s="53">
        <f>AD171*(1-$D$70)*(1-IF(AND(16&gt;=$D$48,INDEX(Season_Flag,AD$113)=1),$D$71,0))</f>
        <v/>
      </c>
      <c r="AF171" s="53">
        <f>AE171*(1-$D$70)*(1-IF(AND(17&gt;=$D$48,INDEX(Season_Flag,AE$113)=1),$D$71,0))</f>
        <v/>
      </c>
      <c r="AG171" s="53">
        <f>AF171*(1-$D$70)*(1-IF(AND(18&gt;=$D$48,INDEX(Season_Flag,AF$113)=1),$D$71,0))</f>
        <v/>
      </c>
      <c r="AH171" s="53">
        <f>AG171*(1-$D$70)*(1-IF(AND(19&gt;=$D$48,INDEX(Season_Flag,AG$113)=1),$D$71,0))</f>
        <v/>
      </c>
      <c r="AI171" s="53">
        <f>AH171*(1-$D$70)*(1-IF(AND(20&gt;=$D$48,INDEX(Season_Flag,AH$113)=1),$D$71,0))</f>
        <v/>
      </c>
      <c r="AJ171" s="53">
        <f>AI171*(1-$D$70)*(1-IF(AND(21&gt;=$D$48,INDEX(Season_Flag,AI$113)=1),$D$71,0))</f>
        <v/>
      </c>
      <c r="AK171" s="53">
        <f>AJ171*(1-$D$70)*(1-IF(AND(22&gt;=$D$48,INDEX(Season_Flag,AJ$113)=1),$D$71,0))</f>
        <v/>
      </c>
      <c r="AL171" s="53">
        <f>AK171*(1-$D$70)*(1-IF(AND(23&gt;=$D$48,INDEX(Season_Flag,AK$113)=1),$D$71,0))</f>
        <v/>
      </c>
      <c r="AM171" s="53">
        <f>AL171*(1-$D$70)*(1-IF(AND(24&gt;=$D$48,INDEX(Season_Flag,AL$113)=1),$D$71,0))</f>
        <v/>
      </c>
      <c r="AN171" s="53">
        <f>AM171*(1-$D$70)*(1-IF(AND(25&gt;=$D$48,INDEX(Season_Flag,AM$113)=1),$D$71,0))</f>
        <v/>
      </c>
    </row>
    <row r="172">
      <c r="B172" s="7" t="inlineStr">
        <is>
          <t>Cohort signed in month 12</t>
        </is>
      </c>
      <c r="C172" s="5" t="inlineStr">
        <is>
          <t>institutes</t>
        </is>
      </c>
      <c r="P172" s="53">
        <f>P123</f>
        <v/>
      </c>
      <c r="Q172" s="53">
        <f>P172*(1-$D$70)*(1-IF(AND(1&gt;=$D$48,INDEX(Season_Flag,P$113)=1),$D$71,0))</f>
        <v/>
      </c>
      <c r="R172" s="53">
        <f>Q172*(1-$D$70)*(1-IF(AND(2&gt;=$D$48,INDEX(Season_Flag,Q$113)=1),$D$71,0))</f>
        <v/>
      </c>
      <c r="S172" s="53">
        <f>R172*(1-$D$70)*(1-IF(AND(3&gt;=$D$48,INDEX(Season_Flag,R$113)=1),$D$71,0))</f>
        <v/>
      </c>
      <c r="T172" s="53">
        <f>S172*(1-$D$70)*(1-IF(AND(4&gt;=$D$48,INDEX(Season_Flag,S$113)=1),$D$71,0))</f>
        <v/>
      </c>
      <c r="U172" s="53">
        <f>T172*(1-$D$70)*(1-IF(AND(5&gt;=$D$48,INDEX(Season_Flag,T$113)=1),$D$71,0))</f>
        <v/>
      </c>
      <c r="V172" s="53">
        <f>U172*(1-$D$70)*(1-IF(AND(6&gt;=$D$48,INDEX(Season_Flag,U$113)=1),$D$71,0))</f>
        <v/>
      </c>
      <c r="W172" s="53">
        <f>V172*(1-$D$70)*(1-IF(AND(7&gt;=$D$48,INDEX(Season_Flag,V$113)=1),$D$71,0))</f>
        <v/>
      </c>
      <c r="X172" s="53">
        <f>W172*(1-$D$70)*(1-IF(AND(8&gt;=$D$48,INDEX(Season_Flag,W$113)=1),$D$71,0))</f>
        <v/>
      </c>
      <c r="Y172" s="53">
        <f>X172*(1-$D$70)*(1-IF(AND(9&gt;=$D$48,INDEX(Season_Flag,X$113)=1),$D$71,0))</f>
        <v/>
      </c>
      <c r="Z172" s="53">
        <f>Y172*(1-$D$70)*(1-IF(AND(10&gt;=$D$48,INDEX(Season_Flag,Y$113)=1),$D$71,0))</f>
        <v/>
      </c>
      <c r="AA172" s="53">
        <f>Z172*(1-$D$70)*(1-IF(AND(11&gt;=$D$48,INDEX(Season_Flag,Z$113)=1),$D$71,0))</f>
        <v/>
      </c>
      <c r="AB172" s="53">
        <f>AA172*(1-$D$70)*(1-IF(AND(12&gt;=$D$48,INDEX(Season_Flag,AA$113)=1),$D$71,0))</f>
        <v/>
      </c>
      <c r="AC172" s="53">
        <f>AB172*(1-$D$70)*(1-IF(AND(13&gt;=$D$48,INDEX(Season_Flag,AB$113)=1),$D$71,0))</f>
        <v/>
      </c>
      <c r="AD172" s="53">
        <f>AC172*(1-$D$70)*(1-IF(AND(14&gt;=$D$48,INDEX(Season_Flag,AC$113)=1),$D$71,0))</f>
        <v/>
      </c>
      <c r="AE172" s="53">
        <f>AD172*(1-$D$70)*(1-IF(AND(15&gt;=$D$48,INDEX(Season_Flag,AD$113)=1),$D$71,0))</f>
        <v/>
      </c>
      <c r="AF172" s="53">
        <f>AE172*(1-$D$70)*(1-IF(AND(16&gt;=$D$48,INDEX(Season_Flag,AE$113)=1),$D$71,0))</f>
        <v/>
      </c>
      <c r="AG172" s="53">
        <f>AF172*(1-$D$70)*(1-IF(AND(17&gt;=$D$48,INDEX(Season_Flag,AF$113)=1),$D$71,0))</f>
        <v/>
      </c>
      <c r="AH172" s="53">
        <f>AG172*(1-$D$70)*(1-IF(AND(18&gt;=$D$48,INDEX(Season_Flag,AG$113)=1),$D$71,0))</f>
        <v/>
      </c>
      <c r="AI172" s="53">
        <f>AH172*(1-$D$70)*(1-IF(AND(19&gt;=$D$48,INDEX(Season_Flag,AH$113)=1),$D$71,0))</f>
        <v/>
      </c>
      <c r="AJ172" s="53">
        <f>AI172*(1-$D$70)*(1-IF(AND(20&gt;=$D$48,INDEX(Season_Flag,AI$113)=1),$D$71,0))</f>
        <v/>
      </c>
      <c r="AK172" s="53">
        <f>AJ172*(1-$D$70)*(1-IF(AND(21&gt;=$D$48,INDEX(Season_Flag,AJ$113)=1),$D$71,0))</f>
        <v/>
      </c>
      <c r="AL172" s="53">
        <f>AK172*(1-$D$70)*(1-IF(AND(22&gt;=$D$48,INDEX(Season_Flag,AK$113)=1),$D$71,0))</f>
        <v/>
      </c>
      <c r="AM172" s="53">
        <f>AL172*(1-$D$70)*(1-IF(AND(23&gt;=$D$48,INDEX(Season_Flag,AL$113)=1),$D$71,0))</f>
        <v/>
      </c>
      <c r="AN172" s="53">
        <f>AM172*(1-$D$70)*(1-IF(AND(24&gt;=$D$48,INDEX(Season_Flag,AM$113)=1),$D$71,0))</f>
        <v/>
      </c>
    </row>
    <row r="173">
      <c r="B173" s="7" t="inlineStr">
        <is>
          <t>Cohort signed in month 13</t>
        </is>
      </c>
      <c r="C173" s="5" t="inlineStr">
        <is>
          <t>institutes</t>
        </is>
      </c>
      <c r="Q173" s="53">
        <f>Q123</f>
        <v/>
      </c>
      <c r="R173" s="53">
        <f>Q173*(1-$D$70)*(1-IF(AND(1&gt;=$D$48,INDEX(Season_Flag,Q$113)=1),$D$71,0))</f>
        <v/>
      </c>
      <c r="S173" s="53">
        <f>R173*(1-$D$70)*(1-IF(AND(2&gt;=$D$48,INDEX(Season_Flag,R$113)=1),$D$71,0))</f>
        <v/>
      </c>
      <c r="T173" s="53">
        <f>S173*(1-$D$70)*(1-IF(AND(3&gt;=$D$48,INDEX(Season_Flag,S$113)=1),$D$71,0))</f>
        <v/>
      </c>
      <c r="U173" s="53">
        <f>T173*(1-$D$70)*(1-IF(AND(4&gt;=$D$48,INDEX(Season_Flag,T$113)=1),$D$71,0))</f>
        <v/>
      </c>
      <c r="V173" s="53">
        <f>U173*(1-$D$70)*(1-IF(AND(5&gt;=$D$48,INDEX(Season_Flag,U$113)=1),$D$71,0))</f>
        <v/>
      </c>
      <c r="W173" s="53">
        <f>V173*(1-$D$70)*(1-IF(AND(6&gt;=$D$48,INDEX(Season_Flag,V$113)=1),$D$71,0))</f>
        <v/>
      </c>
      <c r="X173" s="53">
        <f>W173*(1-$D$70)*(1-IF(AND(7&gt;=$D$48,INDEX(Season_Flag,W$113)=1),$D$71,0))</f>
        <v/>
      </c>
      <c r="Y173" s="53">
        <f>X173*(1-$D$70)*(1-IF(AND(8&gt;=$D$48,INDEX(Season_Flag,X$113)=1),$D$71,0))</f>
        <v/>
      </c>
      <c r="Z173" s="53">
        <f>Y173*(1-$D$70)*(1-IF(AND(9&gt;=$D$48,INDEX(Season_Flag,Y$113)=1),$D$71,0))</f>
        <v/>
      </c>
      <c r="AA173" s="53">
        <f>Z173*(1-$D$70)*(1-IF(AND(10&gt;=$D$48,INDEX(Season_Flag,Z$113)=1),$D$71,0))</f>
        <v/>
      </c>
      <c r="AB173" s="53">
        <f>AA173*(1-$D$70)*(1-IF(AND(11&gt;=$D$48,INDEX(Season_Flag,AA$113)=1),$D$71,0))</f>
        <v/>
      </c>
      <c r="AC173" s="53">
        <f>AB173*(1-$D$70)*(1-IF(AND(12&gt;=$D$48,INDEX(Season_Flag,AB$113)=1),$D$71,0))</f>
        <v/>
      </c>
      <c r="AD173" s="53">
        <f>AC173*(1-$D$70)*(1-IF(AND(13&gt;=$D$48,INDEX(Season_Flag,AC$113)=1),$D$71,0))</f>
        <v/>
      </c>
      <c r="AE173" s="53">
        <f>AD173*(1-$D$70)*(1-IF(AND(14&gt;=$D$48,INDEX(Season_Flag,AD$113)=1),$D$71,0))</f>
        <v/>
      </c>
      <c r="AF173" s="53">
        <f>AE173*(1-$D$70)*(1-IF(AND(15&gt;=$D$48,INDEX(Season_Flag,AE$113)=1),$D$71,0))</f>
        <v/>
      </c>
      <c r="AG173" s="53">
        <f>AF173*(1-$D$70)*(1-IF(AND(16&gt;=$D$48,INDEX(Season_Flag,AF$113)=1),$D$71,0))</f>
        <v/>
      </c>
      <c r="AH173" s="53">
        <f>AG173*(1-$D$70)*(1-IF(AND(17&gt;=$D$48,INDEX(Season_Flag,AG$113)=1),$D$71,0))</f>
        <v/>
      </c>
      <c r="AI173" s="53">
        <f>AH173*(1-$D$70)*(1-IF(AND(18&gt;=$D$48,INDEX(Season_Flag,AH$113)=1),$D$71,0))</f>
        <v/>
      </c>
      <c r="AJ173" s="53">
        <f>AI173*(1-$D$70)*(1-IF(AND(19&gt;=$D$48,INDEX(Season_Flag,AI$113)=1),$D$71,0))</f>
        <v/>
      </c>
      <c r="AK173" s="53">
        <f>AJ173*(1-$D$70)*(1-IF(AND(20&gt;=$D$48,INDEX(Season_Flag,AJ$113)=1),$D$71,0))</f>
        <v/>
      </c>
      <c r="AL173" s="53">
        <f>AK173*(1-$D$70)*(1-IF(AND(21&gt;=$D$48,INDEX(Season_Flag,AK$113)=1),$D$71,0))</f>
        <v/>
      </c>
      <c r="AM173" s="53">
        <f>AL173*(1-$D$70)*(1-IF(AND(22&gt;=$D$48,INDEX(Season_Flag,AL$113)=1),$D$71,0))</f>
        <v/>
      </c>
      <c r="AN173" s="53">
        <f>AM173*(1-$D$70)*(1-IF(AND(23&gt;=$D$48,INDEX(Season_Flag,AM$113)=1),$D$71,0))</f>
        <v/>
      </c>
    </row>
    <row r="174">
      <c r="B174" s="7" t="inlineStr">
        <is>
          <t>Cohort signed in month 14</t>
        </is>
      </c>
      <c r="C174" s="5" t="inlineStr">
        <is>
          <t>institutes</t>
        </is>
      </c>
      <c r="R174" s="53">
        <f>R123</f>
        <v/>
      </c>
      <c r="S174" s="53">
        <f>R174*(1-$D$70)*(1-IF(AND(1&gt;=$D$48,INDEX(Season_Flag,R$113)=1),$D$71,0))</f>
        <v/>
      </c>
      <c r="T174" s="53">
        <f>S174*(1-$D$70)*(1-IF(AND(2&gt;=$D$48,INDEX(Season_Flag,S$113)=1),$D$71,0))</f>
        <v/>
      </c>
      <c r="U174" s="53">
        <f>T174*(1-$D$70)*(1-IF(AND(3&gt;=$D$48,INDEX(Season_Flag,T$113)=1),$D$71,0))</f>
        <v/>
      </c>
      <c r="V174" s="53">
        <f>U174*(1-$D$70)*(1-IF(AND(4&gt;=$D$48,INDEX(Season_Flag,U$113)=1),$D$71,0))</f>
        <v/>
      </c>
      <c r="W174" s="53">
        <f>V174*(1-$D$70)*(1-IF(AND(5&gt;=$D$48,INDEX(Season_Flag,V$113)=1),$D$71,0))</f>
        <v/>
      </c>
      <c r="X174" s="53">
        <f>W174*(1-$D$70)*(1-IF(AND(6&gt;=$D$48,INDEX(Season_Flag,W$113)=1),$D$71,0))</f>
        <v/>
      </c>
      <c r="Y174" s="53">
        <f>X174*(1-$D$70)*(1-IF(AND(7&gt;=$D$48,INDEX(Season_Flag,X$113)=1),$D$71,0))</f>
        <v/>
      </c>
      <c r="Z174" s="53">
        <f>Y174*(1-$D$70)*(1-IF(AND(8&gt;=$D$48,INDEX(Season_Flag,Y$113)=1),$D$71,0))</f>
        <v/>
      </c>
      <c r="AA174" s="53">
        <f>Z174*(1-$D$70)*(1-IF(AND(9&gt;=$D$48,INDEX(Season_Flag,Z$113)=1),$D$71,0))</f>
        <v/>
      </c>
      <c r="AB174" s="53">
        <f>AA174*(1-$D$70)*(1-IF(AND(10&gt;=$D$48,INDEX(Season_Flag,AA$113)=1),$D$71,0))</f>
        <v/>
      </c>
      <c r="AC174" s="53">
        <f>AB174*(1-$D$70)*(1-IF(AND(11&gt;=$D$48,INDEX(Season_Flag,AB$113)=1),$D$71,0))</f>
        <v/>
      </c>
      <c r="AD174" s="53">
        <f>AC174*(1-$D$70)*(1-IF(AND(12&gt;=$D$48,INDEX(Season_Flag,AC$113)=1),$D$71,0))</f>
        <v/>
      </c>
      <c r="AE174" s="53">
        <f>AD174*(1-$D$70)*(1-IF(AND(13&gt;=$D$48,INDEX(Season_Flag,AD$113)=1),$D$71,0))</f>
        <v/>
      </c>
      <c r="AF174" s="53">
        <f>AE174*(1-$D$70)*(1-IF(AND(14&gt;=$D$48,INDEX(Season_Flag,AE$113)=1),$D$71,0))</f>
        <v/>
      </c>
      <c r="AG174" s="53">
        <f>AF174*(1-$D$70)*(1-IF(AND(15&gt;=$D$48,INDEX(Season_Flag,AF$113)=1),$D$71,0))</f>
        <v/>
      </c>
      <c r="AH174" s="53">
        <f>AG174*(1-$D$70)*(1-IF(AND(16&gt;=$D$48,INDEX(Season_Flag,AG$113)=1),$D$71,0))</f>
        <v/>
      </c>
      <c r="AI174" s="53">
        <f>AH174*(1-$D$70)*(1-IF(AND(17&gt;=$D$48,INDEX(Season_Flag,AH$113)=1),$D$71,0))</f>
        <v/>
      </c>
      <c r="AJ174" s="53">
        <f>AI174*(1-$D$70)*(1-IF(AND(18&gt;=$D$48,INDEX(Season_Flag,AI$113)=1),$D$71,0))</f>
        <v/>
      </c>
      <c r="AK174" s="53">
        <f>AJ174*(1-$D$70)*(1-IF(AND(19&gt;=$D$48,INDEX(Season_Flag,AJ$113)=1),$D$71,0))</f>
        <v/>
      </c>
      <c r="AL174" s="53">
        <f>AK174*(1-$D$70)*(1-IF(AND(20&gt;=$D$48,INDEX(Season_Flag,AK$113)=1),$D$71,0))</f>
        <v/>
      </c>
      <c r="AM174" s="53">
        <f>AL174*(1-$D$70)*(1-IF(AND(21&gt;=$D$48,INDEX(Season_Flag,AL$113)=1),$D$71,0))</f>
        <v/>
      </c>
      <c r="AN174" s="53">
        <f>AM174*(1-$D$70)*(1-IF(AND(22&gt;=$D$48,INDEX(Season_Flag,AM$113)=1),$D$71,0))</f>
        <v/>
      </c>
    </row>
    <row r="175">
      <c r="B175" s="7" t="inlineStr">
        <is>
          <t>Cohort signed in month 15</t>
        </is>
      </c>
      <c r="C175" s="5" t="inlineStr">
        <is>
          <t>institutes</t>
        </is>
      </c>
      <c r="S175" s="53">
        <f>S123</f>
        <v/>
      </c>
      <c r="T175" s="53">
        <f>S175*(1-$D$70)*(1-IF(AND(1&gt;=$D$48,INDEX(Season_Flag,S$113)=1),$D$71,0))</f>
        <v/>
      </c>
      <c r="U175" s="53">
        <f>T175*(1-$D$70)*(1-IF(AND(2&gt;=$D$48,INDEX(Season_Flag,T$113)=1),$D$71,0))</f>
        <v/>
      </c>
      <c r="V175" s="53">
        <f>U175*(1-$D$70)*(1-IF(AND(3&gt;=$D$48,INDEX(Season_Flag,U$113)=1),$D$71,0))</f>
        <v/>
      </c>
      <c r="W175" s="53">
        <f>V175*(1-$D$70)*(1-IF(AND(4&gt;=$D$48,INDEX(Season_Flag,V$113)=1),$D$71,0))</f>
        <v/>
      </c>
      <c r="X175" s="53">
        <f>W175*(1-$D$70)*(1-IF(AND(5&gt;=$D$48,INDEX(Season_Flag,W$113)=1),$D$71,0))</f>
        <v/>
      </c>
      <c r="Y175" s="53">
        <f>X175*(1-$D$70)*(1-IF(AND(6&gt;=$D$48,INDEX(Season_Flag,X$113)=1),$D$71,0))</f>
        <v/>
      </c>
      <c r="Z175" s="53">
        <f>Y175*(1-$D$70)*(1-IF(AND(7&gt;=$D$48,INDEX(Season_Flag,Y$113)=1),$D$71,0))</f>
        <v/>
      </c>
      <c r="AA175" s="53">
        <f>Z175*(1-$D$70)*(1-IF(AND(8&gt;=$D$48,INDEX(Season_Flag,Z$113)=1),$D$71,0))</f>
        <v/>
      </c>
      <c r="AB175" s="53">
        <f>AA175*(1-$D$70)*(1-IF(AND(9&gt;=$D$48,INDEX(Season_Flag,AA$113)=1),$D$71,0))</f>
        <v/>
      </c>
      <c r="AC175" s="53">
        <f>AB175*(1-$D$70)*(1-IF(AND(10&gt;=$D$48,INDEX(Season_Flag,AB$113)=1),$D$71,0))</f>
        <v/>
      </c>
      <c r="AD175" s="53">
        <f>AC175*(1-$D$70)*(1-IF(AND(11&gt;=$D$48,INDEX(Season_Flag,AC$113)=1),$D$71,0))</f>
        <v/>
      </c>
      <c r="AE175" s="53">
        <f>AD175*(1-$D$70)*(1-IF(AND(12&gt;=$D$48,INDEX(Season_Flag,AD$113)=1),$D$71,0))</f>
        <v/>
      </c>
      <c r="AF175" s="53">
        <f>AE175*(1-$D$70)*(1-IF(AND(13&gt;=$D$48,INDEX(Season_Flag,AE$113)=1),$D$71,0))</f>
        <v/>
      </c>
      <c r="AG175" s="53">
        <f>AF175*(1-$D$70)*(1-IF(AND(14&gt;=$D$48,INDEX(Season_Flag,AF$113)=1),$D$71,0))</f>
        <v/>
      </c>
      <c r="AH175" s="53">
        <f>AG175*(1-$D$70)*(1-IF(AND(15&gt;=$D$48,INDEX(Season_Flag,AG$113)=1),$D$71,0))</f>
        <v/>
      </c>
      <c r="AI175" s="53">
        <f>AH175*(1-$D$70)*(1-IF(AND(16&gt;=$D$48,INDEX(Season_Flag,AH$113)=1),$D$71,0))</f>
        <v/>
      </c>
      <c r="AJ175" s="53">
        <f>AI175*(1-$D$70)*(1-IF(AND(17&gt;=$D$48,INDEX(Season_Flag,AI$113)=1),$D$71,0))</f>
        <v/>
      </c>
      <c r="AK175" s="53">
        <f>AJ175*(1-$D$70)*(1-IF(AND(18&gt;=$D$48,INDEX(Season_Flag,AJ$113)=1),$D$71,0))</f>
        <v/>
      </c>
      <c r="AL175" s="53">
        <f>AK175*(1-$D$70)*(1-IF(AND(19&gt;=$D$48,INDEX(Season_Flag,AK$113)=1),$D$71,0))</f>
        <v/>
      </c>
      <c r="AM175" s="53">
        <f>AL175*(1-$D$70)*(1-IF(AND(20&gt;=$D$48,INDEX(Season_Flag,AL$113)=1),$D$71,0))</f>
        <v/>
      </c>
      <c r="AN175" s="53">
        <f>AM175*(1-$D$70)*(1-IF(AND(21&gt;=$D$48,INDEX(Season_Flag,AM$113)=1),$D$71,0))</f>
        <v/>
      </c>
    </row>
    <row r="176">
      <c r="B176" s="7" t="inlineStr">
        <is>
          <t>Cohort signed in month 16</t>
        </is>
      </c>
      <c r="C176" s="5" t="inlineStr">
        <is>
          <t>institutes</t>
        </is>
      </c>
      <c r="T176" s="53">
        <f>T123</f>
        <v/>
      </c>
      <c r="U176" s="53">
        <f>T176*(1-$D$70)*(1-IF(AND(1&gt;=$D$48,INDEX(Season_Flag,T$113)=1),$D$71,0))</f>
        <v/>
      </c>
      <c r="V176" s="53">
        <f>U176*(1-$D$70)*(1-IF(AND(2&gt;=$D$48,INDEX(Season_Flag,U$113)=1),$D$71,0))</f>
        <v/>
      </c>
      <c r="W176" s="53">
        <f>V176*(1-$D$70)*(1-IF(AND(3&gt;=$D$48,INDEX(Season_Flag,V$113)=1),$D$71,0))</f>
        <v/>
      </c>
      <c r="X176" s="53">
        <f>W176*(1-$D$70)*(1-IF(AND(4&gt;=$D$48,INDEX(Season_Flag,W$113)=1),$D$71,0))</f>
        <v/>
      </c>
      <c r="Y176" s="53">
        <f>X176*(1-$D$70)*(1-IF(AND(5&gt;=$D$48,INDEX(Season_Flag,X$113)=1),$D$71,0))</f>
        <v/>
      </c>
      <c r="Z176" s="53">
        <f>Y176*(1-$D$70)*(1-IF(AND(6&gt;=$D$48,INDEX(Season_Flag,Y$113)=1),$D$71,0))</f>
        <v/>
      </c>
      <c r="AA176" s="53">
        <f>Z176*(1-$D$70)*(1-IF(AND(7&gt;=$D$48,INDEX(Season_Flag,Z$113)=1),$D$71,0))</f>
        <v/>
      </c>
      <c r="AB176" s="53">
        <f>AA176*(1-$D$70)*(1-IF(AND(8&gt;=$D$48,INDEX(Season_Flag,AA$113)=1),$D$71,0))</f>
        <v/>
      </c>
      <c r="AC176" s="53">
        <f>AB176*(1-$D$70)*(1-IF(AND(9&gt;=$D$48,INDEX(Season_Flag,AB$113)=1),$D$71,0))</f>
        <v/>
      </c>
      <c r="AD176" s="53">
        <f>AC176*(1-$D$70)*(1-IF(AND(10&gt;=$D$48,INDEX(Season_Flag,AC$113)=1),$D$71,0))</f>
        <v/>
      </c>
      <c r="AE176" s="53">
        <f>AD176*(1-$D$70)*(1-IF(AND(11&gt;=$D$48,INDEX(Season_Flag,AD$113)=1),$D$71,0))</f>
        <v/>
      </c>
      <c r="AF176" s="53">
        <f>AE176*(1-$D$70)*(1-IF(AND(12&gt;=$D$48,INDEX(Season_Flag,AE$113)=1),$D$71,0))</f>
        <v/>
      </c>
      <c r="AG176" s="53">
        <f>AF176*(1-$D$70)*(1-IF(AND(13&gt;=$D$48,INDEX(Season_Flag,AF$113)=1),$D$71,0))</f>
        <v/>
      </c>
      <c r="AH176" s="53">
        <f>AG176*(1-$D$70)*(1-IF(AND(14&gt;=$D$48,INDEX(Season_Flag,AG$113)=1),$D$71,0))</f>
        <v/>
      </c>
      <c r="AI176" s="53">
        <f>AH176*(1-$D$70)*(1-IF(AND(15&gt;=$D$48,INDEX(Season_Flag,AH$113)=1),$D$71,0))</f>
        <v/>
      </c>
      <c r="AJ176" s="53">
        <f>AI176*(1-$D$70)*(1-IF(AND(16&gt;=$D$48,INDEX(Season_Flag,AI$113)=1),$D$71,0))</f>
        <v/>
      </c>
      <c r="AK176" s="53">
        <f>AJ176*(1-$D$70)*(1-IF(AND(17&gt;=$D$48,INDEX(Season_Flag,AJ$113)=1),$D$71,0))</f>
        <v/>
      </c>
      <c r="AL176" s="53">
        <f>AK176*(1-$D$70)*(1-IF(AND(18&gt;=$D$48,INDEX(Season_Flag,AK$113)=1),$D$71,0))</f>
        <v/>
      </c>
      <c r="AM176" s="53">
        <f>AL176*(1-$D$70)*(1-IF(AND(19&gt;=$D$48,INDEX(Season_Flag,AL$113)=1),$D$71,0))</f>
        <v/>
      </c>
      <c r="AN176" s="53">
        <f>AM176*(1-$D$70)*(1-IF(AND(20&gt;=$D$48,INDEX(Season_Flag,AM$113)=1),$D$71,0))</f>
        <v/>
      </c>
    </row>
    <row r="177">
      <c r="B177" s="7" t="inlineStr">
        <is>
          <t>Cohort signed in month 17</t>
        </is>
      </c>
      <c r="C177" s="5" t="inlineStr">
        <is>
          <t>institutes</t>
        </is>
      </c>
      <c r="U177" s="53">
        <f>U123</f>
        <v/>
      </c>
      <c r="V177" s="53">
        <f>U177*(1-$D$70)*(1-IF(AND(1&gt;=$D$48,INDEX(Season_Flag,U$113)=1),$D$71,0))</f>
        <v/>
      </c>
      <c r="W177" s="53">
        <f>V177*(1-$D$70)*(1-IF(AND(2&gt;=$D$48,INDEX(Season_Flag,V$113)=1),$D$71,0))</f>
        <v/>
      </c>
      <c r="X177" s="53">
        <f>W177*(1-$D$70)*(1-IF(AND(3&gt;=$D$48,INDEX(Season_Flag,W$113)=1),$D$71,0))</f>
        <v/>
      </c>
      <c r="Y177" s="53">
        <f>X177*(1-$D$70)*(1-IF(AND(4&gt;=$D$48,INDEX(Season_Flag,X$113)=1),$D$71,0))</f>
        <v/>
      </c>
      <c r="Z177" s="53">
        <f>Y177*(1-$D$70)*(1-IF(AND(5&gt;=$D$48,INDEX(Season_Flag,Y$113)=1),$D$71,0))</f>
        <v/>
      </c>
      <c r="AA177" s="53">
        <f>Z177*(1-$D$70)*(1-IF(AND(6&gt;=$D$48,INDEX(Season_Flag,Z$113)=1),$D$71,0))</f>
        <v/>
      </c>
      <c r="AB177" s="53">
        <f>AA177*(1-$D$70)*(1-IF(AND(7&gt;=$D$48,INDEX(Season_Flag,AA$113)=1),$D$71,0))</f>
        <v/>
      </c>
      <c r="AC177" s="53">
        <f>AB177*(1-$D$70)*(1-IF(AND(8&gt;=$D$48,INDEX(Season_Flag,AB$113)=1),$D$71,0))</f>
        <v/>
      </c>
      <c r="AD177" s="53">
        <f>AC177*(1-$D$70)*(1-IF(AND(9&gt;=$D$48,INDEX(Season_Flag,AC$113)=1),$D$71,0))</f>
        <v/>
      </c>
      <c r="AE177" s="53">
        <f>AD177*(1-$D$70)*(1-IF(AND(10&gt;=$D$48,INDEX(Season_Flag,AD$113)=1),$D$71,0))</f>
        <v/>
      </c>
      <c r="AF177" s="53">
        <f>AE177*(1-$D$70)*(1-IF(AND(11&gt;=$D$48,INDEX(Season_Flag,AE$113)=1),$D$71,0))</f>
        <v/>
      </c>
      <c r="AG177" s="53">
        <f>AF177*(1-$D$70)*(1-IF(AND(12&gt;=$D$48,INDEX(Season_Flag,AF$113)=1),$D$71,0))</f>
        <v/>
      </c>
      <c r="AH177" s="53">
        <f>AG177*(1-$D$70)*(1-IF(AND(13&gt;=$D$48,INDEX(Season_Flag,AG$113)=1),$D$71,0))</f>
        <v/>
      </c>
      <c r="AI177" s="53">
        <f>AH177*(1-$D$70)*(1-IF(AND(14&gt;=$D$48,INDEX(Season_Flag,AH$113)=1),$D$71,0))</f>
        <v/>
      </c>
      <c r="AJ177" s="53">
        <f>AI177*(1-$D$70)*(1-IF(AND(15&gt;=$D$48,INDEX(Season_Flag,AI$113)=1),$D$71,0))</f>
        <v/>
      </c>
      <c r="AK177" s="53">
        <f>AJ177*(1-$D$70)*(1-IF(AND(16&gt;=$D$48,INDEX(Season_Flag,AJ$113)=1),$D$71,0))</f>
        <v/>
      </c>
      <c r="AL177" s="53">
        <f>AK177*(1-$D$70)*(1-IF(AND(17&gt;=$D$48,INDEX(Season_Flag,AK$113)=1),$D$71,0))</f>
        <v/>
      </c>
      <c r="AM177" s="53">
        <f>AL177*(1-$D$70)*(1-IF(AND(18&gt;=$D$48,INDEX(Season_Flag,AL$113)=1),$D$71,0))</f>
        <v/>
      </c>
      <c r="AN177" s="53">
        <f>AM177*(1-$D$70)*(1-IF(AND(19&gt;=$D$48,INDEX(Season_Flag,AM$113)=1),$D$71,0))</f>
        <v/>
      </c>
    </row>
    <row r="178">
      <c r="B178" s="7" t="inlineStr">
        <is>
          <t>Cohort signed in month 18</t>
        </is>
      </c>
      <c r="C178" s="5" t="inlineStr">
        <is>
          <t>institutes</t>
        </is>
      </c>
      <c r="V178" s="53">
        <f>V123</f>
        <v/>
      </c>
      <c r="W178" s="53">
        <f>V178*(1-$D$70)*(1-IF(AND(1&gt;=$D$48,INDEX(Season_Flag,V$113)=1),$D$71,0))</f>
        <v/>
      </c>
      <c r="X178" s="53">
        <f>W178*(1-$D$70)*(1-IF(AND(2&gt;=$D$48,INDEX(Season_Flag,W$113)=1),$D$71,0))</f>
        <v/>
      </c>
      <c r="Y178" s="53">
        <f>X178*(1-$D$70)*(1-IF(AND(3&gt;=$D$48,INDEX(Season_Flag,X$113)=1),$D$71,0))</f>
        <v/>
      </c>
      <c r="Z178" s="53">
        <f>Y178*(1-$D$70)*(1-IF(AND(4&gt;=$D$48,INDEX(Season_Flag,Y$113)=1),$D$71,0))</f>
        <v/>
      </c>
      <c r="AA178" s="53">
        <f>Z178*(1-$D$70)*(1-IF(AND(5&gt;=$D$48,INDEX(Season_Flag,Z$113)=1),$D$71,0))</f>
        <v/>
      </c>
      <c r="AB178" s="53">
        <f>AA178*(1-$D$70)*(1-IF(AND(6&gt;=$D$48,INDEX(Season_Flag,AA$113)=1),$D$71,0))</f>
        <v/>
      </c>
      <c r="AC178" s="53">
        <f>AB178*(1-$D$70)*(1-IF(AND(7&gt;=$D$48,INDEX(Season_Flag,AB$113)=1),$D$71,0))</f>
        <v/>
      </c>
      <c r="AD178" s="53">
        <f>AC178*(1-$D$70)*(1-IF(AND(8&gt;=$D$48,INDEX(Season_Flag,AC$113)=1),$D$71,0))</f>
        <v/>
      </c>
      <c r="AE178" s="53">
        <f>AD178*(1-$D$70)*(1-IF(AND(9&gt;=$D$48,INDEX(Season_Flag,AD$113)=1),$D$71,0))</f>
        <v/>
      </c>
      <c r="AF178" s="53">
        <f>AE178*(1-$D$70)*(1-IF(AND(10&gt;=$D$48,INDEX(Season_Flag,AE$113)=1),$D$71,0))</f>
        <v/>
      </c>
      <c r="AG178" s="53">
        <f>AF178*(1-$D$70)*(1-IF(AND(11&gt;=$D$48,INDEX(Season_Flag,AF$113)=1),$D$71,0))</f>
        <v/>
      </c>
      <c r="AH178" s="53">
        <f>AG178*(1-$D$70)*(1-IF(AND(12&gt;=$D$48,INDEX(Season_Flag,AG$113)=1),$D$71,0))</f>
        <v/>
      </c>
      <c r="AI178" s="53">
        <f>AH178*(1-$D$70)*(1-IF(AND(13&gt;=$D$48,INDEX(Season_Flag,AH$113)=1),$D$71,0))</f>
        <v/>
      </c>
      <c r="AJ178" s="53">
        <f>AI178*(1-$D$70)*(1-IF(AND(14&gt;=$D$48,INDEX(Season_Flag,AI$113)=1),$D$71,0))</f>
        <v/>
      </c>
      <c r="AK178" s="53">
        <f>AJ178*(1-$D$70)*(1-IF(AND(15&gt;=$D$48,INDEX(Season_Flag,AJ$113)=1),$D$71,0))</f>
        <v/>
      </c>
      <c r="AL178" s="53">
        <f>AK178*(1-$D$70)*(1-IF(AND(16&gt;=$D$48,INDEX(Season_Flag,AK$113)=1),$D$71,0))</f>
        <v/>
      </c>
      <c r="AM178" s="53">
        <f>AL178*(1-$D$70)*(1-IF(AND(17&gt;=$D$48,INDEX(Season_Flag,AL$113)=1),$D$71,0))</f>
        <v/>
      </c>
      <c r="AN178" s="53">
        <f>AM178*(1-$D$70)*(1-IF(AND(18&gt;=$D$48,INDEX(Season_Flag,AM$113)=1),$D$71,0))</f>
        <v/>
      </c>
    </row>
    <row r="179">
      <c r="B179" s="7" t="inlineStr">
        <is>
          <t>Cohort signed in month 19</t>
        </is>
      </c>
      <c r="C179" s="5" t="inlineStr">
        <is>
          <t>institutes</t>
        </is>
      </c>
      <c r="W179" s="53">
        <f>W123</f>
        <v/>
      </c>
      <c r="X179" s="53">
        <f>W179*(1-$D$70)*(1-IF(AND(1&gt;=$D$48,INDEX(Season_Flag,W$113)=1),$D$71,0))</f>
        <v/>
      </c>
      <c r="Y179" s="53">
        <f>X179*(1-$D$70)*(1-IF(AND(2&gt;=$D$48,INDEX(Season_Flag,X$113)=1),$D$71,0))</f>
        <v/>
      </c>
      <c r="Z179" s="53">
        <f>Y179*(1-$D$70)*(1-IF(AND(3&gt;=$D$48,INDEX(Season_Flag,Y$113)=1),$D$71,0))</f>
        <v/>
      </c>
      <c r="AA179" s="53">
        <f>Z179*(1-$D$70)*(1-IF(AND(4&gt;=$D$48,INDEX(Season_Flag,Z$113)=1),$D$71,0))</f>
        <v/>
      </c>
      <c r="AB179" s="53">
        <f>AA179*(1-$D$70)*(1-IF(AND(5&gt;=$D$48,INDEX(Season_Flag,AA$113)=1),$D$71,0))</f>
        <v/>
      </c>
      <c r="AC179" s="53">
        <f>AB179*(1-$D$70)*(1-IF(AND(6&gt;=$D$48,INDEX(Season_Flag,AB$113)=1),$D$71,0))</f>
        <v/>
      </c>
      <c r="AD179" s="53">
        <f>AC179*(1-$D$70)*(1-IF(AND(7&gt;=$D$48,INDEX(Season_Flag,AC$113)=1),$D$71,0))</f>
        <v/>
      </c>
      <c r="AE179" s="53">
        <f>AD179*(1-$D$70)*(1-IF(AND(8&gt;=$D$48,INDEX(Season_Flag,AD$113)=1),$D$71,0))</f>
        <v/>
      </c>
      <c r="AF179" s="53">
        <f>AE179*(1-$D$70)*(1-IF(AND(9&gt;=$D$48,INDEX(Season_Flag,AE$113)=1),$D$71,0))</f>
        <v/>
      </c>
      <c r="AG179" s="53">
        <f>AF179*(1-$D$70)*(1-IF(AND(10&gt;=$D$48,INDEX(Season_Flag,AF$113)=1),$D$71,0))</f>
        <v/>
      </c>
      <c r="AH179" s="53">
        <f>AG179*(1-$D$70)*(1-IF(AND(11&gt;=$D$48,INDEX(Season_Flag,AG$113)=1),$D$71,0))</f>
        <v/>
      </c>
      <c r="AI179" s="53">
        <f>AH179*(1-$D$70)*(1-IF(AND(12&gt;=$D$48,INDEX(Season_Flag,AH$113)=1),$D$71,0))</f>
        <v/>
      </c>
      <c r="AJ179" s="53">
        <f>AI179*(1-$D$70)*(1-IF(AND(13&gt;=$D$48,INDEX(Season_Flag,AI$113)=1),$D$71,0))</f>
        <v/>
      </c>
      <c r="AK179" s="53">
        <f>AJ179*(1-$D$70)*(1-IF(AND(14&gt;=$D$48,INDEX(Season_Flag,AJ$113)=1),$D$71,0))</f>
        <v/>
      </c>
      <c r="AL179" s="53">
        <f>AK179*(1-$D$70)*(1-IF(AND(15&gt;=$D$48,INDEX(Season_Flag,AK$113)=1),$D$71,0))</f>
        <v/>
      </c>
      <c r="AM179" s="53">
        <f>AL179*(1-$D$70)*(1-IF(AND(16&gt;=$D$48,INDEX(Season_Flag,AL$113)=1),$D$71,0))</f>
        <v/>
      </c>
      <c r="AN179" s="53">
        <f>AM179*(1-$D$70)*(1-IF(AND(17&gt;=$D$48,INDEX(Season_Flag,AM$113)=1),$D$71,0))</f>
        <v/>
      </c>
    </row>
    <row r="180">
      <c r="B180" s="7" t="inlineStr">
        <is>
          <t>Cohort signed in month 20</t>
        </is>
      </c>
      <c r="C180" s="5" t="inlineStr">
        <is>
          <t>institutes</t>
        </is>
      </c>
      <c r="X180" s="53">
        <f>X123</f>
        <v/>
      </c>
      <c r="Y180" s="53">
        <f>X180*(1-$D$70)*(1-IF(AND(1&gt;=$D$48,INDEX(Season_Flag,X$113)=1),$D$71,0))</f>
        <v/>
      </c>
      <c r="Z180" s="53">
        <f>Y180*(1-$D$70)*(1-IF(AND(2&gt;=$D$48,INDEX(Season_Flag,Y$113)=1),$D$71,0))</f>
        <v/>
      </c>
      <c r="AA180" s="53">
        <f>Z180*(1-$D$70)*(1-IF(AND(3&gt;=$D$48,INDEX(Season_Flag,Z$113)=1),$D$71,0))</f>
        <v/>
      </c>
      <c r="AB180" s="53">
        <f>AA180*(1-$D$70)*(1-IF(AND(4&gt;=$D$48,INDEX(Season_Flag,AA$113)=1),$D$71,0))</f>
        <v/>
      </c>
      <c r="AC180" s="53">
        <f>AB180*(1-$D$70)*(1-IF(AND(5&gt;=$D$48,INDEX(Season_Flag,AB$113)=1),$D$71,0))</f>
        <v/>
      </c>
      <c r="AD180" s="53">
        <f>AC180*(1-$D$70)*(1-IF(AND(6&gt;=$D$48,INDEX(Season_Flag,AC$113)=1),$D$71,0))</f>
        <v/>
      </c>
      <c r="AE180" s="53">
        <f>AD180*(1-$D$70)*(1-IF(AND(7&gt;=$D$48,INDEX(Season_Flag,AD$113)=1),$D$71,0))</f>
        <v/>
      </c>
      <c r="AF180" s="53">
        <f>AE180*(1-$D$70)*(1-IF(AND(8&gt;=$D$48,INDEX(Season_Flag,AE$113)=1),$D$71,0))</f>
        <v/>
      </c>
      <c r="AG180" s="53">
        <f>AF180*(1-$D$70)*(1-IF(AND(9&gt;=$D$48,INDEX(Season_Flag,AF$113)=1),$D$71,0))</f>
        <v/>
      </c>
      <c r="AH180" s="53">
        <f>AG180*(1-$D$70)*(1-IF(AND(10&gt;=$D$48,INDEX(Season_Flag,AG$113)=1),$D$71,0))</f>
        <v/>
      </c>
      <c r="AI180" s="53">
        <f>AH180*(1-$D$70)*(1-IF(AND(11&gt;=$D$48,INDEX(Season_Flag,AH$113)=1),$D$71,0))</f>
        <v/>
      </c>
      <c r="AJ180" s="53">
        <f>AI180*(1-$D$70)*(1-IF(AND(12&gt;=$D$48,INDEX(Season_Flag,AI$113)=1),$D$71,0))</f>
        <v/>
      </c>
      <c r="AK180" s="53">
        <f>AJ180*(1-$D$70)*(1-IF(AND(13&gt;=$D$48,INDEX(Season_Flag,AJ$113)=1),$D$71,0))</f>
        <v/>
      </c>
      <c r="AL180" s="53">
        <f>AK180*(1-$D$70)*(1-IF(AND(14&gt;=$D$48,INDEX(Season_Flag,AK$113)=1),$D$71,0))</f>
        <v/>
      </c>
      <c r="AM180" s="53">
        <f>AL180*(1-$D$70)*(1-IF(AND(15&gt;=$D$48,INDEX(Season_Flag,AL$113)=1),$D$71,0))</f>
        <v/>
      </c>
      <c r="AN180" s="53">
        <f>AM180*(1-$D$70)*(1-IF(AND(16&gt;=$D$48,INDEX(Season_Flag,AM$113)=1),$D$71,0))</f>
        <v/>
      </c>
    </row>
    <row r="181">
      <c r="B181" s="7" t="inlineStr">
        <is>
          <t>Cohort signed in month 21</t>
        </is>
      </c>
      <c r="C181" s="5" t="inlineStr">
        <is>
          <t>institutes</t>
        </is>
      </c>
      <c r="Y181" s="53">
        <f>Y123</f>
        <v/>
      </c>
      <c r="Z181" s="53">
        <f>Y181*(1-$D$70)*(1-IF(AND(1&gt;=$D$48,INDEX(Season_Flag,Y$113)=1),$D$71,0))</f>
        <v/>
      </c>
      <c r="AA181" s="53">
        <f>Z181*(1-$D$70)*(1-IF(AND(2&gt;=$D$48,INDEX(Season_Flag,Z$113)=1),$D$71,0))</f>
        <v/>
      </c>
      <c r="AB181" s="53">
        <f>AA181*(1-$D$70)*(1-IF(AND(3&gt;=$D$48,INDEX(Season_Flag,AA$113)=1),$D$71,0))</f>
        <v/>
      </c>
      <c r="AC181" s="53">
        <f>AB181*(1-$D$70)*(1-IF(AND(4&gt;=$D$48,INDEX(Season_Flag,AB$113)=1),$D$71,0))</f>
        <v/>
      </c>
      <c r="AD181" s="53">
        <f>AC181*(1-$D$70)*(1-IF(AND(5&gt;=$D$48,INDEX(Season_Flag,AC$113)=1),$D$71,0))</f>
        <v/>
      </c>
      <c r="AE181" s="53">
        <f>AD181*(1-$D$70)*(1-IF(AND(6&gt;=$D$48,INDEX(Season_Flag,AD$113)=1),$D$71,0))</f>
        <v/>
      </c>
      <c r="AF181" s="53">
        <f>AE181*(1-$D$70)*(1-IF(AND(7&gt;=$D$48,INDEX(Season_Flag,AE$113)=1),$D$71,0))</f>
        <v/>
      </c>
      <c r="AG181" s="53">
        <f>AF181*(1-$D$70)*(1-IF(AND(8&gt;=$D$48,INDEX(Season_Flag,AF$113)=1),$D$71,0))</f>
        <v/>
      </c>
      <c r="AH181" s="53">
        <f>AG181*(1-$D$70)*(1-IF(AND(9&gt;=$D$48,INDEX(Season_Flag,AG$113)=1),$D$71,0))</f>
        <v/>
      </c>
      <c r="AI181" s="53">
        <f>AH181*(1-$D$70)*(1-IF(AND(10&gt;=$D$48,INDEX(Season_Flag,AH$113)=1),$D$71,0))</f>
        <v/>
      </c>
      <c r="AJ181" s="53">
        <f>AI181*(1-$D$70)*(1-IF(AND(11&gt;=$D$48,INDEX(Season_Flag,AI$113)=1),$D$71,0))</f>
        <v/>
      </c>
      <c r="AK181" s="53">
        <f>AJ181*(1-$D$70)*(1-IF(AND(12&gt;=$D$48,INDEX(Season_Flag,AJ$113)=1),$D$71,0))</f>
        <v/>
      </c>
      <c r="AL181" s="53">
        <f>AK181*(1-$D$70)*(1-IF(AND(13&gt;=$D$48,INDEX(Season_Flag,AK$113)=1),$D$71,0))</f>
        <v/>
      </c>
      <c r="AM181" s="53">
        <f>AL181*(1-$D$70)*(1-IF(AND(14&gt;=$D$48,INDEX(Season_Flag,AL$113)=1),$D$71,0))</f>
        <v/>
      </c>
      <c r="AN181" s="53">
        <f>AM181*(1-$D$70)*(1-IF(AND(15&gt;=$D$48,INDEX(Season_Flag,AM$113)=1),$D$71,0))</f>
        <v/>
      </c>
    </row>
    <row r="182">
      <c r="B182" s="7" t="inlineStr">
        <is>
          <t>Cohort signed in month 22</t>
        </is>
      </c>
      <c r="C182" s="5" t="inlineStr">
        <is>
          <t>institutes</t>
        </is>
      </c>
      <c r="Z182" s="53">
        <f>Z123</f>
        <v/>
      </c>
      <c r="AA182" s="53">
        <f>Z182*(1-$D$70)*(1-IF(AND(1&gt;=$D$48,INDEX(Season_Flag,Z$113)=1),$D$71,0))</f>
        <v/>
      </c>
      <c r="AB182" s="53">
        <f>AA182*(1-$D$70)*(1-IF(AND(2&gt;=$D$48,INDEX(Season_Flag,AA$113)=1),$D$71,0))</f>
        <v/>
      </c>
      <c r="AC182" s="53">
        <f>AB182*(1-$D$70)*(1-IF(AND(3&gt;=$D$48,INDEX(Season_Flag,AB$113)=1),$D$71,0))</f>
        <v/>
      </c>
      <c r="AD182" s="53">
        <f>AC182*(1-$D$70)*(1-IF(AND(4&gt;=$D$48,INDEX(Season_Flag,AC$113)=1),$D$71,0))</f>
        <v/>
      </c>
      <c r="AE182" s="53">
        <f>AD182*(1-$D$70)*(1-IF(AND(5&gt;=$D$48,INDEX(Season_Flag,AD$113)=1),$D$71,0))</f>
        <v/>
      </c>
      <c r="AF182" s="53">
        <f>AE182*(1-$D$70)*(1-IF(AND(6&gt;=$D$48,INDEX(Season_Flag,AE$113)=1),$D$71,0))</f>
        <v/>
      </c>
      <c r="AG182" s="53">
        <f>AF182*(1-$D$70)*(1-IF(AND(7&gt;=$D$48,INDEX(Season_Flag,AF$113)=1),$D$71,0))</f>
        <v/>
      </c>
      <c r="AH182" s="53">
        <f>AG182*(1-$D$70)*(1-IF(AND(8&gt;=$D$48,INDEX(Season_Flag,AG$113)=1),$D$71,0))</f>
        <v/>
      </c>
      <c r="AI182" s="53">
        <f>AH182*(1-$D$70)*(1-IF(AND(9&gt;=$D$48,INDEX(Season_Flag,AH$113)=1),$D$71,0))</f>
        <v/>
      </c>
      <c r="AJ182" s="53">
        <f>AI182*(1-$D$70)*(1-IF(AND(10&gt;=$D$48,INDEX(Season_Flag,AI$113)=1),$D$71,0))</f>
        <v/>
      </c>
      <c r="AK182" s="53">
        <f>AJ182*(1-$D$70)*(1-IF(AND(11&gt;=$D$48,INDEX(Season_Flag,AJ$113)=1),$D$71,0))</f>
        <v/>
      </c>
      <c r="AL182" s="53">
        <f>AK182*(1-$D$70)*(1-IF(AND(12&gt;=$D$48,INDEX(Season_Flag,AK$113)=1),$D$71,0))</f>
        <v/>
      </c>
      <c r="AM182" s="53">
        <f>AL182*(1-$D$70)*(1-IF(AND(13&gt;=$D$48,INDEX(Season_Flag,AL$113)=1),$D$71,0))</f>
        <v/>
      </c>
      <c r="AN182" s="53">
        <f>AM182*(1-$D$70)*(1-IF(AND(14&gt;=$D$48,INDEX(Season_Flag,AM$113)=1),$D$71,0))</f>
        <v/>
      </c>
    </row>
    <row r="183">
      <c r="B183" s="7" t="inlineStr">
        <is>
          <t>Cohort signed in month 23</t>
        </is>
      </c>
      <c r="C183" s="5" t="inlineStr">
        <is>
          <t>institutes</t>
        </is>
      </c>
      <c r="AA183" s="53">
        <f>AA123</f>
        <v/>
      </c>
      <c r="AB183" s="53">
        <f>AA183*(1-$D$70)*(1-IF(AND(1&gt;=$D$48,INDEX(Season_Flag,AA$113)=1),$D$71,0))</f>
        <v/>
      </c>
      <c r="AC183" s="53">
        <f>AB183*(1-$D$70)*(1-IF(AND(2&gt;=$D$48,INDEX(Season_Flag,AB$113)=1),$D$71,0))</f>
        <v/>
      </c>
      <c r="AD183" s="53">
        <f>AC183*(1-$D$70)*(1-IF(AND(3&gt;=$D$48,INDEX(Season_Flag,AC$113)=1),$D$71,0))</f>
        <v/>
      </c>
      <c r="AE183" s="53">
        <f>AD183*(1-$D$70)*(1-IF(AND(4&gt;=$D$48,INDEX(Season_Flag,AD$113)=1),$D$71,0))</f>
        <v/>
      </c>
      <c r="AF183" s="53">
        <f>AE183*(1-$D$70)*(1-IF(AND(5&gt;=$D$48,INDEX(Season_Flag,AE$113)=1),$D$71,0))</f>
        <v/>
      </c>
      <c r="AG183" s="53">
        <f>AF183*(1-$D$70)*(1-IF(AND(6&gt;=$D$48,INDEX(Season_Flag,AF$113)=1),$D$71,0))</f>
        <v/>
      </c>
      <c r="AH183" s="53">
        <f>AG183*(1-$D$70)*(1-IF(AND(7&gt;=$D$48,INDEX(Season_Flag,AG$113)=1),$D$71,0))</f>
        <v/>
      </c>
      <c r="AI183" s="53">
        <f>AH183*(1-$D$70)*(1-IF(AND(8&gt;=$D$48,INDEX(Season_Flag,AH$113)=1),$D$71,0))</f>
        <v/>
      </c>
      <c r="AJ183" s="53">
        <f>AI183*(1-$D$70)*(1-IF(AND(9&gt;=$D$48,INDEX(Season_Flag,AI$113)=1),$D$71,0))</f>
        <v/>
      </c>
      <c r="AK183" s="53">
        <f>AJ183*(1-$D$70)*(1-IF(AND(10&gt;=$D$48,INDEX(Season_Flag,AJ$113)=1),$D$71,0))</f>
        <v/>
      </c>
      <c r="AL183" s="53">
        <f>AK183*(1-$D$70)*(1-IF(AND(11&gt;=$D$48,INDEX(Season_Flag,AK$113)=1),$D$71,0))</f>
        <v/>
      </c>
      <c r="AM183" s="53">
        <f>AL183*(1-$D$70)*(1-IF(AND(12&gt;=$D$48,INDEX(Season_Flag,AL$113)=1),$D$71,0))</f>
        <v/>
      </c>
      <c r="AN183" s="53">
        <f>AM183*(1-$D$70)*(1-IF(AND(13&gt;=$D$48,INDEX(Season_Flag,AM$113)=1),$D$71,0))</f>
        <v/>
      </c>
    </row>
    <row r="184">
      <c r="B184" s="7" t="inlineStr">
        <is>
          <t>Cohort signed in month 24</t>
        </is>
      </c>
      <c r="C184" s="5" t="inlineStr">
        <is>
          <t>institutes</t>
        </is>
      </c>
      <c r="AB184" s="53">
        <f>AB123</f>
        <v/>
      </c>
      <c r="AC184" s="53">
        <f>AB184*(1-$D$70)*(1-IF(AND(1&gt;=$D$48,INDEX(Season_Flag,AB$113)=1),$D$71,0))</f>
        <v/>
      </c>
      <c r="AD184" s="53">
        <f>AC184*(1-$D$70)*(1-IF(AND(2&gt;=$D$48,INDEX(Season_Flag,AC$113)=1),$D$71,0))</f>
        <v/>
      </c>
      <c r="AE184" s="53">
        <f>AD184*(1-$D$70)*(1-IF(AND(3&gt;=$D$48,INDEX(Season_Flag,AD$113)=1),$D$71,0))</f>
        <v/>
      </c>
      <c r="AF184" s="53">
        <f>AE184*(1-$D$70)*(1-IF(AND(4&gt;=$D$48,INDEX(Season_Flag,AE$113)=1),$D$71,0))</f>
        <v/>
      </c>
      <c r="AG184" s="53">
        <f>AF184*(1-$D$70)*(1-IF(AND(5&gt;=$D$48,INDEX(Season_Flag,AF$113)=1),$D$71,0))</f>
        <v/>
      </c>
      <c r="AH184" s="53">
        <f>AG184*(1-$D$70)*(1-IF(AND(6&gt;=$D$48,INDEX(Season_Flag,AG$113)=1),$D$71,0))</f>
        <v/>
      </c>
      <c r="AI184" s="53">
        <f>AH184*(1-$D$70)*(1-IF(AND(7&gt;=$D$48,INDEX(Season_Flag,AH$113)=1),$D$71,0))</f>
        <v/>
      </c>
      <c r="AJ184" s="53">
        <f>AI184*(1-$D$70)*(1-IF(AND(8&gt;=$D$48,INDEX(Season_Flag,AI$113)=1),$D$71,0))</f>
        <v/>
      </c>
      <c r="AK184" s="53">
        <f>AJ184*(1-$D$70)*(1-IF(AND(9&gt;=$D$48,INDEX(Season_Flag,AJ$113)=1),$D$71,0))</f>
        <v/>
      </c>
      <c r="AL184" s="53">
        <f>AK184*(1-$D$70)*(1-IF(AND(10&gt;=$D$48,INDEX(Season_Flag,AK$113)=1),$D$71,0))</f>
        <v/>
      </c>
      <c r="AM184" s="53">
        <f>AL184*(1-$D$70)*(1-IF(AND(11&gt;=$D$48,INDEX(Season_Flag,AL$113)=1),$D$71,0))</f>
        <v/>
      </c>
      <c r="AN184" s="53">
        <f>AM184*(1-$D$70)*(1-IF(AND(12&gt;=$D$48,INDEX(Season_Flag,AM$113)=1),$D$71,0))</f>
        <v/>
      </c>
    </row>
    <row r="185">
      <c r="B185" s="7" t="inlineStr">
        <is>
          <t>Cohort signed in month 25</t>
        </is>
      </c>
      <c r="C185" s="5" t="inlineStr">
        <is>
          <t>institutes</t>
        </is>
      </c>
      <c r="AC185" s="53">
        <f>AC123</f>
        <v/>
      </c>
      <c r="AD185" s="53">
        <f>AC185*(1-$D$70)*(1-IF(AND(1&gt;=$D$48,INDEX(Season_Flag,AC$113)=1),$D$71,0))</f>
        <v/>
      </c>
      <c r="AE185" s="53">
        <f>AD185*(1-$D$70)*(1-IF(AND(2&gt;=$D$48,INDEX(Season_Flag,AD$113)=1),$D$71,0))</f>
        <v/>
      </c>
      <c r="AF185" s="53">
        <f>AE185*(1-$D$70)*(1-IF(AND(3&gt;=$D$48,INDEX(Season_Flag,AE$113)=1),$D$71,0))</f>
        <v/>
      </c>
      <c r="AG185" s="53">
        <f>AF185*(1-$D$70)*(1-IF(AND(4&gt;=$D$48,INDEX(Season_Flag,AF$113)=1),$D$71,0))</f>
        <v/>
      </c>
      <c r="AH185" s="53">
        <f>AG185*(1-$D$70)*(1-IF(AND(5&gt;=$D$48,INDEX(Season_Flag,AG$113)=1),$D$71,0))</f>
        <v/>
      </c>
      <c r="AI185" s="53">
        <f>AH185*(1-$D$70)*(1-IF(AND(6&gt;=$D$48,INDEX(Season_Flag,AH$113)=1),$D$71,0))</f>
        <v/>
      </c>
      <c r="AJ185" s="53">
        <f>AI185*(1-$D$70)*(1-IF(AND(7&gt;=$D$48,INDEX(Season_Flag,AI$113)=1),$D$71,0))</f>
        <v/>
      </c>
      <c r="AK185" s="53">
        <f>AJ185*(1-$D$70)*(1-IF(AND(8&gt;=$D$48,INDEX(Season_Flag,AJ$113)=1),$D$71,0))</f>
        <v/>
      </c>
      <c r="AL185" s="53">
        <f>AK185*(1-$D$70)*(1-IF(AND(9&gt;=$D$48,INDEX(Season_Flag,AK$113)=1),$D$71,0))</f>
        <v/>
      </c>
      <c r="AM185" s="53">
        <f>AL185*(1-$D$70)*(1-IF(AND(10&gt;=$D$48,INDEX(Season_Flag,AL$113)=1),$D$71,0))</f>
        <v/>
      </c>
      <c r="AN185" s="53">
        <f>AM185*(1-$D$70)*(1-IF(AND(11&gt;=$D$48,INDEX(Season_Flag,AM$113)=1),$D$71,0))</f>
        <v/>
      </c>
    </row>
    <row r="186">
      <c r="B186" s="7" t="inlineStr">
        <is>
          <t>Cohort signed in month 26</t>
        </is>
      </c>
      <c r="C186" s="5" t="inlineStr">
        <is>
          <t>institutes</t>
        </is>
      </c>
      <c r="AD186" s="53">
        <f>AD123</f>
        <v/>
      </c>
      <c r="AE186" s="53">
        <f>AD186*(1-$D$70)*(1-IF(AND(1&gt;=$D$48,INDEX(Season_Flag,AD$113)=1),$D$71,0))</f>
        <v/>
      </c>
      <c r="AF186" s="53">
        <f>AE186*(1-$D$70)*(1-IF(AND(2&gt;=$D$48,INDEX(Season_Flag,AE$113)=1),$D$71,0))</f>
        <v/>
      </c>
      <c r="AG186" s="53">
        <f>AF186*(1-$D$70)*(1-IF(AND(3&gt;=$D$48,INDEX(Season_Flag,AF$113)=1),$D$71,0))</f>
        <v/>
      </c>
      <c r="AH186" s="53">
        <f>AG186*(1-$D$70)*(1-IF(AND(4&gt;=$D$48,INDEX(Season_Flag,AG$113)=1),$D$71,0))</f>
        <v/>
      </c>
      <c r="AI186" s="53">
        <f>AH186*(1-$D$70)*(1-IF(AND(5&gt;=$D$48,INDEX(Season_Flag,AH$113)=1),$D$71,0))</f>
        <v/>
      </c>
      <c r="AJ186" s="53">
        <f>AI186*(1-$D$70)*(1-IF(AND(6&gt;=$D$48,INDEX(Season_Flag,AI$113)=1),$D$71,0))</f>
        <v/>
      </c>
      <c r="AK186" s="53">
        <f>AJ186*(1-$D$70)*(1-IF(AND(7&gt;=$D$48,INDEX(Season_Flag,AJ$113)=1),$D$71,0))</f>
        <v/>
      </c>
      <c r="AL186" s="53">
        <f>AK186*(1-$D$70)*(1-IF(AND(8&gt;=$D$48,INDEX(Season_Flag,AK$113)=1),$D$71,0))</f>
        <v/>
      </c>
      <c r="AM186" s="53">
        <f>AL186*(1-$D$70)*(1-IF(AND(9&gt;=$D$48,INDEX(Season_Flag,AL$113)=1),$D$71,0))</f>
        <v/>
      </c>
      <c r="AN186" s="53">
        <f>AM186*(1-$D$70)*(1-IF(AND(10&gt;=$D$48,INDEX(Season_Flag,AM$113)=1),$D$71,0))</f>
        <v/>
      </c>
    </row>
    <row r="187">
      <c r="B187" s="7" t="inlineStr">
        <is>
          <t>Cohort signed in month 27</t>
        </is>
      </c>
      <c r="C187" s="5" t="inlineStr">
        <is>
          <t>institutes</t>
        </is>
      </c>
      <c r="AE187" s="53">
        <f>AE123</f>
        <v/>
      </c>
      <c r="AF187" s="53">
        <f>AE187*(1-$D$70)*(1-IF(AND(1&gt;=$D$48,INDEX(Season_Flag,AE$113)=1),$D$71,0))</f>
        <v/>
      </c>
      <c r="AG187" s="53">
        <f>AF187*(1-$D$70)*(1-IF(AND(2&gt;=$D$48,INDEX(Season_Flag,AF$113)=1),$D$71,0))</f>
        <v/>
      </c>
      <c r="AH187" s="53">
        <f>AG187*(1-$D$70)*(1-IF(AND(3&gt;=$D$48,INDEX(Season_Flag,AG$113)=1),$D$71,0))</f>
        <v/>
      </c>
      <c r="AI187" s="53">
        <f>AH187*(1-$D$70)*(1-IF(AND(4&gt;=$D$48,INDEX(Season_Flag,AH$113)=1),$D$71,0))</f>
        <v/>
      </c>
      <c r="AJ187" s="53">
        <f>AI187*(1-$D$70)*(1-IF(AND(5&gt;=$D$48,INDEX(Season_Flag,AI$113)=1),$D$71,0))</f>
        <v/>
      </c>
      <c r="AK187" s="53">
        <f>AJ187*(1-$D$70)*(1-IF(AND(6&gt;=$D$48,INDEX(Season_Flag,AJ$113)=1),$D$71,0))</f>
        <v/>
      </c>
      <c r="AL187" s="53">
        <f>AK187*(1-$D$70)*(1-IF(AND(7&gt;=$D$48,INDEX(Season_Flag,AK$113)=1),$D$71,0))</f>
        <v/>
      </c>
      <c r="AM187" s="53">
        <f>AL187*(1-$D$70)*(1-IF(AND(8&gt;=$D$48,INDEX(Season_Flag,AL$113)=1),$D$71,0))</f>
        <v/>
      </c>
      <c r="AN187" s="53">
        <f>AM187*(1-$D$70)*(1-IF(AND(9&gt;=$D$48,INDEX(Season_Flag,AM$113)=1),$D$71,0))</f>
        <v/>
      </c>
    </row>
    <row r="188">
      <c r="B188" s="7" t="inlineStr">
        <is>
          <t>Cohort signed in month 28</t>
        </is>
      </c>
      <c r="C188" s="5" t="inlineStr">
        <is>
          <t>institutes</t>
        </is>
      </c>
      <c r="AF188" s="53">
        <f>AF123</f>
        <v/>
      </c>
      <c r="AG188" s="53">
        <f>AF188*(1-$D$70)*(1-IF(AND(1&gt;=$D$48,INDEX(Season_Flag,AF$113)=1),$D$71,0))</f>
        <v/>
      </c>
      <c r="AH188" s="53">
        <f>AG188*(1-$D$70)*(1-IF(AND(2&gt;=$D$48,INDEX(Season_Flag,AG$113)=1),$D$71,0))</f>
        <v/>
      </c>
      <c r="AI188" s="53">
        <f>AH188*(1-$D$70)*(1-IF(AND(3&gt;=$D$48,INDEX(Season_Flag,AH$113)=1),$D$71,0))</f>
        <v/>
      </c>
      <c r="AJ188" s="53">
        <f>AI188*(1-$D$70)*(1-IF(AND(4&gt;=$D$48,INDEX(Season_Flag,AI$113)=1),$D$71,0))</f>
        <v/>
      </c>
      <c r="AK188" s="53">
        <f>AJ188*(1-$D$70)*(1-IF(AND(5&gt;=$D$48,INDEX(Season_Flag,AJ$113)=1),$D$71,0))</f>
        <v/>
      </c>
      <c r="AL188" s="53">
        <f>AK188*(1-$D$70)*(1-IF(AND(6&gt;=$D$48,INDEX(Season_Flag,AK$113)=1),$D$71,0))</f>
        <v/>
      </c>
      <c r="AM188" s="53">
        <f>AL188*(1-$D$70)*(1-IF(AND(7&gt;=$D$48,INDEX(Season_Flag,AL$113)=1),$D$71,0))</f>
        <v/>
      </c>
      <c r="AN188" s="53">
        <f>AM188*(1-$D$70)*(1-IF(AND(8&gt;=$D$48,INDEX(Season_Flag,AM$113)=1),$D$71,0))</f>
        <v/>
      </c>
    </row>
    <row r="189">
      <c r="B189" s="7" t="inlineStr">
        <is>
          <t>Cohort signed in month 29</t>
        </is>
      </c>
      <c r="C189" s="5" t="inlineStr">
        <is>
          <t>institutes</t>
        </is>
      </c>
      <c r="AG189" s="53">
        <f>AG123</f>
        <v/>
      </c>
      <c r="AH189" s="53">
        <f>AG189*(1-$D$70)*(1-IF(AND(1&gt;=$D$48,INDEX(Season_Flag,AG$113)=1),$D$71,0))</f>
        <v/>
      </c>
      <c r="AI189" s="53">
        <f>AH189*(1-$D$70)*(1-IF(AND(2&gt;=$D$48,INDEX(Season_Flag,AH$113)=1),$D$71,0))</f>
        <v/>
      </c>
      <c r="AJ189" s="53">
        <f>AI189*(1-$D$70)*(1-IF(AND(3&gt;=$D$48,INDEX(Season_Flag,AI$113)=1),$D$71,0))</f>
        <v/>
      </c>
      <c r="AK189" s="53">
        <f>AJ189*(1-$D$70)*(1-IF(AND(4&gt;=$D$48,INDEX(Season_Flag,AJ$113)=1),$D$71,0))</f>
        <v/>
      </c>
      <c r="AL189" s="53">
        <f>AK189*(1-$D$70)*(1-IF(AND(5&gt;=$D$48,INDEX(Season_Flag,AK$113)=1),$D$71,0))</f>
        <v/>
      </c>
      <c r="AM189" s="53">
        <f>AL189*(1-$D$70)*(1-IF(AND(6&gt;=$D$48,INDEX(Season_Flag,AL$113)=1),$D$71,0))</f>
        <v/>
      </c>
      <c r="AN189" s="53">
        <f>AM189*(1-$D$70)*(1-IF(AND(7&gt;=$D$48,INDEX(Season_Flag,AM$113)=1),$D$71,0))</f>
        <v/>
      </c>
    </row>
    <row r="190">
      <c r="B190" s="7" t="inlineStr">
        <is>
          <t>Cohort signed in month 30</t>
        </is>
      </c>
      <c r="C190" s="5" t="inlineStr">
        <is>
          <t>institutes</t>
        </is>
      </c>
      <c r="AH190" s="53">
        <f>AH123</f>
        <v/>
      </c>
      <c r="AI190" s="53">
        <f>AH190*(1-$D$70)*(1-IF(AND(1&gt;=$D$48,INDEX(Season_Flag,AH$113)=1),$D$71,0))</f>
        <v/>
      </c>
      <c r="AJ190" s="53">
        <f>AI190*(1-$D$70)*(1-IF(AND(2&gt;=$D$48,INDEX(Season_Flag,AI$113)=1),$D$71,0))</f>
        <v/>
      </c>
      <c r="AK190" s="53">
        <f>AJ190*(1-$D$70)*(1-IF(AND(3&gt;=$D$48,INDEX(Season_Flag,AJ$113)=1),$D$71,0))</f>
        <v/>
      </c>
      <c r="AL190" s="53">
        <f>AK190*(1-$D$70)*(1-IF(AND(4&gt;=$D$48,INDEX(Season_Flag,AK$113)=1),$D$71,0))</f>
        <v/>
      </c>
      <c r="AM190" s="53">
        <f>AL190*(1-$D$70)*(1-IF(AND(5&gt;=$D$48,INDEX(Season_Flag,AL$113)=1),$D$71,0))</f>
        <v/>
      </c>
      <c r="AN190" s="53">
        <f>AM190*(1-$D$70)*(1-IF(AND(6&gt;=$D$48,INDEX(Season_Flag,AM$113)=1),$D$71,0))</f>
        <v/>
      </c>
    </row>
    <row r="191">
      <c r="B191" s="7" t="inlineStr">
        <is>
          <t>Cohort signed in month 31</t>
        </is>
      </c>
      <c r="C191" s="5" t="inlineStr">
        <is>
          <t>institutes</t>
        </is>
      </c>
      <c r="AI191" s="53">
        <f>AI123</f>
        <v/>
      </c>
      <c r="AJ191" s="53">
        <f>AI191*(1-$D$70)*(1-IF(AND(1&gt;=$D$48,INDEX(Season_Flag,AI$113)=1),$D$71,0))</f>
        <v/>
      </c>
      <c r="AK191" s="53">
        <f>AJ191*(1-$D$70)*(1-IF(AND(2&gt;=$D$48,INDEX(Season_Flag,AJ$113)=1),$D$71,0))</f>
        <v/>
      </c>
      <c r="AL191" s="53">
        <f>AK191*(1-$D$70)*(1-IF(AND(3&gt;=$D$48,INDEX(Season_Flag,AK$113)=1),$D$71,0))</f>
        <v/>
      </c>
      <c r="AM191" s="53">
        <f>AL191*(1-$D$70)*(1-IF(AND(4&gt;=$D$48,INDEX(Season_Flag,AL$113)=1),$D$71,0))</f>
        <v/>
      </c>
      <c r="AN191" s="53">
        <f>AM191*(1-$D$70)*(1-IF(AND(5&gt;=$D$48,INDEX(Season_Flag,AM$113)=1),$D$71,0))</f>
        <v/>
      </c>
    </row>
    <row r="192">
      <c r="B192" s="7" t="inlineStr">
        <is>
          <t>Cohort signed in month 32</t>
        </is>
      </c>
      <c r="C192" s="5" t="inlineStr">
        <is>
          <t>institutes</t>
        </is>
      </c>
      <c r="AJ192" s="53">
        <f>AJ123</f>
        <v/>
      </c>
      <c r="AK192" s="53">
        <f>AJ192*(1-$D$70)*(1-IF(AND(1&gt;=$D$48,INDEX(Season_Flag,AJ$113)=1),$D$71,0))</f>
        <v/>
      </c>
      <c r="AL192" s="53">
        <f>AK192*(1-$D$70)*(1-IF(AND(2&gt;=$D$48,INDEX(Season_Flag,AK$113)=1),$D$71,0))</f>
        <v/>
      </c>
      <c r="AM192" s="53">
        <f>AL192*(1-$D$70)*(1-IF(AND(3&gt;=$D$48,INDEX(Season_Flag,AL$113)=1),$D$71,0))</f>
        <v/>
      </c>
      <c r="AN192" s="53">
        <f>AM192*(1-$D$70)*(1-IF(AND(4&gt;=$D$48,INDEX(Season_Flag,AM$113)=1),$D$71,0))</f>
        <v/>
      </c>
    </row>
    <row r="193">
      <c r="B193" s="7" t="inlineStr">
        <is>
          <t>Cohort signed in month 33</t>
        </is>
      </c>
      <c r="C193" s="5" t="inlineStr">
        <is>
          <t>institutes</t>
        </is>
      </c>
      <c r="AK193" s="53">
        <f>AK123</f>
        <v/>
      </c>
      <c r="AL193" s="53">
        <f>AK193*(1-$D$70)*(1-IF(AND(1&gt;=$D$48,INDEX(Season_Flag,AK$113)=1),$D$71,0))</f>
        <v/>
      </c>
      <c r="AM193" s="53">
        <f>AL193*(1-$D$70)*(1-IF(AND(2&gt;=$D$48,INDEX(Season_Flag,AL$113)=1),$D$71,0))</f>
        <v/>
      </c>
      <c r="AN193" s="53">
        <f>AM193*(1-$D$70)*(1-IF(AND(3&gt;=$D$48,INDEX(Season_Flag,AM$113)=1),$D$71,0))</f>
        <v/>
      </c>
    </row>
    <row r="194">
      <c r="B194" s="7" t="inlineStr">
        <is>
          <t>Cohort signed in month 34</t>
        </is>
      </c>
      <c r="C194" s="5" t="inlineStr">
        <is>
          <t>institutes</t>
        </is>
      </c>
      <c r="AL194" s="53">
        <f>AL123</f>
        <v/>
      </c>
      <c r="AM194" s="53">
        <f>AL194*(1-$D$70)*(1-IF(AND(1&gt;=$D$48,INDEX(Season_Flag,AL$113)=1),$D$71,0))</f>
        <v/>
      </c>
      <c r="AN194" s="53">
        <f>AM194*(1-$D$70)*(1-IF(AND(2&gt;=$D$48,INDEX(Season_Flag,AM$113)=1),$D$71,0))</f>
        <v/>
      </c>
    </row>
    <row r="195">
      <c r="B195" s="7" t="inlineStr">
        <is>
          <t>Cohort signed in month 35</t>
        </is>
      </c>
      <c r="C195" s="5" t="inlineStr">
        <is>
          <t>institutes</t>
        </is>
      </c>
      <c r="AM195" s="53">
        <f>AM123</f>
        <v/>
      </c>
      <c r="AN195" s="53">
        <f>AM195*(1-$D$70)*(1-IF(AND(1&gt;=$D$48,INDEX(Season_Flag,AM$113)=1),$D$71,0))</f>
        <v/>
      </c>
    </row>
    <row r="196">
      <c r="B196" s="7" t="inlineStr">
        <is>
          <t>Cohort signed in month 36</t>
        </is>
      </c>
      <c r="C196" s="5" t="inlineStr">
        <is>
          <t>institutes</t>
        </is>
      </c>
      <c r="AN196" s="53">
        <f>AN123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19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2" customWidth="1" min="2" max="2"/>
    <col width="14" customWidth="1" min="3" max="3"/>
    <col width="1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</cols>
  <sheetData>
    <row r="1">
      <c r="A1" s="1" t="inlineStr">
        <is>
          <t>3-year projection — Bull: sales capacity → cohorts → P&amp;L → cash → funding ask</t>
        </is>
      </c>
    </row>
    <row r="2">
      <c r="A2" s="2" t="inlineStr">
        <is>
          <t>Months run April to March. Revenue starts after the free pilot. New institutes are capped by the addressable market. Rows 6-80 (inputs and per-institute vectors) are grouped: use the +/- in the left margin.</t>
        </is>
      </c>
    </row>
    <row r="3">
      <c r="B3" s="3" t="inlineStr">
        <is>
          <t>Scenario (1 = Bear, 2 = Base, 3 = Bull)</t>
        </is>
      </c>
      <c r="D3" s="37" t="n">
        <v>3</v>
      </c>
    </row>
    <row r="5" hidden="1" outlineLevel="1">
      <c r="A5" s="23" t="n"/>
      <c r="B5" s="22" t="inlineStr">
        <is>
          <t>Inputs used (linked from Assumptions; Bear / Base / Bull chosen by the scenario)</t>
        </is>
      </c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</row>
    <row r="6" hidden="1" outlineLevel="1">
      <c r="B6" s="7" t="inlineStr">
        <is>
          <t>Students per institute - Small</t>
        </is>
      </c>
      <c r="C6" s="5" t="inlineStr">
        <is>
          <t>students</t>
        </is>
      </c>
      <c r="D6" s="51">
        <f>IF(Assumptions!$N$6="Y",INDEX(Assumptions!$D$6:$F$6,$D$3),Assumptions!$E$6)</f>
        <v/>
      </c>
    </row>
    <row r="7" hidden="1" outlineLevel="1">
      <c r="B7" s="7" t="inlineStr">
        <is>
          <t>Students per institute - Mid</t>
        </is>
      </c>
      <c r="C7" s="5" t="inlineStr">
        <is>
          <t>students</t>
        </is>
      </c>
      <c r="D7" s="51">
        <f>IF(Assumptions!$N$7="Y",INDEX(Assumptions!$D$7:$F$7,$D$3),Assumptions!$E$7)</f>
        <v/>
      </c>
    </row>
    <row r="8" hidden="1" outlineLevel="1">
      <c r="B8" s="7" t="inlineStr">
        <is>
          <t>Students per institute - Large</t>
        </is>
      </c>
      <c r="C8" s="5" t="inlineStr">
        <is>
          <t>students</t>
        </is>
      </c>
      <c r="D8" s="51">
        <f>IF(Assumptions!$N$8="Y",INDEX(Assumptions!$D$8:$F$8,$D$3),Assumptions!$E$8)</f>
        <v/>
      </c>
    </row>
    <row r="9" hidden="1" outlineLevel="1">
      <c r="B9" s="7" t="inlineStr">
        <is>
          <t>Onboarding cost multiplier - Small</t>
        </is>
      </c>
      <c r="C9" s="5" t="inlineStr">
        <is>
          <t>x</t>
        </is>
      </c>
      <c r="D9" s="59">
        <f>IF(Assumptions!$N$12="Y",INDEX(Assumptions!$D$12:$F$12,$D$3),Assumptions!$E$12)</f>
        <v/>
      </c>
    </row>
    <row r="10" hidden="1" outlineLevel="1">
      <c r="B10" s="7" t="inlineStr">
        <is>
          <t>Onboarding cost multiplier - Mid</t>
        </is>
      </c>
      <c r="C10" s="5" t="inlineStr">
        <is>
          <t>x</t>
        </is>
      </c>
      <c r="D10" s="59">
        <f>IF(Assumptions!$N$13="Y",INDEX(Assumptions!$D$13:$F$13,$D$3),Assumptions!$E$13)</f>
        <v/>
      </c>
    </row>
    <row r="11" hidden="1" outlineLevel="1">
      <c r="B11" s="7" t="inlineStr">
        <is>
          <t>Onboarding cost multiplier - Large</t>
        </is>
      </c>
      <c r="C11" s="5" t="inlineStr">
        <is>
          <t>x</t>
        </is>
      </c>
      <c r="D11" s="59">
        <f>IF(Assumptions!$N$14="Y",INDEX(Assumptions!$D$14:$F$14,$D$3),Assumptions!$E$14)</f>
        <v/>
      </c>
    </row>
    <row r="12" hidden="1" outlineLevel="1">
      <c r="B12" s="7" t="inlineStr">
        <is>
          <t>Share of new institutes that are Small</t>
        </is>
      </c>
      <c r="C12" s="5" t="inlineStr">
        <is>
          <t>% of new logos</t>
        </is>
      </c>
      <c r="D12" s="45">
        <f>IF(Assumptions!$N$99="Y",INDEX(Assumptions!$D$99:$F$99,$D$3),Assumptions!$E$99)</f>
        <v/>
      </c>
    </row>
    <row r="13" hidden="1" outlineLevel="1">
      <c r="B13" s="7" t="inlineStr">
        <is>
          <t>Share of new institutes that are Mid</t>
        </is>
      </c>
      <c r="C13" s="5" t="inlineStr">
        <is>
          <t>% of new logos</t>
        </is>
      </c>
      <c r="D13" s="45">
        <f>IF(Assumptions!$N$100="Y",INDEX(Assumptions!$D$100:$F$100,$D$3),Assumptions!$E$100)</f>
        <v/>
      </c>
    </row>
    <row r="14" hidden="1" outlineLevel="1">
      <c r="B14" s="7" t="inlineStr">
        <is>
          <t>Share of new institutes that are Large</t>
        </is>
      </c>
      <c r="C14" s="5" t="inlineStr">
        <is>
          <t>% of new logos</t>
        </is>
      </c>
      <c r="D14" s="45">
        <f>IF(Assumptions!$N$101="Y",INDEX(Assumptions!$D$101:$F$101,$D$3),Assumptions!$E$101)</f>
        <v/>
      </c>
    </row>
    <row r="15" hidden="1" outlineLevel="1">
      <c r="B15" s="7" t="inlineStr">
        <is>
          <t>List price per active student per month</t>
        </is>
      </c>
      <c r="C15" s="5" t="inlineStr">
        <is>
          <t>Rs/student/month</t>
        </is>
      </c>
      <c r="D15" s="44">
        <f>IF(Assumptions!$N$38="Y",INDEX(Assumptions!$D$38:$F$38,$D$3),Assumptions!$E$38)</f>
        <v/>
      </c>
    </row>
    <row r="16" hidden="1" outlineLevel="1">
      <c r="B16" s="7" t="inlineStr">
        <is>
          <t>Minimum monthly fee per institute</t>
        </is>
      </c>
      <c r="C16" s="5" t="inlineStr">
        <is>
          <t>Rs/month</t>
        </is>
      </c>
      <c r="D16" s="44">
        <f>IF(Assumptions!$N$41="Y",INDEX(Assumptions!$D$41:$F$41,$D$3),Assumptions!$E$41)</f>
        <v/>
      </c>
    </row>
    <row r="17" hidden="1" outlineLevel="1">
      <c r="B17" s="7" t="inlineStr">
        <is>
          <t>Average negotiated discount off list</t>
        </is>
      </c>
      <c r="C17" s="5" t="inlineStr">
        <is>
          <t>%</t>
        </is>
      </c>
      <c r="D17" s="45">
        <f>IF(Assumptions!$N$42="Y",INDEX(Assumptions!$D$42:$F$42,$D$3),Assumptions!$E$42)</f>
        <v/>
      </c>
    </row>
    <row r="18" hidden="1" outlineLevel="1">
      <c r="B18" s="7" t="inlineStr">
        <is>
          <t>Share of institutes choosing annual prepay</t>
        </is>
      </c>
      <c r="C18" s="5" t="inlineStr">
        <is>
          <t>%</t>
        </is>
      </c>
      <c r="D18" s="45">
        <f>IF(Assumptions!$N$43="Y",INDEX(Assumptions!$D$43:$F$43,$D$3),Assumptions!$E$43)</f>
        <v/>
      </c>
    </row>
    <row r="19" hidden="1" outlineLevel="1">
      <c r="B19" s="7" t="inlineStr">
        <is>
          <t>Annual prepay discount</t>
        </is>
      </c>
      <c r="C19" s="5" t="inlineStr">
        <is>
          <t>%</t>
        </is>
      </c>
      <c r="D19" s="45">
        <f>IF(Assumptions!$N$44="Y",INDEX(Assumptions!$D$44:$F$44,$D$3),Assumptions!$E$44)</f>
        <v/>
      </c>
    </row>
    <row r="20" hidden="1" outlineLevel="1">
      <c r="B20" s="7" t="inlineStr">
        <is>
          <t>Bad debt / uncollected billing</t>
        </is>
      </c>
      <c r="C20" s="5" t="inlineStr">
        <is>
          <t>%</t>
        </is>
      </c>
      <c r="D20" s="45">
        <f>IF(Assumptions!$N$45="Y",INDEX(Assumptions!$D$45:$F$45,$D$3),Assumptions!$E$45)</f>
        <v/>
      </c>
    </row>
    <row r="21" hidden="1" outlineLevel="1">
      <c r="B21" s="7" t="inlineStr">
        <is>
          <t>Payment collection cost (blended)</t>
        </is>
      </c>
      <c r="C21" s="5" t="inlineStr">
        <is>
          <t>% of revenue</t>
        </is>
      </c>
      <c r="D21" s="45">
        <f>IF(Assumptions!$N$46="Y",INDEX(Assumptions!$D$46:$F$46,$D$3),Assumptions!$E$46)</f>
        <v/>
      </c>
    </row>
    <row r="22" hidden="1" outlineLevel="1">
      <c r="B22" s="7" t="inlineStr">
        <is>
          <t>AI parent reports per student per month</t>
        </is>
      </c>
      <c r="C22" s="5" t="inlineStr">
        <is>
          <t>reports</t>
        </is>
      </c>
      <c r="D22" s="51">
        <f>IF(Assumptions!$N$48="Y",INDEX(Assumptions!$D$48:$F$48,$D$3),Assumptions!$E$48)</f>
        <v/>
      </c>
    </row>
    <row r="23" hidden="1" outlineLevel="1">
      <c r="B23" s="7" t="inlineStr">
        <is>
          <t>LLM input tokens per report</t>
        </is>
      </c>
      <c r="C23" s="5" t="inlineStr">
        <is>
          <t>tokens</t>
        </is>
      </c>
      <c r="D23" s="51">
        <f>IF(Assumptions!$N$49="Y",INDEX(Assumptions!$D$49:$F$49,$D$3),Assumptions!$E$49)</f>
        <v/>
      </c>
    </row>
    <row r="24" hidden="1" outlineLevel="1">
      <c r="B24" s="7" t="inlineStr">
        <is>
          <t>LLM output tokens per report</t>
        </is>
      </c>
      <c r="C24" s="5" t="inlineStr">
        <is>
          <t>tokens</t>
        </is>
      </c>
      <c r="D24" s="51">
        <f>IF(Assumptions!$N$50="Y",INDEX(Assumptions!$D$50:$F$50,$D$3),Assumptions!$E$50)</f>
        <v/>
      </c>
    </row>
    <row r="25" hidden="1" outlineLevel="1">
      <c r="B25" s="7" t="inlineStr">
        <is>
          <t>LLM input price (hosted)</t>
        </is>
      </c>
      <c r="C25" s="5" t="inlineStr">
        <is>
          <t>Rs per 1M tokens</t>
        </is>
      </c>
      <c r="D25" s="48">
        <f>IF(Assumptions!$N$51="Y",INDEX(Assumptions!$D$51:$F$51,$D$3),Assumptions!$E$51)</f>
        <v/>
      </c>
    </row>
    <row r="26" hidden="1" outlineLevel="1">
      <c r="B26" s="7" t="inlineStr">
        <is>
          <t>LLM output price (hosted)</t>
        </is>
      </c>
      <c r="C26" s="5" t="inlineStr">
        <is>
          <t>Rs per 1M tokens</t>
        </is>
      </c>
      <c r="D26" s="48">
        <f>IF(Assumptions!$N$52="Y",INDEX(Assumptions!$D$52:$F$52,$D$3),Assumptions!$E$52)</f>
        <v/>
      </c>
    </row>
    <row r="27" hidden="1" outlineLevel="1">
      <c r="B27" s="7" t="inlineStr">
        <is>
          <t>WhatsApp utility messages per student per month</t>
        </is>
      </c>
      <c r="C27" s="5" t="inlineStr">
        <is>
          <t>messages</t>
        </is>
      </c>
      <c r="D27" s="51">
        <f>IF(Assumptions!$N$53="Y",INDEX(Assumptions!$D$53:$F$53,$D$3),Assumptions!$E$53)</f>
        <v/>
      </c>
    </row>
    <row r="28" hidden="1" outlineLevel="1">
      <c r="B28" s="7" t="inlineStr">
        <is>
          <t>WhatsApp utility message price (India)</t>
        </is>
      </c>
      <c r="C28" s="5" t="inlineStr">
        <is>
          <t>Rs/message</t>
        </is>
      </c>
      <c r="D28" s="48">
        <f>IF(Assumptions!$N$54="Y",INDEX(Assumptions!$D$54:$F$54,$D$3),Assumptions!$E$54)</f>
        <v/>
      </c>
    </row>
    <row r="29" hidden="1" outlineLevel="1">
      <c r="B29" s="7" t="inlineStr">
        <is>
          <t>Compute + storage + backups per student</t>
        </is>
      </c>
      <c r="C29" s="5" t="inlineStr">
        <is>
          <t>Rs/student/month</t>
        </is>
      </c>
      <c r="D29" s="48">
        <f>IF(Assumptions!$N$55="Y",INDEX(Assumptions!$D$55:$F$55,$D$3),Assumptions!$E$55)</f>
        <v/>
      </c>
    </row>
    <row r="30" hidden="1" outlineLevel="1">
      <c r="B30" s="7" t="inlineStr">
        <is>
          <t>Consent OTP + verification per student</t>
        </is>
      </c>
      <c r="C30" s="5" t="inlineStr">
        <is>
          <t>Rs/student/yr</t>
        </is>
      </c>
      <c r="D30" s="48">
        <f>IF(Assumptions!$N$56="Y",INDEX(Assumptions!$D$56:$F$56,$D$3),Assumptions!$E$56)</f>
        <v/>
      </c>
    </row>
    <row r="31" hidden="1" outlineLevel="1">
      <c r="B31" s="7" t="inlineStr">
        <is>
          <t>App server + managed Postgres + backups per stack</t>
        </is>
      </c>
      <c r="C31" s="5" t="inlineStr">
        <is>
          <t>Rs/month</t>
        </is>
      </c>
      <c r="D31" s="44">
        <f>IF(Assumptions!$N$57="Y",INDEX(Assumptions!$D$57:$F$57,$D$3),Assumptions!$E$57)</f>
        <v/>
      </c>
    </row>
    <row r="32" hidden="1" outlineLevel="1">
      <c r="B32" s="7" t="inlineStr">
        <is>
          <t>WhatsApp BSP platform fee per stack</t>
        </is>
      </c>
      <c r="C32" s="5" t="inlineStr">
        <is>
          <t>Rs/month</t>
        </is>
      </c>
      <c r="D32" s="44">
        <f>IF(Assumptions!$N$58="Y",INDEX(Assumptions!$D$58:$F$58,$D$3),Assumptions!$E$58)</f>
        <v/>
      </c>
    </row>
    <row r="33" hidden="1" outlineLevel="1">
      <c r="B33" s="7" t="inlineStr">
        <is>
          <t>Institutes sharing one server stack</t>
        </is>
      </c>
      <c r="C33" s="5" t="inlineStr">
        <is>
          <t>institutes</t>
        </is>
      </c>
      <c r="D33" s="51">
        <f>IF(Assumptions!$N$59="Y",INDEX(Assumptions!$D$59:$F$59,$D$3),Assumptions!$E$59)</f>
        <v/>
      </c>
    </row>
    <row r="34" hidden="1" outlineLevel="1">
      <c r="B34" s="7" t="inlineStr">
        <is>
          <t>DPDP compliance cost per institute</t>
        </is>
      </c>
      <c r="C34" s="5" t="inlineStr">
        <is>
          <t>Rs/month</t>
        </is>
      </c>
      <c r="D34" s="44">
        <f>IF(Assumptions!$N$60="Y",INDEX(Assumptions!$D$60:$F$60,$D$3),Assumptions!$E$60)</f>
        <v/>
      </c>
    </row>
    <row r="35" hidden="1" outlineLevel="1">
      <c r="B35" s="7" t="inlineStr">
        <is>
          <t>Customer-success / onboarding exec monthly CTC</t>
        </is>
      </c>
      <c r="C35" s="5" t="inlineStr">
        <is>
          <t>Rs/month</t>
        </is>
      </c>
      <c r="D35" s="44">
        <f>IF(Assumptions!$N$62="Y",INDEX(Assumptions!$D$62:$F$62,$D$3),Assumptions!$E$62)</f>
        <v/>
      </c>
    </row>
    <row r="36" hidden="1" outlineLevel="1">
      <c r="B36" s="7" t="inlineStr">
        <is>
          <t>Institutes per CSM</t>
        </is>
      </c>
      <c r="C36" s="5" t="inlineStr">
        <is>
          <t>institutes</t>
        </is>
      </c>
      <c r="D36" s="51">
        <f>IF(Assumptions!$N$63="Y",INDEX(Assumptions!$D$63:$F$63,$D$3),Assumptions!$E$63)</f>
        <v/>
      </c>
    </row>
    <row r="37" hidden="1" outlineLevel="1">
      <c r="B37" s="7" t="inlineStr">
        <is>
          <t>Field sales rep monthly CTC (incl. fuel)</t>
        </is>
      </c>
      <c r="C37" s="5" t="inlineStr">
        <is>
          <t>Rs/month</t>
        </is>
      </c>
      <c r="D37" s="44">
        <f>IF(Assumptions!$N$64="Y",INDEX(Assumptions!$D$64:$F$64,$D$3),Assumptions!$E$64)</f>
        <v/>
      </c>
    </row>
    <row r="38" hidden="1" outlineLevel="1">
      <c r="B38" s="7" t="inlineStr">
        <is>
          <t>Rep intercity travel + demo material per month</t>
        </is>
      </c>
      <c r="C38" s="5" t="inlineStr">
        <is>
          <t>Rs/month</t>
        </is>
      </c>
      <c r="D38" s="44">
        <f>IF(Assumptions!$N$65="Y",INDEX(Assumptions!$D$65:$F$65,$D$3),Assumptions!$E$65)</f>
        <v/>
      </c>
    </row>
    <row r="39" hidden="1" outlineLevel="1">
      <c r="B39" s="7" t="inlineStr">
        <is>
          <t>Sales overhead loading on rep cost (manager, incentives, recruiting, tools)</t>
        </is>
      </c>
      <c r="C39" s="5" t="inlineStr">
        <is>
          <t>% of rep cost</t>
        </is>
      </c>
      <c r="D39" s="45">
        <f>IF(Assumptions!$N$66="Y",INDEX(Assumptions!$D$66:$F$66,$D$3),Assumptions!$E$66)</f>
        <v/>
      </c>
    </row>
    <row r="40" hidden="1" outlineLevel="1">
      <c r="B40" s="7" t="inlineStr">
        <is>
          <t>Pilots started per rep per month (yearly avg)</t>
        </is>
      </c>
      <c r="C40" s="5" t="inlineStr">
        <is>
          <t>pilots</t>
        </is>
      </c>
      <c r="D40" s="58">
        <f>IF(Assumptions!$N$67="Y",INDEX(Assumptions!$D$67:$F$67,$D$3),Assumptions!$E$67)</f>
        <v/>
      </c>
    </row>
    <row r="41" hidden="1" outlineLevel="1">
      <c r="B41" s="7" t="inlineStr">
        <is>
          <t>Pilot-to-paid conversion</t>
        </is>
      </c>
      <c r="C41" s="5" t="inlineStr">
        <is>
          <t>%</t>
        </is>
      </c>
      <c r="D41" s="45">
        <f>IF(Assumptions!$N$68="Y",INDEX(Assumptions!$D$68:$F$68,$D$3),Assumptions!$E$68)</f>
        <v/>
      </c>
    </row>
    <row r="42" hidden="1" outlineLevel="1">
      <c r="B42" s="7" t="inlineStr">
        <is>
          <t>Free pilot length</t>
        </is>
      </c>
      <c r="C42" s="5" t="inlineStr">
        <is>
          <t>months</t>
        </is>
      </c>
      <c r="D42" s="51">
        <f>IF(Assumptions!$N$69="Y",INDEX(Assumptions!$D$69:$F$69,$D$3),Assumptions!$E$69)</f>
        <v/>
      </c>
    </row>
    <row r="43" hidden="1" outlineLevel="1">
      <c r="B43" s="7" t="inlineStr">
        <is>
          <t>Retro-pilot setup (import last year's Excel; show who left)</t>
        </is>
      </c>
      <c r="C43" s="5" t="inlineStr">
        <is>
          <t>Rs per pilot</t>
        </is>
      </c>
      <c r="D43" s="44">
        <f>IF(Assumptions!$N$70="Y",INDEX(Assumptions!$D$70:$F$70,$D$3),Assumptions!$E$70)</f>
        <v/>
      </c>
    </row>
    <row r="44" hidden="1" outlineLevel="1">
      <c r="B44" s="7" t="inlineStr">
        <is>
          <t>Onboarding cost per institute (mid)</t>
        </is>
      </c>
      <c r="C44" s="5" t="inlineStr">
        <is>
          <t>Rs</t>
        </is>
      </c>
      <c r="D44" s="44">
        <f>IF(Assumptions!$N$71="Y",INDEX(Assumptions!$D$71:$F$71,$D$3),Assumptions!$E$71)</f>
        <v/>
      </c>
    </row>
    <row r="45" hidden="1" outlineLevel="1">
      <c r="B45" s="7" t="inlineStr">
        <is>
          <t>Marketing spend per paid institute</t>
        </is>
      </c>
      <c r="C45" s="5" t="inlineStr">
        <is>
          <t>Rs</t>
        </is>
      </c>
      <c r="D45" s="44">
        <f>IF(Assumptions!$N$72="Y",INDEX(Assumptions!$D$72:$F$72,$D$3),Assumptions!$E$72)</f>
        <v/>
      </c>
    </row>
    <row r="46" hidden="1" outlineLevel="1">
      <c r="B46" s="7" t="inlineStr">
        <is>
          <t>Monthly logo churn for monthly payers</t>
        </is>
      </c>
      <c r="C46" s="5" t="inlineStr">
        <is>
          <t>%/month</t>
        </is>
      </c>
      <c r="D46" s="45">
        <f>IF(Assumptions!$N$74="Y",INDEX(Assumptions!$D$74:$F$74,$D$3),Assumptions!$E$74)</f>
        <v/>
      </c>
    </row>
    <row r="47" hidden="1" outlineLevel="1">
      <c r="B47" s="7" t="inlineStr">
        <is>
          <t>Non-renewal at session end (annual)</t>
        </is>
      </c>
      <c r="C47" s="5" t="inlineStr">
        <is>
          <t>% of logos</t>
        </is>
      </c>
      <c r="D47" s="45">
        <f>IF(Assumptions!$N$75="Y",INDEX(Assumptions!$D$75:$F$75,$D$3),Assumptions!$E$75)</f>
        <v/>
      </c>
    </row>
    <row r="48" hidden="1" outlineLevel="1">
      <c r="B48" s="7" t="inlineStr">
        <is>
          <t>Months a customer must have paid before the first renewal decision</t>
        </is>
      </c>
      <c r="C48" s="5" t="inlineStr">
        <is>
          <t>months</t>
        </is>
      </c>
      <c r="D48" s="51">
        <f>IF(Assumptions!$N$76="Y",INDEX(Assumptions!$D$76:$F$76,$D$3),Assumptions!$E$76)</f>
        <v/>
      </c>
    </row>
    <row r="49" hidden="1" outlineLevel="1">
      <c r="B49" s="7" t="inlineStr">
        <is>
          <t>Founders drawing a stipend</t>
        </is>
      </c>
      <c r="C49" s="5" t="inlineStr">
        <is>
          <t>people</t>
        </is>
      </c>
      <c r="D49" s="51">
        <f>IF(Assumptions!$N$80="Y",INDEX(Assumptions!$D$80:$F$80,$D$3),Assumptions!$E$80)</f>
        <v/>
      </c>
    </row>
    <row r="50" hidden="1" outlineLevel="1">
      <c r="B50" s="7" t="inlineStr">
        <is>
          <t>Founder stipend per month</t>
        </is>
      </c>
      <c r="C50" s="5" t="inlineStr">
        <is>
          <t>Rs/month</t>
        </is>
      </c>
      <c r="D50" s="44">
        <f>IF(Assumptions!$N$81="Y",INDEX(Assumptions!$D$81:$F$81,$D$3),Assumptions!$E$81)</f>
        <v/>
      </c>
    </row>
    <row r="51" hidden="1" outlineLevel="1">
      <c r="B51" s="7" t="inlineStr">
        <is>
          <t>Engineers in year 1</t>
        </is>
      </c>
      <c r="C51" s="5" t="inlineStr">
        <is>
          <t>people</t>
        </is>
      </c>
      <c r="D51" s="51">
        <f>IF(Assumptions!$N$82="Y",INDEX(Assumptions!$D$82:$F$82,$D$3),Assumptions!$E$82)</f>
        <v/>
      </c>
    </row>
    <row r="52" hidden="1" outlineLevel="1">
      <c r="B52" s="7" t="inlineStr">
        <is>
          <t>Engineers in year 2</t>
        </is>
      </c>
      <c r="C52" s="5" t="inlineStr">
        <is>
          <t>people</t>
        </is>
      </c>
      <c r="D52" s="51">
        <f>IF(Assumptions!$N$105="Y",INDEX(Assumptions!$D$105:$F$105,$D$3),Assumptions!$E$105)</f>
        <v/>
      </c>
    </row>
    <row r="53" hidden="1" outlineLevel="1">
      <c r="B53" s="7" t="inlineStr">
        <is>
          <t>Engineers in year 3</t>
        </is>
      </c>
      <c r="C53" s="5" t="inlineStr">
        <is>
          <t>people</t>
        </is>
      </c>
      <c r="D53" s="51">
        <f>IF(Assumptions!$N$106="Y",INDEX(Assumptions!$D$106:$F$106,$D$3),Assumptions!$E$106)</f>
        <v/>
      </c>
    </row>
    <row r="54" hidden="1" outlineLevel="1">
      <c r="B54" s="7" t="inlineStr">
        <is>
          <t>Engineer monthly CTC</t>
        </is>
      </c>
      <c r="C54" s="5" t="inlineStr">
        <is>
          <t>Rs/month</t>
        </is>
      </c>
      <c r="D54" s="44">
        <f>IF(Assumptions!$N$83="Y",INDEX(Assumptions!$D$83:$F$83,$D$3),Assumptions!$E$83)</f>
        <v/>
      </c>
    </row>
    <row r="55" hidden="1" outlineLevel="1">
      <c r="B55" s="7" t="inlineStr">
        <is>
          <t>Tools / office / legal per month</t>
        </is>
      </c>
      <c r="C55" s="5" t="inlineStr">
        <is>
          <t>Rs/month</t>
        </is>
      </c>
      <c r="D55" s="44">
        <f>IF(Assumptions!$N$84="Y",INDEX(Assumptions!$D$84:$F$84,$D$3),Assumptions!$E$84)</f>
        <v/>
      </c>
    </row>
    <row r="56" hidden="1" outlineLevel="1">
      <c r="B56" s="7" t="inlineStr">
        <is>
          <t>Field sales reps in year 1</t>
        </is>
      </c>
      <c r="C56" s="5" t="inlineStr">
        <is>
          <t>people</t>
        </is>
      </c>
      <c r="D56" s="51">
        <f>IF(Assumptions!$N$102="Y",INDEX(Assumptions!$D$102:$F$102,$D$3),Assumptions!$E$102)</f>
        <v/>
      </c>
    </row>
    <row r="57" hidden="1" outlineLevel="1">
      <c r="B57" s="7" t="inlineStr">
        <is>
          <t>Field sales reps in year 2</t>
        </is>
      </c>
      <c r="C57" s="5" t="inlineStr">
        <is>
          <t>people</t>
        </is>
      </c>
      <c r="D57" s="51">
        <f>IF(Assumptions!$N$103="Y",INDEX(Assumptions!$D$103:$F$103,$D$3),Assumptions!$E$103)</f>
        <v/>
      </c>
    </row>
    <row r="58" hidden="1" outlineLevel="1">
      <c r="B58" s="7" t="inlineStr">
        <is>
          <t>Field sales reps in year 3</t>
        </is>
      </c>
      <c r="C58" s="5" t="inlineStr">
        <is>
          <t>people</t>
        </is>
      </c>
      <c r="D58" s="51">
        <f>IF(Assumptions!$N$104="Y",INDEX(Assumptions!$D$104:$F$104,$D$3),Assumptions!$E$104)</f>
        <v/>
      </c>
    </row>
    <row r="59" hidden="1" outlineLevel="1">
      <c r="B59" s="7" t="inlineStr">
        <is>
          <t>Minimum product and engineering spend as a share of revenue</t>
        </is>
      </c>
      <c r="C59" s="5" t="inlineStr">
        <is>
          <t>% of revenue</t>
        </is>
      </c>
      <c r="D59" s="45">
        <f>IF(Assumptions!$N$107="Y",INDEX(Assumptions!$D$107:$F$107,$D$3),Assumptions!$E$107)</f>
        <v/>
      </c>
    </row>
    <row r="60" hidden="1" outlineLevel="1">
      <c r="B60" s="7" t="inlineStr">
        <is>
          <t>Minimum founders' and general costs as a share of revenue</t>
        </is>
      </c>
      <c r="C60" s="5" t="inlineStr">
        <is>
          <t>% of revenue</t>
        </is>
      </c>
      <c r="D60" s="45">
        <f>IF(Assumptions!$N$108="Y",INDEX(Assumptions!$D$108:$F$108,$D$3),Assumptions!$E$108)</f>
        <v/>
      </c>
    </row>
    <row r="61" hidden="1" outlineLevel="1">
      <c r="B61" s="7" t="inlineStr">
        <is>
          <t>Annual salary and cost inflation</t>
        </is>
      </c>
      <c r="C61" s="5" t="inlineStr">
        <is>
          <t>%/yr</t>
        </is>
      </c>
      <c r="D61" s="45">
        <f>IF(Assumptions!$N$109="Y",INDEX(Assumptions!$D$109:$F$109,$D$3),Assumptions!$E$109)</f>
        <v/>
      </c>
    </row>
    <row r="62" hidden="1" outlineLevel="1">
      <c r="B62" s="7" t="inlineStr">
        <is>
          <t>Days to collect an invoice (receivables)</t>
        </is>
      </c>
      <c r="C62" s="5" t="inlineStr">
        <is>
          <t>days</t>
        </is>
      </c>
      <c r="D62" s="51">
        <f>IF(Assumptions!$N$110="Y",INDEX(Assumptions!$D$110:$F$110,$D$3),Assumptions!$E$110)</f>
        <v/>
      </c>
    </row>
    <row r="63" hidden="1" outlineLevel="1">
      <c r="B63" s="7" t="inlineStr">
        <is>
          <t>Laptop and set-up cost per new hire</t>
        </is>
      </c>
      <c r="C63" s="5" t="inlineStr">
        <is>
          <t>Rs/hire</t>
        </is>
      </c>
      <c r="D63" s="44">
        <f>IF(Assumptions!$N$111="Y",INDEX(Assumptions!$D$111:$F$111,$D$3),Assumptions!$E$111)</f>
        <v/>
      </c>
    </row>
    <row r="64" hidden="1" outlineLevel="1">
      <c r="B64" s="7" t="inlineStr">
        <is>
          <t>Minimum cash buffer, in months of costs</t>
        </is>
      </c>
      <c r="C64" s="5" t="inlineStr">
        <is>
          <t>months</t>
        </is>
      </c>
      <c r="D64" s="51">
        <f>IF(Assumptions!$N$112="Y",INDEX(Assumptions!$D$112:$F$112,$D$3),Assumptions!$E$112)</f>
        <v/>
      </c>
    </row>
    <row r="65" hidden="1" outlineLevel="1">
      <c r="B65" s="7" t="inlineStr">
        <is>
          <t>Addressable institutes (SAM): independent, 150-2,000 students, five states</t>
        </is>
      </c>
      <c r="C65" s="5" t="inlineStr">
        <is>
          <t>institutes</t>
        </is>
      </c>
      <c r="D65" s="51">
        <f>IF(Assumptions!$N$113="Y",INDEX(Assumptions!$D$113:$F$113,$D$3),Assumptions!$E$113)</f>
        <v/>
      </c>
    </row>
    <row r="66" hidden="1" outlineLevel="1">
      <c r="B66" s="7" t="inlineStr">
        <is>
          <t>Maximum share of SAM won in 3 years (cumulative new logos)</t>
        </is>
      </c>
      <c r="C66" s="5" t="inlineStr">
        <is>
          <t>% of SAM</t>
        </is>
      </c>
      <c r="D66" s="45">
        <f>IF(Assumptions!$N$114="Y",INDEX(Assumptions!$D$114:$F$114,$D$3),Assumptions!$E$114)</f>
        <v/>
      </c>
    </row>
    <row r="67" hidden="1" outlineLevel="1">
      <c r="A67" s="23" t="n"/>
      <c r="B67" s="22" t="inlineStr">
        <is>
          <t>Derived values</t>
        </is>
      </c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  <c r="AF67" s="23" t="n"/>
      <c r="AG67" s="23" t="n"/>
      <c r="AH67" s="23" t="n"/>
      <c r="AI67" s="23" t="n"/>
      <c r="AJ67" s="23" t="n"/>
      <c r="AK67" s="23" t="n"/>
      <c r="AL67" s="23" t="n"/>
      <c r="AM67" s="23" t="n"/>
      <c r="AN67" s="23" t="n"/>
    </row>
    <row r="68" hidden="1" outlineLevel="1">
      <c r="B68" s="7" t="inlineStr">
        <is>
          <t>Effective discount (negotiation + prepay uptake × prepay discount)</t>
        </is>
      </c>
      <c r="C68" s="5" t="inlineStr">
        <is>
          <t>%</t>
        </is>
      </c>
      <c r="D68" s="39">
        <f>$D$17+$D$18*$D$19</f>
        <v/>
      </c>
    </row>
    <row r="69" hidden="1" outlineLevel="1">
      <c r="B69" s="7" t="inlineStr">
        <is>
          <t>Variable cost per active student per month</t>
        </is>
      </c>
      <c r="C69" s="5" t="inlineStr">
        <is>
          <t>₹/student/month</t>
        </is>
      </c>
      <c r="D69" s="47">
        <f>$D$22*($D$23*$D$25+$D$24*$D$26)/1000000+$D$27*$D$28+$D$29+$D$30/12</f>
        <v/>
      </c>
    </row>
    <row r="70" hidden="1" outlineLevel="1">
      <c r="B70" s="7" t="inlineStr">
        <is>
          <t>In-season churn, monthly payers only</t>
        </is>
      </c>
      <c r="C70" s="5" t="inlineStr">
        <is>
          <t>%/month</t>
        </is>
      </c>
      <c r="D70" s="39">
        <f>$D$46*(1-$D$18)</f>
        <v/>
      </c>
    </row>
    <row r="71" hidden="1" outlineLevel="1">
      <c r="B71" s="7" t="inlineStr">
        <is>
          <t>Extra churn per renewal month</t>
        </is>
      </c>
      <c r="C71" s="5" t="inlineStr">
        <is>
          <t>%/month</t>
        </is>
      </c>
      <c r="D71" s="39">
        <f>1-(1-$D$47)^(1/NRenew)</f>
        <v/>
      </c>
    </row>
    <row r="72" hidden="1" outlineLevel="1">
      <c r="B72" s="7" t="inlineStr">
        <is>
          <t>Average students per new institute (customer mix)</t>
        </is>
      </c>
      <c r="C72" s="5" t="inlineStr">
        <is>
          <t>students</t>
        </is>
      </c>
      <c r="D72" s="53">
        <f>$D$12*$D$6+$D$13*$D$7+$D$14*$D$8</f>
        <v/>
      </c>
    </row>
    <row r="73" hidden="1" outlineLevel="1">
      <c r="B73" s="7" t="inlineStr">
        <is>
          <t>Average onboarding-cost multiplier (customer mix)</t>
        </is>
      </c>
      <c r="C73" s="5" t="inlineStr">
        <is>
          <t>x</t>
        </is>
      </c>
      <c r="D73" s="41">
        <f>$D$12*$D$9+$D$13*$D$10+$D$14*$D$11</f>
        <v/>
      </c>
    </row>
    <row r="74" hidden="1" outlineLevel="1">
      <c r="B74" s="7" t="inlineStr">
        <is>
          <t>Cost of one free pilot (setup + serving the free months)</t>
        </is>
      </c>
      <c r="C74" s="5" t="inlineStr">
        <is>
          <t>₹</t>
        </is>
      </c>
      <c r="D74" s="50">
        <f>$D$43+$D$42*($D$72*$D$69+$D$34)</f>
        <v/>
      </c>
    </row>
    <row r="75" hidden="1" outlineLevel="1">
      <c r="B75" s="7" t="inlineStr">
        <is>
          <t>Market cap: addressable institutes × max penetration</t>
        </is>
      </c>
      <c r="C75" s="5" t="inlineStr">
        <is>
          <t>institutes</t>
        </is>
      </c>
      <c r="D75" s="53">
        <f>$D$65*$D$66</f>
        <v/>
      </c>
    </row>
    <row r="76" hidden="1" outlineLevel="1">
      <c r="B76" s="7" t="inlineStr">
        <is>
          <t>Average monthly revenue per institute over a year</t>
        </is>
      </c>
      <c r="C76" s="5" t="inlineStr">
        <is>
          <t>₹</t>
        </is>
      </c>
      <c r="D76" s="50">
        <f>AVERAGE(E82:P82)</f>
        <v/>
      </c>
    </row>
    <row r="77" hidden="1" outlineLevel="1">
      <c r="A77" s="23" t="n"/>
      <c r="B77" s="22" t="inlineStr">
        <is>
          <t>Per-institute revenue and cost by calendar month (April = 1), same formulas as Unit_Econ</t>
        </is>
      </c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23" t="n"/>
      <c r="AH77" s="23" t="n"/>
      <c r="AI77" s="23" t="n"/>
      <c r="AJ77" s="23" t="n"/>
      <c r="AK77" s="23" t="n"/>
      <c r="AL77" s="23" t="n"/>
      <c r="AM77" s="23" t="n"/>
      <c r="AN77" s="23" t="n"/>
    </row>
    <row r="78" hidden="1" outlineLevel="1">
      <c r="B78" s="36" t="inlineStr">
        <is>
          <t>Calendar month number</t>
        </is>
      </c>
      <c r="E78" s="62" t="n">
        <v>1</v>
      </c>
      <c r="F78" s="62" t="n">
        <v>2</v>
      </c>
      <c r="G78" s="62" t="n">
        <v>3</v>
      </c>
      <c r="H78" s="62" t="n">
        <v>4</v>
      </c>
      <c r="I78" s="62" t="n">
        <v>5</v>
      </c>
      <c r="J78" s="62" t="n">
        <v>6</v>
      </c>
      <c r="K78" s="62" t="n">
        <v>7</v>
      </c>
      <c r="L78" s="62" t="n">
        <v>8</v>
      </c>
      <c r="M78" s="62" t="n">
        <v>9</v>
      </c>
      <c r="N78" s="62" t="n">
        <v>10</v>
      </c>
      <c r="O78" s="62" t="n">
        <v>11</v>
      </c>
      <c r="P78" s="62" t="n">
        <v>12</v>
      </c>
    </row>
    <row r="79" hidden="1" outlineLevel="1">
      <c r="B79" s="7" t="inlineStr">
        <is>
          <t>Revenue per Small institute (ex-GST, after discounts and bad debt)</t>
        </is>
      </c>
      <c r="C79" s="5" t="inlineStr">
        <is>
          <t>₹</t>
        </is>
      </c>
      <c r="E79" s="50">
        <f>MAX($D$16,$D$6*INDEX(Season_Idx,E$78)*$D$15)*(1-$D$68)*(1-$D$20)</f>
        <v/>
      </c>
      <c r="F79" s="50">
        <f>MAX($D$16,$D$6*INDEX(Season_Idx,F$78)*$D$15)*(1-$D$68)*(1-$D$20)</f>
        <v/>
      </c>
      <c r="G79" s="50">
        <f>MAX($D$16,$D$6*INDEX(Season_Idx,G$78)*$D$15)*(1-$D$68)*(1-$D$20)</f>
        <v/>
      </c>
      <c r="H79" s="50">
        <f>MAX($D$16,$D$6*INDEX(Season_Idx,H$78)*$D$15)*(1-$D$68)*(1-$D$20)</f>
        <v/>
      </c>
      <c r="I79" s="50">
        <f>MAX($D$16,$D$6*INDEX(Season_Idx,I$78)*$D$15)*(1-$D$68)*(1-$D$20)</f>
        <v/>
      </c>
      <c r="J79" s="50">
        <f>MAX($D$16,$D$6*INDEX(Season_Idx,J$78)*$D$15)*(1-$D$68)*(1-$D$20)</f>
        <v/>
      </c>
      <c r="K79" s="50">
        <f>MAX($D$16,$D$6*INDEX(Season_Idx,K$78)*$D$15)*(1-$D$68)*(1-$D$20)</f>
        <v/>
      </c>
      <c r="L79" s="50">
        <f>MAX($D$16,$D$6*INDEX(Season_Idx,L$78)*$D$15)*(1-$D$68)*(1-$D$20)</f>
        <v/>
      </c>
      <c r="M79" s="50">
        <f>MAX($D$16,$D$6*INDEX(Season_Idx,M$78)*$D$15)*(1-$D$68)*(1-$D$20)</f>
        <v/>
      </c>
      <c r="N79" s="50">
        <f>MAX($D$16,$D$6*INDEX(Season_Idx,N$78)*$D$15)*(1-$D$68)*(1-$D$20)</f>
        <v/>
      </c>
      <c r="O79" s="50">
        <f>MAX($D$16,$D$6*INDEX(Season_Idx,O$78)*$D$15)*(1-$D$68)*(1-$D$20)</f>
        <v/>
      </c>
      <c r="P79" s="50">
        <f>MAX($D$16,$D$6*INDEX(Season_Idx,P$78)*$D$15)*(1-$D$68)*(1-$D$20)</f>
        <v/>
      </c>
    </row>
    <row r="80" hidden="1" outlineLevel="1">
      <c r="B80" s="7" t="inlineStr">
        <is>
          <t>Revenue per Mid institute (ex-GST, after discounts and bad debt)</t>
        </is>
      </c>
      <c r="C80" s="5" t="inlineStr">
        <is>
          <t>₹</t>
        </is>
      </c>
      <c r="E80" s="50">
        <f>MAX($D$16,$D$7*INDEX(Season_Idx,E$78)*$D$15)*(1-$D$68)*(1-$D$20)</f>
        <v/>
      </c>
      <c r="F80" s="50">
        <f>MAX($D$16,$D$7*INDEX(Season_Idx,F$78)*$D$15)*(1-$D$68)*(1-$D$20)</f>
        <v/>
      </c>
      <c r="G80" s="50">
        <f>MAX($D$16,$D$7*INDEX(Season_Idx,G$78)*$D$15)*(1-$D$68)*(1-$D$20)</f>
        <v/>
      </c>
      <c r="H80" s="50">
        <f>MAX($D$16,$D$7*INDEX(Season_Idx,H$78)*$D$15)*(1-$D$68)*(1-$D$20)</f>
        <v/>
      </c>
      <c r="I80" s="50">
        <f>MAX($D$16,$D$7*INDEX(Season_Idx,I$78)*$D$15)*(1-$D$68)*(1-$D$20)</f>
        <v/>
      </c>
      <c r="J80" s="50">
        <f>MAX($D$16,$D$7*INDEX(Season_Idx,J$78)*$D$15)*(1-$D$68)*(1-$D$20)</f>
        <v/>
      </c>
      <c r="K80" s="50">
        <f>MAX($D$16,$D$7*INDEX(Season_Idx,K$78)*$D$15)*(1-$D$68)*(1-$D$20)</f>
        <v/>
      </c>
      <c r="L80" s="50">
        <f>MAX($D$16,$D$7*INDEX(Season_Idx,L$78)*$D$15)*(1-$D$68)*(1-$D$20)</f>
        <v/>
      </c>
      <c r="M80" s="50">
        <f>MAX($D$16,$D$7*INDEX(Season_Idx,M$78)*$D$15)*(1-$D$68)*(1-$D$20)</f>
        <v/>
      </c>
      <c r="N80" s="50">
        <f>MAX($D$16,$D$7*INDEX(Season_Idx,N$78)*$D$15)*(1-$D$68)*(1-$D$20)</f>
        <v/>
      </c>
      <c r="O80" s="50">
        <f>MAX($D$16,$D$7*INDEX(Season_Idx,O$78)*$D$15)*(1-$D$68)*(1-$D$20)</f>
        <v/>
      </c>
      <c r="P80" s="50">
        <f>MAX($D$16,$D$7*INDEX(Season_Idx,P$78)*$D$15)*(1-$D$68)*(1-$D$20)</f>
        <v/>
      </c>
    </row>
    <row r="81" hidden="1" outlineLevel="1">
      <c r="B81" s="7" t="inlineStr">
        <is>
          <t>Revenue per Large institute (ex-GST, after discounts and bad debt)</t>
        </is>
      </c>
      <c r="C81" s="5" t="inlineStr">
        <is>
          <t>₹</t>
        </is>
      </c>
      <c r="E81" s="50">
        <f>MAX($D$16,$D$8*INDEX(Season_Idx,E$78)*$D$15)*(1-$D$68)*(1-$D$20)</f>
        <v/>
      </c>
      <c r="F81" s="50">
        <f>MAX($D$16,$D$8*INDEX(Season_Idx,F$78)*$D$15)*(1-$D$68)*(1-$D$20)</f>
        <v/>
      </c>
      <c r="G81" s="50">
        <f>MAX($D$16,$D$8*INDEX(Season_Idx,G$78)*$D$15)*(1-$D$68)*(1-$D$20)</f>
        <v/>
      </c>
      <c r="H81" s="50">
        <f>MAX($D$16,$D$8*INDEX(Season_Idx,H$78)*$D$15)*(1-$D$68)*(1-$D$20)</f>
        <v/>
      </c>
      <c r="I81" s="50">
        <f>MAX($D$16,$D$8*INDEX(Season_Idx,I$78)*$D$15)*(1-$D$68)*(1-$D$20)</f>
        <v/>
      </c>
      <c r="J81" s="50">
        <f>MAX($D$16,$D$8*INDEX(Season_Idx,J$78)*$D$15)*(1-$D$68)*(1-$D$20)</f>
        <v/>
      </c>
      <c r="K81" s="50">
        <f>MAX($D$16,$D$8*INDEX(Season_Idx,K$78)*$D$15)*(1-$D$68)*(1-$D$20)</f>
        <v/>
      </c>
      <c r="L81" s="50">
        <f>MAX($D$16,$D$8*INDEX(Season_Idx,L$78)*$D$15)*(1-$D$68)*(1-$D$20)</f>
        <v/>
      </c>
      <c r="M81" s="50">
        <f>MAX($D$16,$D$8*INDEX(Season_Idx,M$78)*$D$15)*(1-$D$68)*(1-$D$20)</f>
        <v/>
      </c>
      <c r="N81" s="50">
        <f>MAX($D$16,$D$8*INDEX(Season_Idx,N$78)*$D$15)*(1-$D$68)*(1-$D$20)</f>
        <v/>
      </c>
      <c r="O81" s="50">
        <f>MAX($D$16,$D$8*INDEX(Season_Idx,O$78)*$D$15)*(1-$D$68)*(1-$D$20)</f>
        <v/>
      </c>
      <c r="P81" s="50">
        <f>MAX($D$16,$D$8*INDEX(Season_Idx,P$78)*$D$15)*(1-$D$68)*(1-$D$20)</f>
        <v/>
      </c>
    </row>
    <row r="82" hidden="1" outlineLevel="1">
      <c r="B82" s="3" t="inlineStr">
        <is>
          <t>Revenue per institute, weighted by customer mix</t>
        </is>
      </c>
      <c r="C82" s="5" t="inlineStr">
        <is>
          <t>₹</t>
        </is>
      </c>
      <c r="E82" s="50">
        <f>$D$12*E79+$D$13*E80+$D$14*E81</f>
        <v/>
      </c>
      <c r="F82" s="50">
        <f>$D$12*F79+$D$13*F80+$D$14*F81</f>
        <v/>
      </c>
      <c r="G82" s="50">
        <f>$D$12*G79+$D$13*G80+$D$14*G81</f>
        <v/>
      </c>
      <c r="H82" s="50">
        <f>$D$12*H79+$D$13*H80+$D$14*H81</f>
        <v/>
      </c>
      <c r="I82" s="50">
        <f>$D$12*I79+$D$13*I80+$D$14*I81</f>
        <v/>
      </c>
      <c r="J82" s="50">
        <f>$D$12*J79+$D$13*J80+$D$14*J81</f>
        <v/>
      </c>
      <c r="K82" s="50">
        <f>$D$12*K79+$D$13*K80+$D$14*K81</f>
        <v/>
      </c>
      <c r="L82" s="50">
        <f>$D$12*L79+$D$13*L80+$D$14*L81</f>
        <v/>
      </c>
      <c r="M82" s="50">
        <f>$D$12*M79+$D$13*M80+$D$14*M81</f>
        <v/>
      </c>
      <c r="N82" s="50">
        <f>$D$12*N79+$D$13*N80+$D$14*N81</f>
        <v/>
      </c>
      <c r="O82" s="50">
        <f>$D$12*O79+$D$13*O80+$D$14*O81</f>
        <v/>
      </c>
      <c r="P82" s="50">
        <f>$D$12*P79+$D$13*P80+$D$14*P81</f>
        <v/>
      </c>
    </row>
    <row r="83" hidden="1" outlineLevel="1">
      <c r="B83" s="3" t="inlineStr">
        <is>
          <t>Variable cost per institute, weighted by customer mix</t>
        </is>
      </c>
      <c r="C83" s="5" t="inlineStr">
        <is>
          <t>₹</t>
        </is>
      </c>
      <c r="E83" s="50">
        <f>$D$69*$D$72*INDEX(Season_Idx,E$78)+$D$21*E82+$D$34</f>
        <v/>
      </c>
      <c r="F83" s="50">
        <f>$D$69*$D$72*INDEX(Season_Idx,F$78)+$D$21*F82+$D$34</f>
        <v/>
      </c>
      <c r="G83" s="50">
        <f>$D$69*$D$72*INDEX(Season_Idx,G$78)+$D$21*G82+$D$34</f>
        <v/>
      </c>
      <c r="H83" s="50">
        <f>$D$69*$D$72*INDEX(Season_Idx,H$78)+$D$21*H82+$D$34</f>
        <v/>
      </c>
      <c r="I83" s="50">
        <f>$D$69*$D$72*INDEX(Season_Idx,I$78)+$D$21*I82+$D$34</f>
        <v/>
      </c>
      <c r="J83" s="50">
        <f>$D$69*$D$72*INDEX(Season_Idx,J$78)+$D$21*J82+$D$34</f>
        <v/>
      </c>
      <c r="K83" s="50">
        <f>$D$69*$D$72*INDEX(Season_Idx,K$78)+$D$21*K82+$D$34</f>
        <v/>
      </c>
      <c r="L83" s="50">
        <f>$D$69*$D$72*INDEX(Season_Idx,L$78)+$D$21*L82+$D$34</f>
        <v/>
      </c>
      <c r="M83" s="50">
        <f>$D$69*$D$72*INDEX(Season_Idx,M$78)+$D$21*M82+$D$34</f>
        <v/>
      </c>
      <c r="N83" s="50">
        <f>$D$69*$D$72*INDEX(Season_Idx,N$78)+$D$21*N82+$D$34</f>
        <v/>
      </c>
      <c r="O83" s="50">
        <f>$D$69*$D$72*INDEX(Season_Idx,O$78)+$D$21*O82+$D$34</f>
        <v/>
      </c>
      <c r="P83" s="50">
        <f>$D$69*$D$72*INDEX(Season_Idx,P$78)+$D$21*P82+$D$34</f>
        <v/>
      </c>
    </row>
    <row r="85">
      <c r="A85" s="23" t="n"/>
      <c r="B85" s="22" t="inlineStr">
        <is>
          <t>Annual summary</t>
        </is>
      </c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23" t="n"/>
      <c r="AD85" s="23" t="n"/>
      <c r="AE85" s="23" t="n"/>
      <c r="AF85" s="23" t="n"/>
      <c r="AG85" s="23" t="n"/>
      <c r="AH85" s="23" t="n"/>
      <c r="AI85" s="23" t="n"/>
      <c r="AJ85" s="23" t="n"/>
      <c r="AK85" s="23" t="n"/>
      <c r="AL85" s="23" t="n"/>
      <c r="AM85" s="23" t="n"/>
      <c r="AN85" s="23" t="n"/>
    </row>
    <row r="86">
      <c r="B86" s="56" t="inlineStr">
        <is>
          <t>Financial year (April to March)</t>
        </is>
      </c>
      <c r="D86" s="63" t="n">
        <v>1</v>
      </c>
      <c r="E86" s="63" t="n">
        <v>2</v>
      </c>
      <c r="F86" s="63" t="n">
        <v>3</v>
      </c>
      <c r="G86" s="56" t="inlineStr">
        <is>
          <t>3-year total</t>
        </is>
      </c>
    </row>
    <row r="87">
      <c r="B87" s="7" t="inlineStr">
        <is>
          <t>Revenue</t>
        </is>
      </c>
      <c r="D87" s="52">
        <f>SUMIF($E$114:$AN$114,D$86,$E$128:$AN$128)</f>
        <v/>
      </c>
      <c r="E87" s="52">
        <f>SUMIF($E$114:$AN$114,E$86,$E$128:$AN$128)</f>
        <v/>
      </c>
      <c r="F87" s="52">
        <f>SUMIF($E$114:$AN$114,F$86,$E$128:$AN$128)</f>
        <v/>
      </c>
      <c r="G87" s="50">
        <f>SUM(D87:F87)</f>
        <v/>
      </c>
    </row>
    <row r="88">
      <c r="B88" s="7" t="inlineStr">
        <is>
          <t>Gross profit (after support)</t>
        </is>
      </c>
      <c r="D88" s="50">
        <f>SUMIF($E$114:$AN$114,D$86,$E$135:$AN$135)</f>
        <v/>
      </c>
      <c r="E88" s="50">
        <f>SUMIF($E$114:$AN$114,E$86,$E$135:$AN$135)</f>
        <v/>
      </c>
      <c r="F88" s="50">
        <f>SUMIF($E$114:$AN$114,F$86,$E$135:$AN$135)</f>
        <v/>
      </c>
      <c r="G88" s="50">
        <f>SUM(D88:F88)</f>
        <v/>
      </c>
    </row>
    <row r="89">
      <c r="B89" s="7" t="inlineStr">
        <is>
          <t>Gross margin</t>
        </is>
      </c>
      <c r="D89" s="39">
        <f>IF(D87&lt;&gt;0,D88/D87,0)</f>
        <v/>
      </c>
      <c r="E89" s="39">
        <f>IF(E87&lt;&gt;0,E88/E87,0)</f>
        <v/>
      </c>
      <c r="F89" s="39">
        <f>IF(F87&lt;&gt;0,F88/F87,0)</f>
        <v/>
      </c>
      <c r="G89" s="39">
        <f>IF(G87&lt;&gt;0,G88/G87,0)</f>
        <v/>
      </c>
    </row>
    <row r="90">
      <c r="B90" s="7" t="inlineStr">
        <is>
          <t>Sales and marketing</t>
        </is>
      </c>
      <c r="D90" s="50">
        <f>SUMIF($E$114:$AN$114,D$86,$E$141:$AN$141)</f>
        <v/>
      </c>
      <c r="E90" s="50">
        <f>SUMIF($E$114:$AN$114,E$86,$E$141:$AN$141)</f>
        <v/>
      </c>
      <c r="F90" s="50">
        <f>SUMIF($E$114:$AN$114,F$86,$E$141:$AN$141)</f>
        <v/>
      </c>
      <c r="G90" s="50">
        <f>SUM(D90:F90)</f>
        <v/>
      </c>
    </row>
    <row r="91">
      <c r="B91" s="7" t="inlineStr">
        <is>
          <t>Product and engineering</t>
        </is>
      </c>
      <c r="D91" s="50">
        <f>SUMIF($E$114:$AN$114,D$86,$E$143:$AN$143)</f>
        <v/>
      </c>
      <c r="E91" s="50">
        <f>SUMIF($E$114:$AN$114,E$86,$E$143:$AN$143)</f>
        <v/>
      </c>
      <c r="F91" s="50">
        <f>SUMIF($E$114:$AN$114,F$86,$E$143:$AN$143)</f>
        <v/>
      </c>
      <c r="G91" s="50">
        <f>SUM(D91:F91)</f>
        <v/>
      </c>
    </row>
    <row r="92">
      <c r="B92" s="7" t="inlineStr">
        <is>
          <t>Founders' stipends and general costs</t>
        </is>
      </c>
      <c r="D92" s="50">
        <f>SUMIF($E$114:$AN$114,D$86,$E$144:$AN$144)</f>
        <v/>
      </c>
      <c r="E92" s="50">
        <f>SUMIF($E$114:$AN$114,E$86,$E$144:$AN$144)</f>
        <v/>
      </c>
      <c r="F92" s="50">
        <f>SUMIF($E$114:$AN$114,F$86,$E$144:$AN$144)</f>
        <v/>
      </c>
      <c r="G92" s="50">
        <f>SUM(D92:F92)</f>
        <v/>
      </c>
    </row>
    <row r="93">
      <c r="B93" s="7" t="inlineStr">
        <is>
          <t>EBITDA</t>
        </is>
      </c>
      <c r="D93" s="52">
        <f>SUMIF($E$114:$AN$114,D$86,$E$146:$AN$146)</f>
        <v/>
      </c>
      <c r="E93" s="52">
        <f>SUMIF($E$114:$AN$114,E$86,$E$146:$AN$146)</f>
        <v/>
      </c>
      <c r="F93" s="52">
        <f>SUMIF($E$114:$AN$114,F$86,$E$146:$AN$146)</f>
        <v/>
      </c>
      <c r="G93" s="50">
        <f>SUM(D93:F93)</f>
        <v/>
      </c>
    </row>
    <row r="94">
      <c r="B94" s="7" t="inlineStr">
        <is>
          <t>EBITDA margin</t>
        </is>
      </c>
      <c r="D94" s="39">
        <f>IF(D87&lt;&gt;0,D93/D87,0)</f>
        <v/>
      </c>
      <c r="E94" s="39">
        <f>IF(E87&lt;&gt;0,E93/E87,0)</f>
        <v/>
      </c>
      <c r="F94" s="39">
        <f>IF(F87&lt;&gt;0,F93/F87,0)</f>
        <v/>
      </c>
      <c r="G94" s="39">
        <f>IF(G87&lt;&gt;0,G93/G87,0)</f>
        <v/>
      </c>
    </row>
    <row r="95">
      <c r="B95" s="7" t="inlineStr">
        <is>
          <t>New paying institutes</t>
        </is>
      </c>
      <c r="D95" s="53">
        <f>SUMIF($E$114:$AN$114,D$86,$E$123:$AN$123)</f>
        <v/>
      </c>
      <c r="E95" s="53">
        <f>SUMIF($E$114:$AN$114,E$86,$E$123:$AN$123)</f>
        <v/>
      </c>
      <c r="F95" s="53">
        <f>SUMIF($E$114:$AN$114,F$86,$E$123:$AN$123)</f>
        <v/>
      </c>
      <c r="G95" s="53">
        <f>SUM(D95:F95)</f>
        <v/>
      </c>
    </row>
    <row r="96">
      <c r="B96" s="7" t="inlineStr">
        <is>
          <t>Paying institutes at year end</t>
        </is>
      </c>
      <c r="D96" s="53">
        <f>INDEX($E$126:$AN$126,1,12*D$86)</f>
        <v/>
      </c>
      <c r="E96" s="53">
        <f>INDEX($E$126:$AN$126,1,12*E$86)</f>
        <v/>
      </c>
      <c r="F96" s="53">
        <f>INDEX($E$126:$AN$126,1,12*F$86)</f>
        <v/>
      </c>
    </row>
    <row r="97">
      <c r="B97" s="7" t="inlineStr">
        <is>
          <t>Run-rate annual revenue at year end (institutes × average yearly revenue per institute)</t>
        </is>
      </c>
      <c r="D97" s="52">
        <f>D96*$D$76*12</f>
        <v/>
      </c>
      <c r="E97" s="52">
        <f>E96*$D$76*12</f>
        <v/>
      </c>
      <c r="F97" s="52">
        <f>F96*$D$76*12</f>
        <v/>
      </c>
    </row>
    <row r="98">
      <c r="B98" s="7" t="inlineStr">
        <is>
          <t>Headcount at year end</t>
        </is>
      </c>
      <c r="D98" s="57">
        <f>INDEX($E$150:$AN$150,1,12*D$86)</f>
        <v/>
      </c>
      <c r="E98" s="57">
        <f>INDEX($E$150:$AN$150,1,12*E$86)</f>
        <v/>
      </c>
      <c r="F98" s="57">
        <f>INDEX($E$150:$AN$150,1,12*F$86)</f>
        <v/>
      </c>
    </row>
    <row r="100">
      <c r="A100" s="23" t="n"/>
      <c r="B100" s="22" t="inlineStr">
        <is>
          <t>Funding, break-even and market checks</t>
        </is>
      </c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  <c r="AA100" s="23" t="n"/>
      <c r="AB100" s="23" t="n"/>
      <c r="AC100" s="23" t="n"/>
      <c r="AD100" s="23" t="n"/>
      <c r="AE100" s="23" t="n"/>
      <c r="AF100" s="23" t="n"/>
      <c r="AG100" s="23" t="n"/>
      <c r="AH100" s="23" t="n"/>
      <c r="AI100" s="23" t="n"/>
      <c r="AJ100" s="23" t="n"/>
      <c r="AK100" s="23" t="n"/>
      <c r="AL100" s="23" t="n"/>
      <c r="AM100" s="23" t="n"/>
      <c r="AN100" s="23" t="n"/>
    </row>
    <row r="101">
      <c r="B101" s="7" t="inlineStr">
        <is>
          <t>Peak cash deficit before any funding</t>
        </is>
      </c>
      <c r="C101" s="5" t="inlineStr">
        <is>
          <t>₹</t>
        </is>
      </c>
      <c r="D101" s="52">
        <f>-MIN(0,MIN($E$154:$AN$154))</f>
        <v/>
      </c>
    </row>
    <row r="102">
      <c r="B102" s="7" t="inlineStr">
        <is>
          <t>Cash buffer: months of costs at the point of the deepest deficit</t>
        </is>
      </c>
      <c r="C102" s="5" t="inlineStr">
        <is>
          <t>₹</t>
        </is>
      </c>
      <c r="D102" s="52">
        <f>$D$64*INDEX($E$155:$AN$155,1,MATCH(MIN($E$154:$AN$154),$E$154:$AN$154,0))</f>
        <v/>
      </c>
    </row>
    <row r="103">
      <c r="B103" s="3" t="inlineStr">
        <is>
          <t>FUNDING THE MODEL SAYS WE NEED (peak deficit + buffer, rounded up to ₹5 lakh)</t>
        </is>
      </c>
      <c r="C103" s="5" t="inlineStr">
        <is>
          <t>₹</t>
        </is>
      </c>
      <c r="D103" s="64">
        <f>CEILING($D$101+$D$102,500000)</f>
        <v/>
      </c>
    </row>
    <row r="104">
      <c r="B104" s="7" t="inlineStr">
        <is>
          <t>Cash left at the end of month 36 if that funding arrives in month 1</t>
        </is>
      </c>
      <c r="C104" s="5" t="inlineStr">
        <is>
          <t>₹</t>
        </is>
      </c>
      <c r="D104" s="52">
        <f>$D$103+AN154</f>
        <v/>
      </c>
    </row>
    <row r="105">
      <c r="B105" s="7" t="inlineStr">
        <is>
          <t>Break-even month: first month of 3 in a row with EBITDA ≥ 0</t>
        </is>
      </c>
      <c r="C105" s="5" t="inlineStr">
        <is>
          <t>month #</t>
        </is>
      </c>
      <c r="D105" s="60">
        <f>IFERROR(MATCH(1,$E$158:$AN$158,0),"after month 36")</f>
        <v/>
      </c>
    </row>
    <row r="106">
      <c r="B106" s="7" t="inlineStr">
        <is>
          <t>Break-even month on a trailing-12-month basis (seasonality-proof)</t>
        </is>
      </c>
      <c r="C106" s="5" t="inlineStr">
        <is>
          <t>month #</t>
        </is>
      </c>
      <c r="D106" s="60">
        <f>IFERROR(MATCH(1,$E$159:$AN$159,0),"after month 36")</f>
        <v/>
      </c>
    </row>
    <row r="107">
      <c r="B107" s="7" t="inlineStr">
        <is>
          <t>Share of the addressable market paying us at month 36</t>
        </is>
      </c>
      <c r="C107" s="5" t="inlineStr">
        <is>
          <t>%</t>
        </is>
      </c>
      <c r="D107" s="40">
        <f>IF($D$65&gt;0,AN126/$D$65,0)</f>
        <v/>
      </c>
    </row>
    <row r="108">
      <c r="B108" s="7" t="inlineStr">
        <is>
          <t>Blended CAC realised (sales and marketing ÷ new paying institutes, 36 months)</t>
        </is>
      </c>
      <c r="C108" s="5" t="inlineStr">
        <is>
          <t>₹</t>
        </is>
      </c>
      <c r="D108" s="52">
        <f>IF(SUM($E$123:$AN$123)&gt;0,SUM($E$141:$AN$141)/SUM($E$123:$AN$123),0)</f>
        <v/>
      </c>
    </row>
    <row r="109">
      <c r="B109" s="7" t="inlineStr">
        <is>
          <t>Months in which the market cap limited sales</t>
        </is>
      </c>
      <c r="C109" s="5" t="inlineStr">
        <is>
          <t>months</t>
        </is>
      </c>
      <c r="D109" s="60">
        <f>SUMPRODUCT(($E$123:$AN$123&lt;$E$121:$AN$121-0.000001)*1)</f>
        <v/>
      </c>
    </row>
    <row r="111">
      <c r="A111" s="23" t="n"/>
      <c r="B111" s="22" t="inlineStr">
        <is>
          <t>Monthly model (36 months)</t>
        </is>
      </c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  <c r="AA111" s="23" t="n"/>
      <c r="AB111" s="23" t="n"/>
      <c r="AC111" s="23" t="n"/>
      <c r="AD111" s="23" t="n"/>
      <c r="AE111" s="23" t="n"/>
      <c r="AF111" s="23" t="n"/>
      <c r="AG111" s="23" t="n"/>
      <c r="AH111" s="23" t="n"/>
      <c r="AI111" s="23" t="n"/>
      <c r="AJ111" s="23" t="n"/>
      <c r="AK111" s="23" t="n"/>
      <c r="AL111" s="23" t="n"/>
      <c r="AM111" s="23" t="n"/>
      <c r="AN111" s="23" t="n"/>
    </row>
    <row r="112">
      <c r="B112" s="7" t="inlineStr">
        <is>
          <t>Month number</t>
        </is>
      </c>
      <c r="C112" s="5" t="inlineStr">
        <is>
          <t>no.</t>
        </is>
      </c>
      <c r="E112" s="65" t="n">
        <v>1</v>
      </c>
      <c r="F112" s="65">
        <f>E112+1</f>
        <v/>
      </c>
      <c r="G112" s="65">
        <f>F112+1</f>
        <v/>
      </c>
      <c r="H112" s="65">
        <f>G112+1</f>
        <v/>
      </c>
      <c r="I112" s="65">
        <f>H112+1</f>
        <v/>
      </c>
      <c r="J112" s="65">
        <f>I112+1</f>
        <v/>
      </c>
      <c r="K112" s="65">
        <f>J112+1</f>
        <v/>
      </c>
      <c r="L112" s="65">
        <f>K112+1</f>
        <v/>
      </c>
      <c r="M112" s="65">
        <f>L112+1</f>
        <v/>
      </c>
      <c r="N112" s="65">
        <f>M112+1</f>
        <v/>
      </c>
      <c r="O112" s="65">
        <f>N112+1</f>
        <v/>
      </c>
      <c r="P112" s="65">
        <f>O112+1</f>
        <v/>
      </c>
      <c r="Q112" s="65">
        <f>P112+1</f>
        <v/>
      </c>
      <c r="R112" s="65">
        <f>Q112+1</f>
        <v/>
      </c>
      <c r="S112" s="65">
        <f>R112+1</f>
        <v/>
      </c>
      <c r="T112" s="65">
        <f>S112+1</f>
        <v/>
      </c>
      <c r="U112" s="65">
        <f>T112+1</f>
        <v/>
      </c>
      <c r="V112" s="65">
        <f>U112+1</f>
        <v/>
      </c>
      <c r="W112" s="65">
        <f>V112+1</f>
        <v/>
      </c>
      <c r="X112" s="65">
        <f>W112+1</f>
        <v/>
      </c>
      <c r="Y112" s="65">
        <f>X112+1</f>
        <v/>
      </c>
      <c r="Z112" s="65">
        <f>Y112+1</f>
        <v/>
      </c>
      <c r="AA112" s="65">
        <f>Z112+1</f>
        <v/>
      </c>
      <c r="AB112" s="65">
        <f>AA112+1</f>
        <v/>
      </c>
      <c r="AC112" s="65">
        <f>AB112+1</f>
        <v/>
      </c>
      <c r="AD112" s="65">
        <f>AC112+1</f>
        <v/>
      </c>
      <c r="AE112" s="65">
        <f>AD112+1</f>
        <v/>
      </c>
      <c r="AF112" s="65">
        <f>AE112+1</f>
        <v/>
      </c>
      <c r="AG112" s="65">
        <f>AF112+1</f>
        <v/>
      </c>
      <c r="AH112" s="65">
        <f>AG112+1</f>
        <v/>
      </c>
      <c r="AI112" s="65">
        <f>AH112+1</f>
        <v/>
      </c>
      <c r="AJ112" s="65">
        <f>AI112+1</f>
        <v/>
      </c>
      <c r="AK112" s="65">
        <f>AJ112+1</f>
        <v/>
      </c>
      <c r="AL112" s="65">
        <f>AK112+1</f>
        <v/>
      </c>
      <c r="AM112" s="65">
        <f>AL112+1</f>
        <v/>
      </c>
      <c r="AN112" s="65">
        <f>AM112+1</f>
        <v/>
      </c>
    </row>
    <row r="113">
      <c r="B113" s="7" t="inlineStr">
        <is>
          <t>Calendar month (1 = April)</t>
        </is>
      </c>
      <c r="C113" s="5" t="inlineStr">
        <is>
          <t>no.</t>
        </is>
      </c>
      <c r="E113" s="57">
        <f>MOD(E112-1,12)+1</f>
        <v/>
      </c>
      <c r="F113" s="57">
        <f>MOD(F112-1,12)+1</f>
        <v/>
      </c>
      <c r="G113" s="57">
        <f>MOD(G112-1,12)+1</f>
        <v/>
      </c>
      <c r="H113" s="57">
        <f>MOD(H112-1,12)+1</f>
        <v/>
      </c>
      <c r="I113" s="57">
        <f>MOD(I112-1,12)+1</f>
        <v/>
      </c>
      <c r="J113" s="57">
        <f>MOD(J112-1,12)+1</f>
        <v/>
      </c>
      <c r="K113" s="57">
        <f>MOD(K112-1,12)+1</f>
        <v/>
      </c>
      <c r="L113" s="57">
        <f>MOD(L112-1,12)+1</f>
        <v/>
      </c>
      <c r="M113" s="57">
        <f>MOD(M112-1,12)+1</f>
        <v/>
      </c>
      <c r="N113" s="57">
        <f>MOD(N112-1,12)+1</f>
        <v/>
      </c>
      <c r="O113" s="57">
        <f>MOD(O112-1,12)+1</f>
        <v/>
      </c>
      <c r="P113" s="57">
        <f>MOD(P112-1,12)+1</f>
        <v/>
      </c>
      <c r="Q113" s="57">
        <f>MOD(Q112-1,12)+1</f>
        <v/>
      </c>
      <c r="R113" s="57">
        <f>MOD(R112-1,12)+1</f>
        <v/>
      </c>
      <c r="S113" s="57">
        <f>MOD(S112-1,12)+1</f>
        <v/>
      </c>
      <c r="T113" s="57">
        <f>MOD(T112-1,12)+1</f>
        <v/>
      </c>
      <c r="U113" s="57">
        <f>MOD(U112-1,12)+1</f>
        <v/>
      </c>
      <c r="V113" s="57">
        <f>MOD(V112-1,12)+1</f>
        <v/>
      </c>
      <c r="W113" s="57">
        <f>MOD(W112-1,12)+1</f>
        <v/>
      </c>
      <c r="X113" s="57">
        <f>MOD(X112-1,12)+1</f>
        <v/>
      </c>
      <c r="Y113" s="57">
        <f>MOD(Y112-1,12)+1</f>
        <v/>
      </c>
      <c r="Z113" s="57">
        <f>MOD(Z112-1,12)+1</f>
        <v/>
      </c>
      <c r="AA113" s="57">
        <f>MOD(AA112-1,12)+1</f>
        <v/>
      </c>
      <c r="AB113" s="57">
        <f>MOD(AB112-1,12)+1</f>
        <v/>
      </c>
      <c r="AC113" s="57">
        <f>MOD(AC112-1,12)+1</f>
        <v/>
      </c>
      <c r="AD113" s="57">
        <f>MOD(AD112-1,12)+1</f>
        <v/>
      </c>
      <c r="AE113" s="57">
        <f>MOD(AE112-1,12)+1</f>
        <v/>
      </c>
      <c r="AF113" s="57">
        <f>MOD(AF112-1,12)+1</f>
        <v/>
      </c>
      <c r="AG113" s="57">
        <f>MOD(AG112-1,12)+1</f>
        <v/>
      </c>
      <c r="AH113" s="57">
        <f>MOD(AH112-1,12)+1</f>
        <v/>
      </c>
      <c r="AI113" s="57">
        <f>MOD(AI112-1,12)+1</f>
        <v/>
      </c>
      <c r="AJ113" s="57">
        <f>MOD(AJ112-1,12)+1</f>
        <v/>
      </c>
      <c r="AK113" s="57">
        <f>MOD(AK112-1,12)+1</f>
        <v/>
      </c>
      <c r="AL113" s="57">
        <f>MOD(AL112-1,12)+1</f>
        <v/>
      </c>
      <c r="AM113" s="57">
        <f>MOD(AM112-1,12)+1</f>
        <v/>
      </c>
      <c r="AN113" s="57">
        <f>MOD(AN112-1,12)+1</f>
        <v/>
      </c>
    </row>
    <row r="114">
      <c r="B114" s="7" t="inlineStr">
        <is>
          <t>Financial year</t>
        </is>
      </c>
      <c r="C114" s="5" t="inlineStr">
        <is>
          <t>no.</t>
        </is>
      </c>
      <c r="E114" s="57">
        <f>INT((E112-1)/12)+1</f>
        <v/>
      </c>
      <c r="F114" s="57">
        <f>INT((F112-1)/12)+1</f>
        <v/>
      </c>
      <c r="G114" s="57">
        <f>INT((G112-1)/12)+1</f>
        <v/>
      </c>
      <c r="H114" s="57">
        <f>INT((H112-1)/12)+1</f>
        <v/>
      </c>
      <c r="I114" s="57">
        <f>INT((I112-1)/12)+1</f>
        <v/>
      </c>
      <c r="J114" s="57">
        <f>INT((J112-1)/12)+1</f>
        <v/>
      </c>
      <c r="K114" s="57">
        <f>INT((K112-1)/12)+1</f>
        <v/>
      </c>
      <c r="L114" s="57">
        <f>INT((L112-1)/12)+1</f>
        <v/>
      </c>
      <c r="M114" s="57">
        <f>INT((M112-1)/12)+1</f>
        <v/>
      </c>
      <c r="N114" s="57">
        <f>INT((N112-1)/12)+1</f>
        <v/>
      </c>
      <c r="O114" s="57">
        <f>INT((O112-1)/12)+1</f>
        <v/>
      </c>
      <c r="P114" s="57">
        <f>INT((P112-1)/12)+1</f>
        <v/>
      </c>
      <c r="Q114" s="57">
        <f>INT((Q112-1)/12)+1</f>
        <v/>
      </c>
      <c r="R114" s="57">
        <f>INT((R112-1)/12)+1</f>
        <v/>
      </c>
      <c r="S114" s="57">
        <f>INT((S112-1)/12)+1</f>
        <v/>
      </c>
      <c r="T114" s="57">
        <f>INT((T112-1)/12)+1</f>
        <v/>
      </c>
      <c r="U114" s="57">
        <f>INT((U112-1)/12)+1</f>
        <v/>
      </c>
      <c r="V114" s="57">
        <f>INT((V112-1)/12)+1</f>
        <v/>
      </c>
      <c r="W114" s="57">
        <f>INT((W112-1)/12)+1</f>
        <v/>
      </c>
      <c r="X114" s="57">
        <f>INT((X112-1)/12)+1</f>
        <v/>
      </c>
      <c r="Y114" s="57">
        <f>INT((Y112-1)/12)+1</f>
        <v/>
      </c>
      <c r="Z114" s="57">
        <f>INT((Z112-1)/12)+1</f>
        <v/>
      </c>
      <c r="AA114" s="57">
        <f>INT((AA112-1)/12)+1</f>
        <v/>
      </c>
      <c r="AB114" s="57">
        <f>INT((AB112-1)/12)+1</f>
        <v/>
      </c>
      <c r="AC114" s="57">
        <f>INT((AC112-1)/12)+1</f>
        <v/>
      </c>
      <c r="AD114" s="57">
        <f>INT((AD112-1)/12)+1</f>
        <v/>
      </c>
      <c r="AE114" s="57">
        <f>INT((AE112-1)/12)+1</f>
        <v/>
      </c>
      <c r="AF114" s="57">
        <f>INT((AF112-1)/12)+1</f>
        <v/>
      </c>
      <c r="AG114" s="57">
        <f>INT((AG112-1)/12)+1</f>
        <v/>
      </c>
      <c r="AH114" s="57">
        <f>INT((AH112-1)/12)+1</f>
        <v/>
      </c>
      <c r="AI114" s="57">
        <f>INT((AI112-1)/12)+1</f>
        <v/>
      </c>
      <c r="AJ114" s="57">
        <f>INT((AJ112-1)/12)+1</f>
        <v/>
      </c>
      <c r="AK114" s="57">
        <f>INT((AK112-1)/12)+1</f>
        <v/>
      </c>
      <c r="AL114" s="57">
        <f>INT((AL112-1)/12)+1</f>
        <v/>
      </c>
      <c r="AM114" s="57">
        <f>INT((AM112-1)/12)+1</f>
        <v/>
      </c>
      <c r="AN114" s="57">
        <f>INT((AN112-1)/12)+1</f>
        <v/>
      </c>
    </row>
    <row r="115">
      <c r="B115" s="7" t="inlineStr">
        <is>
          <t>Month</t>
        </is>
      </c>
      <c r="C115" s="5" t="inlineStr"/>
      <c r="E115" s="66">
        <f>INDEX(Seasonality!$B$5:$B$16,E113)&amp;" Y"&amp;E114</f>
        <v/>
      </c>
      <c r="F115" s="66">
        <f>INDEX(Seasonality!$B$5:$B$16,F113)&amp;" Y"&amp;F114</f>
        <v/>
      </c>
      <c r="G115" s="66">
        <f>INDEX(Seasonality!$B$5:$B$16,G113)&amp;" Y"&amp;G114</f>
        <v/>
      </c>
      <c r="H115" s="66">
        <f>INDEX(Seasonality!$B$5:$B$16,H113)&amp;" Y"&amp;H114</f>
        <v/>
      </c>
      <c r="I115" s="66">
        <f>INDEX(Seasonality!$B$5:$B$16,I113)&amp;" Y"&amp;I114</f>
        <v/>
      </c>
      <c r="J115" s="66">
        <f>INDEX(Seasonality!$B$5:$B$16,J113)&amp;" Y"&amp;J114</f>
        <v/>
      </c>
      <c r="K115" s="66">
        <f>INDEX(Seasonality!$B$5:$B$16,K113)&amp;" Y"&amp;K114</f>
        <v/>
      </c>
      <c r="L115" s="66">
        <f>INDEX(Seasonality!$B$5:$B$16,L113)&amp;" Y"&amp;L114</f>
        <v/>
      </c>
      <c r="M115" s="66">
        <f>INDEX(Seasonality!$B$5:$B$16,M113)&amp;" Y"&amp;M114</f>
        <v/>
      </c>
      <c r="N115" s="66">
        <f>INDEX(Seasonality!$B$5:$B$16,N113)&amp;" Y"&amp;N114</f>
        <v/>
      </c>
      <c r="O115" s="66">
        <f>INDEX(Seasonality!$B$5:$B$16,O113)&amp;" Y"&amp;O114</f>
        <v/>
      </c>
      <c r="P115" s="66">
        <f>INDEX(Seasonality!$B$5:$B$16,P113)&amp;" Y"&amp;P114</f>
        <v/>
      </c>
      <c r="Q115" s="66">
        <f>INDEX(Seasonality!$B$5:$B$16,Q113)&amp;" Y"&amp;Q114</f>
        <v/>
      </c>
      <c r="R115" s="66">
        <f>INDEX(Seasonality!$B$5:$B$16,R113)&amp;" Y"&amp;R114</f>
        <v/>
      </c>
      <c r="S115" s="66">
        <f>INDEX(Seasonality!$B$5:$B$16,S113)&amp;" Y"&amp;S114</f>
        <v/>
      </c>
      <c r="T115" s="66">
        <f>INDEX(Seasonality!$B$5:$B$16,T113)&amp;" Y"&amp;T114</f>
        <v/>
      </c>
      <c r="U115" s="66">
        <f>INDEX(Seasonality!$B$5:$B$16,U113)&amp;" Y"&amp;U114</f>
        <v/>
      </c>
      <c r="V115" s="66">
        <f>INDEX(Seasonality!$B$5:$B$16,V113)&amp;" Y"&amp;V114</f>
        <v/>
      </c>
      <c r="W115" s="66">
        <f>INDEX(Seasonality!$B$5:$B$16,W113)&amp;" Y"&amp;W114</f>
        <v/>
      </c>
      <c r="X115" s="66">
        <f>INDEX(Seasonality!$B$5:$B$16,X113)&amp;" Y"&amp;X114</f>
        <v/>
      </c>
      <c r="Y115" s="66">
        <f>INDEX(Seasonality!$B$5:$B$16,Y113)&amp;" Y"&amp;Y114</f>
        <v/>
      </c>
      <c r="Z115" s="66">
        <f>INDEX(Seasonality!$B$5:$B$16,Z113)&amp;" Y"&amp;Z114</f>
        <v/>
      </c>
      <c r="AA115" s="66">
        <f>INDEX(Seasonality!$B$5:$B$16,AA113)&amp;" Y"&amp;AA114</f>
        <v/>
      </c>
      <c r="AB115" s="66">
        <f>INDEX(Seasonality!$B$5:$B$16,AB113)&amp;" Y"&amp;AB114</f>
        <v/>
      </c>
      <c r="AC115" s="66">
        <f>INDEX(Seasonality!$B$5:$B$16,AC113)&amp;" Y"&amp;AC114</f>
        <v/>
      </c>
      <c r="AD115" s="66">
        <f>INDEX(Seasonality!$B$5:$B$16,AD113)&amp;" Y"&amp;AD114</f>
        <v/>
      </c>
      <c r="AE115" s="66">
        <f>INDEX(Seasonality!$B$5:$B$16,AE113)&amp;" Y"&amp;AE114</f>
        <v/>
      </c>
      <c r="AF115" s="66">
        <f>INDEX(Seasonality!$B$5:$B$16,AF113)&amp;" Y"&amp;AF114</f>
        <v/>
      </c>
      <c r="AG115" s="66">
        <f>INDEX(Seasonality!$B$5:$B$16,AG113)&amp;" Y"&amp;AG114</f>
        <v/>
      </c>
      <c r="AH115" s="66">
        <f>INDEX(Seasonality!$B$5:$B$16,AH113)&amp;" Y"&amp;AH114</f>
        <v/>
      </c>
      <c r="AI115" s="66">
        <f>INDEX(Seasonality!$B$5:$B$16,AI113)&amp;" Y"&amp;AI114</f>
        <v/>
      </c>
      <c r="AJ115" s="66">
        <f>INDEX(Seasonality!$B$5:$B$16,AJ113)&amp;" Y"&amp;AJ114</f>
        <v/>
      </c>
      <c r="AK115" s="66">
        <f>INDEX(Seasonality!$B$5:$B$16,AK113)&amp;" Y"&amp;AK114</f>
        <v/>
      </c>
      <c r="AL115" s="66">
        <f>INDEX(Seasonality!$B$5:$B$16,AL113)&amp;" Y"&amp;AL114</f>
        <v/>
      </c>
      <c r="AM115" s="66">
        <f>INDEX(Seasonality!$B$5:$B$16,AM113)&amp;" Y"&amp;AM114</f>
        <v/>
      </c>
      <c r="AN115" s="66">
        <f>INDEX(Seasonality!$B$5:$B$16,AN113)&amp;" Y"&amp;AN114</f>
        <v/>
      </c>
    </row>
    <row r="116">
      <c r="A116" s="23" t="n"/>
      <c r="B116" s="22" t="inlineStr">
        <is>
          <t>A. Sales engine</t>
        </is>
      </c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  <c r="AA116" s="23" t="n"/>
      <c r="AB116" s="23" t="n"/>
      <c r="AC116" s="23" t="n"/>
      <c r="AD116" s="23" t="n"/>
      <c r="AE116" s="23" t="n"/>
      <c r="AF116" s="23" t="n"/>
      <c r="AG116" s="23" t="n"/>
      <c r="AH116" s="23" t="n"/>
      <c r="AI116" s="23" t="n"/>
      <c r="AJ116" s="23" t="n"/>
      <c r="AK116" s="23" t="n"/>
      <c r="AL116" s="23" t="n"/>
      <c r="AM116" s="23" t="n"/>
      <c r="AN116" s="23" t="n"/>
    </row>
    <row r="117">
      <c r="B117" s="7" t="inlineStr">
        <is>
          <t>Cost inflation factor</t>
        </is>
      </c>
      <c r="C117" s="5" t="inlineStr">
        <is>
          <t>x</t>
        </is>
      </c>
      <c r="E117" s="41">
        <f>(1+$D$61)^(E114-1)</f>
        <v/>
      </c>
      <c r="F117" s="41">
        <f>(1+$D$61)^(F114-1)</f>
        <v/>
      </c>
      <c r="G117" s="41">
        <f>(1+$D$61)^(G114-1)</f>
        <v/>
      </c>
      <c r="H117" s="41">
        <f>(1+$D$61)^(H114-1)</f>
        <v/>
      </c>
      <c r="I117" s="41">
        <f>(1+$D$61)^(I114-1)</f>
        <v/>
      </c>
      <c r="J117" s="41">
        <f>(1+$D$61)^(J114-1)</f>
        <v/>
      </c>
      <c r="K117" s="41">
        <f>(1+$D$61)^(K114-1)</f>
        <v/>
      </c>
      <c r="L117" s="41">
        <f>(1+$D$61)^(L114-1)</f>
        <v/>
      </c>
      <c r="M117" s="41">
        <f>(1+$D$61)^(M114-1)</f>
        <v/>
      </c>
      <c r="N117" s="41">
        <f>(1+$D$61)^(N114-1)</f>
        <v/>
      </c>
      <c r="O117" s="41">
        <f>(1+$D$61)^(O114-1)</f>
        <v/>
      </c>
      <c r="P117" s="41">
        <f>(1+$D$61)^(P114-1)</f>
        <v/>
      </c>
      <c r="Q117" s="41">
        <f>(1+$D$61)^(Q114-1)</f>
        <v/>
      </c>
      <c r="R117" s="41">
        <f>(1+$D$61)^(R114-1)</f>
        <v/>
      </c>
      <c r="S117" s="41">
        <f>(1+$D$61)^(S114-1)</f>
        <v/>
      </c>
      <c r="T117" s="41">
        <f>(1+$D$61)^(T114-1)</f>
        <v/>
      </c>
      <c r="U117" s="41">
        <f>(1+$D$61)^(U114-1)</f>
        <v/>
      </c>
      <c r="V117" s="41">
        <f>(1+$D$61)^(V114-1)</f>
        <v/>
      </c>
      <c r="W117" s="41">
        <f>(1+$D$61)^(W114-1)</f>
        <v/>
      </c>
      <c r="X117" s="41">
        <f>(1+$D$61)^(X114-1)</f>
        <v/>
      </c>
      <c r="Y117" s="41">
        <f>(1+$D$61)^(Y114-1)</f>
        <v/>
      </c>
      <c r="Z117" s="41">
        <f>(1+$D$61)^(Z114-1)</f>
        <v/>
      </c>
      <c r="AA117" s="41">
        <f>(1+$D$61)^(AA114-1)</f>
        <v/>
      </c>
      <c r="AB117" s="41">
        <f>(1+$D$61)^(AB114-1)</f>
        <v/>
      </c>
      <c r="AC117" s="41">
        <f>(1+$D$61)^(AC114-1)</f>
        <v/>
      </c>
      <c r="AD117" s="41">
        <f>(1+$D$61)^(AD114-1)</f>
        <v/>
      </c>
      <c r="AE117" s="41">
        <f>(1+$D$61)^(AE114-1)</f>
        <v/>
      </c>
      <c r="AF117" s="41">
        <f>(1+$D$61)^(AF114-1)</f>
        <v/>
      </c>
      <c r="AG117" s="41">
        <f>(1+$D$61)^(AG114-1)</f>
        <v/>
      </c>
      <c r="AH117" s="41">
        <f>(1+$D$61)^(AH114-1)</f>
        <v/>
      </c>
      <c r="AI117" s="41">
        <f>(1+$D$61)^(AI114-1)</f>
        <v/>
      </c>
      <c r="AJ117" s="41">
        <f>(1+$D$61)^(AJ114-1)</f>
        <v/>
      </c>
      <c r="AK117" s="41">
        <f>(1+$D$61)^(AK114-1)</f>
        <v/>
      </c>
      <c r="AL117" s="41">
        <f>(1+$D$61)^(AL114-1)</f>
        <v/>
      </c>
      <c r="AM117" s="41">
        <f>(1+$D$61)^(AM114-1)</f>
        <v/>
      </c>
      <c r="AN117" s="41">
        <f>(1+$D$61)^(AN114-1)</f>
        <v/>
      </c>
    </row>
    <row r="118">
      <c r="B118" s="7" t="inlineStr">
        <is>
          <t>Sales intensity index</t>
        </is>
      </c>
      <c r="C118" s="5" t="inlineStr">
        <is>
          <t>x</t>
        </is>
      </c>
      <c r="E118" s="41">
        <f>INDEX(Sales_Idx,E113)</f>
        <v/>
      </c>
      <c r="F118" s="41">
        <f>INDEX(Sales_Idx,F113)</f>
        <v/>
      </c>
      <c r="G118" s="41">
        <f>INDEX(Sales_Idx,G113)</f>
        <v/>
      </c>
      <c r="H118" s="41">
        <f>INDEX(Sales_Idx,H113)</f>
        <v/>
      </c>
      <c r="I118" s="41">
        <f>INDEX(Sales_Idx,I113)</f>
        <v/>
      </c>
      <c r="J118" s="41">
        <f>INDEX(Sales_Idx,J113)</f>
        <v/>
      </c>
      <c r="K118" s="41">
        <f>INDEX(Sales_Idx,K113)</f>
        <v/>
      </c>
      <c r="L118" s="41">
        <f>INDEX(Sales_Idx,L113)</f>
        <v/>
      </c>
      <c r="M118" s="41">
        <f>INDEX(Sales_Idx,M113)</f>
        <v/>
      </c>
      <c r="N118" s="41">
        <f>INDEX(Sales_Idx,N113)</f>
        <v/>
      </c>
      <c r="O118" s="41">
        <f>INDEX(Sales_Idx,O113)</f>
        <v/>
      </c>
      <c r="P118" s="41">
        <f>INDEX(Sales_Idx,P113)</f>
        <v/>
      </c>
      <c r="Q118" s="41">
        <f>INDEX(Sales_Idx,Q113)</f>
        <v/>
      </c>
      <c r="R118" s="41">
        <f>INDEX(Sales_Idx,R113)</f>
        <v/>
      </c>
      <c r="S118" s="41">
        <f>INDEX(Sales_Idx,S113)</f>
        <v/>
      </c>
      <c r="T118" s="41">
        <f>INDEX(Sales_Idx,T113)</f>
        <v/>
      </c>
      <c r="U118" s="41">
        <f>INDEX(Sales_Idx,U113)</f>
        <v/>
      </c>
      <c r="V118" s="41">
        <f>INDEX(Sales_Idx,V113)</f>
        <v/>
      </c>
      <c r="W118" s="41">
        <f>INDEX(Sales_Idx,W113)</f>
        <v/>
      </c>
      <c r="X118" s="41">
        <f>INDEX(Sales_Idx,X113)</f>
        <v/>
      </c>
      <c r="Y118" s="41">
        <f>INDEX(Sales_Idx,Y113)</f>
        <v/>
      </c>
      <c r="Z118" s="41">
        <f>INDEX(Sales_Idx,Z113)</f>
        <v/>
      </c>
      <c r="AA118" s="41">
        <f>INDEX(Sales_Idx,AA113)</f>
        <v/>
      </c>
      <c r="AB118" s="41">
        <f>INDEX(Sales_Idx,AB113)</f>
        <v/>
      </c>
      <c r="AC118" s="41">
        <f>INDEX(Sales_Idx,AC113)</f>
        <v/>
      </c>
      <c r="AD118" s="41">
        <f>INDEX(Sales_Idx,AD113)</f>
        <v/>
      </c>
      <c r="AE118" s="41">
        <f>INDEX(Sales_Idx,AE113)</f>
        <v/>
      </c>
      <c r="AF118" s="41">
        <f>INDEX(Sales_Idx,AF113)</f>
        <v/>
      </c>
      <c r="AG118" s="41">
        <f>INDEX(Sales_Idx,AG113)</f>
        <v/>
      </c>
      <c r="AH118" s="41">
        <f>INDEX(Sales_Idx,AH113)</f>
        <v/>
      </c>
      <c r="AI118" s="41">
        <f>INDEX(Sales_Idx,AI113)</f>
        <v/>
      </c>
      <c r="AJ118" s="41">
        <f>INDEX(Sales_Idx,AJ113)</f>
        <v/>
      </c>
      <c r="AK118" s="41">
        <f>INDEX(Sales_Idx,AK113)</f>
        <v/>
      </c>
      <c r="AL118" s="41">
        <f>INDEX(Sales_Idx,AL113)</f>
        <v/>
      </c>
      <c r="AM118" s="41">
        <f>INDEX(Sales_Idx,AM113)</f>
        <v/>
      </c>
      <c r="AN118" s="41">
        <f>INDEX(Sales_Idx,AN113)</f>
        <v/>
      </c>
    </row>
    <row r="119">
      <c r="B119" s="7" t="inlineStr">
        <is>
          <t>Field sales reps</t>
        </is>
      </c>
      <c r="C119" s="5" t="inlineStr">
        <is>
          <t>people</t>
        </is>
      </c>
      <c r="E119" s="57">
        <f>CHOOSE(E114,$D$56,$D$57,$D$58)</f>
        <v/>
      </c>
      <c r="F119" s="57">
        <f>CHOOSE(F114,$D$56,$D$57,$D$58)</f>
        <v/>
      </c>
      <c r="G119" s="57">
        <f>CHOOSE(G114,$D$56,$D$57,$D$58)</f>
        <v/>
      </c>
      <c r="H119" s="57">
        <f>CHOOSE(H114,$D$56,$D$57,$D$58)</f>
        <v/>
      </c>
      <c r="I119" s="57">
        <f>CHOOSE(I114,$D$56,$D$57,$D$58)</f>
        <v/>
      </c>
      <c r="J119" s="57">
        <f>CHOOSE(J114,$D$56,$D$57,$D$58)</f>
        <v/>
      </c>
      <c r="K119" s="57">
        <f>CHOOSE(K114,$D$56,$D$57,$D$58)</f>
        <v/>
      </c>
      <c r="L119" s="57">
        <f>CHOOSE(L114,$D$56,$D$57,$D$58)</f>
        <v/>
      </c>
      <c r="M119" s="57">
        <f>CHOOSE(M114,$D$56,$D$57,$D$58)</f>
        <v/>
      </c>
      <c r="N119" s="57">
        <f>CHOOSE(N114,$D$56,$D$57,$D$58)</f>
        <v/>
      </c>
      <c r="O119" s="57">
        <f>CHOOSE(O114,$D$56,$D$57,$D$58)</f>
        <v/>
      </c>
      <c r="P119" s="57">
        <f>CHOOSE(P114,$D$56,$D$57,$D$58)</f>
        <v/>
      </c>
      <c r="Q119" s="57">
        <f>CHOOSE(Q114,$D$56,$D$57,$D$58)</f>
        <v/>
      </c>
      <c r="R119" s="57">
        <f>CHOOSE(R114,$D$56,$D$57,$D$58)</f>
        <v/>
      </c>
      <c r="S119" s="57">
        <f>CHOOSE(S114,$D$56,$D$57,$D$58)</f>
        <v/>
      </c>
      <c r="T119" s="57">
        <f>CHOOSE(T114,$D$56,$D$57,$D$58)</f>
        <v/>
      </c>
      <c r="U119" s="57">
        <f>CHOOSE(U114,$D$56,$D$57,$D$58)</f>
        <v/>
      </c>
      <c r="V119" s="57">
        <f>CHOOSE(V114,$D$56,$D$57,$D$58)</f>
        <v/>
      </c>
      <c r="W119" s="57">
        <f>CHOOSE(W114,$D$56,$D$57,$D$58)</f>
        <v/>
      </c>
      <c r="X119" s="57">
        <f>CHOOSE(X114,$D$56,$D$57,$D$58)</f>
        <v/>
      </c>
      <c r="Y119" s="57">
        <f>CHOOSE(Y114,$D$56,$D$57,$D$58)</f>
        <v/>
      </c>
      <c r="Z119" s="57">
        <f>CHOOSE(Z114,$D$56,$D$57,$D$58)</f>
        <v/>
      </c>
      <c r="AA119" s="57">
        <f>CHOOSE(AA114,$D$56,$D$57,$D$58)</f>
        <v/>
      </c>
      <c r="AB119" s="57">
        <f>CHOOSE(AB114,$D$56,$D$57,$D$58)</f>
        <v/>
      </c>
      <c r="AC119" s="57">
        <f>CHOOSE(AC114,$D$56,$D$57,$D$58)</f>
        <v/>
      </c>
      <c r="AD119" s="57">
        <f>CHOOSE(AD114,$D$56,$D$57,$D$58)</f>
        <v/>
      </c>
      <c r="AE119" s="57">
        <f>CHOOSE(AE114,$D$56,$D$57,$D$58)</f>
        <v/>
      </c>
      <c r="AF119" s="57">
        <f>CHOOSE(AF114,$D$56,$D$57,$D$58)</f>
        <v/>
      </c>
      <c r="AG119" s="57">
        <f>CHOOSE(AG114,$D$56,$D$57,$D$58)</f>
        <v/>
      </c>
      <c r="AH119" s="57">
        <f>CHOOSE(AH114,$D$56,$D$57,$D$58)</f>
        <v/>
      </c>
      <c r="AI119" s="57">
        <f>CHOOSE(AI114,$D$56,$D$57,$D$58)</f>
        <v/>
      </c>
      <c r="AJ119" s="57">
        <f>CHOOSE(AJ114,$D$56,$D$57,$D$58)</f>
        <v/>
      </c>
      <c r="AK119" s="57">
        <f>CHOOSE(AK114,$D$56,$D$57,$D$58)</f>
        <v/>
      </c>
      <c r="AL119" s="57">
        <f>CHOOSE(AL114,$D$56,$D$57,$D$58)</f>
        <v/>
      </c>
      <c r="AM119" s="57">
        <f>CHOOSE(AM114,$D$56,$D$57,$D$58)</f>
        <v/>
      </c>
      <c r="AN119" s="57">
        <f>CHOOSE(AN114,$D$56,$D$57,$D$58)</f>
        <v/>
      </c>
    </row>
    <row r="120">
      <c r="B120" s="7" t="inlineStr">
        <is>
          <t>Free pilots started</t>
        </is>
      </c>
      <c r="C120" s="5" t="inlineStr">
        <is>
          <t>pilots</t>
        </is>
      </c>
      <c r="E120" s="53">
        <f>E119*$D$40*E118</f>
        <v/>
      </c>
      <c r="F120" s="53">
        <f>F119*$D$40*F118</f>
        <v/>
      </c>
      <c r="G120" s="53">
        <f>G119*$D$40*G118</f>
        <v/>
      </c>
      <c r="H120" s="53">
        <f>H119*$D$40*H118</f>
        <v/>
      </c>
      <c r="I120" s="53">
        <f>I119*$D$40*I118</f>
        <v/>
      </c>
      <c r="J120" s="53">
        <f>J119*$D$40*J118</f>
        <v/>
      </c>
      <c r="K120" s="53">
        <f>K119*$D$40*K118</f>
        <v/>
      </c>
      <c r="L120" s="53">
        <f>L119*$D$40*L118</f>
        <v/>
      </c>
      <c r="M120" s="53">
        <f>M119*$D$40*M118</f>
        <v/>
      </c>
      <c r="N120" s="53">
        <f>N119*$D$40*N118</f>
        <v/>
      </c>
      <c r="O120" s="53">
        <f>O119*$D$40*O118</f>
        <v/>
      </c>
      <c r="P120" s="53">
        <f>P119*$D$40*P118</f>
        <v/>
      </c>
      <c r="Q120" s="53">
        <f>Q119*$D$40*Q118</f>
        <v/>
      </c>
      <c r="R120" s="53">
        <f>R119*$D$40*R118</f>
        <v/>
      </c>
      <c r="S120" s="53">
        <f>S119*$D$40*S118</f>
        <v/>
      </c>
      <c r="T120" s="53">
        <f>T119*$D$40*T118</f>
        <v/>
      </c>
      <c r="U120" s="53">
        <f>U119*$D$40*U118</f>
        <v/>
      </c>
      <c r="V120" s="53">
        <f>V119*$D$40*V118</f>
        <v/>
      </c>
      <c r="W120" s="53">
        <f>W119*$D$40*W118</f>
        <v/>
      </c>
      <c r="X120" s="53">
        <f>X119*$D$40*X118</f>
        <v/>
      </c>
      <c r="Y120" s="53">
        <f>Y119*$D$40*Y118</f>
        <v/>
      </c>
      <c r="Z120" s="53">
        <f>Z119*$D$40*Z118</f>
        <v/>
      </c>
      <c r="AA120" s="53">
        <f>AA119*$D$40*AA118</f>
        <v/>
      </c>
      <c r="AB120" s="53">
        <f>AB119*$D$40*AB118</f>
        <v/>
      </c>
      <c r="AC120" s="53">
        <f>AC119*$D$40*AC118</f>
        <v/>
      </c>
      <c r="AD120" s="53">
        <f>AD119*$D$40*AD118</f>
        <v/>
      </c>
      <c r="AE120" s="53">
        <f>AE119*$D$40*AE118</f>
        <v/>
      </c>
      <c r="AF120" s="53">
        <f>AF119*$D$40*AF118</f>
        <v/>
      </c>
      <c r="AG120" s="53">
        <f>AG119*$D$40*AG118</f>
        <v/>
      </c>
      <c r="AH120" s="53">
        <f>AH119*$D$40*AH118</f>
        <v/>
      </c>
      <c r="AI120" s="53">
        <f>AI119*$D$40*AI118</f>
        <v/>
      </c>
      <c r="AJ120" s="53">
        <f>AJ119*$D$40*AJ118</f>
        <v/>
      </c>
      <c r="AK120" s="53">
        <f>AK119*$D$40*AK118</f>
        <v/>
      </c>
      <c r="AL120" s="53">
        <f>AL119*$D$40*AL118</f>
        <v/>
      </c>
      <c r="AM120" s="53">
        <f>AM119*$D$40*AM118</f>
        <v/>
      </c>
      <c r="AN120" s="53">
        <f>AN119*$D$40*AN118</f>
        <v/>
      </c>
    </row>
    <row r="121">
      <c r="B121" s="7" t="inlineStr">
        <is>
          <t>New paying institutes before the market cap</t>
        </is>
      </c>
      <c r="C121" s="5" t="inlineStr">
        <is>
          <t>institutes</t>
        </is>
      </c>
      <c r="E121" s="53">
        <f>IF(E112&gt;$D$42,INDEX($E$120:$AN$120,1,E112-$D$42),0)*$D$41</f>
        <v/>
      </c>
      <c r="F121" s="53">
        <f>IF(F112&gt;$D$42,INDEX($E$120:$AN$120,1,F112-$D$42),0)*$D$41</f>
        <v/>
      </c>
      <c r="G121" s="53">
        <f>IF(G112&gt;$D$42,INDEX($E$120:$AN$120,1,G112-$D$42),0)*$D$41</f>
        <v/>
      </c>
      <c r="H121" s="53">
        <f>IF(H112&gt;$D$42,INDEX($E$120:$AN$120,1,H112-$D$42),0)*$D$41</f>
        <v/>
      </c>
      <c r="I121" s="53">
        <f>IF(I112&gt;$D$42,INDEX($E$120:$AN$120,1,I112-$D$42),0)*$D$41</f>
        <v/>
      </c>
      <c r="J121" s="53">
        <f>IF(J112&gt;$D$42,INDEX($E$120:$AN$120,1,J112-$D$42),0)*$D$41</f>
        <v/>
      </c>
      <c r="K121" s="53">
        <f>IF(K112&gt;$D$42,INDEX($E$120:$AN$120,1,K112-$D$42),0)*$D$41</f>
        <v/>
      </c>
      <c r="L121" s="53">
        <f>IF(L112&gt;$D$42,INDEX($E$120:$AN$120,1,L112-$D$42),0)*$D$41</f>
        <v/>
      </c>
      <c r="M121" s="53">
        <f>IF(M112&gt;$D$42,INDEX($E$120:$AN$120,1,M112-$D$42),0)*$D$41</f>
        <v/>
      </c>
      <c r="N121" s="53">
        <f>IF(N112&gt;$D$42,INDEX($E$120:$AN$120,1,N112-$D$42),0)*$D$41</f>
        <v/>
      </c>
      <c r="O121" s="53">
        <f>IF(O112&gt;$D$42,INDEX($E$120:$AN$120,1,O112-$D$42),0)*$D$41</f>
        <v/>
      </c>
      <c r="P121" s="53">
        <f>IF(P112&gt;$D$42,INDEX($E$120:$AN$120,1,P112-$D$42),0)*$D$41</f>
        <v/>
      </c>
      <c r="Q121" s="53">
        <f>IF(Q112&gt;$D$42,INDEX($E$120:$AN$120,1,Q112-$D$42),0)*$D$41</f>
        <v/>
      </c>
      <c r="R121" s="53">
        <f>IF(R112&gt;$D$42,INDEX($E$120:$AN$120,1,R112-$D$42),0)*$D$41</f>
        <v/>
      </c>
      <c r="S121" s="53">
        <f>IF(S112&gt;$D$42,INDEX($E$120:$AN$120,1,S112-$D$42),0)*$D$41</f>
        <v/>
      </c>
      <c r="T121" s="53">
        <f>IF(T112&gt;$D$42,INDEX($E$120:$AN$120,1,T112-$D$42),0)*$D$41</f>
        <v/>
      </c>
      <c r="U121" s="53">
        <f>IF(U112&gt;$D$42,INDEX($E$120:$AN$120,1,U112-$D$42),0)*$D$41</f>
        <v/>
      </c>
      <c r="V121" s="53">
        <f>IF(V112&gt;$D$42,INDEX($E$120:$AN$120,1,V112-$D$42),0)*$D$41</f>
        <v/>
      </c>
      <c r="W121" s="53">
        <f>IF(W112&gt;$D$42,INDEX($E$120:$AN$120,1,W112-$D$42),0)*$D$41</f>
        <v/>
      </c>
      <c r="X121" s="53">
        <f>IF(X112&gt;$D$42,INDEX($E$120:$AN$120,1,X112-$D$42),0)*$D$41</f>
        <v/>
      </c>
      <c r="Y121" s="53">
        <f>IF(Y112&gt;$D$42,INDEX($E$120:$AN$120,1,Y112-$D$42),0)*$D$41</f>
        <v/>
      </c>
      <c r="Z121" s="53">
        <f>IF(Z112&gt;$D$42,INDEX($E$120:$AN$120,1,Z112-$D$42),0)*$D$41</f>
        <v/>
      </c>
      <c r="AA121" s="53">
        <f>IF(AA112&gt;$D$42,INDEX($E$120:$AN$120,1,AA112-$D$42),0)*$D$41</f>
        <v/>
      </c>
      <c r="AB121" s="53">
        <f>IF(AB112&gt;$D$42,INDEX($E$120:$AN$120,1,AB112-$D$42),0)*$D$41</f>
        <v/>
      </c>
      <c r="AC121" s="53">
        <f>IF(AC112&gt;$D$42,INDEX($E$120:$AN$120,1,AC112-$D$42),0)*$D$41</f>
        <v/>
      </c>
      <c r="AD121" s="53">
        <f>IF(AD112&gt;$D$42,INDEX($E$120:$AN$120,1,AD112-$D$42),0)*$D$41</f>
        <v/>
      </c>
      <c r="AE121" s="53">
        <f>IF(AE112&gt;$D$42,INDEX($E$120:$AN$120,1,AE112-$D$42),0)*$D$41</f>
        <v/>
      </c>
      <c r="AF121" s="53">
        <f>IF(AF112&gt;$D$42,INDEX($E$120:$AN$120,1,AF112-$D$42),0)*$D$41</f>
        <v/>
      </c>
      <c r="AG121" s="53">
        <f>IF(AG112&gt;$D$42,INDEX($E$120:$AN$120,1,AG112-$D$42),0)*$D$41</f>
        <v/>
      </c>
      <c r="AH121" s="53">
        <f>IF(AH112&gt;$D$42,INDEX($E$120:$AN$120,1,AH112-$D$42),0)*$D$41</f>
        <v/>
      </c>
      <c r="AI121" s="53">
        <f>IF(AI112&gt;$D$42,INDEX($E$120:$AN$120,1,AI112-$D$42),0)*$D$41</f>
        <v/>
      </c>
      <c r="AJ121" s="53">
        <f>IF(AJ112&gt;$D$42,INDEX($E$120:$AN$120,1,AJ112-$D$42),0)*$D$41</f>
        <v/>
      </c>
      <c r="AK121" s="53">
        <f>IF(AK112&gt;$D$42,INDEX($E$120:$AN$120,1,AK112-$D$42),0)*$D$41</f>
        <v/>
      </c>
      <c r="AL121" s="53">
        <f>IF(AL112&gt;$D$42,INDEX($E$120:$AN$120,1,AL112-$D$42),0)*$D$41</f>
        <v/>
      </c>
      <c r="AM121" s="53">
        <f>IF(AM112&gt;$D$42,INDEX($E$120:$AN$120,1,AM112-$D$42),0)*$D$41</f>
        <v/>
      </c>
      <c r="AN121" s="53">
        <f>IF(AN112&gt;$D$42,INDEX($E$120:$AN$120,1,AN112-$D$42),0)*$D$41</f>
        <v/>
      </c>
    </row>
    <row r="122">
      <c r="B122" s="7" t="inlineStr">
        <is>
          <t>Market headroom left (SAM × max penetration − institutes won so far)</t>
        </is>
      </c>
      <c r="C122" s="5" t="inlineStr">
        <is>
          <t>institutes</t>
        </is>
      </c>
      <c r="E122" s="53">
        <f>MAX(0,$D$75)</f>
        <v/>
      </c>
      <c r="F122" s="53">
        <f>MAX(0,$D$75-E124)</f>
        <v/>
      </c>
      <c r="G122" s="53">
        <f>MAX(0,$D$75-F124)</f>
        <v/>
      </c>
      <c r="H122" s="53">
        <f>MAX(0,$D$75-G124)</f>
        <v/>
      </c>
      <c r="I122" s="53">
        <f>MAX(0,$D$75-H124)</f>
        <v/>
      </c>
      <c r="J122" s="53">
        <f>MAX(0,$D$75-I124)</f>
        <v/>
      </c>
      <c r="K122" s="53">
        <f>MAX(0,$D$75-J124)</f>
        <v/>
      </c>
      <c r="L122" s="53">
        <f>MAX(0,$D$75-K124)</f>
        <v/>
      </c>
      <c r="M122" s="53">
        <f>MAX(0,$D$75-L124)</f>
        <v/>
      </c>
      <c r="N122" s="53">
        <f>MAX(0,$D$75-M124)</f>
        <v/>
      </c>
      <c r="O122" s="53">
        <f>MAX(0,$D$75-N124)</f>
        <v/>
      </c>
      <c r="P122" s="53">
        <f>MAX(0,$D$75-O124)</f>
        <v/>
      </c>
      <c r="Q122" s="53">
        <f>MAX(0,$D$75-P124)</f>
        <v/>
      </c>
      <c r="R122" s="53">
        <f>MAX(0,$D$75-Q124)</f>
        <v/>
      </c>
      <c r="S122" s="53">
        <f>MAX(0,$D$75-R124)</f>
        <v/>
      </c>
      <c r="T122" s="53">
        <f>MAX(0,$D$75-S124)</f>
        <v/>
      </c>
      <c r="U122" s="53">
        <f>MAX(0,$D$75-T124)</f>
        <v/>
      </c>
      <c r="V122" s="53">
        <f>MAX(0,$D$75-U124)</f>
        <v/>
      </c>
      <c r="W122" s="53">
        <f>MAX(0,$D$75-V124)</f>
        <v/>
      </c>
      <c r="X122" s="53">
        <f>MAX(0,$D$75-W124)</f>
        <v/>
      </c>
      <c r="Y122" s="53">
        <f>MAX(0,$D$75-X124)</f>
        <v/>
      </c>
      <c r="Z122" s="53">
        <f>MAX(0,$D$75-Y124)</f>
        <v/>
      </c>
      <c r="AA122" s="53">
        <f>MAX(0,$D$75-Z124)</f>
        <v/>
      </c>
      <c r="AB122" s="53">
        <f>MAX(0,$D$75-AA124)</f>
        <v/>
      </c>
      <c r="AC122" s="53">
        <f>MAX(0,$D$75-AB124)</f>
        <v/>
      </c>
      <c r="AD122" s="53">
        <f>MAX(0,$D$75-AC124)</f>
        <v/>
      </c>
      <c r="AE122" s="53">
        <f>MAX(0,$D$75-AD124)</f>
        <v/>
      </c>
      <c r="AF122" s="53">
        <f>MAX(0,$D$75-AE124)</f>
        <v/>
      </c>
      <c r="AG122" s="53">
        <f>MAX(0,$D$75-AF124)</f>
        <v/>
      </c>
      <c r="AH122" s="53">
        <f>MAX(0,$D$75-AG124)</f>
        <v/>
      </c>
      <c r="AI122" s="53">
        <f>MAX(0,$D$75-AH124)</f>
        <v/>
      </c>
      <c r="AJ122" s="53">
        <f>MAX(0,$D$75-AI124)</f>
        <v/>
      </c>
      <c r="AK122" s="53">
        <f>MAX(0,$D$75-AJ124)</f>
        <v/>
      </c>
      <c r="AL122" s="53">
        <f>MAX(0,$D$75-AK124)</f>
        <v/>
      </c>
      <c r="AM122" s="53">
        <f>MAX(0,$D$75-AL124)</f>
        <v/>
      </c>
      <c r="AN122" s="53">
        <f>MAX(0,$D$75-AM124)</f>
        <v/>
      </c>
    </row>
    <row r="123">
      <c r="B123" s="7" t="inlineStr">
        <is>
          <t>New paying institutes</t>
        </is>
      </c>
      <c r="C123" s="5" t="inlineStr">
        <is>
          <t>institutes</t>
        </is>
      </c>
      <c r="E123" s="53">
        <f>MIN(E121,E122)</f>
        <v/>
      </c>
      <c r="F123" s="53">
        <f>MIN(F121,F122)</f>
        <v/>
      </c>
      <c r="G123" s="53">
        <f>MIN(G121,G122)</f>
        <v/>
      </c>
      <c r="H123" s="53">
        <f>MIN(H121,H122)</f>
        <v/>
      </c>
      <c r="I123" s="53">
        <f>MIN(I121,I122)</f>
        <v/>
      </c>
      <c r="J123" s="53">
        <f>MIN(J121,J122)</f>
        <v/>
      </c>
      <c r="K123" s="53">
        <f>MIN(K121,K122)</f>
        <v/>
      </c>
      <c r="L123" s="53">
        <f>MIN(L121,L122)</f>
        <v/>
      </c>
      <c r="M123" s="53">
        <f>MIN(M121,M122)</f>
        <v/>
      </c>
      <c r="N123" s="53">
        <f>MIN(N121,N122)</f>
        <v/>
      </c>
      <c r="O123" s="53">
        <f>MIN(O121,O122)</f>
        <v/>
      </c>
      <c r="P123" s="53">
        <f>MIN(P121,P122)</f>
        <v/>
      </c>
      <c r="Q123" s="53">
        <f>MIN(Q121,Q122)</f>
        <v/>
      </c>
      <c r="R123" s="53">
        <f>MIN(R121,R122)</f>
        <v/>
      </c>
      <c r="S123" s="53">
        <f>MIN(S121,S122)</f>
        <v/>
      </c>
      <c r="T123" s="53">
        <f>MIN(T121,T122)</f>
        <v/>
      </c>
      <c r="U123" s="53">
        <f>MIN(U121,U122)</f>
        <v/>
      </c>
      <c r="V123" s="53">
        <f>MIN(V121,V122)</f>
        <v/>
      </c>
      <c r="W123" s="53">
        <f>MIN(W121,W122)</f>
        <v/>
      </c>
      <c r="X123" s="53">
        <f>MIN(X121,X122)</f>
        <v/>
      </c>
      <c r="Y123" s="53">
        <f>MIN(Y121,Y122)</f>
        <v/>
      </c>
      <c r="Z123" s="53">
        <f>MIN(Z121,Z122)</f>
        <v/>
      </c>
      <c r="AA123" s="53">
        <f>MIN(AA121,AA122)</f>
        <v/>
      </c>
      <c r="AB123" s="53">
        <f>MIN(AB121,AB122)</f>
        <v/>
      </c>
      <c r="AC123" s="53">
        <f>MIN(AC121,AC122)</f>
        <v/>
      </c>
      <c r="AD123" s="53">
        <f>MIN(AD121,AD122)</f>
        <v/>
      </c>
      <c r="AE123" s="53">
        <f>MIN(AE121,AE122)</f>
        <v/>
      </c>
      <c r="AF123" s="53">
        <f>MIN(AF121,AF122)</f>
        <v/>
      </c>
      <c r="AG123" s="53">
        <f>MIN(AG121,AG122)</f>
        <v/>
      </c>
      <c r="AH123" s="53">
        <f>MIN(AH121,AH122)</f>
        <v/>
      </c>
      <c r="AI123" s="53">
        <f>MIN(AI121,AI122)</f>
        <v/>
      </c>
      <c r="AJ123" s="53">
        <f>MIN(AJ121,AJ122)</f>
        <v/>
      </c>
      <c r="AK123" s="53">
        <f>MIN(AK121,AK122)</f>
        <v/>
      </c>
      <c r="AL123" s="53">
        <f>MIN(AL121,AL122)</f>
        <v/>
      </c>
      <c r="AM123" s="53">
        <f>MIN(AM121,AM122)</f>
        <v/>
      </c>
      <c r="AN123" s="53">
        <f>MIN(AN121,AN122)</f>
        <v/>
      </c>
    </row>
    <row r="124">
      <c r="B124" s="7" t="inlineStr">
        <is>
          <t>Cumulative institutes won</t>
        </is>
      </c>
      <c r="C124" s="5" t="inlineStr">
        <is>
          <t>institutes</t>
        </is>
      </c>
      <c r="E124" s="53">
        <f>E123</f>
        <v/>
      </c>
      <c r="F124" s="53">
        <f>E124+F123</f>
        <v/>
      </c>
      <c r="G124" s="53">
        <f>F124+G123</f>
        <v/>
      </c>
      <c r="H124" s="53">
        <f>G124+H123</f>
        <v/>
      </c>
      <c r="I124" s="53">
        <f>H124+I123</f>
        <v/>
      </c>
      <c r="J124" s="53">
        <f>I124+J123</f>
        <v/>
      </c>
      <c r="K124" s="53">
        <f>J124+K123</f>
        <v/>
      </c>
      <c r="L124" s="53">
        <f>K124+L123</f>
        <v/>
      </c>
      <c r="M124" s="53">
        <f>L124+M123</f>
        <v/>
      </c>
      <c r="N124" s="53">
        <f>M124+N123</f>
        <v/>
      </c>
      <c r="O124" s="53">
        <f>N124+O123</f>
        <v/>
      </c>
      <c r="P124" s="53">
        <f>O124+P123</f>
        <v/>
      </c>
      <c r="Q124" s="53">
        <f>P124+Q123</f>
        <v/>
      </c>
      <c r="R124" s="53">
        <f>Q124+R123</f>
        <v/>
      </c>
      <c r="S124" s="53">
        <f>R124+S123</f>
        <v/>
      </c>
      <c r="T124" s="53">
        <f>S124+T123</f>
        <v/>
      </c>
      <c r="U124" s="53">
        <f>T124+U123</f>
        <v/>
      </c>
      <c r="V124" s="53">
        <f>U124+V123</f>
        <v/>
      </c>
      <c r="W124" s="53">
        <f>V124+W123</f>
        <v/>
      </c>
      <c r="X124" s="53">
        <f>W124+X123</f>
        <v/>
      </c>
      <c r="Y124" s="53">
        <f>X124+Y123</f>
        <v/>
      </c>
      <c r="Z124" s="53">
        <f>Y124+Z123</f>
        <v/>
      </c>
      <c r="AA124" s="53">
        <f>Z124+AA123</f>
        <v/>
      </c>
      <c r="AB124" s="53">
        <f>AA124+AB123</f>
        <v/>
      </c>
      <c r="AC124" s="53">
        <f>AB124+AC123</f>
        <v/>
      </c>
      <c r="AD124" s="53">
        <f>AC124+AD123</f>
        <v/>
      </c>
      <c r="AE124" s="53">
        <f>AD124+AE123</f>
        <v/>
      </c>
      <c r="AF124" s="53">
        <f>AE124+AF123</f>
        <v/>
      </c>
      <c r="AG124" s="53">
        <f>AF124+AG123</f>
        <v/>
      </c>
      <c r="AH124" s="53">
        <f>AG124+AH123</f>
        <v/>
      </c>
      <c r="AI124" s="53">
        <f>AH124+AI123</f>
        <v/>
      </c>
      <c r="AJ124" s="53">
        <f>AI124+AJ123</f>
        <v/>
      </c>
      <c r="AK124" s="53">
        <f>AJ124+AK123</f>
        <v/>
      </c>
      <c r="AL124" s="53">
        <f>AK124+AL123</f>
        <v/>
      </c>
      <c r="AM124" s="53">
        <f>AL124+AM123</f>
        <v/>
      </c>
      <c r="AN124" s="53">
        <f>AM124+AN123</f>
        <v/>
      </c>
    </row>
    <row r="125">
      <c r="A125" s="23" t="n"/>
      <c r="B125" s="22" t="inlineStr">
        <is>
          <t>B. Customers and revenue</t>
        </is>
      </c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  <c r="AA125" s="23" t="n"/>
      <c r="AB125" s="23" t="n"/>
      <c r="AC125" s="23" t="n"/>
      <c r="AD125" s="23" t="n"/>
      <c r="AE125" s="23" t="n"/>
      <c r="AF125" s="23" t="n"/>
      <c r="AG125" s="23" t="n"/>
      <c r="AH125" s="23" t="n"/>
      <c r="AI125" s="23" t="n"/>
      <c r="AJ125" s="23" t="n"/>
      <c r="AK125" s="23" t="n"/>
      <c r="AL125" s="23" t="n"/>
      <c r="AM125" s="23" t="n"/>
      <c r="AN125" s="23" t="n"/>
    </row>
    <row r="126">
      <c r="B126" s="3" t="inlineStr">
        <is>
          <t>Paying institutes (end of month)</t>
        </is>
      </c>
      <c r="C126" s="5" t="inlineStr">
        <is>
          <t>institutes</t>
        </is>
      </c>
      <c r="E126" s="53">
        <f>SUM(E161:E196)</f>
        <v/>
      </c>
      <c r="F126" s="53">
        <f>SUM(F161:F196)</f>
        <v/>
      </c>
      <c r="G126" s="53">
        <f>SUM(G161:G196)</f>
        <v/>
      </c>
      <c r="H126" s="53">
        <f>SUM(H161:H196)</f>
        <v/>
      </c>
      <c r="I126" s="53">
        <f>SUM(I161:I196)</f>
        <v/>
      </c>
      <c r="J126" s="53">
        <f>SUM(J161:J196)</f>
        <v/>
      </c>
      <c r="K126" s="53">
        <f>SUM(K161:K196)</f>
        <v/>
      </c>
      <c r="L126" s="53">
        <f>SUM(L161:L196)</f>
        <v/>
      </c>
      <c r="M126" s="53">
        <f>SUM(M161:M196)</f>
        <v/>
      </c>
      <c r="N126" s="53">
        <f>SUM(N161:N196)</f>
        <v/>
      </c>
      <c r="O126" s="53">
        <f>SUM(O161:O196)</f>
        <v/>
      </c>
      <c r="P126" s="53">
        <f>SUM(P161:P196)</f>
        <v/>
      </c>
      <c r="Q126" s="53">
        <f>SUM(Q161:Q196)</f>
        <v/>
      </c>
      <c r="R126" s="53">
        <f>SUM(R161:R196)</f>
        <v/>
      </c>
      <c r="S126" s="53">
        <f>SUM(S161:S196)</f>
        <v/>
      </c>
      <c r="T126" s="53">
        <f>SUM(T161:T196)</f>
        <v/>
      </c>
      <c r="U126" s="53">
        <f>SUM(U161:U196)</f>
        <v/>
      </c>
      <c r="V126" s="53">
        <f>SUM(V161:V196)</f>
        <v/>
      </c>
      <c r="W126" s="53">
        <f>SUM(W161:W196)</f>
        <v/>
      </c>
      <c r="X126" s="53">
        <f>SUM(X161:X196)</f>
        <v/>
      </c>
      <c r="Y126" s="53">
        <f>SUM(Y161:Y196)</f>
        <v/>
      </c>
      <c r="Z126" s="53">
        <f>SUM(Z161:Z196)</f>
        <v/>
      </c>
      <c r="AA126" s="53">
        <f>SUM(AA161:AA196)</f>
        <v/>
      </c>
      <c r="AB126" s="53">
        <f>SUM(AB161:AB196)</f>
        <v/>
      </c>
      <c r="AC126" s="53">
        <f>SUM(AC161:AC196)</f>
        <v/>
      </c>
      <c r="AD126" s="53">
        <f>SUM(AD161:AD196)</f>
        <v/>
      </c>
      <c r="AE126" s="53">
        <f>SUM(AE161:AE196)</f>
        <v/>
      </c>
      <c r="AF126" s="53">
        <f>SUM(AF161:AF196)</f>
        <v/>
      </c>
      <c r="AG126" s="53">
        <f>SUM(AG161:AG196)</f>
        <v/>
      </c>
      <c r="AH126" s="53">
        <f>SUM(AH161:AH196)</f>
        <v/>
      </c>
      <c r="AI126" s="53">
        <f>SUM(AI161:AI196)</f>
        <v/>
      </c>
      <c r="AJ126" s="53">
        <f>SUM(AJ161:AJ196)</f>
        <v/>
      </c>
      <c r="AK126" s="53">
        <f>SUM(AK161:AK196)</f>
        <v/>
      </c>
      <c r="AL126" s="53">
        <f>SUM(AL161:AL196)</f>
        <v/>
      </c>
      <c r="AM126" s="53">
        <f>SUM(AM161:AM196)</f>
        <v/>
      </c>
      <c r="AN126" s="53">
        <f>SUM(AN161:AN196)</f>
        <v/>
      </c>
    </row>
    <row r="127">
      <c r="B127" s="7" t="inlineStr">
        <is>
          <t>Revenue per paying institute this month</t>
        </is>
      </c>
      <c r="C127" s="5" t="inlineStr">
        <is>
          <t>₹</t>
        </is>
      </c>
      <c r="E127" s="50">
        <f>INDEX($E$82:$P$82,1,E113)</f>
        <v/>
      </c>
      <c r="F127" s="50">
        <f>INDEX($E$82:$P$82,1,F113)</f>
        <v/>
      </c>
      <c r="G127" s="50">
        <f>INDEX($E$82:$P$82,1,G113)</f>
        <v/>
      </c>
      <c r="H127" s="50">
        <f>INDEX($E$82:$P$82,1,H113)</f>
        <v/>
      </c>
      <c r="I127" s="50">
        <f>INDEX($E$82:$P$82,1,I113)</f>
        <v/>
      </c>
      <c r="J127" s="50">
        <f>INDEX($E$82:$P$82,1,J113)</f>
        <v/>
      </c>
      <c r="K127" s="50">
        <f>INDEX($E$82:$P$82,1,K113)</f>
        <v/>
      </c>
      <c r="L127" s="50">
        <f>INDEX($E$82:$P$82,1,L113)</f>
        <v/>
      </c>
      <c r="M127" s="50">
        <f>INDEX($E$82:$P$82,1,M113)</f>
        <v/>
      </c>
      <c r="N127" s="50">
        <f>INDEX($E$82:$P$82,1,N113)</f>
        <v/>
      </c>
      <c r="O127" s="50">
        <f>INDEX($E$82:$P$82,1,O113)</f>
        <v/>
      </c>
      <c r="P127" s="50">
        <f>INDEX($E$82:$P$82,1,P113)</f>
        <v/>
      </c>
      <c r="Q127" s="50">
        <f>INDEX($E$82:$P$82,1,Q113)</f>
        <v/>
      </c>
      <c r="R127" s="50">
        <f>INDEX($E$82:$P$82,1,R113)</f>
        <v/>
      </c>
      <c r="S127" s="50">
        <f>INDEX($E$82:$P$82,1,S113)</f>
        <v/>
      </c>
      <c r="T127" s="50">
        <f>INDEX($E$82:$P$82,1,T113)</f>
        <v/>
      </c>
      <c r="U127" s="50">
        <f>INDEX($E$82:$P$82,1,U113)</f>
        <v/>
      </c>
      <c r="V127" s="50">
        <f>INDEX($E$82:$P$82,1,V113)</f>
        <v/>
      </c>
      <c r="W127" s="50">
        <f>INDEX($E$82:$P$82,1,W113)</f>
        <v/>
      </c>
      <c r="X127" s="50">
        <f>INDEX($E$82:$P$82,1,X113)</f>
        <v/>
      </c>
      <c r="Y127" s="50">
        <f>INDEX($E$82:$P$82,1,Y113)</f>
        <v/>
      </c>
      <c r="Z127" s="50">
        <f>INDEX($E$82:$P$82,1,Z113)</f>
        <v/>
      </c>
      <c r="AA127" s="50">
        <f>INDEX($E$82:$P$82,1,AA113)</f>
        <v/>
      </c>
      <c r="AB127" s="50">
        <f>INDEX($E$82:$P$82,1,AB113)</f>
        <v/>
      </c>
      <c r="AC127" s="50">
        <f>INDEX($E$82:$P$82,1,AC113)</f>
        <v/>
      </c>
      <c r="AD127" s="50">
        <f>INDEX($E$82:$P$82,1,AD113)</f>
        <v/>
      </c>
      <c r="AE127" s="50">
        <f>INDEX($E$82:$P$82,1,AE113)</f>
        <v/>
      </c>
      <c r="AF127" s="50">
        <f>INDEX($E$82:$P$82,1,AF113)</f>
        <v/>
      </c>
      <c r="AG127" s="50">
        <f>INDEX($E$82:$P$82,1,AG113)</f>
        <v/>
      </c>
      <c r="AH127" s="50">
        <f>INDEX($E$82:$P$82,1,AH113)</f>
        <v/>
      </c>
      <c r="AI127" s="50">
        <f>INDEX($E$82:$P$82,1,AI113)</f>
        <v/>
      </c>
      <c r="AJ127" s="50">
        <f>INDEX($E$82:$P$82,1,AJ113)</f>
        <v/>
      </c>
      <c r="AK127" s="50">
        <f>INDEX($E$82:$P$82,1,AK113)</f>
        <v/>
      </c>
      <c r="AL127" s="50">
        <f>INDEX($E$82:$P$82,1,AL113)</f>
        <v/>
      </c>
      <c r="AM127" s="50">
        <f>INDEX($E$82:$P$82,1,AM113)</f>
        <v/>
      </c>
      <c r="AN127" s="50">
        <f>INDEX($E$82:$P$82,1,AN113)</f>
        <v/>
      </c>
    </row>
    <row r="128">
      <c r="B128" s="3" t="inlineStr">
        <is>
          <t>Revenue (ex-GST)</t>
        </is>
      </c>
      <c r="C128" s="5" t="inlineStr">
        <is>
          <t>₹</t>
        </is>
      </c>
      <c r="E128" s="52">
        <f>E126*E127</f>
        <v/>
      </c>
      <c r="F128" s="52">
        <f>F126*F127</f>
        <v/>
      </c>
      <c r="G128" s="52">
        <f>G126*G127</f>
        <v/>
      </c>
      <c r="H128" s="52">
        <f>H126*H127</f>
        <v/>
      </c>
      <c r="I128" s="52">
        <f>I126*I127</f>
        <v/>
      </c>
      <c r="J128" s="52">
        <f>J126*J127</f>
        <v/>
      </c>
      <c r="K128" s="52">
        <f>K126*K127</f>
        <v/>
      </c>
      <c r="L128" s="52">
        <f>L126*L127</f>
        <v/>
      </c>
      <c r="M128" s="52">
        <f>M126*M127</f>
        <v/>
      </c>
      <c r="N128" s="52">
        <f>N126*N127</f>
        <v/>
      </c>
      <c r="O128" s="52">
        <f>O126*O127</f>
        <v/>
      </c>
      <c r="P128" s="52">
        <f>P126*P127</f>
        <v/>
      </c>
      <c r="Q128" s="52">
        <f>Q126*Q127</f>
        <v/>
      </c>
      <c r="R128" s="52">
        <f>R126*R127</f>
        <v/>
      </c>
      <c r="S128" s="52">
        <f>S126*S127</f>
        <v/>
      </c>
      <c r="T128" s="52">
        <f>T126*T127</f>
        <v/>
      </c>
      <c r="U128" s="52">
        <f>U126*U127</f>
        <v/>
      </c>
      <c r="V128" s="52">
        <f>V126*V127</f>
        <v/>
      </c>
      <c r="W128" s="52">
        <f>W126*W127</f>
        <v/>
      </c>
      <c r="X128" s="52">
        <f>X126*X127</f>
        <v/>
      </c>
      <c r="Y128" s="52">
        <f>Y126*Y127</f>
        <v/>
      </c>
      <c r="Z128" s="52">
        <f>Z126*Z127</f>
        <v/>
      </c>
      <c r="AA128" s="52">
        <f>AA126*AA127</f>
        <v/>
      </c>
      <c r="AB128" s="52">
        <f>AB126*AB127</f>
        <v/>
      </c>
      <c r="AC128" s="52">
        <f>AC126*AC127</f>
        <v/>
      </c>
      <c r="AD128" s="52">
        <f>AD126*AD127</f>
        <v/>
      </c>
      <c r="AE128" s="52">
        <f>AE126*AE127</f>
        <v/>
      </c>
      <c r="AF128" s="52">
        <f>AF126*AF127</f>
        <v/>
      </c>
      <c r="AG128" s="52">
        <f>AG126*AG127</f>
        <v/>
      </c>
      <c r="AH128" s="52">
        <f>AH126*AH127</f>
        <v/>
      </c>
      <c r="AI128" s="52">
        <f>AI126*AI127</f>
        <v/>
      </c>
      <c r="AJ128" s="52">
        <f>AJ126*AJ127</f>
        <v/>
      </c>
      <c r="AK128" s="52">
        <f>AK126*AK127</f>
        <v/>
      </c>
      <c r="AL128" s="52">
        <f>AL126*AL127</f>
        <v/>
      </c>
      <c r="AM128" s="52">
        <f>AM126*AM127</f>
        <v/>
      </c>
      <c r="AN128" s="52">
        <f>AN126*AN127</f>
        <v/>
      </c>
    </row>
    <row r="129">
      <c r="A129" s="23" t="n"/>
      <c r="B129" s="22" t="inlineStr">
        <is>
          <t>C. Cost of serving customers</t>
        </is>
      </c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  <c r="AA129" s="23" t="n"/>
      <c r="AB129" s="23" t="n"/>
      <c r="AC129" s="23" t="n"/>
      <c r="AD129" s="23" t="n"/>
      <c r="AE129" s="23" t="n"/>
      <c r="AF129" s="23" t="n"/>
      <c r="AG129" s="23" t="n"/>
      <c r="AH129" s="23" t="n"/>
      <c r="AI129" s="23" t="n"/>
      <c r="AJ129" s="23" t="n"/>
      <c r="AK129" s="23" t="n"/>
      <c r="AL129" s="23" t="n"/>
      <c r="AM129" s="23" t="n"/>
      <c r="AN129" s="23" t="n"/>
    </row>
    <row r="130">
      <c r="B130" s="7" t="inlineStr">
        <is>
          <t>Variable cost of serving (AI, WhatsApp, compute, consent, payment fees, compliance)</t>
        </is>
      </c>
      <c r="C130" s="5" t="inlineStr">
        <is>
          <t>₹</t>
        </is>
      </c>
      <c r="E130" s="50">
        <f>E126*INDEX($E$83:$P$83,1,E113)</f>
        <v/>
      </c>
      <c r="F130" s="50">
        <f>F126*INDEX($E$83:$P$83,1,F113)</f>
        <v/>
      </c>
      <c r="G130" s="50">
        <f>G126*INDEX($E$83:$P$83,1,G113)</f>
        <v/>
      </c>
      <c r="H130" s="50">
        <f>H126*INDEX($E$83:$P$83,1,H113)</f>
        <v/>
      </c>
      <c r="I130" s="50">
        <f>I126*INDEX($E$83:$P$83,1,I113)</f>
        <v/>
      </c>
      <c r="J130" s="50">
        <f>J126*INDEX($E$83:$P$83,1,J113)</f>
        <v/>
      </c>
      <c r="K130" s="50">
        <f>K126*INDEX($E$83:$P$83,1,K113)</f>
        <v/>
      </c>
      <c r="L130" s="50">
        <f>L126*INDEX($E$83:$P$83,1,L113)</f>
        <v/>
      </c>
      <c r="M130" s="50">
        <f>M126*INDEX($E$83:$P$83,1,M113)</f>
        <v/>
      </c>
      <c r="N130" s="50">
        <f>N126*INDEX($E$83:$P$83,1,N113)</f>
        <v/>
      </c>
      <c r="O130" s="50">
        <f>O126*INDEX($E$83:$P$83,1,O113)</f>
        <v/>
      </c>
      <c r="P130" s="50">
        <f>P126*INDEX($E$83:$P$83,1,P113)</f>
        <v/>
      </c>
      <c r="Q130" s="50">
        <f>Q126*INDEX($E$83:$P$83,1,Q113)</f>
        <v/>
      </c>
      <c r="R130" s="50">
        <f>R126*INDEX($E$83:$P$83,1,R113)</f>
        <v/>
      </c>
      <c r="S130" s="50">
        <f>S126*INDEX($E$83:$P$83,1,S113)</f>
        <v/>
      </c>
      <c r="T130" s="50">
        <f>T126*INDEX($E$83:$P$83,1,T113)</f>
        <v/>
      </c>
      <c r="U130" s="50">
        <f>U126*INDEX($E$83:$P$83,1,U113)</f>
        <v/>
      </c>
      <c r="V130" s="50">
        <f>V126*INDEX($E$83:$P$83,1,V113)</f>
        <v/>
      </c>
      <c r="W130" s="50">
        <f>W126*INDEX($E$83:$P$83,1,W113)</f>
        <v/>
      </c>
      <c r="X130" s="50">
        <f>X126*INDEX($E$83:$P$83,1,X113)</f>
        <v/>
      </c>
      <c r="Y130" s="50">
        <f>Y126*INDEX($E$83:$P$83,1,Y113)</f>
        <v/>
      </c>
      <c r="Z130" s="50">
        <f>Z126*INDEX($E$83:$P$83,1,Z113)</f>
        <v/>
      </c>
      <c r="AA130" s="50">
        <f>AA126*INDEX($E$83:$P$83,1,AA113)</f>
        <v/>
      </c>
      <c r="AB130" s="50">
        <f>AB126*INDEX($E$83:$P$83,1,AB113)</f>
        <v/>
      </c>
      <c r="AC130" s="50">
        <f>AC126*INDEX($E$83:$P$83,1,AC113)</f>
        <v/>
      </c>
      <c r="AD130" s="50">
        <f>AD126*INDEX($E$83:$P$83,1,AD113)</f>
        <v/>
      </c>
      <c r="AE130" s="50">
        <f>AE126*INDEX($E$83:$P$83,1,AE113)</f>
        <v/>
      </c>
      <c r="AF130" s="50">
        <f>AF126*INDEX($E$83:$P$83,1,AF113)</f>
        <v/>
      </c>
      <c r="AG130" s="50">
        <f>AG126*INDEX($E$83:$P$83,1,AG113)</f>
        <v/>
      </c>
      <c r="AH130" s="50">
        <f>AH126*INDEX($E$83:$P$83,1,AH113)</f>
        <v/>
      </c>
      <c r="AI130" s="50">
        <f>AI126*INDEX($E$83:$P$83,1,AI113)</f>
        <v/>
      </c>
      <c r="AJ130" s="50">
        <f>AJ126*INDEX($E$83:$P$83,1,AJ113)</f>
        <v/>
      </c>
      <c r="AK130" s="50">
        <f>AK126*INDEX($E$83:$P$83,1,AK113)</f>
        <v/>
      </c>
      <c r="AL130" s="50">
        <f>AL126*INDEX($E$83:$P$83,1,AL113)</f>
        <v/>
      </c>
      <c r="AM130" s="50">
        <f>AM126*INDEX($E$83:$P$83,1,AM113)</f>
        <v/>
      </c>
      <c r="AN130" s="50">
        <f>AN126*INDEX($E$83:$P$83,1,AN113)</f>
        <v/>
      </c>
    </row>
    <row r="131">
      <c r="B131" s="7" t="inlineStr">
        <is>
          <t>Server stacks needed</t>
        </is>
      </c>
      <c r="C131" s="5" t="inlineStr">
        <is>
          <t>stacks</t>
        </is>
      </c>
      <c r="E131" s="57">
        <f>IF(E126&gt;0,CEILING(E126/$D$33,1),0)</f>
        <v/>
      </c>
      <c r="F131" s="57">
        <f>IF(F126&gt;0,CEILING(F126/$D$33,1),0)</f>
        <v/>
      </c>
      <c r="G131" s="57">
        <f>IF(G126&gt;0,CEILING(G126/$D$33,1),0)</f>
        <v/>
      </c>
      <c r="H131" s="57">
        <f>IF(H126&gt;0,CEILING(H126/$D$33,1),0)</f>
        <v/>
      </c>
      <c r="I131" s="57">
        <f>IF(I126&gt;0,CEILING(I126/$D$33,1),0)</f>
        <v/>
      </c>
      <c r="J131" s="57">
        <f>IF(J126&gt;0,CEILING(J126/$D$33,1),0)</f>
        <v/>
      </c>
      <c r="K131" s="57">
        <f>IF(K126&gt;0,CEILING(K126/$D$33,1),0)</f>
        <v/>
      </c>
      <c r="L131" s="57">
        <f>IF(L126&gt;0,CEILING(L126/$D$33,1),0)</f>
        <v/>
      </c>
      <c r="M131" s="57">
        <f>IF(M126&gt;0,CEILING(M126/$D$33,1),0)</f>
        <v/>
      </c>
      <c r="N131" s="57">
        <f>IF(N126&gt;0,CEILING(N126/$D$33,1),0)</f>
        <v/>
      </c>
      <c r="O131" s="57">
        <f>IF(O126&gt;0,CEILING(O126/$D$33,1),0)</f>
        <v/>
      </c>
      <c r="P131" s="57">
        <f>IF(P126&gt;0,CEILING(P126/$D$33,1),0)</f>
        <v/>
      </c>
      <c r="Q131" s="57">
        <f>IF(Q126&gt;0,CEILING(Q126/$D$33,1),0)</f>
        <v/>
      </c>
      <c r="R131" s="57">
        <f>IF(R126&gt;0,CEILING(R126/$D$33,1),0)</f>
        <v/>
      </c>
      <c r="S131" s="57">
        <f>IF(S126&gt;0,CEILING(S126/$D$33,1),0)</f>
        <v/>
      </c>
      <c r="T131" s="57">
        <f>IF(T126&gt;0,CEILING(T126/$D$33,1),0)</f>
        <v/>
      </c>
      <c r="U131" s="57">
        <f>IF(U126&gt;0,CEILING(U126/$D$33,1),0)</f>
        <v/>
      </c>
      <c r="V131" s="57">
        <f>IF(V126&gt;0,CEILING(V126/$D$33,1),0)</f>
        <v/>
      </c>
      <c r="W131" s="57">
        <f>IF(W126&gt;0,CEILING(W126/$D$33,1),0)</f>
        <v/>
      </c>
      <c r="X131" s="57">
        <f>IF(X126&gt;0,CEILING(X126/$D$33,1),0)</f>
        <v/>
      </c>
      <c r="Y131" s="57">
        <f>IF(Y126&gt;0,CEILING(Y126/$D$33,1),0)</f>
        <v/>
      </c>
      <c r="Z131" s="57">
        <f>IF(Z126&gt;0,CEILING(Z126/$D$33,1),0)</f>
        <v/>
      </c>
      <c r="AA131" s="57">
        <f>IF(AA126&gt;0,CEILING(AA126/$D$33,1),0)</f>
        <v/>
      </c>
      <c r="AB131" s="57">
        <f>IF(AB126&gt;0,CEILING(AB126/$D$33,1),0)</f>
        <v/>
      </c>
      <c r="AC131" s="57">
        <f>IF(AC126&gt;0,CEILING(AC126/$D$33,1),0)</f>
        <v/>
      </c>
      <c r="AD131" s="57">
        <f>IF(AD126&gt;0,CEILING(AD126/$D$33,1),0)</f>
        <v/>
      </c>
      <c r="AE131" s="57">
        <f>IF(AE126&gt;0,CEILING(AE126/$D$33,1),0)</f>
        <v/>
      </c>
      <c r="AF131" s="57">
        <f>IF(AF126&gt;0,CEILING(AF126/$D$33,1),0)</f>
        <v/>
      </c>
      <c r="AG131" s="57">
        <f>IF(AG126&gt;0,CEILING(AG126/$D$33,1),0)</f>
        <v/>
      </c>
      <c r="AH131" s="57">
        <f>IF(AH126&gt;0,CEILING(AH126/$D$33,1),0)</f>
        <v/>
      </c>
      <c r="AI131" s="57">
        <f>IF(AI126&gt;0,CEILING(AI126/$D$33,1),0)</f>
        <v/>
      </c>
      <c r="AJ131" s="57">
        <f>IF(AJ126&gt;0,CEILING(AJ126/$D$33,1),0)</f>
        <v/>
      </c>
      <c r="AK131" s="57">
        <f>IF(AK126&gt;0,CEILING(AK126/$D$33,1),0)</f>
        <v/>
      </c>
      <c r="AL131" s="57">
        <f>IF(AL126&gt;0,CEILING(AL126/$D$33,1),0)</f>
        <v/>
      </c>
      <c r="AM131" s="57">
        <f>IF(AM126&gt;0,CEILING(AM126/$D$33,1),0)</f>
        <v/>
      </c>
      <c r="AN131" s="57">
        <f>IF(AN126&gt;0,CEILING(AN126/$D$33,1),0)</f>
        <v/>
      </c>
    </row>
    <row r="132">
      <c r="B132" s="7" t="inlineStr">
        <is>
          <t>Hosting and WhatsApp provider fee</t>
        </is>
      </c>
      <c r="C132" s="5" t="inlineStr">
        <is>
          <t>₹</t>
        </is>
      </c>
      <c r="E132" s="50">
        <f>E131*($D$31+$D$32)</f>
        <v/>
      </c>
      <c r="F132" s="50">
        <f>F131*($D$31+$D$32)</f>
        <v/>
      </c>
      <c r="G132" s="50">
        <f>G131*($D$31+$D$32)</f>
        <v/>
      </c>
      <c r="H132" s="50">
        <f>H131*($D$31+$D$32)</f>
        <v/>
      </c>
      <c r="I132" s="50">
        <f>I131*($D$31+$D$32)</f>
        <v/>
      </c>
      <c r="J132" s="50">
        <f>J131*($D$31+$D$32)</f>
        <v/>
      </c>
      <c r="K132" s="50">
        <f>K131*($D$31+$D$32)</f>
        <v/>
      </c>
      <c r="L132" s="50">
        <f>L131*($D$31+$D$32)</f>
        <v/>
      </c>
      <c r="M132" s="50">
        <f>M131*($D$31+$D$32)</f>
        <v/>
      </c>
      <c r="N132" s="50">
        <f>N131*($D$31+$D$32)</f>
        <v/>
      </c>
      <c r="O132" s="50">
        <f>O131*($D$31+$D$32)</f>
        <v/>
      </c>
      <c r="P132" s="50">
        <f>P131*($D$31+$D$32)</f>
        <v/>
      </c>
      <c r="Q132" s="50">
        <f>Q131*($D$31+$D$32)</f>
        <v/>
      </c>
      <c r="R132" s="50">
        <f>R131*($D$31+$D$32)</f>
        <v/>
      </c>
      <c r="S132" s="50">
        <f>S131*($D$31+$D$32)</f>
        <v/>
      </c>
      <c r="T132" s="50">
        <f>T131*($D$31+$D$32)</f>
        <v/>
      </c>
      <c r="U132" s="50">
        <f>U131*($D$31+$D$32)</f>
        <v/>
      </c>
      <c r="V132" s="50">
        <f>V131*($D$31+$D$32)</f>
        <v/>
      </c>
      <c r="W132" s="50">
        <f>W131*($D$31+$D$32)</f>
        <v/>
      </c>
      <c r="X132" s="50">
        <f>X131*($D$31+$D$32)</f>
        <v/>
      </c>
      <c r="Y132" s="50">
        <f>Y131*($D$31+$D$32)</f>
        <v/>
      </c>
      <c r="Z132" s="50">
        <f>Z131*($D$31+$D$32)</f>
        <v/>
      </c>
      <c r="AA132" s="50">
        <f>AA131*($D$31+$D$32)</f>
        <v/>
      </c>
      <c r="AB132" s="50">
        <f>AB131*($D$31+$D$32)</f>
        <v/>
      </c>
      <c r="AC132" s="50">
        <f>AC131*($D$31+$D$32)</f>
        <v/>
      </c>
      <c r="AD132" s="50">
        <f>AD131*($D$31+$D$32)</f>
        <v/>
      </c>
      <c r="AE132" s="50">
        <f>AE131*($D$31+$D$32)</f>
        <v/>
      </c>
      <c r="AF132" s="50">
        <f>AF131*($D$31+$D$32)</f>
        <v/>
      </c>
      <c r="AG132" s="50">
        <f>AG131*($D$31+$D$32)</f>
        <v/>
      </c>
      <c r="AH132" s="50">
        <f>AH131*($D$31+$D$32)</f>
        <v/>
      </c>
      <c r="AI132" s="50">
        <f>AI131*($D$31+$D$32)</f>
        <v/>
      </c>
      <c r="AJ132" s="50">
        <f>AJ131*($D$31+$D$32)</f>
        <v/>
      </c>
      <c r="AK132" s="50">
        <f>AK131*($D$31+$D$32)</f>
        <v/>
      </c>
      <c r="AL132" s="50">
        <f>AL131*($D$31+$D$32)</f>
        <v/>
      </c>
      <c r="AM132" s="50">
        <f>AM131*($D$31+$D$32)</f>
        <v/>
      </c>
      <c r="AN132" s="50">
        <f>AN131*($D$31+$D$32)</f>
        <v/>
      </c>
    </row>
    <row r="133">
      <c r="B133" s="7" t="inlineStr">
        <is>
          <t>Customer-success staff</t>
        </is>
      </c>
      <c r="C133" s="5" t="inlineStr">
        <is>
          <t>people</t>
        </is>
      </c>
      <c r="E133" s="57">
        <f>IF(E126&gt;0,CEILING(E126/$D$36,1),0)</f>
        <v/>
      </c>
      <c r="F133" s="57">
        <f>IF(F126&gt;0,CEILING(F126/$D$36,1),0)</f>
        <v/>
      </c>
      <c r="G133" s="57">
        <f>IF(G126&gt;0,CEILING(G126/$D$36,1),0)</f>
        <v/>
      </c>
      <c r="H133" s="57">
        <f>IF(H126&gt;0,CEILING(H126/$D$36,1),0)</f>
        <v/>
      </c>
      <c r="I133" s="57">
        <f>IF(I126&gt;0,CEILING(I126/$D$36,1),0)</f>
        <v/>
      </c>
      <c r="J133" s="57">
        <f>IF(J126&gt;0,CEILING(J126/$D$36,1),0)</f>
        <v/>
      </c>
      <c r="K133" s="57">
        <f>IF(K126&gt;0,CEILING(K126/$D$36,1),0)</f>
        <v/>
      </c>
      <c r="L133" s="57">
        <f>IF(L126&gt;0,CEILING(L126/$D$36,1),0)</f>
        <v/>
      </c>
      <c r="M133" s="57">
        <f>IF(M126&gt;0,CEILING(M126/$D$36,1),0)</f>
        <v/>
      </c>
      <c r="N133" s="57">
        <f>IF(N126&gt;0,CEILING(N126/$D$36,1),0)</f>
        <v/>
      </c>
      <c r="O133" s="57">
        <f>IF(O126&gt;0,CEILING(O126/$D$36,1),0)</f>
        <v/>
      </c>
      <c r="P133" s="57">
        <f>IF(P126&gt;0,CEILING(P126/$D$36,1),0)</f>
        <v/>
      </c>
      <c r="Q133" s="57">
        <f>IF(Q126&gt;0,CEILING(Q126/$D$36,1),0)</f>
        <v/>
      </c>
      <c r="R133" s="57">
        <f>IF(R126&gt;0,CEILING(R126/$D$36,1),0)</f>
        <v/>
      </c>
      <c r="S133" s="57">
        <f>IF(S126&gt;0,CEILING(S126/$D$36,1),0)</f>
        <v/>
      </c>
      <c r="T133" s="57">
        <f>IF(T126&gt;0,CEILING(T126/$D$36,1),0)</f>
        <v/>
      </c>
      <c r="U133" s="57">
        <f>IF(U126&gt;0,CEILING(U126/$D$36,1),0)</f>
        <v/>
      </c>
      <c r="V133" s="57">
        <f>IF(V126&gt;0,CEILING(V126/$D$36,1),0)</f>
        <v/>
      </c>
      <c r="W133" s="57">
        <f>IF(W126&gt;0,CEILING(W126/$D$36,1),0)</f>
        <v/>
      </c>
      <c r="X133" s="57">
        <f>IF(X126&gt;0,CEILING(X126/$D$36,1),0)</f>
        <v/>
      </c>
      <c r="Y133" s="57">
        <f>IF(Y126&gt;0,CEILING(Y126/$D$36,1),0)</f>
        <v/>
      </c>
      <c r="Z133" s="57">
        <f>IF(Z126&gt;0,CEILING(Z126/$D$36,1),0)</f>
        <v/>
      </c>
      <c r="AA133" s="57">
        <f>IF(AA126&gt;0,CEILING(AA126/$D$36,1),0)</f>
        <v/>
      </c>
      <c r="AB133" s="57">
        <f>IF(AB126&gt;0,CEILING(AB126/$D$36,1),0)</f>
        <v/>
      </c>
      <c r="AC133" s="57">
        <f>IF(AC126&gt;0,CEILING(AC126/$D$36,1),0)</f>
        <v/>
      </c>
      <c r="AD133" s="57">
        <f>IF(AD126&gt;0,CEILING(AD126/$D$36,1),0)</f>
        <v/>
      </c>
      <c r="AE133" s="57">
        <f>IF(AE126&gt;0,CEILING(AE126/$D$36,1),0)</f>
        <v/>
      </c>
      <c r="AF133" s="57">
        <f>IF(AF126&gt;0,CEILING(AF126/$D$36,1),0)</f>
        <v/>
      </c>
      <c r="AG133" s="57">
        <f>IF(AG126&gt;0,CEILING(AG126/$D$36,1),0)</f>
        <v/>
      </c>
      <c r="AH133" s="57">
        <f>IF(AH126&gt;0,CEILING(AH126/$D$36,1),0)</f>
        <v/>
      </c>
      <c r="AI133" s="57">
        <f>IF(AI126&gt;0,CEILING(AI126/$D$36,1),0)</f>
        <v/>
      </c>
      <c r="AJ133" s="57">
        <f>IF(AJ126&gt;0,CEILING(AJ126/$D$36,1),0)</f>
        <v/>
      </c>
      <c r="AK133" s="57">
        <f>IF(AK126&gt;0,CEILING(AK126/$D$36,1),0)</f>
        <v/>
      </c>
      <c r="AL133" s="57">
        <f>IF(AL126&gt;0,CEILING(AL126/$D$36,1),0)</f>
        <v/>
      </c>
      <c r="AM133" s="57">
        <f>IF(AM126&gt;0,CEILING(AM126/$D$36,1),0)</f>
        <v/>
      </c>
      <c r="AN133" s="57">
        <f>IF(AN126&gt;0,CEILING(AN126/$D$36,1),0)</f>
        <v/>
      </c>
    </row>
    <row r="134">
      <c r="B134" s="7" t="inlineStr">
        <is>
          <t>Customer-success cost</t>
        </is>
      </c>
      <c r="C134" s="5" t="inlineStr">
        <is>
          <t>₹</t>
        </is>
      </c>
      <c r="E134" s="50">
        <f>E133*$D$35*E117</f>
        <v/>
      </c>
      <c r="F134" s="50">
        <f>F133*$D$35*F117</f>
        <v/>
      </c>
      <c r="G134" s="50">
        <f>G133*$D$35*G117</f>
        <v/>
      </c>
      <c r="H134" s="50">
        <f>H133*$D$35*H117</f>
        <v/>
      </c>
      <c r="I134" s="50">
        <f>I133*$D$35*I117</f>
        <v/>
      </c>
      <c r="J134" s="50">
        <f>J133*$D$35*J117</f>
        <v/>
      </c>
      <c r="K134" s="50">
        <f>K133*$D$35*K117</f>
        <v/>
      </c>
      <c r="L134" s="50">
        <f>L133*$D$35*L117</f>
        <v/>
      </c>
      <c r="M134" s="50">
        <f>M133*$D$35*M117</f>
        <v/>
      </c>
      <c r="N134" s="50">
        <f>N133*$D$35*N117</f>
        <v/>
      </c>
      <c r="O134" s="50">
        <f>O133*$D$35*O117</f>
        <v/>
      </c>
      <c r="P134" s="50">
        <f>P133*$D$35*P117</f>
        <v/>
      </c>
      <c r="Q134" s="50">
        <f>Q133*$D$35*Q117</f>
        <v/>
      </c>
      <c r="R134" s="50">
        <f>R133*$D$35*R117</f>
        <v/>
      </c>
      <c r="S134" s="50">
        <f>S133*$D$35*S117</f>
        <v/>
      </c>
      <c r="T134" s="50">
        <f>T133*$D$35*T117</f>
        <v/>
      </c>
      <c r="U134" s="50">
        <f>U133*$D$35*U117</f>
        <v/>
      </c>
      <c r="V134" s="50">
        <f>V133*$D$35*V117</f>
        <v/>
      </c>
      <c r="W134" s="50">
        <f>W133*$D$35*W117</f>
        <v/>
      </c>
      <c r="X134" s="50">
        <f>X133*$D$35*X117</f>
        <v/>
      </c>
      <c r="Y134" s="50">
        <f>Y133*$D$35*Y117</f>
        <v/>
      </c>
      <c r="Z134" s="50">
        <f>Z133*$D$35*Z117</f>
        <v/>
      </c>
      <c r="AA134" s="50">
        <f>AA133*$D$35*AA117</f>
        <v/>
      </c>
      <c r="AB134" s="50">
        <f>AB133*$D$35*AB117</f>
        <v/>
      </c>
      <c r="AC134" s="50">
        <f>AC133*$D$35*AC117</f>
        <v/>
      </c>
      <c r="AD134" s="50">
        <f>AD133*$D$35*AD117</f>
        <v/>
      </c>
      <c r="AE134" s="50">
        <f>AE133*$D$35*AE117</f>
        <v/>
      </c>
      <c r="AF134" s="50">
        <f>AF133*$D$35*AF117</f>
        <v/>
      </c>
      <c r="AG134" s="50">
        <f>AG133*$D$35*AG117</f>
        <v/>
      </c>
      <c r="AH134" s="50">
        <f>AH133*$D$35*AH117</f>
        <v/>
      </c>
      <c r="AI134" s="50">
        <f>AI133*$D$35*AI117</f>
        <v/>
      </c>
      <c r="AJ134" s="50">
        <f>AJ133*$D$35*AJ117</f>
        <v/>
      </c>
      <c r="AK134" s="50">
        <f>AK133*$D$35*AK117</f>
        <v/>
      </c>
      <c r="AL134" s="50">
        <f>AL133*$D$35*AL117</f>
        <v/>
      </c>
      <c r="AM134" s="50">
        <f>AM133*$D$35*AM117</f>
        <v/>
      </c>
      <c r="AN134" s="50">
        <f>AN133*$D$35*AN117</f>
        <v/>
      </c>
    </row>
    <row r="135">
      <c r="B135" s="3" t="inlineStr">
        <is>
          <t>Gross profit (SaaS convention: after support)</t>
        </is>
      </c>
      <c r="C135" s="5" t="inlineStr">
        <is>
          <t>₹</t>
        </is>
      </c>
      <c r="E135" s="50">
        <f>E128-E130-E132-E134</f>
        <v/>
      </c>
      <c r="F135" s="50">
        <f>F128-F130-F132-F134</f>
        <v/>
      </c>
      <c r="G135" s="50">
        <f>G128-G130-G132-G134</f>
        <v/>
      </c>
      <c r="H135" s="50">
        <f>H128-H130-H132-H134</f>
        <v/>
      </c>
      <c r="I135" s="50">
        <f>I128-I130-I132-I134</f>
        <v/>
      </c>
      <c r="J135" s="50">
        <f>J128-J130-J132-J134</f>
        <v/>
      </c>
      <c r="K135" s="50">
        <f>K128-K130-K132-K134</f>
        <v/>
      </c>
      <c r="L135" s="50">
        <f>L128-L130-L132-L134</f>
        <v/>
      </c>
      <c r="M135" s="50">
        <f>M128-M130-M132-M134</f>
        <v/>
      </c>
      <c r="N135" s="50">
        <f>N128-N130-N132-N134</f>
        <v/>
      </c>
      <c r="O135" s="50">
        <f>O128-O130-O132-O134</f>
        <v/>
      </c>
      <c r="P135" s="50">
        <f>P128-P130-P132-P134</f>
        <v/>
      </c>
      <c r="Q135" s="50">
        <f>Q128-Q130-Q132-Q134</f>
        <v/>
      </c>
      <c r="R135" s="50">
        <f>R128-R130-R132-R134</f>
        <v/>
      </c>
      <c r="S135" s="50">
        <f>S128-S130-S132-S134</f>
        <v/>
      </c>
      <c r="T135" s="50">
        <f>T128-T130-T132-T134</f>
        <v/>
      </c>
      <c r="U135" s="50">
        <f>U128-U130-U132-U134</f>
        <v/>
      </c>
      <c r="V135" s="50">
        <f>V128-V130-V132-V134</f>
        <v/>
      </c>
      <c r="W135" s="50">
        <f>W128-W130-W132-W134</f>
        <v/>
      </c>
      <c r="X135" s="50">
        <f>X128-X130-X132-X134</f>
        <v/>
      </c>
      <c r="Y135" s="50">
        <f>Y128-Y130-Y132-Y134</f>
        <v/>
      </c>
      <c r="Z135" s="50">
        <f>Z128-Z130-Z132-Z134</f>
        <v/>
      </c>
      <c r="AA135" s="50">
        <f>AA128-AA130-AA132-AA134</f>
        <v/>
      </c>
      <c r="AB135" s="50">
        <f>AB128-AB130-AB132-AB134</f>
        <v/>
      </c>
      <c r="AC135" s="50">
        <f>AC128-AC130-AC132-AC134</f>
        <v/>
      </c>
      <c r="AD135" s="50">
        <f>AD128-AD130-AD132-AD134</f>
        <v/>
      </c>
      <c r="AE135" s="50">
        <f>AE128-AE130-AE132-AE134</f>
        <v/>
      </c>
      <c r="AF135" s="50">
        <f>AF128-AF130-AF132-AF134</f>
        <v/>
      </c>
      <c r="AG135" s="50">
        <f>AG128-AG130-AG132-AG134</f>
        <v/>
      </c>
      <c r="AH135" s="50">
        <f>AH128-AH130-AH132-AH134</f>
        <v/>
      </c>
      <c r="AI135" s="50">
        <f>AI128-AI130-AI132-AI134</f>
        <v/>
      </c>
      <c r="AJ135" s="50">
        <f>AJ128-AJ130-AJ132-AJ134</f>
        <v/>
      </c>
      <c r="AK135" s="50">
        <f>AK128-AK130-AK132-AK134</f>
        <v/>
      </c>
      <c r="AL135" s="50">
        <f>AL128-AL130-AL132-AL134</f>
        <v/>
      </c>
      <c r="AM135" s="50">
        <f>AM128-AM130-AM132-AM134</f>
        <v/>
      </c>
      <c r="AN135" s="50">
        <f>AN128-AN130-AN132-AN134</f>
        <v/>
      </c>
    </row>
    <row r="136">
      <c r="A136" s="23" t="n"/>
      <c r="B136" s="22" t="inlineStr">
        <is>
          <t>D. Operating costs</t>
        </is>
      </c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  <c r="AA136" s="23" t="n"/>
      <c r="AB136" s="23" t="n"/>
      <c r="AC136" s="23" t="n"/>
      <c r="AD136" s="23" t="n"/>
      <c r="AE136" s="23" t="n"/>
      <c r="AF136" s="23" t="n"/>
      <c r="AG136" s="23" t="n"/>
      <c r="AH136" s="23" t="n"/>
      <c r="AI136" s="23" t="n"/>
      <c r="AJ136" s="23" t="n"/>
      <c r="AK136" s="23" t="n"/>
      <c r="AL136" s="23" t="n"/>
      <c r="AM136" s="23" t="n"/>
      <c r="AN136" s="23" t="n"/>
    </row>
    <row r="137">
      <c r="B137" s="7" t="inlineStr">
        <is>
          <t>Sales team (rep cost + travel, with overhead loading)</t>
        </is>
      </c>
      <c r="C137" s="5" t="inlineStr">
        <is>
          <t>₹</t>
        </is>
      </c>
      <c r="E137" s="50">
        <f>E119*($D$37+$D$38)*E117*(1+$D$39)</f>
        <v/>
      </c>
      <c r="F137" s="50">
        <f>F119*($D$37+$D$38)*F117*(1+$D$39)</f>
        <v/>
      </c>
      <c r="G137" s="50">
        <f>G119*($D$37+$D$38)*G117*(1+$D$39)</f>
        <v/>
      </c>
      <c r="H137" s="50">
        <f>H119*($D$37+$D$38)*H117*(1+$D$39)</f>
        <v/>
      </c>
      <c r="I137" s="50">
        <f>I119*($D$37+$D$38)*I117*(1+$D$39)</f>
        <v/>
      </c>
      <c r="J137" s="50">
        <f>J119*($D$37+$D$38)*J117*(1+$D$39)</f>
        <v/>
      </c>
      <c r="K137" s="50">
        <f>K119*($D$37+$D$38)*K117*(1+$D$39)</f>
        <v/>
      </c>
      <c r="L137" s="50">
        <f>L119*($D$37+$D$38)*L117*(1+$D$39)</f>
        <v/>
      </c>
      <c r="M137" s="50">
        <f>M119*($D$37+$D$38)*M117*(1+$D$39)</f>
        <v/>
      </c>
      <c r="N137" s="50">
        <f>N119*($D$37+$D$38)*N117*(1+$D$39)</f>
        <v/>
      </c>
      <c r="O137" s="50">
        <f>O119*($D$37+$D$38)*O117*(1+$D$39)</f>
        <v/>
      </c>
      <c r="P137" s="50">
        <f>P119*($D$37+$D$38)*P117*(1+$D$39)</f>
        <v/>
      </c>
      <c r="Q137" s="50">
        <f>Q119*($D$37+$D$38)*Q117*(1+$D$39)</f>
        <v/>
      </c>
      <c r="R137" s="50">
        <f>R119*($D$37+$D$38)*R117*(1+$D$39)</f>
        <v/>
      </c>
      <c r="S137" s="50">
        <f>S119*($D$37+$D$38)*S117*(1+$D$39)</f>
        <v/>
      </c>
      <c r="T137" s="50">
        <f>T119*($D$37+$D$38)*T117*(1+$D$39)</f>
        <v/>
      </c>
      <c r="U137" s="50">
        <f>U119*($D$37+$D$38)*U117*(1+$D$39)</f>
        <v/>
      </c>
      <c r="V137" s="50">
        <f>V119*($D$37+$D$38)*V117*(1+$D$39)</f>
        <v/>
      </c>
      <c r="W137" s="50">
        <f>W119*($D$37+$D$38)*W117*(1+$D$39)</f>
        <v/>
      </c>
      <c r="X137" s="50">
        <f>X119*($D$37+$D$38)*X117*(1+$D$39)</f>
        <v/>
      </c>
      <c r="Y137" s="50">
        <f>Y119*($D$37+$D$38)*Y117*(1+$D$39)</f>
        <v/>
      </c>
      <c r="Z137" s="50">
        <f>Z119*($D$37+$D$38)*Z117*(1+$D$39)</f>
        <v/>
      </c>
      <c r="AA137" s="50">
        <f>AA119*($D$37+$D$38)*AA117*(1+$D$39)</f>
        <v/>
      </c>
      <c r="AB137" s="50">
        <f>AB119*($D$37+$D$38)*AB117*(1+$D$39)</f>
        <v/>
      </c>
      <c r="AC137" s="50">
        <f>AC119*($D$37+$D$38)*AC117*(1+$D$39)</f>
        <v/>
      </c>
      <c r="AD137" s="50">
        <f>AD119*($D$37+$D$38)*AD117*(1+$D$39)</f>
        <v/>
      </c>
      <c r="AE137" s="50">
        <f>AE119*($D$37+$D$38)*AE117*(1+$D$39)</f>
        <v/>
      </c>
      <c r="AF137" s="50">
        <f>AF119*($D$37+$D$38)*AF117*(1+$D$39)</f>
        <v/>
      </c>
      <c r="AG137" s="50">
        <f>AG119*($D$37+$D$38)*AG117*(1+$D$39)</f>
        <v/>
      </c>
      <c r="AH137" s="50">
        <f>AH119*($D$37+$D$38)*AH117*(1+$D$39)</f>
        <v/>
      </c>
      <c r="AI137" s="50">
        <f>AI119*($D$37+$D$38)*AI117*(1+$D$39)</f>
        <v/>
      </c>
      <c r="AJ137" s="50">
        <f>AJ119*($D$37+$D$38)*AJ117*(1+$D$39)</f>
        <v/>
      </c>
      <c r="AK137" s="50">
        <f>AK119*($D$37+$D$38)*AK117*(1+$D$39)</f>
        <v/>
      </c>
      <c r="AL137" s="50">
        <f>AL119*($D$37+$D$38)*AL117*(1+$D$39)</f>
        <v/>
      </c>
      <c r="AM137" s="50">
        <f>AM119*($D$37+$D$38)*AM117*(1+$D$39)</f>
        <v/>
      </c>
      <c r="AN137" s="50">
        <f>AN119*($D$37+$D$38)*AN117*(1+$D$39)</f>
        <v/>
      </c>
    </row>
    <row r="138">
      <c r="B138" s="7" t="inlineStr">
        <is>
          <t>Marketing</t>
        </is>
      </c>
      <c r="C138" s="5" t="inlineStr">
        <is>
          <t>₹</t>
        </is>
      </c>
      <c r="E138" s="50">
        <f>E123*$D$45</f>
        <v/>
      </c>
      <c r="F138" s="50">
        <f>F123*$D$45</f>
        <v/>
      </c>
      <c r="G138" s="50">
        <f>G123*$D$45</f>
        <v/>
      </c>
      <c r="H138" s="50">
        <f>H123*$D$45</f>
        <v/>
      </c>
      <c r="I138" s="50">
        <f>I123*$D$45</f>
        <v/>
      </c>
      <c r="J138" s="50">
        <f>J123*$D$45</f>
        <v/>
      </c>
      <c r="K138" s="50">
        <f>K123*$D$45</f>
        <v/>
      </c>
      <c r="L138" s="50">
        <f>L123*$D$45</f>
        <v/>
      </c>
      <c r="M138" s="50">
        <f>M123*$D$45</f>
        <v/>
      </c>
      <c r="N138" s="50">
        <f>N123*$D$45</f>
        <v/>
      </c>
      <c r="O138" s="50">
        <f>O123*$D$45</f>
        <v/>
      </c>
      <c r="P138" s="50">
        <f>P123*$D$45</f>
        <v/>
      </c>
      <c r="Q138" s="50">
        <f>Q123*$D$45</f>
        <v/>
      </c>
      <c r="R138" s="50">
        <f>R123*$D$45</f>
        <v/>
      </c>
      <c r="S138" s="50">
        <f>S123*$D$45</f>
        <v/>
      </c>
      <c r="T138" s="50">
        <f>T123*$D$45</f>
        <v/>
      </c>
      <c r="U138" s="50">
        <f>U123*$D$45</f>
        <v/>
      </c>
      <c r="V138" s="50">
        <f>V123*$D$45</f>
        <v/>
      </c>
      <c r="W138" s="50">
        <f>W123*$D$45</f>
        <v/>
      </c>
      <c r="X138" s="50">
        <f>X123*$D$45</f>
        <v/>
      </c>
      <c r="Y138" s="50">
        <f>Y123*$D$45</f>
        <v/>
      </c>
      <c r="Z138" s="50">
        <f>Z123*$D$45</f>
        <v/>
      </c>
      <c r="AA138" s="50">
        <f>AA123*$D$45</f>
        <v/>
      </c>
      <c r="AB138" s="50">
        <f>AB123*$D$45</f>
        <v/>
      </c>
      <c r="AC138" s="50">
        <f>AC123*$D$45</f>
        <v/>
      </c>
      <c r="AD138" s="50">
        <f>AD123*$D$45</f>
        <v/>
      </c>
      <c r="AE138" s="50">
        <f>AE123*$D$45</f>
        <v/>
      </c>
      <c r="AF138" s="50">
        <f>AF123*$D$45</f>
        <v/>
      </c>
      <c r="AG138" s="50">
        <f>AG123*$D$45</f>
        <v/>
      </c>
      <c r="AH138" s="50">
        <f>AH123*$D$45</f>
        <v/>
      </c>
      <c r="AI138" s="50">
        <f>AI123*$D$45</f>
        <v/>
      </c>
      <c r="AJ138" s="50">
        <f>AJ123*$D$45</f>
        <v/>
      </c>
      <c r="AK138" s="50">
        <f>AK123*$D$45</f>
        <v/>
      </c>
      <c r="AL138" s="50">
        <f>AL123*$D$45</f>
        <v/>
      </c>
      <c r="AM138" s="50">
        <f>AM123*$D$45</f>
        <v/>
      </c>
      <c r="AN138" s="50">
        <f>AN123*$D$45</f>
        <v/>
      </c>
    </row>
    <row r="139">
      <c r="B139" s="7" t="inlineStr">
        <is>
          <t>Free pilots (setup + serving)</t>
        </is>
      </c>
      <c r="C139" s="5" t="inlineStr">
        <is>
          <t>₹</t>
        </is>
      </c>
      <c r="E139" s="50">
        <f>E120*$D$74</f>
        <v/>
      </c>
      <c r="F139" s="50">
        <f>F120*$D$74</f>
        <v/>
      </c>
      <c r="G139" s="50">
        <f>G120*$D$74</f>
        <v/>
      </c>
      <c r="H139" s="50">
        <f>H120*$D$74</f>
        <v/>
      </c>
      <c r="I139" s="50">
        <f>I120*$D$74</f>
        <v/>
      </c>
      <c r="J139" s="50">
        <f>J120*$D$74</f>
        <v/>
      </c>
      <c r="K139" s="50">
        <f>K120*$D$74</f>
        <v/>
      </c>
      <c r="L139" s="50">
        <f>L120*$D$74</f>
        <v/>
      </c>
      <c r="M139" s="50">
        <f>M120*$D$74</f>
        <v/>
      </c>
      <c r="N139" s="50">
        <f>N120*$D$74</f>
        <v/>
      </c>
      <c r="O139" s="50">
        <f>O120*$D$74</f>
        <v/>
      </c>
      <c r="P139" s="50">
        <f>P120*$D$74</f>
        <v/>
      </c>
      <c r="Q139" s="50">
        <f>Q120*$D$74</f>
        <v/>
      </c>
      <c r="R139" s="50">
        <f>R120*$D$74</f>
        <v/>
      </c>
      <c r="S139" s="50">
        <f>S120*$D$74</f>
        <v/>
      </c>
      <c r="T139" s="50">
        <f>T120*$D$74</f>
        <v/>
      </c>
      <c r="U139" s="50">
        <f>U120*$D$74</f>
        <v/>
      </c>
      <c r="V139" s="50">
        <f>V120*$D$74</f>
        <v/>
      </c>
      <c r="W139" s="50">
        <f>W120*$D$74</f>
        <v/>
      </c>
      <c r="X139" s="50">
        <f>X120*$D$74</f>
        <v/>
      </c>
      <c r="Y139" s="50">
        <f>Y120*$D$74</f>
        <v/>
      </c>
      <c r="Z139" s="50">
        <f>Z120*$D$74</f>
        <v/>
      </c>
      <c r="AA139" s="50">
        <f>AA120*$D$74</f>
        <v/>
      </c>
      <c r="AB139" s="50">
        <f>AB120*$D$74</f>
        <v/>
      </c>
      <c r="AC139" s="50">
        <f>AC120*$D$74</f>
        <v/>
      </c>
      <c r="AD139" s="50">
        <f>AD120*$D$74</f>
        <v/>
      </c>
      <c r="AE139" s="50">
        <f>AE120*$D$74</f>
        <v/>
      </c>
      <c r="AF139" s="50">
        <f>AF120*$D$74</f>
        <v/>
      </c>
      <c r="AG139" s="50">
        <f>AG120*$D$74</f>
        <v/>
      </c>
      <c r="AH139" s="50">
        <f>AH120*$D$74</f>
        <v/>
      </c>
      <c r="AI139" s="50">
        <f>AI120*$D$74</f>
        <v/>
      </c>
      <c r="AJ139" s="50">
        <f>AJ120*$D$74</f>
        <v/>
      </c>
      <c r="AK139" s="50">
        <f>AK120*$D$74</f>
        <v/>
      </c>
      <c r="AL139" s="50">
        <f>AL120*$D$74</f>
        <v/>
      </c>
      <c r="AM139" s="50">
        <f>AM120*$D$74</f>
        <v/>
      </c>
      <c r="AN139" s="50">
        <f>AN120*$D$74</f>
        <v/>
      </c>
    </row>
    <row r="140">
      <c r="B140" s="7" t="inlineStr">
        <is>
          <t>Onboarding of new paying institutes</t>
        </is>
      </c>
      <c r="C140" s="5" t="inlineStr">
        <is>
          <t>₹</t>
        </is>
      </c>
      <c r="E140" s="50">
        <f>E123*$D$44*$D$73</f>
        <v/>
      </c>
      <c r="F140" s="50">
        <f>F123*$D$44*$D$73</f>
        <v/>
      </c>
      <c r="G140" s="50">
        <f>G123*$D$44*$D$73</f>
        <v/>
      </c>
      <c r="H140" s="50">
        <f>H123*$D$44*$D$73</f>
        <v/>
      </c>
      <c r="I140" s="50">
        <f>I123*$D$44*$D$73</f>
        <v/>
      </c>
      <c r="J140" s="50">
        <f>J123*$D$44*$D$73</f>
        <v/>
      </c>
      <c r="K140" s="50">
        <f>K123*$D$44*$D$73</f>
        <v/>
      </c>
      <c r="L140" s="50">
        <f>L123*$D$44*$D$73</f>
        <v/>
      </c>
      <c r="M140" s="50">
        <f>M123*$D$44*$D$73</f>
        <v/>
      </c>
      <c r="N140" s="50">
        <f>N123*$D$44*$D$73</f>
        <v/>
      </c>
      <c r="O140" s="50">
        <f>O123*$D$44*$D$73</f>
        <v/>
      </c>
      <c r="P140" s="50">
        <f>P123*$D$44*$D$73</f>
        <v/>
      </c>
      <c r="Q140" s="50">
        <f>Q123*$D$44*$D$73</f>
        <v/>
      </c>
      <c r="R140" s="50">
        <f>R123*$D$44*$D$73</f>
        <v/>
      </c>
      <c r="S140" s="50">
        <f>S123*$D$44*$D$73</f>
        <v/>
      </c>
      <c r="T140" s="50">
        <f>T123*$D$44*$D$73</f>
        <v/>
      </c>
      <c r="U140" s="50">
        <f>U123*$D$44*$D$73</f>
        <v/>
      </c>
      <c r="V140" s="50">
        <f>V123*$D$44*$D$73</f>
        <v/>
      </c>
      <c r="W140" s="50">
        <f>W123*$D$44*$D$73</f>
        <v/>
      </c>
      <c r="X140" s="50">
        <f>X123*$D$44*$D$73</f>
        <v/>
      </c>
      <c r="Y140" s="50">
        <f>Y123*$D$44*$D$73</f>
        <v/>
      </c>
      <c r="Z140" s="50">
        <f>Z123*$D$44*$D$73</f>
        <v/>
      </c>
      <c r="AA140" s="50">
        <f>AA123*$D$44*$D$73</f>
        <v/>
      </c>
      <c r="AB140" s="50">
        <f>AB123*$D$44*$D$73</f>
        <v/>
      </c>
      <c r="AC140" s="50">
        <f>AC123*$D$44*$D$73</f>
        <v/>
      </c>
      <c r="AD140" s="50">
        <f>AD123*$D$44*$D$73</f>
        <v/>
      </c>
      <c r="AE140" s="50">
        <f>AE123*$D$44*$D$73</f>
        <v/>
      </c>
      <c r="AF140" s="50">
        <f>AF123*$D$44*$D$73</f>
        <v/>
      </c>
      <c r="AG140" s="50">
        <f>AG123*$D$44*$D$73</f>
        <v/>
      </c>
      <c r="AH140" s="50">
        <f>AH123*$D$44*$D$73</f>
        <v/>
      </c>
      <c r="AI140" s="50">
        <f>AI123*$D$44*$D$73</f>
        <v/>
      </c>
      <c r="AJ140" s="50">
        <f>AJ123*$D$44*$D$73</f>
        <v/>
      </c>
      <c r="AK140" s="50">
        <f>AK123*$D$44*$D$73</f>
        <v/>
      </c>
      <c r="AL140" s="50">
        <f>AL123*$D$44*$D$73</f>
        <v/>
      </c>
      <c r="AM140" s="50">
        <f>AM123*$D$44*$D$73</f>
        <v/>
      </c>
      <c r="AN140" s="50">
        <f>AN123*$D$44*$D$73</f>
        <v/>
      </c>
    </row>
    <row r="141">
      <c r="B141" s="7" t="inlineStr">
        <is>
          <t>Sales and marketing, total</t>
        </is>
      </c>
      <c r="C141" s="5" t="inlineStr">
        <is>
          <t>₹</t>
        </is>
      </c>
      <c r="E141" s="50">
        <f>E137+E138+E139+E140</f>
        <v/>
      </c>
      <c r="F141" s="50">
        <f>F137+F138+F139+F140</f>
        <v/>
      </c>
      <c r="G141" s="50">
        <f>G137+G138+G139+G140</f>
        <v/>
      </c>
      <c r="H141" s="50">
        <f>H137+H138+H139+H140</f>
        <v/>
      </c>
      <c r="I141" s="50">
        <f>I137+I138+I139+I140</f>
        <v/>
      </c>
      <c r="J141" s="50">
        <f>J137+J138+J139+J140</f>
        <v/>
      </c>
      <c r="K141" s="50">
        <f>K137+K138+K139+K140</f>
        <v/>
      </c>
      <c r="L141" s="50">
        <f>L137+L138+L139+L140</f>
        <v/>
      </c>
      <c r="M141" s="50">
        <f>M137+M138+M139+M140</f>
        <v/>
      </c>
      <c r="N141" s="50">
        <f>N137+N138+N139+N140</f>
        <v/>
      </c>
      <c r="O141" s="50">
        <f>O137+O138+O139+O140</f>
        <v/>
      </c>
      <c r="P141" s="50">
        <f>P137+P138+P139+P140</f>
        <v/>
      </c>
      <c r="Q141" s="50">
        <f>Q137+Q138+Q139+Q140</f>
        <v/>
      </c>
      <c r="R141" s="50">
        <f>R137+R138+R139+R140</f>
        <v/>
      </c>
      <c r="S141" s="50">
        <f>S137+S138+S139+S140</f>
        <v/>
      </c>
      <c r="T141" s="50">
        <f>T137+T138+T139+T140</f>
        <v/>
      </c>
      <c r="U141" s="50">
        <f>U137+U138+U139+U140</f>
        <v/>
      </c>
      <c r="V141" s="50">
        <f>V137+V138+V139+V140</f>
        <v/>
      </c>
      <c r="W141" s="50">
        <f>W137+W138+W139+W140</f>
        <v/>
      </c>
      <c r="X141" s="50">
        <f>X137+X138+X139+X140</f>
        <v/>
      </c>
      <c r="Y141" s="50">
        <f>Y137+Y138+Y139+Y140</f>
        <v/>
      </c>
      <c r="Z141" s="50">
        <f>Z137+Z138+Z139+Z140</f>
        <v/>
      </c>
      <c r="AA141" s="50">
        <f>AA137+AA138+AA139+AA140</f>
        <v/>
      </c>
      <c r="AB141" s="50">
        <f>AB137+AB138+AB139+AB140</f>
        <v/>
      </c>
      <c r="AC141" s="50">
        <f>AC137+AC138+AC139+AC140</f>
        <v/>
      </c>
      <c r="AD141" s="50">
        <f>AD137+AD138+AD139+AD140</f>
        <v/>
      </c>
      <c r="AE141" s="50">
        <f>AE137+AE138+AE139+AE140</f>
        <v/>
      </c>
      <c r="AF141" s="50">
        <f>AF137+AF138+AF139+AF140</f>
        <v/>
      </c>
      <c r="AG141" s="50">
        <f>AG137+AG138+AG139+AG140</f>
        <v/>
      </c>
      <c r="AH141" s="50">
        <f>AH137+AH138+AH139+AH140</f>
        <v/>
      </c>
      <c r="AI141" s="50">
        <f>AI137+AI138+AI139+AI140</f>
        <v/>
      </c>
      <c r="AJ141" s="50">
        <f>AJ137+AJ138+AJ139+AJ140</f>
        <v/>
      </c>
      <c r="AK141" s="50">
        <f>AK137+AK138+AK139+AK140</f>
        <v/>
      </c>
      <c r="AL141" s="50">
        <f>AL137+AL138+AL139+AL140</f>
        <v/>
      </c>
      <c r="AM141" s="50">
        <f>AM137+AM138+AM139+AM140</f>
        <v/>
      </c>
      <c r="AN141" s="50">
        <f>AN137+AN138+AN139+AN140</f>
        <v/>
      </c>
    </row>
    <row r="142">
      <c r="B142" s="7" t="inlineStr">
        <is>
          <t>Engineers</t>
        </is>
      </c>
      <c r="C142" s="5" t="inlineStr">
        <is>
          <t>people</t>
        </is>
      </c>
      <c r="E142" s="57">
        <f>CHOOSE(E114,$D$51,$D$52,$D$53)</f>
        <v/>
      </c>
      <c r="F142" s="57">
        <f>CHOOSE(F114,$D$51,$D$52,$D$53)</f>
        <v/>
      </c>
      <c r="G142" s="57">
        <f>CHOOSE(G114,$D$51,$D$52,$D$53)</f>
        <v/>
      </c>
      <c r="H142" s="57">
        <f>CHOOSE(H114,$D$51,$D$52,$D$53)</f>
        <v/>
      </c>
      <c r="I142" s="57">
        <f>CHOOSE(I114,$D$51,$D$52,$D$53)</f>
        <v/>
      </c>
      <c r="J142" s="57">
        <f>CHOOSE(J114,$D$51,$D$52,$D$53)</f>
        <v/>
      </c>
      <c r="K142" s="57">
        <f>CHOOSE(K114,$D$51,$D$52,$D$53)</f>
        <v/>
      </c>
      <c r="L142" s="57">
        <f>CHOOSE(L114,$D$51,$D$52,$D$53)</f>
        <v/>
      </c>
      <c r="M142" s="57">
        <f>CHOOSE(M114,$D$51,$D$52,$D$53)</f>
        <v/>
      </c>
      <c r="N142" s="57">
        <f>CHOOSE(N114,$D$51,$D$52,$D$53)</f>
        <v/>
      </c>
      <c r="O142" s="57">
        <f>CHOOSE(O114,$D$51,$D$52,$D$53)</f>
        <v/>
      </c>
      <c r="P142" s="57">
        <f>CHOOSE(P114,$D$51,$D$52,$D$53)</f>
        <v/>
      </c>
      <c r="Q142" s="57">
        <f>CHOOSE(Q114,$D$51,$D$52,$D$53)</f>
        <v/>
      </c>
      <c r="R142" s="57">
        <f>CHOOSE(R114,$D$51,$D$52,$D$53)</f>
        <v/>
      </c>
      <c r="S142" s="57">
        <f>CHOOSE(S114,$D$51,$D$52,$D$53)</f>
        <v/>
      </c>
      <c r="T142" s="57">
        <f>CHOOSE(T114,$D$51,$D$52,$D$53)</f>
        <v/>
      </c>
      <c r="U142" s="57">
        <f>CHOOSE(U114,$D$51,$D$52,$D$53)</f>
        <v/>
      </c>
      <c r="V142" s="57">
        <f>CHOOSE(V114,$D$51,$D$52,$D$53)</f>
        <v/>
      </c>
      <c r="W142" s="57">
        <f>CHOOSE(W114,$D$51,$D$52,$D$53)</f>
        <v/>
      </c>
      <c r="X142" s="57">
        <f>CHOOSE(X114,$D$51,$D$52,$D$53)</f>
        <v/>
      </c>
      <c r="Y142" s="57">
        <f>CHOOSE(Y114,$D$51,$D$52,$D$53)</f>
        <v/>
      </c>
      <c r="Z142" s="57">
        <f>CHOOSE(Z114,$D$51,$D$52,$D$53)</f>
        <v/>
      </c>
      <c r="AA142" s="57">
        <f>CHOOSE(AA114,$D$51,$D$52,$D$53)</f>
        <v/>
      </c>
      <c r="AB142" s="57">
        <f>CHOOSE(AB114,$D$51,$D$52,$D$53)</f>
        <v/>
      </c>
      <c r="AC142" s="57">
        <f>CHOOSE(AC114,$D$51,$D$52,$D$53)</f>
        <v/>
      </c>
      <c r="AD142" s="57">
        <f>CHOOSE(AD114,$D$51,$D$52,$D$53)</f>
        <v/>
      </c>
      <c r="AE142" s="57">
        <f>CHOOSE(AE114,$D$51,$D$52,$D$53)</f>
        <v/>
      </c>
      <c r="AF142" s="57">
        <f>CHOOSE(AF114,$D$51,$D$52,$D$53)</f>
        <v/>
      </c>
      <c r="AG142" s="57">
        <f>CHOOSE(AG114,$D$51,$D$52,$D$53)</f>
        <v/>
      </c>
      <c r="AH142" s="57">
        <f>CHOOSE(AH114,$D$51,$D$52,$D$53)</f>
        <v/>
      </c>
      <c r="AI142" s="57">
        <f>CHOOSE(AI114,$D$51,$D$52,$D$53)</f>
        <v/>
      </c>
      <c r="AJ142" s="57">
        <f>CHOOSE(AJ114,$D$51,$D$52,$D$53)</f>
        <v/>
      </c>
      <c r="AK142" s="57">
        <f>CHOOSE(AK114,$D$51,$D$52,$D$53)</f>
        <v/>
      </c>
      <c r="AL142" s="57">
        <f>CHOOSE(AL114,$D$51,$D$52,$D$53)</f>
        <v/>
      </c>
      <c r="AM142" s="57">
        <f>CHOOSE(AM114,$D$51,$D$52,$D$53)</f>
        <v/>
      </c>
      <c r="AN142" s="57">
        <f>CHOOSE(AN114,$D$51,$D$52,$D$53)</f>
        <v/>
      </c>
    </row>
    <row r="143">
      <c r="B143" s="7" t="inlineStr">
        <is>
          <t>Product and engineering (the larger of the planned engineers and a share of revenue)</t>
        </is>
      </c>
      <c r="C143" s="5" t="inlineStr">
        <is>
          <t>₹</t>
        </is>
      </c>
      <c r="E143" s="50">
        <f>MAX(E142*$D$54*E117,$D$59*E128)</f>
        <v/>
      </c>
      <c r="F143" s="50">
        <f>MAX(F142*$D$54*F117,$D$59*F128)</f>
        <v/>
      </c>
      <c r="G143" s="50">
        <f>MAX(G142*$D$54*G117,$D$59*G128)</f>
        <v/>
      </c>
      <c r="H143" s="50">
        <f>MAX(H142*$D$54*H117,$D$59*H128)</f>
        <v/>
      </c>
      <c r="I143" s="50">
        <f>MAX(I142*$D$54*I117,$D$59*I128)</f>
        <v/>
      </c>
      <c r="J143" s="50">
        <f>MAX(J142*$D$54*J117,$D$59*J128)</f>
        <v/>
      </c>
      <c r="K143" s="50">
        <f>MAX(K142*$D$54*K117,$D$59*K128)</f>
        <v/>
      </c>
      <c r="L143" s="50">
        <f>MAX(L142*$D$54*L117,$D$59*L128)</f>
        <v/>
      </c>
      <c r="M143" s="50">
        <f>MAX(M142*$D$54*M117,$D$59*M128)</f>
        <v/>
      </c>
      <c r="N143" s="50">
        <f>MAX(N142*$D$54*N117,$D$59*N128)</f>
        <v/>
      </c>
      <c r="O143" s="50">
        <f>MAX(O142*$D$54*O117,$D$59*O128)</f>
        <v/>
      </c>
      <c r="P143" s="50">
        <f>MAX(P142*$D$54*P117,$D$59*P128)</f>
        <v/>
      </c>
      <c r="Q143" s="50">
        <f>MAX(Q142*$D$54*Q117,$D$59*Q128)</f>
        <v/>
      </c>
      <c r="R143" s="50">
        <f>MAX(R142*$D$54*R117,$D$59*R128)</f>
        <v/>
      </c>
      <c r="S143" s="50">
        <f>MAX(S142*$D$54*S117,$D$59*S128)</f>
        <v/>
      </c>
      <c r="T143" s="50">
        <f>MAX(T142*$D$54*T117,$D$59*T128)</f>
        <v/>
      </c>
      <c r="U143" s="50">
        <f>MAX(U142*$D$54*U117,$D$59*U128)</f>
        <v/>
      </c>
      <c r="V143" s="50">
        <f>MAX(V142*$D$54*V117,$D$59*V128)</f>
        <v/>
      </c>
      <c r="W143" s="50">
        <f>MAX(W142*$D$54*W117,$D$59*W128)</f>
        <v/>
      </c>
      <c r="X143" s="50">
        <f>MAX(X142*$D$54*X117,$D$59*X128)</f>
        <v/>
      </c>
      <c r="Y143" s="50">
        <f>MAX(Y142*$D$54*Y117,$D$59*Y128)</f>
        <v/>
      </c>
      <c r="Z143" s="50">
        <f>MAX(Z142*$D$54*Z117,$D$59*Z128)</f>
        <v/>
      </c>
      <c r="AA143" s="50">
        <f>MAX(AA142*$D$54*AA117,$D$59*AA128)</f>
        <v/>
      </c>
      <c r="AB143" s="50">
        <f>MAX(AB142*$D$54*AB117,$D$59*AB128)</f>
        <v/>
      </c>
      <c r="AC143" s="50">
        <f>MAX(AC142*$D$54*AC117,$D$59*AC128)</f>
        <v/>
      </c>
      <c r="AD143" s="50">
        <f>MAX(AD142*$D$54*AD117,$D$59*AD128)</f>
        <v/>
      </c>
      <c r="AE143" s="50">
        <f>MAX(AE142*$D$54*AE117,$D$59*AE128)</f>
        <v/>
      </c>
      <c r="AF143" s="50">
        <f>MAX(AF142*$D$54*AF117,$D$59*AF128)</f>
        <v/>
      </c>
      <c r="AG143" s="50">
        <f>MAX(AG142*$D$54*AG117,$D$59*AG128)</f>
        <v/>
      </c>
      <c r="AH143" s="50">
        <f>MAX(AH142*$D$54*AH117,$D$59*AH128)</f>
        <v/>
      </c>
      <c r="AI143" s="50">
        <f>MAX(AI142*$D$54*AI117,$D$59*AI128)</f>
        <v/>
      </c>
      <c r="AJ143" s="50">
        <f>MAX(AJ142*$D$54*AJ117,$D$59*AJ128)</f>
        <v/>
      </c>
      <c r="AK143" s="50">
        <f>MAX(AK142*$D$54*AK117,$D$59*AK128)</f>
        <v/>
      </c>
      <c r="AL143" s="50">
        <f>MAX(AL142*$D$54*AL117,$D$59*AL128)</f>
        <v/>
      </c>
      <c r="AM143" s="50">
        <f>MAX(AM142*$D$54*AM117,$D$59*AM128)</f>
        <v/>
      </c>
      <c r="AN143" s="50">
        <f>MAX(AN142*$D$54*AN117,$D$59*AN128)</f>
        <v/>
      </c>
    </row>
    <row r="144">
      <c r="B144" s="7" t="inlineStr">
        <is>
          <t>Founders' stipends and general costs (the larger of the plan and a share of revenue)</t>
        </is>
      </c>
      <c r="C144" s="5" t="inlineStr">
        <is>
          <t>₹</t>
        </is>
      </c>
      <c r="E144" s="50">
        <f>MAX(($D$49*$D$50+$D$55)*E117,$D$60*E128)</f>
        <v/>
      </c>
      <c r="F144" s="50">
        <f>MAX(($D$49*$D$50+$D$55)*F117,$D$60*F128)</f>
        <v/>
      </c>
      <c r="G144" s="50">
        <f>MAX(($D$49*$D$50+$D$55)*G117,$D$60*G128)</f>
        <v/>
      </c>
      <c r="H144" s="50">
        <f>MAX(($D$49*$D$50+$D$55)*H117,$D$60*H128)</f>
        <v/>
      </c>
      <c r="I144" s="50">
        <f>MAX(($D$49*$D$50+$D$55)*I117,$D$60*I128)</f>
        <v/>
      </c>
      <c r="J144" s="50">
        <f>MAX(($D$49*$D$50+$D$55)*J117,$D$60*J128)</f>
        <v/>
      </c>
      <c r="K144" s="50">
        <f>MAX(($D$49*$D$50+$D$55)*K117,$D$60*K128)</f>
        <v/>
      </c>
      <c r="L144" s="50">
        <f>MAX(($D$49*$D$50+$D$55)*L117,$D$60*L128)</f>
        <v/>
      </c>
      <c r="M144" s="50">
        <f>MAX(($D$49*$D$50+$D$55)*M117,$D$60*M128)</f>
        <v/>
      </c>
      <c r="N144" s="50">
        <f>MAX(($D$49*$D$50+$D$55)*N117,$D$60*N128)</f>
        <v/>
      </c>
      <c r="O144" s="50">
        <f>MAX(($D$49*$D$50+$D$55)*O117,$D$60*O128)</f>
        <v/>
      </c>
      <c r="P144" s="50">
        <f>MAX(($D$49*$D$50+$D$55)*P117,$D$60*P128)</f>
        <v/>
      </c>
      <c r="Q144" s="50">
        <f>MAX(($D$49*$D$50+$D$55)*Q117,$D$60*Q128)</f>
        <v/>
      </c>
      <c r="R144" s="50">
        <f>MAX(($D$49*$D$50+$D$55)*R117,$D$60*R128)</f>
        <v/>
      </c>
      <c r="S144" s="50">
        <f>MAX(($D$49*$D$50+$D$55)*S117,$D$60*S128)</f>
        <v/>
      </c>
      <c r="T144" s="50">
        <f>MAX(($D$49*$D$50+$D$55)*T117,$D$60*T128)</f>
        <v/>
      </c>
      <c r="U144" s="50">
        <f>MAX(($D$49*$D$50+$D$55)*U117,$D$60*U128)</f>
        <v/>
      </c>
      <c r="V144" s="50">
        <f>MAX(($D$49*$D$50+$D$55)*V117,$D$60*V128)</f>
        <v/>
      </c>
      <c r="W144" s="50">
        <f>MAX(($D$49*$D$50+$D$55)*W117,$D$60*W128)</f>
        <v/>
      </c>
      <c r="X144" s="50">
        <f>MAX(($D$49*$D$50+$D$55)*X117,$D$60*X128)</f>
        <v/>
      </c>
      <c r="Y144" s="50">
        <f>MAX(($D$49*$D$50+$D$55)*Y117,$D$60*Y128)</f>
        <v/>
      </c>
      <c r="Z144" s="50">
        <f>MAX(($D$49*$D$50+$D$55)*Z117,$D$60*Z128)</f>
        <v/>
      </c>
      <c r="AA144" s="50">
        <f>MAX(($D$49*$D$50+$D$55)*AA117,$D$60*AA128)</f>
        <v/>
      </c>
      <c r="AB144" s="50">
        <f>MAX(($D$49*$D$50+$D$55)*AB117,$D$60*AB128)</f>
        <v/>
      </c>
      <c r="AC144" s="50">
        <f>MAX(($D$49*$D$50+$D$55)*AC117,$D$60*AC128)</f>
        <v/>
      </c>
      <c r="AD144" s="50">
        <f>MAX(($D$49*$D$50+$D$55)*AD117,$D$60*AD128)</f>
        <v/>
      </c>
      <c r="AE144" s="50">
        <f>MAX(($D$49*$D$50+$D$55)*AE117,$D$60*AE128)</f>
        <v/>
      </c>
      <c r="AF144" s="50">
        <f>MAX(($D$49*$D$50+$D$55)*AF117,$D$60*AF128)</f>
        <v/>
      </c>
      <c r="AG144" s="50">
        <f>MAX(($D$49*$D$50+$D$55)*AG117,$D$60*AG128)</f>
        <v/>
      </c>
      <c r="AH144" s="50">
        <f>MAX(($D$49*$D$50+$D$55)*AH117,$D$60*AH128)</f>
        <v/>
      </c>
      <c r="AI144" s="50">
        <f>MAX(($D$49*$D$50+$D$55)*AI117,$D$60*AI128)</f>
        <v/>
      </c>
      <c r="AJ144" s="50">
        <f>MAX(($D$49*$D$50+$D$55)*AJ117,$D$60*AJ128)</f>
        <v/>
      </c>
      <c r="AK144" s="50">
        <f>MAX(($D$49*$D$50+$D$55)*AK117,$D$60*AK128)</f>
        <v/>
      </c>
      <c r="AL144" s="50">
        <f>MAX(($D$49*$D$50+$D$55)*AL117,$D$60*AL128)</f>
        <v/>
      </c>
      <c r="AM144" s="50">
        <f>MAX(($D$49*$D$50+$D$55)*AM117,$D$60*AM128)</f>
        <v/>
      </c>
      <c r="AN144" s="50">
        <f>MAX(($D$49*$D$50+$D$55)*AN117,$D$60*AN128)</f>
        <v/>
      </c>
    </row>
    <row r="145">
      <c r="B145" s="7" t="inlineStr">
        <is>
          <t>Total operating costs</t>
        </is>
      </c>
      <c r="C145" s="5" t="inlineStr">
        <is>
          <t>₹</t>
        </is>
      </c>
      <c r="E145" s="50">
        <f>E141+E143+E144</f>
        <v/>
      </c>
      <c r="F145" s="50">
        <f>F141+F143+F144</f>
        <v/>
      </c>
      <c r="G145" s="50">
        <f>G141+G143+G144</f>
        <v/>
      </c>
      <c r="H145" s="50">
        <f>H141+H143+H144</f>
        <v/>
      </c>
      <c r="I145" s="50">
        <f>I141+I143+I144</f>
        <v/>
      </c>
      <c r="J145" s="50">
        <f>J141+J143+J144</f>
        <v/>
      </c>
      <c r="K145" s="50">
        <f>K141+K143+K144</f>
        <v/>
      </c>
      <c r="L145" s="50">
        <f>L141+L143+L144</f>
        <v/>
      </c>
      <c r="M145" s="50">
        <f>M141+M143+M144</f>
        <v/>
      </c>
      <c r="N145" s="50">
        <f>N141+N143+N144</f>
        <v/>
      </c>
      <c r="O145" s="50">
        <f>O141+O143+O144</f>
        <v/>
      </c>
      <c r="P145" s="50">
        <f>P141+P143+P144</f>
        <v/>
      </c>
      <c r="Q145" s="50">
        <f>Q141+Q143+Q144</f>
        <v/>
      </c>
      <c r="R145" s="50">
        <f>R141+R143+R144</f>
        <v/>
      </c>
      <c r="S145" s="50">
        <f>S141+S143+S144</f>
        <v/>
      </c>
      <c r="T145" s="50">
        <f>T141+T143+T144</f>
        <v/>
      </c>
      <c r="U145" s="50">
        <f>U141+U143+U144</f>
        <v/>
      </c>
      <c r="V145" s="50">
        <f>V141+V143+V144</f>
        <v/>
      </c>
      <c r="W145" s="50">
        <f>W141+W143+W144</f>
        <v/>
      </c>
      <c r="X145" s="50">
        <f>X141+X143+X144</f>
        <v/>
      </c>
      <c r="Y145" s="50">
        <f>Y141+Y143+Y144</f>
        <v/>
      </c>
      <c r="Z145" s="50">
        <f>Z141+Z143+Z144</f>
        <v/>
      </c>
      <c r="AA145" s="50">
        <f>AA141+AA143+AA144</f>
        <v/>
      </c>
      <c r="AB145" s="50">
        <f>AB141+AB143+AB144</f>
        <v/>
      </c>
      <c r="AC145" s="50">
        <f>AC141+AC143+AC144</f>
        <v/>
      </c>
      <c r="AD145" s="50">
        <f>AD141+AD143+AD144</f>
        <v/>
      </c>
      <c r="AE145" s="50">
        <f>AE141+AE143+AE144</f>
        <v/>
      </c>
      <c r="AF145" s="50">
        <f>AF141+AF143+AF144</f>
        <v/>
      </c>
      <c r="AG145" s="50">
        <f>AG141+AG143+AG144</f>
        <v/>
      </c>
      <c r="AH145" s="50">
        <f>AH141+AH143+AH144</f>
        <v/>
      </c>
      <c r="AI145" s="50">
        <f>AI141+AI143+AI144</f>
        <v/>
      </c>
      <c r="AJ145" s="50">
        <f>AJ141+AJ143+AJ144</f>
        <v/>
      </c>
      <c r="AK145" s="50">
        <f>AK141+AK143+AK144</f>
        <v/>
      </c>
      <c r="AL145" s="50">
        <f>AL141+AL143+AL144</f>
        <v/>
      </c>
      <c r="AM145" s="50">
        <f>AM141+AM143+AM144</f>
        <v/>
      </c>
      <c r="AN145" s="50">
        <f>AN141+AN143+AN144</f>
        <v/>
      </c>
    </row>
    <row r="146">
      <c r="B146" s="3" t="inlineStr">
        <is>
          <t>EBITDA</t>
        </is>
      </c>
      <c r="C146" s="5" t="inlineStr">
        <is>
          <t>₹</t>
        </is>
      </c>
      <c r="E146" s="52">
        <f>E135-E145</f>
        <v/>
      </c>
      <c r="F146" s="52">
        <f>F135-F145</f>
        <v/>
      </c>
      <c r="G146" s="52">
        <f>G135-G145</f>
        <v/>
      </c>
      <c r="H146" s="52">
        <f>H135-H145</f>
        <v/>
      </c>
      <c r="I146" s="52">
        <f>I135-I145</f>
        <v/>
      </c>
      <c r="J146" s="52">
        <f>J135-J145</f>
        <v/>
      </c>
      <c r="K146" s="52">
        <f>K135-K145</f>
        <v/>
      </c>
      <c r="L146" s="52">
        <f>L135-L145</f>
        <v/>
      </c>
      <c r="M146" s="52">
        <f>M135-M145</f>
        <v/>
      </c>
      <c r="N146" s="52">
        <f>N135-N145</f>
        <v/>
      </c>
      <c r="O146" s="52">
        <f>O135-O145</f>
        <v/>
      </c>
      <c r="P146" s="52">
        <f>P135-P145</f>
        <v/>
      </c>
      <c r="Q146" s="52">
        <f>Q135-Q145</f>
        <v/>
      </c>
      <c r="R146" s="52">
        <f>R135-R145</f>
        <v/>
      </c>
      <c r="S146" s="52">
        <f>S135-S145</f>
        <v/>
      </c>
      <c r="T146" s="52">
        <f>T135-T145</f>
        <v/>
      </c>
      <c r="U146" s="52">
        <f>U135-U145</f>
        <v/>
      </c>
      <c r="V146" s="52">
        <f>V135-V145</f>
        <v/>
      </c>
      <c r="W146" s="52">
        <f>W135-W145</f>
        <v/>
      </c>
      <c r="X146" s="52">
        <f>X135-X145</f>
        <v/>
      </c>
      <c r="Y146" s="52">
        <f>Y135-Y145</f>
        <v/>
      </c>
      <c r="Z146" s="52">
        <f>Z135-Z145</f>
        <v/>
      </c>
      <c r="AA146" s="52">
        <f>AA135-AA145</f>
        <v/>
      </c>
      <c r="AB146" s="52">
        <f>AB135-AB145</f>
        <v/>
      </c>
      <c r="AC146" s="52">
        <f>AC135-AC145</f>
        <v/>
      </c>
      <c r="AD146" s="52">
        <f>AD135-AD145</f>
        <v/>
      </c>
      <c r="AE146" s="52">
        <f>AE135-AE145</f>
        <v/>
      </c>
      <c r="AF146" s="52">
        <f>AF135-AF145</f>
        <v/>
      </c>
      <c r="AG146" s="52">
        <f>AG135-AG145</f>
        <v/>
      </c>
      <c r="AH146" s="52">
        <f>AH135-AH145</f>
        <v/>
      </c>
      <c r="AI146" s="52">
        <f>AI135-AI145</f>
        <v/>
      </c>
      <c r="AJ146" s="52">
        <f>AJ135-AJ145</f>
        <v/>
      </c>
      <c r="AK146" s="52">
        <f>AK135-AK145</f>
        <v/>
      </c>
      <c r="AL146" s="52">
        <f>AL135-AL145</f>
        <v/>
      </c>
      <c r="AM146" s="52">
        <f>AM135-AM145</f>
        <v/>
      </c>
      <c r="AN146" s="52">
        <f>AN135-AN145</f>
        <v/>
      </c>
    </row>
    <row r="147">
      <c r="A147" s="23" t="n"/>
      <c r="B147" s="22" t="inlineStr">
        <is>
          <t>E. Cash and funding</t>
        </is>
      </c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  <c r="AA147" s="23" t="n"/>
      <c r="AB147" s="23" t="n"/>
      <c r="AC147" s="23" t="n"/>
      <c r="AD147" s="23" t="n"/>
      <c r="AE147" s="23" t="n"/>
      <c r="AF147" s="23" t="n"/>
      <c r="AG147" s="23" t="n"/>
      <c r="AH147" s="23" t="n"/>
      <c r="AI147" s="23" t="n"/>
      <c r="AJ147" s="23" t="n"/>
      <c r="AK147" s="23" t="n"/>
      <c r="AL147" s="23" t="n"/>
      <c r="AM147" s="23" t="n"/>
      <c r="AN147" s="23" t="n"/>
    </row>
    <row r="148">
      <c r="B148" s="7" t="inlineStr">
        <is>
          <t>Receivables outstanding</t>
        </is>
      </c>
      <c r="C148" s="5" t="inlineStr">
        <is>
          <t>₹</t>
        </is>
      </c>
      <c r="E148" s="50">
        <f>E128*$D$62/30</f>
        <v/>
      </c>
      <c r="F148" s="50">
        <f>F128*$D$62/30</f>
        <v/>
      </c>
      <c r="G148" s="50">
        <f>G128*$D$62/30</f>
        <v/>
      </c>
      <c r="H148" s="50">
        <f>H128*$D$62/30</f>
        <v/>
      </c>
      <c r="I148" s="50">
        <f>I128*$D$62/30</f>
        <v/>
      </c>
      <c r="J148" s="50">
        <f>J128*$D$62/30</f>
        <v/>
      </c>
      <c r="K148" s="50">
        <f>K128*$D$62/30</f>
        <v/>
      </c>
      <c r="L148" s="50">
        <f>L128*$D$62/30</f>
        <v/>
      </c>
      <c r="M148" s="50">
        <f>M128*$D$62/30</f>
        <v/>
      </c>
      <c r="N148" s="50">
        <f>N128*$D$62/30</f>
        <v/>
      </c>
      <c r="O148" s="50">
        <f>O128*$D$62/30</f>
        <v/>
      </c>
      <c r="P148" s="50">
        <f>P128*$D$62/30</f>
        <v/>
      </c>
      <c r="Q148" s="50">
        <f>Q128*$D$62/30</f>
        <v/>
      </c>
      <c r="R148" s="50">
        <f>R128*$D$62/30</f>
        <v/>
      </c>
      <c r="S148" s="50">
        <f>S128*$D$62/30</f>
        <v/>
      </c>
      <c r="T148" s="50">
        <f>T128*$D$62/30</f>
        <v/>
      </c>
      <c r="U148" s="50">
        <f>U128*$D$62/30</f>
        <v/>
      </c>
      <c r="V148" s="50">
        <f>V128*$D$62/30</f>
        <v/>
      </c>
      <c r="W148" s="50">
        <f>W128*$D$62/30</f>
        <v/>
      </c>
      <c r="X148" s="50">
        <f>X128*$D$62/30</f>
        <v/>
      </c>
      <c r="Y148" s="50">
        <f>Y128*$D$62/30</f>
        <v/>
      </c>
      <c r="Z148" s="50">
        <f>Z128*$D$62/30</f>
        <v/>
      </c>
      <c r="AA148" s="50">
        <f>AA128*$D$62/30</f>
        <v/>
      </c>
      <c r="AB148" s="50">
        <f>AB128*$D$62/30</f>
        <v/>
      </c>
      <c r="AC148" s="50">
        <f>AC128*$D$62/30</f>
        <v/>
      </c>
      <c r="AD148" s="50">
        <f>AD128*$D$62/30</f>
        <v/>
      </c>
      <c r="AE148" s="50">
        <f>AE128*$D$62/30</f>
        <v/>
      </c>
      <c r="AF148" s="50">
        <f>AF128*$D$62/30</f>
        <v/>
      </c>
      <c r="AG148" s="50">
        <f>AG128*$D$62/30</f>
        <v/>
      </c>
      <c r="AH148" s="50">
        <f>AH128*$D$62/30</f>
        <v/>
      </c>
      <c r="AI148" s="50">
        <f>AI128*$D$62/30</f>
        <v/>
      </c>
      <c r="AJ148" s="50">
        <f>AJ128*$D$62/30</f>
        <v/>
      </c>
      <c r="AK148" s="50">
        <f>AK128*$D$62/30</f>
        <v/>
      </c>
      <c r="AL148" s="50">
        <f>AL128*$D$62/30</f>
        <v/>
      </c>
      <c r="AM148" s="50">
        <f>AM128*$D$62/30</f>
        <v/>
      </c>
      <c r="AN148" s="50">
        <f>AN128*$D$62/30</f>
        <v/>
      </c>
    </row>
    <row r="149">
      <c r="B149" s="7" t="inlineStr">
        <is>
          <t>Increase in receivables</t>
        </is>
      </c>
      <c r="C149" s="5" t="inlineStr">
        <is>
          <t>₹</t>
        </is>
      </c>
      <c r="E149" s="50">
        <f>E148</f>
        <v/>
      </c>
      <c r="F149" s="50">
        <f>F148-E148</f>
        <v/>
      </c>
      <c r="G149" s="50">
        <f>G148-F148</f>
        <v/>
      </c>
      <c r="H149" s="50">
        <f>H148-G148</f>
        <v/>
      </c>
      <c r="I149" s="50">
        <f>I148-H148</f>
        <v/>
      </c>
      <c r="J149" s="50">
        <f>J148-I148</f>
        <v/>
      </c>
      <c r="K149" s="50">
        <f>K148-J148</f>
        <v/>
      </c>
      <c r="L149" s="50">
        <f>L148-K148</f>
        <v/>
      </c>
      <c r="M149" s="50">
        <f>M148-L148</f>
        <v/>
      </c>
      <c r="N149" s="50">
        <f>N148-M148</f>
        <v/>
      </c>
      <c r="O149" s="50">
        <f>O148-N148</f>
        <v/>
      </c>
      <c r="P149" s="50">
        <f>P148-O148</f>
        <v/>
      </c>
      <c r="Q149" s="50">
        <f>Q148-P148</f>
        <v/>
      </c>
      <c r="R149" s="50">
        <f>R148-Q148</f>
        <v/>
      </c>
      <c r="S149" s="50">
        <f>S148-R148</f>
        <v/>
      </c>
      <c r="T149" s="50">
        <f>T148-S148</f>
        <v/>
      </c>
      <c r="U149" s="50">
        <f>U148-T148</f>
        <v/>
      </c>
      <c r="V149" s="50">
        <f>V148-U148</f>
        <v/>
      </c>
      <c r="W149" s="50">
        <f>W148-V148</f>
        <v/>
      </c>
      <c r="X149" s="50">
        <f>X148-W148</f>
        <v/>
      </c>
      <c r="Y149" s="50">
        <f>Y148-X148</f>
        <v/>
      </c>
      <c r="Z149" s="50">
        <f>Z148-Y148</f>
        <v/>
      </c>
      <c r="AA149" s="50">
        <f>AA148-Z148</f>
        <v/>
      </c>
      <c r="AB149" s="50">
        <f>AB148-AA148</f>
        <v/>
      </c>
      <c r="AC149" s="50">
        <f>AC148-AB148</f>
        <v/>
      </c>
      <c r="AD149" s="50">
        <f>AD148-AC148</f>
        <v/>
      </c>
      <c r="AE149" s="50">
        <f>AE148-AD148</f>
        <v/>
      </c>
      <c r="AF149" s="50">
        <f>AF148-AE148</f>
        <v/>
      </c>
      <c r="AG149" s="50">
        <f>AG148-AF148</f>
        <v/>
      </c>
      <c r="AH149" s="50">
        <f>AH148-AG148</f>
        <v/>
      </c>
      <c r="AI149" s="50">
        <f>AI148-AH148</f>
        <v/>
      </c>
      <c r="AJ149" s="50">
        <f>AJ148-AI148</f>
        <v/>
      </c>
      <c r="AK149" s="50">
        <f>AK148-AJ148</f>
        <v/>
      </c>
      <c r="AL149" s="50">
        <f>AL148-AK148</f>
        <v/>
      </c>
      <c r="AM149" s="50">
        <f>AM148-AL148</f>
        <v/>
      </c>
      <c r="AN149" s="50">
        <f>AN148-AM148</f>
        <v/>
      </c>
    </row>
    <row r="150">
      <c r="B150" s="7" t="inlineStr">
        <is>
          <t>Headcount (founders + reps + engineers + customer success)</t>
        </is>
      </c>
      <c r="C150" s="5" t="inlineStr">
        <is>
          <t>people</t>
        </is>
      </c>
      <c r="E150" s="57">
        <f>$D$49+E119+E142+E133</f>
        <v/>
      </c>
      <c r="F150" s="57">
        <f>$D$49+F119+F142+F133</f>
        <v/>
      </c>
      <c r="G150" s="57">
        <f>$D$49+G119+G142+G133</f>
        <v/>
      </c>
      <c r="H150" s="57">
        <f>$D$49+H119+H142+H133</f>
        <v/>
      </c>
      <c r="I150" s="57">
        <f>$D$49+I119+I142+I133</f>
        <v/>
      </c>
      <c r="J150" s="57">
        <f>$D$49+J119+J142+J133</f>
        <v/>
      </c>
      <c r="K150" s="57">
        <f>$D$49+K119+K142+K133</f>
        <v/>
      </c>
      <c r="L150" s="57">
        <f>$D$49+L119+L142+L133</f>
        <v/>
      </c>
      <c r="M150" s="57">
        <f>$D$49+M119+M142+M133</f>
        <v/>
      </c>
      <c r="N150" s="57">
        <f>$D$49+N119+N142+N133</f>
        <v/>
      </c>
      <c r="O150" s="57">
        <f>$D$49+O119+O142+O133</f>
        <v/>
      </c>
      <c r="P150" s="57">
        <f>$D$49+P119+P142+P133</f>
        <v/>
      </c>
      <c r="Q150" s="57">
        <f>$D$49+Q119+Q142+Q133</f>
        <v/>
      </c>
      <c r="R150" s="57">
        <f>$D$49+R119+R142+R133</f>
        <v/>
      </c>
      <c r="S150" s="57">
        <f>$D$49+S119+S142+S133</f>
        <v/>
      </c>
      <c r="T150" s="57">
        <f>$D$49+T119+T142+T133</f>
        <v/>
      </c>
      <c r="U150" s="57">
        <f>$D$49+U119+U142+U133</f>
        <v/>
      </c>
      <c r="V150" s="57">
        <f>$D$49+V119+V142+V133</f>
        <v/>
      </c>
      <c r="W150" s="57">
        <f>$D$49+W119+W142+W133</f>
        <v/>
      </c>
      <c r="X150" s="57">
        <f>$D$49+X119+X142+X133</f>
        <v/>
      </c>
      <c r="Y150" s="57">
        <f>$D$49+Y119+Y142+Y133</f>
        <v/>
      </c>
      <c r="Z150" s="57">
        <f>$D$49+Z119+Z142+Z133</f>
        <v/>
      </c>
      <c r="AA150" s="57">
        <f>$D$49+AA119+AA142+AA133</f>
        <v/>
      </c>
      <c r="AB150" s="57">
        <f>$D$49+AB119+AB142+AB133</f>
        <v/>
      </c>
      <c r="AC150" s="57">
        <f>$D$49+AC119+AC142+AC133</f>
        <v/>
      </c>
      <c r="AD150" s="57">
        <f>$D$49+AD119+AD142+AD133</f>
        <v/>
      </c>
      <c r="AE150" s="57">
        <f>$D$49+AE119+AE142+AE133</f>
        <v/>
      </c>
      <c r="AF150" s="57">
        <f>$D$49+AF119+AF142+AF133</f>
        <v/>
      </c>
      <c r="AG150" s="57">
        <f>$D$49+AG119+AG142+AG133</f>
        <v/>
      </c>
      <c r="AH150" s="57">
        <f>$D$49+AH119+AH142+AH133</f>
        <v/>
      </c>
      <c r="AI150" s="57">
        <f>$D$49+AI119+AI142+AI133</f>
        <v/>
      </c>
      <c r="AJ150" s="57">
        <f>$D$49+AJ119+AJ142+AJ133</f>
        <v/>
      </c>
      <c r="AK150" s="57">
        <f>$D$49+AK119+AK142+AK133</f>
        <v/>
      </c>
      <c r="AL150" s="57">
        <f>$D$49+AL119+AL142+AL133</f>
        <v/>
      </c>
      <c r="AM150" s="57">
        <f>$D$49+AM119+AM142+AM133</f>
        <v/>
      </c>
      <c r="AN150" s="57">
        <f>$D$49+AN119+AN142+AN133</f>
        <v/>
      </c>
    </row>
    <row r="151">
      <c r="B151" s="7" t="inlineStr">
        <is>
          <t>New hires</t>
        </is>
      </c>
      <c r="C151" s="5" t="inlineStr">
        <is>
          <t>people</t>
        </is>
      </c>
      <c r="E151" s="57">
        <f>E150</f>
        <v/>
      </c>
      <c r="F151" s="57">
        <f>MAX(0,F150-E150)</f>
        <v/>
      </c>
      <c r="G151" s="57">
        <f>MAX(0,G150-F150)</f>
        <v/>
      </c>
      <c r="H151" s="57">
        <f>MAX(0,H150-G150)</f>
        <v/>
      </c>
      <c r="I151" s="57">
        <f>MAX(0,I150-H150)</f>
        <v/>
      </c>
      <c r="J151" s="57">
        <f>MAX(0,J150-I150)</f>
        <v/>
      </c>
      <c r="K151" s="57">
        <f>MAX(0,K150-J150)</f>
        <v/>
      </c>
      <c r="L151" s="57">
        <f>MAX(0,L150-K150)</f>
        <v/>
      </c>
      <c r="M151" s="57">
        <f>MAX(0,M150-L150)</f>
        <v/>
      </c>
      <c r="N151" s="57">
        <f>MAX(0,N150-M150)</f>
        <v/>
      </c>
      <c r="O151" s="57">
        <f>MAX(0,O150-N150)</f>
        <v/>
      </c>
      <c r="P151" s="57">
        <f>MAX(0,P150-O150)</f>
        <v/>
      </c>
      <c r="Q151" s="57">
        <f>MAX(0,Q150-P150)</f>
        <v/>
      </c>
      <c r="R151" s="57">
        <f>MAX(0,R150-Q150)</f>
        <v/>
      </c>
      <c r="S151" s="57">
        <f>MAX(0,S150-R150)</f>
        <v/>
      </c>
      <c r="T151" s="57">
        <f>MAX(0,T150-S150)</f>
        <v/>
      </c>
      <c r="U151" s="57">
        <f>MAX(0,U150-T150)</f>
        <v/>
      </c>
      <c r="V151" s="57">
        <f>MAX(0,V150-U150)</f>
        <v/>
      </c>
      <c r="W151" s="57">
        <f>MAX(0,W150-V150)</f>
        <v/>
      </c>
      <c r="X151" s="57">
        <f>MAX(0,X150-W150)</f>
        <v/>
      </c>
      <c r="Y151" s="57">
        <f>MAX(0,Y150-X150)</f>
        <v/>
      </c>
      <c r="Z151" s="57">
        <f>MAX(0,Z150-Y150)</f>
        <v/>
      </c>
      <c r="AA151" s="57">
        <f>MAX(0,AA150-Z150)</f>
        <v/>
      </c>
      <c r="AB151" s="57">
        <f>MAX(0,AB150-AA150)</f>
        <v/>
      </c>
      <c r="AC151" s="57">
        <f>MAX(0,AC150-AB150)</f>
        <v/>
      </c>
      <c r="AD151" s="57">
        <f>MAX(0,AD150-AC150)</f>
        <v/>
      </c>
      <c r="AE151" s="57">
        <f>MAX(0,AE150-AD150)</f>
        <v/>
      </c>
      <c r="AF151" s="57">
        <f>MAX(0,AF150-AE150)</f>
        <v/>
      </c>
      <c r="AG151" s="57">
        <f>MAX(0,AG150-AF150)</f>
        <v/>
      </c>
      <c r="AH151" s="57">
        <f>MAX(0,AH150-AG150)</f>
        <v/>
      </c>
      <c r="AI151" s="57">
        <f>MAX(0,AI150-AH150)</f>
        <v/>
      </c>
      <c r="AJ151" s="57">
        <f>MAX(0,AJ150-AI150)</f>
        <v/>
      </c>
      <c r="AK151" s="57">
        <f>MAX(0,AK150-AJ150)</f>
        <v/>
      </c>
      <c r="AL151" s="57">
        <f>MAX(0,AL150-AK150)</f>
        <v/>
      </c>
      <c r="AM151" s="57">
        <f>MAX(0,AM150-AL150)</f>
        <v/>
      </c>
      <c r="AN151" s="57">
        <f>MAX(0,AN150-AM150)</f>
        <v/>
      </c>
    </row>
    <row r="152">
      <c r="B152" s="7" t="inlineStr">
        <is>
          <t>Equipment for new hires</t>
        </is>
      </c>
      <c r="C152" s="5" t="inlineStr">
        <is>
          <t>₹</t>
        </is>
      </c>
      <c r="E152" s="50">
        <f>E151*$D$63</f>
        <v/>
      </c>
      <c r="F152" s="50">
        <f>F151*$D$63</f>
        <v/>
      </c>
      <c r="G152" s="50">
        <f>G151*$D$63</f>
        <v/>
      </c>
      <c r="H152" s="50">
        <f>H151*$D$63</f>
        <v/>
      </c>
      <c r="I152" s="50">
        <f>I151*$D$63</f>
        <v/>
      </c>
      <c r="J152" s="50">
        <f>J151*$D$63</f>
        <v/>
      </c>
      <c r="K152" s="50">
        <f>K151*$D$63</f>
        <v/>
      </c>
      <c r="L152" s="50">
        <f>L151*$D$63</f>
        <v/>
      </c>
      <c r="M152" s="50">
        <f>M151*$D$63</f>
        <v/>
      </c>
      <c r="N152" s="50">
        <f>N151*$D$63</f>
        <v/>
      </c>
      <c r="O152" s="50">
        <f>O151*$D$63</f>
        <v/>
      </c>
      <c r="P152" s="50">
        <f>P151*$D$63</f>
        <v/>
      </c>
      <c r="Q152" s="50">
        <f>Q151*$D$63</f>
        <v/>
      </c>
      <c r="R152" s="50">
        <f>R151*$D$63</f>
        <v/>
      </c>
      <c r="S152" s="50">
        <f>S151*$D$63</f>
        <v/>
      </c>
      <c r="T152" s="50">
        <f>T151*$D$63</f>
        <v/>
      </c>
      <c r="U152" s="50">
        <f>U151*$D$63</f>
        <v/>
      </c>
      <c r="V152" s="50">
        <f>V151*$D$63</f>
        <v/>
      </c>
      <c r="W152" s="50">
        <f>W151*$D$63</f>
        <v/>
      </c>
      <c r="X152" s="50">
        <f>X151*$D$63</f>
        <v/>
      </c>
      <c r="Y152" s="50">
        <f>Y151*$D$63</f>
        <v/>
      </c>
      <c r="Z152" s="50">
        <f>Z151*$D$63</f>
        <v/>
      </c>
      <c r="AA152" s="50">
        <f>AA151*$D$63</f>
        <v/>
      </c>
      <c r="AB152" s="50">
        <f>AB151*$D$63</f>
        <v/>
      </c>
      <c r="AC152" s="50">
        <f>AC151*$D$63</f>
        <v/>
      </c>
      <c r="AD152" s="50">
        <f>AD151*$D$63</f>
        <v/>
      </c>
      <c r="AE152" s="50">
        <f>AE151*$D$63</f>
        <v/>
      </c>
      <c r="AF152" s="50">
        <f>AF151*$D$63</f>
        <v/>
      </c>
      <c r="AG152" s="50">
        <f>AG151*$D$63</f>
        <v/>
      </c>
      <c r="AH152" s="50">
        <f>AH151*$D$63</f>
        <v/>
      </c>
      <c r="AI152" s="50">
        <f>AI151*$D$63</f>
        <v/>
      </c>
      <c r="AJ152" s="50">
        <f>AJ151*$D$63</f>
        <v/>
      </c>
      <c r="AK152" s="50">
        <f>AK151*$D$63</f>
        <v/>
      </c>
      <c r="AL152" s="50">
        <f>AL151*$D$63</f>
        <v/>
      </c>
      <c r="AM152" s="50">
        <f>AM151*$D$63</f>
        <v/>
      </c>
      <c r="AN152" s="50">
        <f>AN151*$D$63</f>
        <v/>
      </c>
    </row>
    <row r="153">
      <c r="B153" s="7" t="inlineStr">
        <is>
          <t>Net cash flow before any funding</t>
        </is>
      </c>
      <c r="C153" s="5" t="inlineStr">
        <is>
          <t>₹</t>
        </is>
      </c>
      <c r="E153" s="50">
        <f>E146-E149-E152</f>
        <v/>
      </c>
      <c r="F153" s="50">
        <f>F146-F149-F152</f>
        <v/>
      </c>
      <c r="G153" s="50">
        <f>G146-G149-G152</f>
        <v/>
      </c>
      <c r="H153" s="50">
        <f>H146-H149-H152</f>
        <v/>
      </c>
      <c r="I153" s="50">
        <f>I146-I149-I152</f>
        <v/>
      </c>
      <c r="J153" s="50">
        <f>J146-J149-J152</f>
        <v/>
      </c>
      <c r="K153" s="50">
        <f>K146-K149-K152</f>
        <v/>
      </c>
      <c r="L153" s="50">
        <f>L146-L149-L152</f>
        <v/>
      </c>
      <c r="M153" s="50">
        <f>M146-M149-M152</f>
        <v/>
      </c>
      <c r="N153" s="50">
        <f>N146-N149-N152</f>
        <v/>
      </c>
      <c r="O153" s="50">
        <f>O146-O149-O152</f>
        <v/>
      </c>
      <c r="P153" s="50">
        <f>P146-P149-P152</f>
        <v/>
      </c>
      <c r="Q153" s="50">
        <f>Q146-Q149-Q152</f>
        <v/>
      </c>
      <c r="R153" s="50">
        <f>R146-R149-R152</f>
        <v/>
      </c>
      <c r="S153" s="50">
        <f>S146-S149-S152</f>
        <v/>
      </c>
      <c r="T153" s="50">
        <f>T146-T149-T152</f>
        <v/>
      </c>
      <c r="U153" s="50">
        <f>U146-U149-U152</f>
        <v/>
      </c>
      <c r="V153" s="50">
        <f>V146-V149-V152</f>
        <v/>
      </c>
      <c r="W153" s="50">
        <f>W146-W149-W152</f>
        <v/>
      </c>
      <c r="X153" s="50">
        <f>X146-X149-X152</f>
        <v/>
      </c>
      <c r="Y153" s="50">
        <f>Y146-Y149-Y152</f>
        <v/>
      </c>
      <c r="Z153" s="50">
        <f>Z146-Z149-Z152</f>
        <v/>
      </c>
      <c r="AA153" s="50">
        <f>AA146-AA149-AA152</f>
        <v/>
      </c>
      <c r="AB153" s="50">
        <f>AB146-AB149-AB152</f>
        <v/>
      </c>
      <c r="AC153" s="50">
        <f>AC146-AC149-AC152</f>
        <v/>
      </c>
      <c r="AD153" s="50">
        <f>AD146-AD149-AD152</f>
        <v/>
      </c>
      <c r="AE153" s="50">
        <f>AE146-AE149-AE152</f>
        <v/>
      </c>
      <c r="AF153" s="50">
        <f>AF146-AF149-AF152</f>
        <v/>
      </c>
      <c r="AG153" s="50">
        <f>AG146-AG149-AG152</f>
        <v/>
      </c>
      <c r="AH153" s="50">
        <f>AH146-AH149-AH152</f>
        <v/>
      </c>
      <c r="AI153" s="50">
        <f>AI146-AI149-AI152</f>
        <v/>
      </c>
      <c r="AJ153" s="50">
        <f>AJ146-AJ149-AJ152</f>
        <v/>
      </c>
      <c r="AK153" s="50">
        <f>AK146-AK149-AK152</f>
        <v/>
      </c>
      <c r="AL153" s="50">
        <f>AL146-AL149-AL152</f>
        <v/>
      </c>
      <c r="AM153" s="50">
        <f>AM146-AM149-AM152</f>
        <v/>
      </c>
      <c r="AN153" s="50">
        <f>AN146-AN149-AN152</f>
        <v/>
      </c>
    </row>
    <row r="154">
      <c r="B154" s="7" t="inlineStr">
        <is>
          <t>Cumulative cash before funding</t>
        </is>
      </c>
      <c r="C154" s="5" t="inlineStr">
        <is>
          <t>₹</t>
        </is>
      </c>
      <c r="E154" s="50">
        <f>E153</f>
        <v/>
      </c>
      <c r="F154" s="50">
        <f>E154+F153</f>
        <v/>
      </c>
      <c r="G154" s="50">
        <f>F154+G153</f>
        <v/>
      </c>
      <c r="H154" s="50">
        <f>G154+H153</f>
        <v/>
      </c>
      <c r="I154" s="50">
        <f>H154+I153</f>
        <v/>
      </c>
      <c r="J154" s="50">
        <f>I154+J153</f>
        <v/>
      </c>
      <c r="K154" s="50">
        <f>J154+K153</f>
        <v/>
      </c>
      <c r="L154" s="50">
        <f>K154+L153</f>
        <v/>
      </c>
      <c r="M154" s="50">
        <f>L154+M153</f>
        <v/>
      </c>
      <c r="N154" s="50">
        <f>M154+N153</f>
        <v/>
      </c>
      <c r="O154" s="50">
        <f>N154+O153</f>
        <v/>
      </c>
      <c r="P154" s="50">
        <f>O154+P153</f>
        <v/>
      </c>
      <c r="Q154" s="50">
        <f>P154+Q153</f>
        <v/>
      </c>
      <c r="R154" s="50">
        <f>Q154+R153</f>
        <v/>
      </c>
      <c r="S154" s="50">
        <f>R154+S153</f>
        <v/>
      </c>
      <c r="T154" s="50">
        <f>S154+T153</f>
        <v/>
      </c>
      <c r="U154" s="50">
        <f>T154+U153</f>
        <v/>
      </c>
      <c r="V154" s="50">
        <f>U154+V153</f>
        <v/>
      </c>
      <c r="W154" s="50">
        <f>V154+W153</f>
        <v/>
      </c>
      <c r="X154" s="50">
        <f>W154+X153</f>
        <v/>
      </c>
      <c r="Y154" s="50">
        <f>X154+Y153</f>
        <v/>
      </c>
      <c r="Z154" s="50">
        <f>Y154+Z153</f>
        <v/>
      </c>
      <c r="AA154" s="50">
        <f>Z154+AA153</f>
        <v/>
      </c>
      <c r="AB154" s="50">
        <f>AA154+AB153</f>
        <v/>
      </c>
      <c r="AC154" s="50">
        <f>AB154+AC153</f>
        <v/>
      </c>
      <c r="AD154" s="50">
        <f>AC154+AD153</f>
        <v/>
      </c>
      <c r="AE154" s="50">
        <f>AD154+AE153</f>
        <v/>
      </c>
      <c r="AF154" s="50">
        <f>AE154+AF153</f>
        <v/>
      </c>
      <c r="AG154" s="50">
        <f>AF154+AG153</f>
        <v/>
      </c>
      <c r="AH154" s="50">
        <f>AG154+AH153</f>
        <v/>
      </c>
      <c r="AI154" s="50">
        <f>AH154+AI153</f>
        <v/>
      </c>
      <c r="AJ154" s="50">
        <f>AI154+AJ153</f>
        <v/>
      </c>
      <c r="AK154" s="50">
        <f>AJ154+AK153</f>
        <v/>
      </c>
      <c r="AL154" s="50">
        <f>AK154+AL153</f>
        <v/>
      </c>
      <c r="AM154" s="50">
        <f>AL154+AM153</f>
        <v/>
      </c>
      <c r="AN154" s="50">
        <f>AM154+AN153</f>
        <v/>
      </c>
    </row>
    <row r="155">
      <c r="B155" s="7" t="inlineStr">
        <is>
          <t>Total cash costs this month (used for the buffer)</t>
        </is>
      </c>
      <c r="C155" s="5" t="inlineStr">
        <is>
          <t>₹</t>
        </is>
      </c>
      <c r="E155" s="50">
        <f>E130+E132+E134+E145</f>
        <v/>
      </c>
      <c r="F155" s="50">
        <f>F130+F132+F134+F145</f>
        <v/>
      </c>
      <c r="G155" s="50">
        <f>G130+G132+G134+G145</f>
        <v/>
      </c>
      <c r="H155" s="50">
        <f>H130+H132+H134+H145</f>
        <v/>
      </c>
      <c r="I155" s="50">
        <f>I130+I132+I134+I145</f>
        <v/>
      </c>
      <c r="J155" s="50">
        <f>J130+J132+J134+J145</f>
        <v/>
      </c>
      <c r="K155" s="50">
        <f>K130+K132+K134+K145</f>
        <v/>
      </c>
      <c r="L155" s="50">
        <f>L130+L132+L134+L145</f>
        <v/>
      </c>
      <c r="M155" s="50">
        <f>M130+M132+M134+M145</f>
        <v/>
      </c>
      <c r="N155" s="50">
        <f>N130+N132+N134+N145</f>
        <v/>
      </c>
      <c r="O155" s="50">
        <f>O130+O132+O134+O145</f>
        <v/>
      </c>
      <c r="P155" s="50">
        <f>P130+P132+P134+P145</f>
        <v/>
      </c>
      <c r="Q155" s="50">
        <f>Q130+Q132+Q134+Q145</f>
        <v/>
      </c>
      <c r="R155" s="50">
        <f>R130+R132+R134+R145</f>
        <v/>
      </c>
      <c r="S155" s="50">
        <f>S130+S132+S134+S145</f>
        <v/>
      </c>
      <c r="T155" s="50">
        <f>T130+T132+T134+T145</f>
        <v/>
      </c>
      <c r="U155" s="50">
        <f>U130+U132+U134+U145</f>
        <v/>
      </c>
      <c r="V155" s="50">
        <f>V130+V132+V134+V145</f>
        <v/>
      </c>
      <c r="W155" s="50">
        <f>W130+W132+W134+W145</f>
        <v/>
      </c>
      <c r="X155" s="50">
        <f>X130+X132+X134+X145</f>
        <v/>
      </c>
      <c r="Y155" s="50">
        <f>Y130+Y132+Y134+Y145</f>
        <v/>
      </c>
      <c r="Z155" s="50">
        <f>Z130+Z132+Z134+Z145</f>
        <v/>
      </c>
      <c r="AA155" s="50">
        <f>AA130+AA132+AA134+AA145</f>
        <v/>
      </c>
      <c r="AB155" s="50">
        <f>AB130+AB132+AB134+AB145</f>
        <v/>
      </c>
      <c r="AC155" s="50">
        <f>AC130+AC132+AC134+AC145</f>
        <v/>
      </c>
      <c r="AD155" s="50">
        <f>AD130+AD132+AD134+AD145</f>
        <v/>
      </c>
      <c r="AE155" s="50">
        <f>AE130+AE132+AE134+AE145</f>
        <v/>
      </c>
      <c r="AF155" s="50">
        <f>AF130+AF132+AF134+AF145</f>
        <v/>
      </c>
      <c r="AG155" s="50">
        <f>AG130+AG132+AG134+AG145</f>
        <v/>
      </c>
      <c r="AH155" s="50">
        <f>AH130+AH132+AH134+AH145</f>
        <v/>
      </c>
      <c r="AI155" s="50">
        <f>AI130+AI132+AI134+AI145</f>
        <v/>
      </c>
      <c r="AJ155" s="50">
        <f>AJ130+AJ132+AJ134+AJ145</f>
        <v/>
      </c>
      <c r="AK155" s="50">
        <f>AK130+AK132+AK134+AK145</f>
        <v/>
      </c>
      <c r="AL155" s="50">
        <f>AL130+AL132+AL134+AL145</f>
        <v/>
      </c>
      <c r="AM155" s="50">
        <f>AM130+AM132+AM134+AM145</f>
        <v/>
      </c>
      <c r="AN155" s="50">
        <f>AN130+AN132+AN134+AN145</f>
        <v/>
      </c>
    </row>
    <row r="156">
      <c r="B156" s="3" t="inlineStr">
        <is>
          <t>Cash balance with the funding ask received in month 1</t>
        </is>
      </c>
      <c r="C156" s="5" t="inlineStr">
        <is>
          <t>₹</t>
        </is>
      </c>
      <c r="E156" s="52">
        <f>$D$103+E154</f>
        <v/>
      </c>
      <c r="F156" s="52">
        <f>$D$103+F154</f>
        <v/>
      </c>
      <c r="G156" s="52">
        <f>$D$103+G154</f>
        <v/>
      </c>
      <c r="H156" s="52">
        <f>$D$103+H154</f>
        <v/>
      </c>
      <c r="I156" s="52">
        <f>$D$103+I154</f>
        <v/>
      </c>
      <c r="J156" s="52">
        <f>$D$103+J154</f>
        <v/>
      </c>
      <c r="K156" s="52">
        <f>$D$103+K154</f>
        <v/>
      </c>
      <c r="L156" s="52">
        <f>$D$103+L154</f>
        <v/>
      </c>
      <c r="M156" s="52">
        <f>$D$103+M154</f>
        <v/>
      </c>
      <c r="N156" s="52">
        <f>$D$103+N154</f>
        <v/>
      </c>
      <c r="O156" s="52">
        <f>$D$103+O154</f>
        <v/>
      </c>
      <c r="P156" s="52">
        <f>$D$103+P154</f>
        <v/>
      </c>
      <c r="Q156" s="52">
        <f>$D$103+Q154</f>
        <v/>
      </c>
      <c r="R156" s="52">
        <f>$D$103+R154</f>
        <v/>
      </c>
      <c r="S156" s="52">
        <f>$D$103+S154</f>
        <v/>
      </c>
      <c r="T156" s="52">
        <f>$D$103+T154</f>
        <v/>
      </c>
      <c r="U156" s="52">
        <f>$D$103+U154</f>
        <v/>
      </c>
      <c r="V156" s="52">
        <f>$D$103+V154</f>
        <v/>
      </c>
      <c r="W156" s="52">
        <f>$D$103+W154</f>
        <v/>
      </c>
      <c r="X156" s="52">
        <f>$D$103+X154</f>
        <v/>
      </c>
      <c r="Y156" s="52">
        <f>$D$103+Y154</f>
        <v/>
      </c>
      <c r="Z156" s="52">
        <f>$D$103+Z154</f>
        <v/>
      </c>
      <c r="AA156" s="52">
        <f>$D$103+AA154</f>
        <v/>
      </c>
      <c r="AB156" s="52">
        <f>$D$103+AB154</f>
        <v/>
      </c>
      <c r="AC156" s="52">
        <f>$D$103+AC154</f>
        <v/>
      </c>
      <c r="AD156" s="52">
        <f>$D$103+AD154</f>
        <v/>
      </c>
      <c r="AE156" s="52">
        <f>$D$103+AE154</f>
        <v/>
      </c>
      <c r="AF156" s="52">
        <f>$D$103+AF154</f>
        <v/>
      </c>
      <c r="AG156" s="52">
        <f>$D$103+AG154</f>
        <v/>
      </c>
      <c r="AH156" s="52">
        <f>$D$103+AH154</f>
        <v/>
      </c>
      <c r="AI156" s="52">
        <f>$D$103+AI154</f>
        <v/>
      </c>
      <c r="AJ156" s="52">
        <f>$D$103+AJ154</f>
        <v/>
      </c>
      <c r="AK156" s="52">
        <f>$D$103+AK154</f>
        <v/>
      </c>
      <c r="AL156" s="52">
        <f>$D$103+AL154</f>
        <v/>
      </c>
      <c r="AM156" s="52">
        <f>$D$103+AM154</f>
        <v/>
      </c>
      <c r="AN156" s="52">
        <f>$D$103+AN154</f>
        <v/>
      </c>
    </row>
    <row r="157">
      <c r="B157" s="7" t="inlineStr">
        <is>
          <t>Trailing-12-month EBITDA</t>
        </is>
      </c>
      <c r="C157" s="5" t="inlineStr">
        <is>
          <t>₹</t>
        </is>
      </c>
      <c r="E157" s="50">
        <f>""</f>
        <v/>
      </c>
      <c r="F157" s="50">
        <f>""</f>
        <v/>
      </c>
      <c r="G157" s="50">
        <f>""</f>
        <v/>
      </c>
      <c r="H157" s="50">
        <f>""</f>
        <v/>
      </c>
      <c r="I157" s="50">
        <f>""</f>
        <v/>
      </c>
      <c r="J157" s="50">
        <f>""</f>
        <v/>
      </c>
      <c r="K157" s="50">
        <f>""</f>
        <v/>
      </c>
      <c r="L157" s="50">
        <f>""</f>
        <v/>
      </c>
      <c r="M157" s="50">
        <f>""</f>
        <v/>
      </c>
      <c r="N157" s="50">
        <f>""</f>
        <v/>
      </c>
      <c r="O157" s="50">
        <f>""</f>
        <v/>
      </c>
      <c r="P157" s="50">
        <f>SUM(E146:P146)</f>
        <v/>
      </c>
      <c r="Q157" s="50">
        <f>SUM(F146:Q146)</f>
        <v/>
      </c>
      <c r="R157" s="50">
        <f>SUM(G146:R146)</f>
        <v/>
      </c>
      <c r="S157" s="50">
        <f>SUM(H146:S146)</f>
        <v/>
      </c>
      <c r="T157" s="50">
        <f>SUM(I146:T146)</f>
        <v/>
      </c>
      <c r="U157" s="50">
        <f>SUM(J146:U146)</f>
        <v/>
      </c>
      <c r="V157" s="50">
        <f>SUM(K146:V146)</f>
        <v/>
      </c>
      <c r="W157" s="50">
        <f>SUM(L146:W146)</f>
        <v/>
      </c>
      <c r="X157" s="50">
        <f>SUM(M146:X146)</f>
        <v/>
      </c>
      <c r="Y157" s="50">
        <f>SUM(N146:Y146)</f>
        <v/>
      </c>
      <c r="Z157" s="50">
        <f>SUM(O146:Z146)</f>
        <v/>
      </c>
      <c r="AA157" s="50">
        <f>SUM(P146:AA146)</f>
        <v/>
      </c>
      <c r="AB157" s="50">
        <f>SUM(Q146:AB146)</f>
        <v/>
      </c>
      <c r="AC157" s="50">
        <f>SUM(R146:AC146)</f>
        <v/>
      </c>
      <c r="AD157" s="50">
        <f>SUM(S146:AD146)</f>
        <v/>
      </c>
      <c r="AE157" s="50">
        <f>SUM(T146:AE146)</f>
        <v/>
      </c>
      <c r="AF157" s="50">
        <f>SUM(U146:AF146)</f>
        <v/>
      </c>
      <c r="AG157" s="50">
        <f>SUM(V146:AG146)</f>
        <v/>
      </c>
      <c r="AH157" s="50">
        <f>SUM(W146:AH146)</f>
        <v/>
      </c>
      <c r="AI157" s="50">
        <f>SUM(X146:AI146)</f>
        <v/>
      </c>
      <c r="AJ157" s="50">
        <f>SUM(Y146:AJ146)</f>
        <v/>
      </c>
      <c r="AK157" s="50">
        <f>SUM(Z146:AK146)</f>
        <v/>
      </c>
      <c r="AL157" s="50">
        <f>SUM(AA146:AL146)</f>
        <v/>
      </c>
      <c r="AM157" s="50">
        <f>SUM(AB146:AM146)</f>
        <v/>
      </c>
      <c r="AN157" s="50">
        <f>SUM(AC146:AN146)</f>
        <v/>
      </c>
    </row>
    <row r="158">
      <c r="B158" s="7" t="inlineStr">
        <is>
          <t>Flag: EBITDA ≥ 0 for 3 months in a row</t>
        </is>
      </c>
      <c r="C158" s="5" t="inlineStr">
        <is>
          <t>1/0</t>
        </is>
      </c>
      <c r="E158" s="57">
        <f>IF(AND(E146&gt;=0,F146&gt;=0,G146&gt;=0),1,0)</f>
        <v/>
      </c>
      <c r="F158" s="57">
        <f>IF(AND(F146&gt;=0,G146&gt;=0,H146&gt;=0),1,0)</f>
        <v/>
      </c>
      <c r="G158" s="57">
        <f>IF(AND(G146&gt;=0,H146&gt;=0,I146&gt;=0),1,0)</f>
        <v/>
      </c>
      <c r="H158" s="57">
        <f>IF(AND(H146&gt;=0,I146&gt;=0,J146&gt;=0),1,0)</f>
        <v/>
      </c>
      <c r="I158" s="57">
        <f>IF(AND(I146&gt;=0,J146&gt;=0,K146&gt;=0),1,0)</f>
        <v/>
      </c>
      <c r="J158" s="57">
        <f>IF(AND(J146&gt;=0,K146&gt;=0,L146&gt;=0),1,0)</f>
        <v/>
      </c>
      <c r="K158" s="57">
        <f>IF(AND(K146&gt;=0,L146&gt;=0,M146&gt;=0),1,0)</f>
        <v/>
      </c>
      <c r="L158" s="57">
        <f>IF(AND(L146&gt;=0,M146&gt;=0,N146&gt;=0),1,0)</f>
        <v/>
      </c>
      <c r="M158" s="57">
        <f>IF(AND(M146&gt;=0,N146&gt;=0,O146&gt;=0),1,0)</f>
        <v/>
      </c>
      <c r="N158" s="57">
        <f>IF(AND(N146&gt;=0,O146&gt;=0,P146&gt;=0),1,0)</f>
        <v/>
      </c>
      <c r="O158" s="57">
        <f>IF(AND(O146&gt;=0,P146&gt;=0,Q146&gt;=0),1,0)</f>
        <v/>
      </c>
      <c r="P158" s="57">
        <f>IF(AND(P146&gt;=0,Q146&gt;=0,R146&gt;=0),1,0)</f>
        <v/>
      </c>
      <c r="Q158" s="57">
        <f>IF(AND(Q146&gt;=0,R146&gt;=0,S146&gt;=0),1,0)</f>
        <v/>
      </c>
      <c r="R158" s="57">
        <f>IF(AND(R146&gt;=0,S146&gt;=0,T146&gt;=0),1,0)</f>
        <v/>
      </c>
      <c r="S158" s="57">
        <f>IF(AND(S146&gt;=0,T146&gt;=0,U146&gt;=0),1,0)</f>
        <v/>
      </c>
      <c r="T158" s="57">
        <f>IF(AND(T146&gt;=0,U146&gt;=0,V146&gt;=0),1,0)</f>
        <v/>
      </c>
      <c r="U158" s="57">
        <f>IF(AND(U146&gt;=0,V146&gt;=0,W146&gt;=0),1,0)</f>
        <v/>
      </c>
      <c r="V158" s="57">
        <f>IF(AND(V146&gt;=0,W146&gt;=0,X146&gt;=0),1,0)</f>
        <v/>
      </c>
      <c r="W158" s="57">
        <f>IF(AND(W146&gt;=0,X146&gt;=0,Y146&gt;=0),1,0)</f>
        <v/>
      </c>
      <c r="X158" s="57">
        <f>IF(AND(X146&gt;=0,Y146&gt;=0,Z146&gt;=0),1,0)</f>
        <v/>
      </c>
      <c r="Y158" s="57">
        <f>IF(AND(Y146&gt;=0,Z146&gt;=0,AA146&gt;=0),1,0)</f>
        <v/>
      </c>
      <c r="Z158" s="57">
        <f>IF(AND(Z146&gt;=0,AA146&gt;=0,AB146&gt;=0),1,0)</f>
        <v/>
      </c>
      <c r="AA158" s="57">
        <f>IF(AND(AA146&gt;=0,AB146&gt;=0,AC146&gt;=0),1,0)</f>
        <v/>
      </c>
      <c r="AB158" s="57">
        <f>IF(AND(AB146&gt;=0,AC146&gt;=0,AD146&gt;=0),1,0)</f>
        <v/>
      </c>
      <c r="AC158" s="57">
        <f>IF(AND(AC146&gt;=0,AD146&gt;=0,AE146&gt;=0),1,0)</f>
        <v/>
      </c>
      <c r="AD158" s="57">
        <f>IF(AND(AD146&gt;=0,AE146&gt;=0,AF146&gt;=0),1,0)</f>
        <v/>
      </c>
      <c r="AE158" s="57">
        <f>IF(AND(AE146&gt;=0,AF146&gt;=0,AG146&gt;=0),1,0)</f>
        <v/>
      </c>
      <c r="AF158" s="57">
        <f>IF(AND(AF146&gt;=0,AG146&gt;=0,AH146&gt;=0),1,0)</f>
        <v/>
      </c>
      <c r="AG158" s="57">
        <f>IF(AND(AG146&gt;=0,AH146&gt;=0,AI146&gt;=0),1,0)</f>
        <v/>
      </c>
      <c r="AH158" s="57">
        <f>IF(AND(AH146&gt;=0,AI146&gt;=0,AJ146&gt;=0),1,0)</f>
        <v/>
      </c>
      <c r="AI158" s="57">
        <f>IF(AND(AI146&gt;=0,AJ146&gt;=0,AK146&gt;=0),1,0)</f>
        <v/>
      </c>
      <c r="AJ158" s="57">
        <f>IF(AND(AJ146&gt;=0,AK146&gt;=0,AL146&gt;=0),1,0)</f>
        <v/>
      </c>
      <c r="AK158" s="57">
        <f>IF(AND(AK146&gt;=0,AL146&gt;=0,AM146&gt;=0),1,0)</f>
        <v/>
      </c>
      <c r="AL158" s="57">
        <f>IF(AND(AL146&gt;=0,AM146&gt;=0,AN146&gt;=0),1,0)</f>
        <v/>
      </c>
      <c r="AM158" s="57">
        <f>0</f>
        <v/>
      </c>
      <c r="AN158" s="57">
        <f>0</f>
        <v/>
      </c>
    </row>
    <row r="159">
      <c r="B159" s="7" t="inlineStr">
        <is>
          <t>Flag: trailing-12-month EBITDA ≥ 0</t>
        </is>
      </c>
      <c r="C159" s="5" t="inlineStr">
        <is>
          <t>1/0</t>
        </is>
      </c>
      <c r="E159" s="57">
        <f>0</f>
        <v/>
      </c>
      <c r="F159" s="57">
        <f>0</f>
        <v/>
      </c>
      <c r="G159" s="57">
        <f>0</f>
        <v/>
      </c>
      <c r="H159" s="57">
        <f>0</f>
        <v/>
      </c>
      <c r="I159" s="57">
        <f>0</f>
        <v/>
      </c>
      <c r="J159" s="57">
        <f>0</f>
        <v/>
      </c>
      <c r="K159" s="57">
        <f>0</f>
        <v/>
      </c>
      <c r="L159" s="57">
        <f>0</f>
        <v/>
      </c>
      <c r="M159" s="57">
        <f>0</f>
        <v/>
      </c>
      <c r="N159" s="57">
        <f>0</f>
        <v/>
      </c>
      <c r="O159" s="57">
        <f>0</f>
        <v/>
      </c>
      <c r="P159" s="57">
        <f>IF(P157&gt;=0,1,0)</f>
        <v/>
      </c>
      <c r="Q159" s="57">
        <f>IF(Q157&gt;=0,1,0)</f>
        <v/>
      </c>
      <c r="R159" s="57">
        <f>IF(R157&gt;=0,1,0)</f>
        <v/>
      </c>
      <c r="S159" s="57">
        <f>IF(S157&gt;=0,1,0)</f>
        <v/>
      </c>
      <c r="T159" s="57">
        <f>IF(T157&gt;=0,1,0)</f>
        <v/>
      </c>
      <c r="U159" s="57">
        <f>IF(U157&gt;=0,1,0)</f>
        <v/>
      </c>
      <c r="V159" s="57">
        <f>IF(V157&gt;=0,1,0)</f>
        <v/>
      </c>
      <c r="W159" s="57">
        <f>IF(W157&gt;=0,1,0)</f>
        <v/>
      </c>
      <c r="X159" s="57">
        <f>IF(X157&gt;=0,1,0)</f>
        <v/>
      </c>
      <c r="Y159" s="57">
        <f>IF(Y157&gt;=0,1,0)</f>
        <v/>
      </c>
      <c r="Z159" s="57">
        <f>IF(Z157&gt;=0,1,0)</f>
        <v/>
      </c>
      <c r="AA159" s="57">
        <f>IF(AA157&gt;=0,1,0)</f>
        <v/>
      </c>
      <c r="AB159" s="57">
        <f>IF(AB157&gt;=0,1,0)</f>
        <v/>
      </c>
      <c r="AC159" s="57">
        <f>IF(AC157&gt;=0,1,0)</f>
        <v/>
      </c>
      <c r="AD159" s="57">
        <f>IF(AD157&gt;=0,1,0)</f>
        <v/>
      </c>
      <c r="AE159" s="57">
        <f>IF(AE157&gt;=0,1,0)</f>
        <v/>
      </c>
      <c r="AF159" s="57">
        <f>IF(AF157&gt;=0,1,0)</f>
        <v/>
      </c>
      <c r="AG159" s="57">
        <f>IF(AG157&gt;=0,1,0)</f>
        <v/>
      </c>
      <c r="AH159" s="57">
        <f>IF(AH157&gt;=0,1,0)</f>
        <v/>
      </c>
      <c r="AI159" s="57">
        <f>IF(AI157&gt;=0,1,0)</f>
        <v/>
      </c>
      <c r="AJ159" s="57">
        <f>IF(AJ157&gt;=0,1,0)</f>
        <v/>
      </c>
      <c r="AK159" s="57">
        <f>IF(AK157&gt;=0,1,0)</f>
        <v/>
      </c>
      <c r="AL159" s="57">
        <f>IF(AL157&gt;=0,1,0)</f>
        <v/>
      </c>
      <c r="AM159" s="57">
        <f>IF(AM157&gt;=0,1,0)</f>
        <v/>
      </c>
      <c r="AN159" s="57">
        <f>IF(AN157&gt;=0,1,0)</f>
        <v/>
      </c>
    </row>
    <row r="160">
      <c r="A160" s="23" t="n"/>
      <c r="B160" s="22" t="inlineStr">
        <is>
          <t>F. Cohorts: institutes still paying, by month they signed (rows) and calendar month (columns)</t>
        </is>
      </c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  <c r="AA160" s="23" t="n"/>
      <c r="AB160" s="23" t="n"/>
      <c r="AC160" s="23" t="n"/>
      <c r="AD160" s="23" t="n"/>
      <c r="AE160" s="23" t="n"/>
      <c r="AF160" s="23" t="n"/>
      <c r="AG160" s="23" t="n"/>
      <c r="AH160" s="23" t="n"/>
      <c r="AI160" s="23" t="n"/>
      <c r="AJ160" s="23" t="n"/>
      <c r="AK160" s="23" t="n"/>
      <c r="AL160" s="23" t="n"/>
      <c r="AM160" s="23" t="n"/>
      <c r="AN160" s="23" t="n"/>
    </row>
    <row r="161">
      <c r="B161" s="7" t="inlineStr">
        <is>
          <t>Cohort signed in month 1</t>
        </is>
      </c>
      <c r="C161" s="5" t="inlineStr">
        <is>
          <t>institutes</t>
        </is>
      </c>
      <c r="E161" s="53">
        <f>E123</f>
        <v/>
      </c>
      <c r="F161" s="53">
        <f>E161*(1-$D$70)*(1-IF(AND(1&gt;=$D$48,INDEX(Season_Flag,E$113)=1),$D$71,0))</f>
        <v/>
      </c>
      <c r="G161" s="53">
        <f>F161*(1-$D$70)*(1-IF(AND(2&gt;=$D$48,INDEX(Season_Flag,F$113)=1),$D$71,0))</f>
        <v/>
      </c>
      <c r="H161" s="53">
        <f>G161*(1-$D$70)*(1-IF(AND(3&gt;=$D$48,INDEX(Season_Flag,G$113)=1),$D$71,0))</f>
        <v/>
      </c>
      <c r="I161" s="53">
        <f>H161*(1-$D$70)*(1-IF(AND(4&gt;=$D$48,INDEX(Season_Flag,H$113)=1),$D$71,0))</f>
        <v/>
      </c>
      <c r="J161" s="53">
        <f>I161*(1-$D$70)*(1-IF(AND(5&gt;=$D$48,INDEX(Season_Flag,I$113)=1),$D$71,0))</f>
        <v/>
      </c>
      <c r="K161" s="53">
        <f>J161*(1-$D$70)*(1-IF(AND(6&gt;=$D$48,INDEX(Season_Flag,J$113)=1),$D$71,0))</f>
        <v/>
      </c>
      <c r="L161" s="53">
        <f>K161*(1-$D$70)*(1-IF(AND(7&gt;=$D$48,INDEX(Season_Flag,K$113)=1),$D$71,0))</f>
        <v/>
      </c>
      <c r="M161" s="53">
        <f>L161*(1-$D$70)*(1-IF(AND(8&gt;=$D$48,INDEX(Season_Flag,L$113)=1),$D$71,0))</f>
        <v/>
      </c>
      <c r="N161" s="53">
        <f>M161*(1-$D$70)*(1-IF(AND(9&gt;=$D$48,INDEX(Season_Flag,M$113)=1),$D$71,0))</f>
        <v/>
      </c>
      <c r="O161" s="53">
        <f>N161*(1-$D$70)*(1-IF(AND(10&gt;=$D$48,INDEX(Season_Flag,N$113)=1),$D$71,0))</f>
        <v/>
      </c>
      <c r="P161" s="53">
        <f>O161*(1-$D$70)*(1-IF(AND(11&gt;=$D$48,INDEX(Season_Flag,O$113)=1),$D$71,0))</f>
        <v/>
      </c>
      <c r="Q161" s="53">
        <f>P161*(1-$D$70)*(1-IF(AND(12&gt;=$D$48,INDEX(Season_Flag,P$113)=1),$D$71,0))</f>
        <v/>
      </c>
      <c r="R161" s="53">
        <f>Q161*(1-$D$70)*(1-IF(AND(13&gt;=$D$48,INDEX(Season_Flag,Q$113)=1),$D$71,0))</f>
        <v/>
      </c>
      <c r="S161" s="53">
        <f>R161*(1-$D$70)*(1-IF(AND(14&gt;=$D$48,INDEX(Season_Flag,R$113)=1),$D$71,0))</f>
        <v/>
      </c>
      <c r="T161" s="53">
        <f>S161*(1-$D$70)*(1-IF(AND(15&gt;=$D$48,INDEX(Season_Flag,S$113)=1),$D$71,0))</f>
        <v/>
      </c>
      <c r="U161" s="53">
        <f>T161*(1-$D$70)*(1-IF(AND(16&gt;=$D$48,INDEX(Season_Flag,T$113)=1),$D$71,0))</f>
        <v/>
      </c>
      <c r="V161" s="53">
        <f>U161*(1-$D$70)*(1-IF(AND(17&gt;=$D$48,INDEX(Season_Flag,U$113)=1),$D$71,0))</f>
        <v/>
      </c>
      <c r="W161" s="53">
        <f>V161*(1-$D$70)*(1-IF(AND(18&gt;=$D$48,INDEX(Season_Flag,V$113)=1),$D$71,0))</f>
        <v/>
      </c>
      <c r="X161" s="53">
        <f>W161*(1-$D$70)*(1-IF(AND(19&gt;=$D$48,INDEX(Season_Flag,W$113)=1),$D$71,0))</f>
        <v/>
      </c>
      <c r="Y161" s="53">
        <f>X161*(1-$D$70)*(1-IF(AND(20&gt;=$D$48,INDEX(Season_Flag,X$113)=1),$D$71,0))</f>
        <v/>
      </c>
      <c r="Z161" s="53">
        <f>Y161*(1-$D$70)*(1-IF(AND(21&gt;=$D$48,INDEX(Season_Flag,Y$113)=1),$D$71,0))</f>
        <v/>
      </c>
      <c r="AA161" s="53">
        <f>Z161*(1-$D$70)*(1-IF(AND(22&gt;=$D$48,INDEX(Season_Flag,Z$113)=1),$D$71,0))</f>
        <v/>
      </c>
      <c r="AB161" s="53">
        <f>AA161*(1-$D$70)*(1-IF(AND(23&gt;=$D$48,INDEX(Season_Flag,AA$113)=1),$D$71,0))</f>
        <v/>
      </c>
      <c r="AC161" s="53">
        <f>AB161*(1-$D$70)*(1-IF(AND(24&gt;=$D$48,INDEX(Season_Flag,AB$113)=1),$D$71,0))</f>
        <v/>
      </c>
      <c r="AD161" s="53">
        <f>AC161*(1-$D$70)*(1-IF(AND(25&gt;=$D$48,INDEX(Season_Flag,AC$113)=1),$D$71,0))</f>
        <v/>
      </c>
      <c r="AE161" s="53">
        <f>AD161*(1-$D$70)*(1-IF(AND(26&gt;=$D$48,INDEX(Season_Flag,AD$113)=1),$D$71,0))</f>
        <v/>
      </c>
      <c r="AF161" s="53">
        <f>AE161*(1-$D$70)*(1-IF(AND(27&gt;=$D$48,INDEX(Season_Flag,AE$113)=1),$D$71,0))</f>
        <v/>
      </c>
      <c r="AG161" s="53">
        <f>AF161*(1-$D$70)*(1-IF(AND(28&gt;=$D$48,INDEX(Season_Flag,AF$113)=1),$D$71,0))</f>
        <v/>
      </c>
      <c r="AH161" s="53">
        <f>AG161*(1-$D$70)*(1-IF(AND(29&gt;=$D$48,INDEX(Season_Flag,AG$113)=1),$D$71,0))</f>
        <v/>
      </c>
      <c r="AI161" s="53">
        <f>AH161*(1-$D$70)*(1-IF(AND(30&gt;=$D$48,INDEX(Season_Flag,AH$113)=1),$D$71,0))</f>
        <v/>
      </c>
      <c r="AJ161" s="53">
        <f>AI161*(1-$D$70)*(1-IF(AND(31&gt;=$D$48,INDEX(Season_Flag,AI$113)=1),$D$71,0))</f>
        <v/>
      </c>
      <c r="AK161" s="53">
        <f>AJ161*(1-$D$70)*(1-IF(AND(32&gt;=$D$48,INDEX(Season_Flag,AJ$113)=1),$D$71,0))</f>
        <v/>
      </c>
      <c r="AL161" s="53">
        <f>AK161*(1-$D$70)*(1-IF(AND(33&gt;=$D$48,INDEX(Season_Flag,AK$113)=1),$D$71,0))</f>
        <v/>
      </c>
      <c r="AM161" s="53">
        <f>AL161*(1-$D$70)*(1-IF(AND(34&gt;=$D$48,INDEX(Season_Flag,AL$113)=1),$D$71,0))</f>
        <v/>
      </c>
      <c r="AN161" s="53">
        <f>AM161*(1-$D$70)*(1-IF(AND(35&gt;=$D$48,INDEX(Season_Flag,AM$113)=1),$D$71,0))</f>
        <v/>
      </c>
    </row>
    <row r="162">
      <c r="B162" s="7" t="inlineStr">
        <is>
          <t>Cohort signed in month 2</t>
        </is>
      </c>
      <c r="C162" s="5" t="inlineStr">
        <is>
          <t>institutes</t>
        </is>
      </c>
      <c r="F162" s="53">
        <f>F123</f>
        <v/>
      </c>
      <c r="G162" s="53">
        <f>F162*(1-$D$70)*(1-IF(AND(1&gt;=$D$48,INDEX(Season_Flag,F$113)=1),$D$71,0))</f>
        <v/>
      </c>
      <c r="H162" s="53">
        <f>G162*(1-$D$70)*(1-IF(AND(2&gt;=$D$48,INDEX(Season_Flag,G$113)=1),$D$71,0))</f>
        <v/>
      </c>
      <c r="I162" s="53">
        <f>H162*(1-$D$70)*(1-IF(AND(3&gt;=$D$48,INDEX(Season_Flag,H$113)=1),$D$71,0))</f>
        <v/>
      </c>
      <c r="J162" s="53">
        <f>I162*(1-$D$70)*(1-IF(AND(4&gt;=$D$48,INDEX(Season_Flag,I$113)=1),$D$71,0))</f>
        <v/>
      </c>
      <c r="K162" s="53">
        <f>J162*(1-$D$70)*(1-IF(AND(5&gt;=$D$48,INDEX(Season_Flag,J$113)=1),$D$71,0))</f>
        <v/>
      </c>
      <c r="L162" s="53">
        <f>K162*(1-$D$70)*(1-IF(AND(6&gt;=$D$48,INDEX(Season_Flag,K$113)=1),$D$71,0))</f>
        <v/>
      </c>
      <c r="M162" s="53">
        <f>L162*(1-$D$70)*(1-IF(AND(7&gt;=$D$48,INDEX(Season_Flag,L$113)=1),$D$71,0))</f>
        <v/>
      </c>
      <c r="N162" s="53">
        <f>M162*(1-$D$70)*(1-IF(AND(8&gt;=$D$48,INDEX(Season_Flag,M$113)=1),$D$71,0))</f>
        <v/>
      </c>
      <c r="O162" s="53">
        <f>N162*(1-$D$70)*(1-IF(AND(9&gt;=$D$48,INDEX(Season_Flag,N$113)=1),$D$71,0))</f>
        <v/>
      </c>
      <c r="P162" s="53">
        <f>O162*(1-$D$70)*(1-IF(AND(10&gt;=$D$48,INDEX(Season_Flag,O$113)=1),$D$71,0))</f>
        <v/>
      </c>
      <c r="Q162" s="53">
        <f>P162*(1-$D$70)*(1-IF(AND(11&gt;=$D$48,INDEX(Season_Flag,P$113)=1),$D$71,0))</f>
        <v/>
      </c>
      <c r="R162" s="53">
        <f>Q162*(1-$D$70)*(1-IF(AND(12&gt;=$D$48,INDEX(Season_Flag,Q$113)=1),$D$71,0))</f>
        <v/>
      </c>
      <c r="S162" s="53">
        <f>R162*(1-$D$70)*(1-IF(AND(13&gt;=$D$48,INDEX(Season_Flag,R$113)=1),$D$71,0))</f>
        <v/>
      </c>
      <c r="T162" s="53">
        <f>S162*(1-$D$70)*(1-IF(AND(14&gt;=$D$48,INDEX(Season_Flag,S$113)=1),$D$71,0))</f>
        <v/>
      </c>
      <c r="U162" s="53">
        <f>T162*(1-$D$70)*(1-IF(AND(15&gt;=$D$48,INDEX(Season_Flag,T$113)=1),$D$71,0))</f>
        <v/>
      </c>
      <c r="V162" s="53">
        <f>U162*(1-$D$70)*(1-IF(AND(16&gt;=$D$48,INDEX(Season_Flag,U$113)=1),$D$71,0))</f>
        <v/>
      </c>
      <c r="W162" s="53">
        <f>V162*(1-$D$70)*(1-IF(AND(17&gt;=$D$48,INDEX(Season_Flag,V$113)=1),$D$71,0))</f>
        <v/>
      </c>
      <c r="X162" s="53">
        <f>W162*(1-$D$70)*(1-IF(AND(18&gt;=$D$48,INDEX(Season_Flag,W$113)=1),$D$71,0))</f>
        <v/>
      </c>
      <c r="Y162" s="53">
        <f>X162*(1-$D$70)*(1-IF(AND(19&gt;=$D$48,INDEX(Season_Flag,X$113)=1),$D$71,0))</f>
        <v/>
      </c>
      <c r="Z162" s="53">
        <f>Y162*(1-$D$70)*(1-IF(AND(20&gt;=$D$48,INDEX(Season_Flag,Y$113)=1),$D$71,0))</f>
        <v/>
      </c>
      <c r="AA162" s="53">
        <f>Z162*(1-$D$70)*(1-IF(AND(21&gt;=$D$48,INDEX(Season_Flag,Z$113)=1),$D$71,0))</f>
        <v/>
      </c>
      <c r="AB162" s="53">
        <f>AA162*(1-$D$70)*(1-IF(AND(22&gt;=$D$48,INDEX(Season_Flag,AA$113)=1),$D$71,0))</f>
        <v/>
      </c>
      <c r="AC162" s="53">
        <f>AB162*(1-$D$70)*(1-IF(AND(23&gt;=$D$48,INDEX(Season_Flag,AB$113)=1),$D$71,0))</f>
        <v/>
      </c>
      <c r="AD162" s="53">
        <f>AC162*(1-$D$70)*(1-IF(AND(24&gt;=$D$48,INDEX(Season_Flag,AC$113)=1),$D$71,0))</f>
        <v/>
      </c>
      <c r="AE162" s="53">
        <f>AD162*(1-$D$70)*(1-IF(AND(25&gt;=$D$48,INDEX(Season_Flag,AD$113)=1),$D$71,0))</f>
        <v/>
      </c>
      <c r="AF162" s="53">
        <f>AE162*(1-$D$70)*(1-IF(AND(26&gt;=$D$48,INDEX(Season_Flag,AE$113)=1),$D$71,0))</f>
        <v/>
      </c>
      <c r="AG162" s="53">
        <f>AF162*(1-$D$70)*(1-IF(AND(27&gt;=$D$48,INDEX(Season_Flag,AF$113)=1),$D$71,0))</f>
        <v/>
      </c>
      <c r="AH162" s="53">
        <f>AG162*(1-$D$70)*(1-IF(AND(28&gt;=$D$48,INDEX(Season_Flag,AG$113)=1),$D$71,0))</f>
        <v/>
      </c>
      <c r="AI162" s="53">
        <f>AH162*(1-$D$70)*(1-IF(AND(29&gt;=$D$48,INDEX(Season_Flag,AH$113)=1),$D$71,0))</f>
        <v/>
      </c>
      <c r="AJ162" s="53">
        <f>AI162*(1-$D$70)*(1-IF(AND(30&gt;=$D$48,INDEX(Season_Flag,AI$113)=1),$D$71,0))</f>
        <v/>
      </c>
      <c r="AK162" s="53">
        <f>AJ162*(1-$D$70)*(1-IF(AND(31&gt;=$D$48,INDEX(Season_Flag,AJ$113)=1),$D$71,0))</f>
        <v/>
      </c>
      <c r="AL162" s="53">
        <f>AK162*(1-$D$70)*(1-IF(AND(32&gt;=$D$48,INDEX(Season_Flag,AK$113)=1),$D$71,0))</f>
        <v/>
      </c>
      <c r="AM162" s="53">
        <f>AL162*(1-$D$70)*(1-IF(AND(33&gt;=$D$48,INDEX(Season_Flag,AL$113)=1),$D$71,0))</f>
        <v/>
      </c>
      <c r="AN162" s="53">
        <f>AM162*(1-$D$70)*(1-IF(AND(34&gt;=$D$48,INDEX(Season_Flag,AM$113)=1),$D$71,0))</f>
        <v/>
      </c>
    </row>
    <row r="163">
      <c r="B163" s="7" t="inlineStr">
        <is>
          <t>Cohort signed in month 3</t>
        </is>
      </c>
      <c r="C163" s="5" t="inlineStr">
        <is>
          <t>institutes</t>
        </is>
      </c>
      <c r="G163" s="53">
        <f>G123</f>
        <v/>
      </c>
      <c r="H163" s="53">
        <f>G163*(1-$D$70)*(1-IF(AND(1&gt;=$D$48,INDEX(Season_Flag,G$113)=1),$D$71,0))</f>
        <v/>
      </c>
      <c r="I163" s="53">
        <f>H163*(1-$D$70)*(1-IF(AND(2&gt;=$D$48,INDEX(Season_Flag,H$113)=1),$D$71,0))</f>
        <v/>
      </c>
      <c r="J163" s="53">
        <f>I163*(1-$D$70)*(1-IF(AND(3&gt;=$D$48,INDEX(Season_Flag,I$113)=1),$D$71,0))</f>
        <v/>
      </c>
      <c r="K163" s="53">
        <f>J163*(1-$D$70)*(1-IF(AND(4&gt;=$D$48,INDEX(Season_Flag,J$113)=1),$D$71,0))</f>
        <v/>
      </c>
      <c r="L163" s="53">
        <f>K163*(1-$D$70)*(1-IF(AND(5&gt;=$D$48,INDEX(Season_Flag,K$113)=1),$D$71,0))</f>
        <v/>
      </c>
      <c r="M163" s="53">
        <f>L163*(1-$D$70)*(1-IF(AND(6&gt;=$D$48,INDEX(Season_Flag,L$113)=1),$D$71,0))</f>
        <v/>
      </c>
      <c r="N163" s="53">
        <f>M163*(1-$D$70)*(1-IF(AND(7&gt;=$D$48,INDEX(Season_Flag,M$113)=1),$D$71,0))</f>
        <v/>
      </c>
      <c r="O163" s="53">
        <f>N163*(1-$D$70)*(1-IF(AND(8&gt;=$D$48,INDEX(Season_Flag,N$113)=1),$D$71,0))</f>
        <v/>
      </c>
      <c r="P163" s="53">
        <f>O163*(1-$D$70)*(1-IF(AND(9&gt;=$D$48,INDEX(Season_Flag,O$113)=1),$D$71,0))</f>
        <v/>
      </c>
      <c r="Q163" s="53">
        <f>P163*(1-$D$70)*(1-IF(AND(10&gt;=$D$48,INDEX(Season_Flag,P$113)=1),$D$71,0))</f>
        <v/>
      </c>
      <c r="R163" s="53">
        <f>Q163*(1-$D$70)*(1-IF(AND(11&gt;=$D$48,INDEX(Season_Flag,Q$113)=1),$D$71,0))</f>
        <v/>
      </c>
      <c r="S163" s="53">
        <f>R163*(1-$D$70)*(1-IF(AND(12&gt;=$D$48,INDEX(Season_Flag,R$113)=1),$D$71,0))</f>
        <v/>
      </c>
      <c r="T163" s="53">
        <f>S163*(1-$D$70)*(1-IF(AND(13&gt;=$D$48,INDEX(Season_Flag,S$113)=1),$D$71,0))</f>
        <v/>
      </c>
      <c r="U163" s="53">
        <f>T163*(1-$D$70)*(1-IF(AND(14&gt;=$D$48,INDEX(Season_Flag,T$113)=1),$D$71,0))</f>
        <v/>
      </c>
      <c r="V163" s="53">
        <f>U163*(1-$D$70)*(1-IF(AND(15&gt;=$D$48,INDEX(Season_Flag,U$113)=1),$D$71,0))</f>
        <v/>
      </c>
      <c r="W163" s="53">
        <f>V163*(1-$D$70)*(1-IF(AND(16&gt;=$D$48,INDEX(Season_Flag,V$113)=1),$D$71,0))</f>
        <v/>
      </c>
      <c r="X163" s="53">
        <f>W163*(1-$D$70)*(1-IF(AND(17&gt;=$D$48,INDEX(Season_Flag,W$113)=1),$D$71,0))</f>
        <v/>
      </c>
      <c r="Y163" s="53">
        <f>X163*(1-$D$70)*(1-IF(AND(18&gt;=$D$48,INDEX(Season_Flag,X$113)=1),$D$71,0))</f>
        <v/>
      </c>
      <c r="Z163" s="53">
        <f>Y163*(1-$D$70)*(1-IF(AND(19&gt;=$D$48,INDEX(Season_Flag,Y$113)=1),$D$71,0))</f>
        <v/>
      </c>
      <c r="AA163" s="53">
        <f>Z163*(1-$D$70)*(1-IF(AND(20&gt;=$D$48,INDEX(Season_Flag,Z$113)=1),$D$71,0))</f>
        <v/>
      </c>
      <c r="AB163" s="53">
        <f>AA163*(1-$D$70)*(1-IF(AND(21&gt;=$D$48,INDEX(Season_Flag,AA$113)=1),$D$71,0))</f>
        <v/>
      </c>
      <c r="AC163" s="53">
        <f>AB163*(1-$D$70)*(1-IF(AND(22&gt;=$D$48,INDEX(Season_Flag,AB$113)=1),$D$71,0))</f>
        <v/>
      </c>
      <c r="AD163" s="53">
        <f>AC163*(1-$D$70)*(1-IF(AND(23&gt;=$D$48,INDEX(Season_Flag,AC$113)=1),$D$71,0))</f>
        <v/>
      </c>
      <c r="AE163" s="53">
        <f>AD163*(1-$D$70)*(1-IF(AND(24&gt;=$D$48,INDEX(Season_Flag,AD$113)=1),$D$71,0))</f>
        <v/>
      </c>
      <c r="AF163" s="53">
        <f>AE163*(1-$D$70)*(1-IF(AND(25&gt;=$D$48,INDEX(Season_Flag,AE$113)=1),$D$71,0))</f>
        <v/>
      </c>
      <c r="AG163" s="53">
        <f>AF163*(1-$D$70)*(1-IF(AND(26&gt;=$D$48,INDEX(Season_Flag,AF$113)=1),$D$71,0))</f>
        <v/>
      </c>
      <c r="AH163" s="53">
        <f>AG163*(1-$D$70)*(1-IF(AND(27&gt;=$D$48,INDEX(Season_Flag,AG$113)=1),$D$71,0))</f>
        <v/>
      </c>
      <c r="AI163" s="53">
        <f>AH163*(1-$D$70)*(1-IF(AND(28&gt;=$D$48,INDEX(Season_Flag,AH$113)=1),$D$71,0))</f>
        <v/>
      </c>
      <c r="AJ163" s="53">
        <f>AI163*(1-$D$70)*(1-IF(AND(29&gt;=$D$48,INDEX(Season_Flag,AI$113)=1),$D$71,0))</f>
        <v/>
      </c>
      <c r="AK163" s="53">
        <f>AJ163*(1-$D$70)*(1-IF(AND(30&gt;=$D$48,INDEX(Season_Flag,AJ$113)=1),$D$71,0))</f>
        <v/>
      </c>
      <c r="AL163" s="53">
        <f>AK163*(1-$D$70)*(1-IF(AND(31&gt;=$D$48,INDEX(Season_Flag,AK$113)=1),$D$71,0))</f>
        <v/>
      </c>
      <c r="AM163" s="53">
        <f>AL163*(1-$D$70)*(1-IF(AND(32&gt;=$D$48,INDEX(Season_Flag,AL$113)=1),$D$71,0))</f>
        <v/>
      </c>
      <c r="AN163" s="53">
        <f>AM163*(1-$D$70)*(1-IF(AND(33&gt;=$D$48,INDEX(Season_Flag,AM$113)=1),$D$71,0))</f>
        <v/>
      </c>
    </row>
    <row r="164">
      <c r="B164" s="7" t="inlineStr">
        <is>
          <t>Cohort signed in month 4</t>
        </is>
      </c>
      <c r="C164" s="5" t="inlineStr">
        <is>
          <t>institutes</t>
        </is>
      </c>
      <c r="H164" s="53">
        <f>H123</f>
        <v/>
      </c>
      <c r="I164" s="53">
        <f>H164*(1-$D$70)*(1-IF(AND(1&gt;=$D$48,INDEX(Season_Flag,H$113)=1),$D$71,0))</f>
        <v/>
      </c>
      <c r="J164" s="53">
        <f>I164*(1-$D$70)*(1-IF(AND(2&gt;=$D$48,INDEX(Season_Flag,I$113)=1),$D$71,0))</f>
        <v/>
      </c>
      <c r="K164" s="53">
        <f>J164*(1-$D$70)*(1-IF(AND(3&gt;=$D$48,INDEX(Season_Flag,J$113)=1),$D$71,0))</f>
        <v/>
      </c>
      <c r="L164" s="53">
        <f>K164*(1-$D$70)*(1-IF(AND(4&gt;=$D$48,INDEX(Season_Flag,K$113)=1),$D$71,0))</f>
        <v/>
      </c>
      <c r="M164" s="53">
        <f>L164*(1-$D$70)*(1-IF(AND(5&gt;=$D$48,INDEX(Season_Flag,L$113)=1),$D$71,0))</f>
        <v/>
      </c>
      <c r="N164" s="53">
        <f>M164*(1-$D$70)*(1-IF(AND(6&gt;=$D$48,INDEX(Season_Flag,M$113)=1),$D$71,0))</f>
        <v/>
      </c>
      <c r="O164" s="53">
        <f>N164*(1-$D$70)*(1-IF(AND(7&gt;=$D$48,INDEX(Season_Flag,N$113)=1),$D$71,0))</f>
        <v/>
      </c>
      <c r="P164" s="53">
        <f>O164*(1-$D$70)*(1-IF(AND(8&gt;=$D$48,INDEX(Season_Flag,O$113)=1),$D$71,0))</f>
        <v/>
      </c>
      <c r="Q164" s="53">
        <f>P164*(1-$D$70)*(1-IF(AND(9&gt;=$D$48,INDEX(Season_Flag,P$113)=1),$D$71,0))</f>
        <v/>
      </c>
      <c r="R164" s="53">
        <f>Q164*(1-$D$70)*(1-IF(AND(10&gt;=$D$48,INDEX(Season_Flag,Q$113)=1),$D$71,0))</f>
        <v/>
      </c>
      <c r="S164" s="53">
        <f>R164*(1-$D$70)*(1-IF(AND(11&gt;=$D$48,INDEX(Season_Flag,R$113)=1),$D$71,0))</f>
        <v/>
      </c>
      <c r="T164" s="53">
        <f>S164*(1-$D$70)*(1-IF(AND(12&gt;=$D$48,INDEX(Season_Flag,S$113)=1),$D$71,0))</f>
        <v/>
      </c>
      <c r="U164" s="53">
        <f>T164*(1-$D$70)*(1-IF(AND(13&gt;=$D$48,INDEX(Season_Flag,T$113)=1),$D$71,0))</f>
        <v/>
      </c>
      <c r="V164" s="53">
        <f>U164*(1-$D$70)*(1-IF(AND(14&gt;=$D$48,INDEX(Season_Flag,U$113)=1),$D$71,0))</f>
        <v/>
      </c>
      <c r="W164" s="53">
        <f>V164*(1-$D$70)*(1-IF(AND(15&gt;=$D$48,INDEX(Season_Flag,V$113)=1),$D$71,0))</f>
        <v/>
      </c>
      <c r="X164" s="53">
        <f>W164*(1-$D$70)*(1-IF(AND(16&gt;=$D$48,INDEX(Season_Flag,W$113)=1),$D$71,0))</f>
        <v/>
      </c>
      <c r="Y164" s="53">
        <f>X164*(1-$D$70)*(1-IF(AND(17&gt;=$D$48,INDEX(Season_Flag,X$113)=1),$D$71,0))</f>
        <v/>
      </c>
      <c r="Z164" s="53">
        <f>Y164*(1-$D$70)*(1-IF(AND(18&gt;=$D$48,INDEX(Season_Flag,Y$113)=1),$D$71,0))</f>
        <v/>
      </c>
      <c r="AA164" s="53">
        <f>Z164*(1-$D$70)*(1-IF(AND(19&gt;=$D$48,INDEX(Season_Flag,Z$113)=1),$D$71,0))</f>
        <v/>
      </c>
      <c r="AB164" s="53">
        <f>AA164*(1-$D$70)*(1-IF(AND(20&gt;=$D$48,INDEX(Season_Flag,AA$113)=1),$D$71,0))</f>
        <v/>
      </c>
      <c r="AC164" s="53">
        <f>AB164*(1-$D$70)*(1-IF(AND(21&gt;=$D$48,INDEX(Season_Flag,AB$113)=1),$D$71,0))</f>
        <v/>
      </c>
      <c r="AD164" s="53">
        <f>AC164*(1-$D$70)*(1-IF(AND(22&gt;=$D$48,INDEX(Season_Flag,AC$113)=1),$D$71,0))</f>
        <v/>
      </c>
      <c r="AE164" s="53">
        <f>AD164*(1-$D$70)*(1-IF(AND(23&gt;=$D$48,INDEX(Season_Flag,AD$113)=1),$D$71,0))</f>
        <v/>
      </c>
      <c r="AF164" s="53">
        <f>AE164*(1-$D$70)*(1-IF(AND(24&gt;=$D$48,INDEX(Season_Flag,AE$113)=1),$D$71,0))</f>
        <v/>
      </c>
      <c r="AG164" s="53">
        <f>AF164*(1-$D$70)*(1-IF(AND(25&gt;=$D$48,INDEX(Season_Flag,AF$113)=1),$D$71,0))</f>
        <v/>
      </c>
      <c r="AH164" s="53">
        <f>AG164*(1-$D$70)*(1-IF(AND(26&gt;=$D$48,INDEX(Season_Flag,AG$113)=1),$D$71,0))</f>
        <v/>
      </c>
      <c r="AI164" s="53">
        <f>AH164*(1-$D$70)*(1-IF(AND(27&gt;=$D$48,INDEX(Season_Flag,AH$113)=1),$D$71,0))</f>
        <v/>
      </c>
      <c r="AJ164" s="53">
        <f>AI164*(1-$D$70)*(1-IF(AND(28&gt;=$D$48,INDEX(Season_Flag,AI$113)=1),$D$71,0))</f>
        <v/>
      </c>
      <c r="AK164" s="53">
        <f>AJ164*(1-$D$70)*(1-IF(AND(29&gt;=$D$48,INDEX(Season_Flag,AJ$113)=1),$D$71,0))</f>
        <v/>
      </c>
      <c r="AL164" s="53">
        <f>AK164*(1-$D$70)*(1-IF(AND(30&gt;=$D$48,INDEX(Season_Flag,AK$113)=1),$D$71,0))</f>
        <v/>
      </c>
      <c r="AM164" s="53">
        <f>AL164*(1-$D$70)*(1-IF(AND(31&gt;=$D$48,INDEX(Season_Flag,AL$113)=1),$D$71,0))</f>
        <v/>
      </c>
      <c r="AN164" s="53">
        <f>AM164*(1-$D$70)*(1-IF(AND(32&gt;=$D$48,INDEX(Season_Flag,AM$113)=1),$D$71,0))</f>
        <v/>
      </c>
    </row>
    <row r="165">
      <c r="B165" s="7" t="inlineStr">
        <is>
          <t>Cohort signed in month 5</t>
        </is>
      </c>
      <c r="C165" s="5" t="inlineStr">
        <is>
          <t>institutes</t>
        </is>
      </c>
      <c r="I165" s="53">
        <f>I123</f>
        <v/>
      </c>
      <c r="J165" s="53">
        <f>I165*(1-$D$70)*(1-IF(AND(1&gt;=$D$48,INDEX(Season_Flag,I$113)=1),$D$71,0))</f>
        <v/>
      </c>
      <c r="K165" s="53">
        <f>J165*(1-$D$70)*(1-IF(AND(2&gt;=$D$48,INDEX(Season_Flag,J$113)=1),$D$71,0))</f>
        <v/>
      </c>
      <c r="L165" s="53">
        <f>K165*(1-$D$70)*(1-IF(AND(3&gt;=$D$48,INDEX(Season_Flag,K$113)=1),$D$71,0))</f>
        <v/>
      </c>
      <c r="M165" s="53">
        <f>L165*(1-$D$70)*(1-IF(AND(4&gt;=$D$48,INDEX(Season_Flag,L$113)=1),$D$71,0))</f>
        <v/>
      </c>
      <c r="N165" s="53">
        <f>M165*(1-$D$70)*(1-IF(AND(5&gt;=$D$48,INDEX(Season_Flag,M$113)=1),$D$71,0))</f>
        <v/>
      </c>
      <c r="O165" s="53">
        <f>N165*(1-$D$70)*(1-IF(AND(6&gt;=$D$48,INDEX(Season_Flag,N$113)=1),$D$71,0))</f>
        <v/>
      </c>
      <c r="P165" s="53">
        <f>O165*(1-$D$70)*(1-IF(AND(7&gt;=$D$48,INDEX(Season_Flag,O$113)=1),$D$71,0))</f>
        <v/>
      </c>
      <c r="Q165" s="53">
        <f>P165*(1-$D$70)*(1-IF(AND(8&gt;=$D$48,INDEX(Season_Flag,P$113)=1),$D$71,0))</f>
        <v/>
      </c>
      <c r="R165" s="53">
        <f>Q165*(1-$D$70)*(1-IF(AND(9&gt;=$D$48,INDEX(Season_Flag,Q$113)=1),$D$71,0))</f>
        <v/>
      </c>
      <c r="S165" s="53">
        <f>R165*(1-$D$70)*(1-IF(AND(10&gt;=$D$48,INDEX(Season_Flag,R$113)=1),$D$71,0))</f>
        <v/>
      </c>
      <c r="T165" s="53">
        <f>S165*(1-$D$70)*(1-IF(AND(11&gt;=$D$48,INDEX(Season_Flag,S$113)=1),$D$71,0))</f>
        <v/>
      </c>
      <c r="U165" s="53">
        <f>T165*(1-$D$70)*(1-IF(AND(12&gt;=$D$48,INDEX(Season_Flag,T$113)=1),$D$71,0))</f>
        <v/>
      </c>
      <c r="V165" s="53">
        <f>U165*(1-$D$70)*(1-IF(AND(13&gt;=$D$48,INDEX(Season_Flag,U$113)=1),$D$71,0))</f>
        <v/>
      </c>
      <c r="W165" s="53">
        <f>V165*(1-$D$70)*(1-IF(AND(14&gt;=$D$48,INDEX(Season_Flag,V$113)=1),$D$71,0))</f>
        <v/>
      </c>
      <c r="X165" s="53">
        <f>W165*(1-$D$70)*(1-IF(AND(15&gt;=$D$48,INDEX(Season_Flag,W$113)=1),$D$71,0))</f>
        <v/>
      </c>
      <c r="Y165" s="53">
        <f>X165*(1-$D$70)*(1-IF(AND(16&gt;=$D$48,INDEX(Season_Flag,X$113)=1),$D$71,0))</f>
        <v/>
      </c>
      <c r="Z165" s="53">
        <f>Y165*(1-$D$70)*(1-IF(AND(17&gt;=$D$48,INDEX(Season_Flag,Y$113)=1),$D$71,0))</f>
        <v/>
      </c>
      <c r="AA165" s="53">
        <f>Z165*(1-$D$70)*(1-IF(AND(18&gt;=$D$48,INDEX(Season_Flag,Z$113)=1),$D$71,0))</f>
        <v/>
      </c>
      <c r="AB165" s="53">
        <f>AA165*(1-$D$70)*(1-IF(AND(19&gt;=$D$48,INDEX(Season_Flag,AA$113)=1),$D$71,0))</f>
        <v/>
      </c>
      <c r="AC165" s="53">
        <f>AB165*(1-$D$70)*(1-IF(AND(20&gt;=$D$48,INDEX(Season_Flag,AB$113)=1),$D$71,0))</f>
        <v/>
      </c>
      <c r="AD165" s="53">
        <f>AC165*(1-$D$70)*(1-IF(AND(21&gt;=$D$48,INDEX(Season_Flag,AC$113)=1),$D$71,0))</f>
        <v/>
      </c>
      <c r="AE165" s="53">
        <f>AD165*(1-$D$70)*(1-IF(AND(22&gt;=$D$48,INDEX(Season_Flag,AD$113)=1),$D$71,0))</f>
        <v/>
      </c>
      <c r="AF165" s="53">
        <f>AE165*(1-$D$70)*(1-IF(AND(23&gt;=$D$48,INDEX(Season_Flag,AE$113)=1),$D$71,0))</f>
        <v/>
      </c>
      <c r="AG165" s="53">
        <f>AF165*(1-$D$70)*(1-IF(AND(24&gt;=$D$48,INDEX(Season_Flag,AF$113)=1),$D$71,0))</f>
        <v/>
      </c>
      <c r="AH165" s="53">
        <f>AG165*(1-$D$70)*(1-IF(AND(25&gt;=$D$48,INDEX(Season_Flag,AG$113)=1),$D$71,0))</f>
        <v/>
      </c>
      <c r="AI165" s="53">
        <f>AH165*(1-$D$70)*(1-IF(AND(26&gt;=$D$48,INDEX(Season_Flag,AH$113)=1),$D$71,0))</f>
        <v/>
      </c>
      <c r="AJ165" s="53">
        <f>AI165*(1-$D$70)*(1-IF(AND(27&gt;=$D$48,INDEX(Season_Flag,AI$113)=1),$D$71,0))</f>
        <v/>
      </c>
      <c r="AK165" s="53">
        <f>AJ165*(1-$D$70)*(1-IF(AND(28&gt;=$D$48,INDEX(Season_Flag,AJ$113)=1),$D$71,0))</f>
        <v/>
      </c>
      <c r="AL165" s="53">
        <f>AK165*(1-$D$70)*(1-IF(AND(29&gt;=$D$48,INDEX(Season_Flag,AK$113)=1),$D$71,0))</f>
        <v/>
      </c>
      <c r="AM165" s="53">
        <f>AL165*(1-$D$70)*(1-IF(AND(30&gt;=$D$48,INDEX(Season_Flag,AL$113)=1),$D$71,0))</f>
        <v/>
      </c>
      <c r="AN165" s="53">
        <f>AM165*(1-$D$70)*(1-IF(AND(31&gt;=$D$48,INDEX(Season_Flag,AM$113)=1),$D$71,0))</f>
        <v/>
      </c>
    </row>
    <row r="166">
      <c r="B166" s="7" t="inlineStr">
        <is>
          <t>Cohort signed in month 6</t>
        </is>
      </c>
      <c r="C166" s="5" t="inlineStr">
        <is>
          <t>institutes</t>
        </is>
      </c>
      <c r="J166" s="53">
        <f>J123</f>
        <v/>
      </c>
      <c r="K166" s="53">
        <f>J166*(1-$D$70)*(1-IF(AND(1&gt;=$D$48,INDEX(Season_Flag,J$113)=1),$D$71,0))</f>
        <v/>
      </c>
      <c r="L166" s="53">
        <f>K166*(1-$D$70)*(1-IF(AND(2&gt;=$D$48,INDEX(Season_Flag,K$113)=1),$D$71,0))</f>
        <v/>
      </c>
      <c r="M166" s="53">
        <f>L166*(1-$D$70)*(1-IF(AND(3&gt;=$D$48,INDEX(Season_Flag,L$113)=1),$D$71,0))</f>
        <v/>
      </c>
      <c r="N166" s="53">
        <f>M166*(1-$D$70)*(1-IF(AND(4&gt;=$D$48,INDEX(Season_Flag,M$113)=1),$D$71,0))</f>
        <v/>
      </c>
      <c r="O166" s="53">
        <f>N166*(1-$D$70)*(1-IF(AND(5&gt;=$D$48,INDEX(Season_Flag,N$113)=1),$D$71,0))</f>
        <v/>
      </c>
      <c r="P166" s="53">
        <f>O166*(1-$D$70)*(1-IF(AND(6&gt;=$D$48,INDEX(Season_Flag,O$113)=1),$D$71,0))</f>
        <v/>
      </c>
      <c r="Q166" s="53">
        <f>P166*(1-$D$70)*(1-IF(AND(7&gt;=$D$48,INDEX(Season_Flag,P$113)=1),$D$71,0))</f>
        <v/>
      </c>
      <c r="R166" s="53">
        <f>Q166*(1-$D$70)*(1-IF(AND(8&gt;=$D$48,INDEX(Season_Flag,Q$113)=1),$D$71,0))</f>
        <v/>
      </c>
      <c r="S166" s="53">
        <f>R166*(1-$D$70)*(1-IF(AND(9&gt;=$D$48,INDEX(Season_Flag,R$113)=1),$D$71,0))</f>
        <v/>
      </c>
      <c r="T166" s="53">
        <f>S166*(1-$D$70)*(1-IF(AND(10&gt;=$D$48,INDEX(Season_Flag,S$113)=1),$D$71,0))</f>
        <v/>
      </c>
      <c r="U166" s="53">
        <f>T166*(1-$D$70)*(1-IF(AND(11&gt;=$D$48,INDEX(Season_Flag,T$113)=1),$D$71,0))</f>
        <v/>
      </c>
      <c r="V166" s="53">
        <f>U166*(1-$D$70)*(1-IF(AND(12&gt;=$D$48,INDEX(Season_Flag,U$113)=1),$D$71,0))</f>
        <v/>
      </c>
      <c r="W166" s="53">
        <f>V166*(1-$D$70)*(1-IF(AND(13&gt;=$D$48,INDEX(Season_Flag,V$113)=1),$D$71,0))</f>
        <v/>
      </c>
      <c r="X166" s="53">
        <f>W166*(1-$D$70)*(1-IF(AND(14&gt;=$D$48,INDEX(Season_Flag,W$113)=1),$D$71,0))</f>
        <v/>
      </c>
      <c r="Y166" s="53">
        <f>X166*(1-$D$70)*(1-IF(AND(15&gt;=$D$48,INDEX(Season_Flag,X$113)=1),$D$71,0))</f>
        <v/>
      </c>
      <c r="Z166" s="53">
        <f>Y166*(1-$D$70)*(1-IF(AND(16&gt;=$D$48,INDEX(Season_Flag,Y$113)=1),$D$71,0))</f>
        <v/>
      </c>
      <c r="AA166" s="53">
        <f>Z166*(1-$D$70)*(1-IF(AND(17&gt;=$D$48,INDEX(Season_Flag,Z$113)=1),$D$71,0))</f>
        <v/>
      </c>
      <c r="AB166" s="53">
        <f>AA166*(1-$D$70)*(1-IF(AND(18&gt;=$D$48,INDEX(Season_Flag,AA$113)=1),$D$71,0))</f>
        <v/>
      </c>
      <c r="AC166" s="53">
        <f>AB166*(1-$D$70)*(1-IF(AND(19&gt;=$D$48,INDEX(Season_Flag,AB$113)=1),$D$71,0))</f>
        <v/>
      </c>
      <c r="AD166" s="53">
        <f>AC166*(1-$D$70)*(1-IF(AND(20&gt;=$D$48,INDEX(Season_Flag,AC$113)=1),$D$71,0))</f>
        <v/>
      </c>
      <c r="AE166" s="53">
        <f>AD166*(1-$D$70)*(1-IF(AND(21&gt;=$D$48,INDEX(Season_Flag,AD$113)=1),$D$71,0))</f>
        <v/>
      </c>
      <c r="AF166" s="53">
        <f>AE166*(1-$D$70)*(1-IF(AND(22&gt;=$D$48,INDEX(Season_Flag,AE$113)=1),$D$71,0))</f>
        <v/>
      </c>
      <c r="AG166" s="53">
        <f>AF166*(1-$D$70)*(1-IF(AND(23&gt;=$D$48,INDEX(Season_Flag,AF$113)=1),$D$71,0))</f>
        <v/>
      </c>
      <c r="AH166" s="53">
        <f>AG166*(1-$D$70)*(1-IF(AND(24&gt;=$D$48,INDEX(Season_Flag,AG$113)=1),$D$71,0))</f>
        <v/>
      </c>
      <c r="AI166" s="53">
        <f>AH166*(1-$D$70)*(1-IF(AND(25&gt;=$D$48,INDEX(Season_Flag,AH$113)=1),$D$71,0))</f>
        <v/>
      </c>
      <c r="AJ166" s="53">
        <f>AI166*(1-$D$70)*(1-IF(AND(26&gt;=$D$48,INDEX(Season_Flag,AI$113)=1),$D$71,0))</f>
        <v/>
      </c>
      <c r="AK166" s="53">
        <f>AJ166*(1-$D$70)*(1-IF(AND(27&gt;=$D$48,INDEX(Season_Flag,AJ$113)=1),$D$71,0))</f>
        <v/>
      </c>
      <c r="AL166" s="53">
        <f>AK166*(1-$D$70)*(1-IF(AND(28&gt;=$D$48,INDEX(Season_Flag,AK$113)=1),$D$71,0))</f>
        <v/>
      </c>
      <c r="AM166" s="53">
        <f>AL166*(1-$D$70)*(1-IF(AND(29&gt;=$D$48,INDEX(Season_Flag,AL$113)=1),$D$71,0))</f>
        <v/>
      </c>
      <c r="AN166" s="53">
        <f>AM166*(1-$D$70)*(1-IF(AND(30&gt;=$D$48,INDEX(Season_Flag,AM$113)=1),$D$71,0))</f>
        <v/>
      </c>
    </row>
    <row r="167">
      <c r="B167" s="7" t="inlineStr">
        <is>
          <t>Cohort signed in month 7</t>
        </is>
      </c>
      <c r="C167" s="5" t="inlineStr">
        <is>
          <t>institutes</t>
        </is>
      </c>
      <c r="K167" s="53">
        <f>K123</f>
        <v/>
      </c>
      <c r="L167" s="53">
        <f>K167*(1-$D$70)*(1-IF(AND(1&gt;=$D$48,INDEX(Season_Flag,K$113)=1),$D$71,0))</f>
        <v/>
      </c>
      <c r="M167" s="53">
        <f>L167*(1-$D$70)*(1-IF(AND(2&gt;=$D$48,INDEX(Season_Flag,L$113)=1),$D$71,0))</f>
        <v/>
      </c>
      <c r="N167" s="53">
        <f>M167*(1-$D$70)*(1-IF(AND(3&gt;=$D$48,INDEX(Season_Flag,M$113)=1),$D$71,0))</f>
        <v/>
      </c>
      <c r="O167" s="53">
        <f>N167*(1-$D$70)*(1-IF(AND(4&gt;=$D$48,INDEX(Season_Flag,N$113)=1),$D$71,0))</f>
        <v/>
      </c>
      <c r="P167" s="53">
        <f>O167*(1-$D$70)*(1-IF(AND(5&gt;=$D$48,INDEX(Season_Flag,O$113)=1),$D$71,0))</f>
        <v/>
      </c>
      <c r="Q167" s="53">
        <f>P167*(1-$D$70)*(1-IF(AND(6&gt;=$D$48,INDEX(Season_Flag,P$113)=1),$D$71,0))</f>
        <v/>
      </c>
      <c r="R167" s="53">
        <f>Q167*(1-$D$70)*(1-IF(AND(7&gt;=$D$48,INDEX(Season_Flag,Q$113)=1),$D$71,0))</f>
        <v/>
      </c>
      <c r="S167" s="53">
        <f>R167*(1-$D$70)*(1-IF(AND(8&gt;=$D$48,INDEX(Season_Flag,R$113)=1),$D$71,0))</f>
        <v/>
      </c>
      <c r="T167" s="53">
        <f>S167*(1-$D$70)*(1-IF(AND(9&gt;=$D$48,INDEX(Season_Flag,S$113)=1),$D$71,0))</f>
        <v/>
      </c>
      <c r="U167" s="53">
        <f>T167*(1-$D$70)*(1-IF(AND(10&gt;=$D$48,INDEX(Season_Flag,T$113)=1),$D$71,0))</f>
        <v/>
      </c>
      <c r="V167" s="53">
        <f>U167*(1-$D$70)*(1-IF(AND(11&gt;=$D$48,INDEX(Season_Flag,U$113)=1),$D$71,0))</f>
        <v/>
      </c>
      <c r="W167" s="53">
        <f>V167*(1-$D$70)*(1-IF(AND(12&gt;=$D$48,INDEX(Season_Flag,V$113)=1),$D$71,0))</f>
        <v/>
      </c>
      <c r="X167" s="53">
        <f>W167*(1-$D$70)*(1-IF(AND(13&gt;=$D$48,INDEX(Season_Flag,W$113)=1),$D$71,0))</f>
        <v/>
      </c>
      <c r="Y167" s="53">
        <f>X167*(1-$D$70)*(1-IF(AND(14&gt;=$D$48,INDEX(Season_Flag,X$113)=1),$D$71,0))</f>
        <v/>
      </c>
      <c r="Z167" s="53">
        <f>Y167*(1-$D$70)*(1-IF(AND(15&gt;=$D$48,INDEX(Season_Flag,Y$113)=1),$D$71,0))</f>
        <v/>
      </c>
      <c r="AA167" s="53">
        <f>Z167*(1-$D$70)*(1-IF(AND(16&gt;=$D$48,INDEX(Season_Flag,Z$113)=1),$D$71,0))</f>
        <v/>
      </c>
      <c r="AB167" s="53">
        <f>AA167*(1-$D$70)*(1-IF(AND(17&gt;=$D$48,INDEX(Season_Flag,AA$113)=1),$D$71,0))</f>
        <v/>
      </c>
      <c r="AC167" s="53">
        <f>AB167*(1-$D$70)*(1-IF(AND(18&gt;=$D$48,INDEX(Season_Flag,AB$113)=1),$D$71,0))</f>
        <v/>
      </c>
      <c r="AD167" s="53">
        <f>AC167*(1-$D$70)*(1-IF(AND(19&gt;=$D$48,INDEX(Season_Flag,AC$113)=1),$D$71,0))</f>
        <v/>
      </c>
      <c r="AE167" s="53">
        <f>AD167*(1-$D$70)*(1-IF(AND(20&gt;=$D$48,INDEX(Season_Flag,AD$113)=1),$D$71,0))</f>
        <v/>
      </c>
      <c r="AF167" s="53">
        <f>AE167*(1-$D$70)*(1-IF(AND(21&gt;=$D$48,INDEX(Season_Flag,AE$113)=1),$D$71,0))</f>
        <v/>
      </c>
      <c r="AG167" s="53">
        <f>AF167*(1-$D$70)*(1-IF(AND(22&gt;=$D$48,INDEX(Season_Flag,AF$113)=1),$D$71,0))</f>
        <v/>
      </c>
      <c r="AH167" s="53">
        <f>AG167*(1-$D$70)*(1-IF(AND(23&gt;=$D$48,INDEX(Season_Flag,AG$113)=1),$D$71,0))</f>
        <v/>
      </c>
      <c r="AI167" s="53">
        <f>AH167*(1-$D$70)*(1-IF(AND(24&gt;=$D$48,INDEX(Season_Flag,AH$113)=1),$D$71,0))</f>
        <v/>
      </c>
      <c r="AJ167" s="53">
        <f>AI167*(1-$D$70)*(1-IF(AND(25&gt;=$D$48,INDEX(Season_Flag,AI$113)=1),$D$71,0))</f>
        <v/>
      </c>
      <c r="AK167" s="53">
        <f>AJ167*(1-$D$70)*(1-IF(AND(26&gt;=$D$48,INDEX(Season_Flag,AJ$113)=1),$D$71,0))</f>
        <v/>
      </c>
      <c r="AL167" s="53">
        <f>AK167*(1-$D$70)*(1-IF(AND(27&gt;=$D$48,INDEX(Season_Flag,AK$113)=1),$D$71,0))</f>
        <v/>
      </c>
      <c r="AM167" s="53">
        <f>AL167*(1-$D$70)*(1-IF(AND(28&gt;=$D$48,INDEX(Season_Flag,AL$113)=1),$D$71,0))</f>
        <v/>
      </c>
      <c r="AN167" s="53">
        <f>AM167*(1-$D$70)*(1-IF(AND(29&gt;=$D$48,INDEX(Season_Flag,AM$113)=1),$D$71,0))</f>
        <v/>
      </c>
    </row>
    <row r="168">
      <c r="B168" s="7" t="inlineStr">
        <is>
          <t>Cohort signed in month 8</t>
        </is>
      </c>
      <c r="C168" s="5" t="inlineStr">
        <is>
          <t>institutes</t>
        </is>
      </c>
      <c r="L168" s="53">
        <f>L123</f>
        <v/>
      </c>
      <c r="M168" s="53">
        <f>L168*(1-$D$70)*(1-IF(AND(1&gt;=$D$48,INDEX(Season_Flag,L$113)=1),$D$71,0))</f>
        <v/>
      </c>
      <c r="N168" s="53">
        <f>M168*(1-$D$70)*(1-IF(AND(2&gt;=$D$48,INDEX(Season_Flag,M$113)=1),$D$71,0))</f>
        <v/>
      </c>
      <c r="O168" s="53">
        <f>N168*(1-$D$70)*(1-IF(AND(3&gt;=$D$48,INDEX(Season_Flag,N$113)=1),$D$71,0))</f>
        <v/>
      </c>
      <c r="P168" s="53">
        <f>O168*(1-$D$70)*(1-IF(AND(4&gt;=$D$48,INDEX(Season_Flag,O$113)=1),$D$71,0))</f>
        <v/>
      </c>
      <c r="Q168" s="53">
        <f>P168*(1-$D$70)*(1-IF(AND(5&gt;=$D$48,INDEX(Season_Flag,P$113)=1),$D$71,0))</f>
        <v/>
      </c>
      <c r="R168" s="53">
        <f>Q168*(1-$D$70)*(1-IF(AND(6&gt;=$D$48,INDEX(Season_Flag,Q$113)=1),$D$71,0))</f>
        <v/>
      </c>
      <c r="S168" s="53">
        <f>R168*(1-$D$70)*(1-IF(AND(7&gt;=$D$48,INDEX(Season_Flag,R$113)=1),$D$71,0))</f>
        <v/>
      </c>
      <c r="T168" s="53">
        <f>S168*(1-$D$70)*(1-IF(AND(8&gt;=$D$48,INDEX(Season_Flag,S$113)=1),$D$71,0))</f>
        <v/>
      </c>
      <c r="U168" s="53">
        <f>T168*(1-$D$70)*(1-IF(AND(9&gt;=$D$48,INDEX(Season_Flag,T$113)=1),$D$71,0))</f>
        <v/>
      </c>
      <c r="V168" s="53">
        <f>U168*(1-$D$70)*(1-IF(AND(10&gt;=$D$48,INDEX(Season_Flag,U$113)=1),$D$71,0))</f>
        <v/>
      </c>
      <c r="W168" s="53">
        <f>V168*(1-$D$70)*(1-IF(AND(11&gt;=$D$48,INDEX(Season_Flag,V$113)=1),$D$71,0))</f>
        <v/>
      </c>
      <c r="X168" s="53">
        <f>W168*(1-$D$70)*(1-IF(AND(12&gt;=$D$48,INDEX(Season_Flag,W$113)=1),$D$71,0))</f>
        <v/>
      </c>
      <c r="Y168" s="53">
        <f>X168*(1-$D$70)*(1-IF(AND(13&gt;=$D$48,INDEX(Season_Flag,X$113)=1),$D$71,0))</f>
        <v/>
      </c>
      <c r="Z168" s="53">
        <f>Y168*(1-$D$70)*(1-IF(AND(14&gt;=$D$48,INDEX(Season_Flag,Y$113)=1),$D$71,0))</f>
        <v/>
      </c>
      <c r="AA168" s="53">
        <f>Z168*(1-$D$70)*(1-IF(AND(15&gt;=$D$48,INDEX(Season_Flag,Z$113)=1),$D$71,0))</f>
        <v/>
      </c>
      <c r="AB168" s="53">
        <f>AA168*(1-$D$70)*(1-IF(AND(16&gt;=$D$48,INDEX(Season_Flag,AA$113)=1),$D$71,0))</f>
        <v/>
      </c>
      <c r="AC168" s="53">
        <f>AB168*(1-$D$70)*(1-IF(AND(17&gt;=$D$48,INDEX(Season_Flag,AB$113)=1),$D$71,0))</f>
        <v/>
      </c>
      <c r="AD168" s="53">
        <f>AC168*(1-$D$70)*(1-IF(AND(18&gt;=$D$48,INDEX(Season_Flag,AC$113)=1),$D$71,0))</f>
        <v/>
      </c>
      <c r="AE168" s="53">
        <f>AD168*(1-$D$70)*(1-IF(AND(19&gt;=$D$48,INDEX(Season_Flag,AD$113)=1),$D$71,0))</f>
        <v/>
      </c>
      <c r="AF168" s="53">
        <f>AE168*(1-$D$70)*(1-IF(AND(20&gt;=$D$48,INDEX(Season_Flag,AE$113)=1),$D$71,0))</f>
        <v/>
      </c>
      <c r="AG168" s="53">
        <f>AF168*(1-$D$70)*(1-IF(AND(21&gt;=$D$48,INDEX(Season_Flag,AF$113)=1),$D$71,0))</f>
        <v/>
      </c>
      <c r="AH168" s="53">
        <f>AG168*(1-$D$70)*(1-IF(AND(22&gt;=$D$48,INDEX(Season_Flag,AG$113)=1),$D$71,0))</f>
        <v/>
      </c>
      <c r="AI168" s="53">
        <f>AH168*(1-$D$70)*(1-IF(AND(23&gt;=$D$48,INDEX(Season_Flag,AH$113)=1),$D$71,0))</f>
        <v/>
      </c>
      <c r="AJ168" s="53">
        <f>AI168*(1-$D$70)*(1-IF(AND(24&gt;=$D$48,INDEX(Season_Flag,AI$113)=1),$D$71,0))</f>
        <v/>
      </c>
      <c r="AK168" s="53">
        <f>AJ168*(1-$D$70)*(1-IF(AND(25&gt;=$D$48,INDEX(Season_Flag,AJ$113)=1),$D$71,0))</f>
        <v/>
      </c>
      <c r="AL168" s="53">
        <f>AK168*(1-$D$70)*(1-IF(AND(26&gt;=$D$48,INDEX(Season_Flag,AK$113)=1),$D$71,0))</f>
        <v/>
      </c>
      <c r="AM168" s="53">
        <f>AL168*(1-$D$70)*(1-IF(AND(27&gt;=$D$48,INDEX(Season_Flag,AL$113)=1),$D$71,0))</f>
        <v/>
      </c>
      <c r="AN168" s="53">
        <f>AM168*(1-$D$70)*(1-IF(AND(28&gt;=$D$48,INDEX(Season_Flag,AM$113)=1),$D$71,0))</f>
        <v/>
      </c>
    </row>
    <row r="169">
      <c r="B169" s="7" t="inlineStr">
        <is>
          <t>Cohort signed in month 9</t>
        </is>
      </c>
      <c r="C169" s="5" t="inlineStr">
        <is>
          <t>institutes</t>
        </is>
      </c>
      <c r="M169" s="53">
        <f>M123</f>
        <v/>
      </c>
      <c r="N169" s="53">
        <f>M169*(1-$D$70)*(1-IF(AND(1&gt;=$D$48,INDEX(Season_Flag,M$113)=1),$D$71,0))</f>
        <v/>
      </c>
      <c r="O169" s="53">
        <f>N169*(1-$D$70)*(1-IF(AND(2&gt;=$D$48,INDEX(Season_Flag,N$113)=1),$D$71,0))</f>
        <v/>
      </c>
      <c r="P169" s="53">
        <f>O169*(1-$D$70)*(1-IF(AND(3&gt;=$D$48,INDEX(Season_Flag,O$113)=1),$D$71,0))</f>
        <v/>
      </c>
      <c r="Q169" s="53">
        <f>P169*(1-$D$70)*(1-IF(AND(4&gt;=$D$48,INDEX(Season_Flag,P$113)=1),$D$71,0))</f>
        <v/>
      </c>
      <c r="R169" s="53">
        <f>Q169*(1-$D$70)*(1-IF(AND(5&gt;=$D$48,INDEX(Season_Flag,Q$113)=1),$D$71,0))</f>
        <v/>
      </c>
      <c r="S169" s="53">
        <f>R169*(1-$D$70)*(1-IF(AND(6&gt;=$D$48,INDEX(Season_Flag,R$113)=1),$D$71,0))</f>
        <v/>
      </c>
      <c r="T169" s="53">
        <f>S169*(1-$D$70)*(1-IF(AND(7&gt;=$D$48,INDEX(Season_Flag,S$113)=1),$D$71,0))</f>
        <v/>
      </c>
      <c r="U169" s="53">
        <f>T169*(1-$D$70)*(1-IF(AND(8&gt;=$D$48,INDEX(Season_Flag,T$113)=1),$D$71,0))</f>
        <v/>
      </c>
      <c r="V169" s="53">
        <f>U169*(1-$D$70)*(1-IF(AND(9&gt;=$D$48,INDEX(Season_Flag,U$113)=1),$D$71,0))</f>
        <v/>
      </c>
      <c r="W169" s="53">
        <f>V169*(1-$D$70)*(1-IF(AND(10&gt;=$D$48,INDEX(Season_Flag,V$113)=1),$D$71,0))</f>
        <v/>
      </c>
      <c r="X169" s="53">
        <f>W169*(1-$D$70)*(1-IF(AND(11&gt;=$D$48,INDEX(Season_Flag,W$113)=1),$D$71,0))</f>
        <v/>
      </c>
      <c r="Y169" s="53">
        <f>X169*(1-$D$70)*(1-IF(AND(12&gt;=$D$48,INDEX(Season_Flag,X$113)=1),$D$71,0))</f>
        <v/>
      </c>
      <c r="Z169" s="53">
        <f>Y169*(1-$D$70)*(1-IF(AND(13&gt;=$D$48,INDEX(Season_Flag,Y$113)=1),$D$71,0))</f>
        <v/>
      </c>
      <c r="AA169" s="53">
        <f>Z169*(1-$D$70)*(1-IF(AND(14&gt;=$D$48,INDEX(Season_Flag,Z$113)=1),$D$71,0))</f>
        <v/>
      </c>
      <c r="AB169" s="53">
        <f>AA169*(1-$D$70)*(1-IF(AND(15&gt;=$D$48,INDEX(Season_Flag,AA$113)=1),$D$71,0))</f>
        <v/>
      </c>
      <c r="AC169" s="53">
        <f>AB169*(1-$D$70)*(1-IF(AND(16&gt;=$D$48,INDEX(Season_Flag,AB$113)=1),$D$71,0))</f>
        <v/>
      </c>
      <c r="AD169" s="53">
        <f>AC169*(1-$D$70)*(1-IF(AND(17&gt;=$D$48,INDEX(Season_Flag,AC$113)=1),$D$71,0))</f>
        <v/>
      </c>
      <c r="AE169" s="53">
        <f>AD169*(1-$D$70)*(1-IF(AND(18&gt;=$D$48,INDEX(Season_Flag,AD$113)=1),$D$71,0))</f>
        <v/>
      </c>
      <c r="AF169" s="53">
        <f>AE169*(1-$D$70)*(1-IF(AND(19&gt;=$D$48,INDEX(Season_Flag,AE$113)=1),$D$71,0))</f>
        <v/>
      </c>
      <c r="AG169" s="53">
        <f>AF169*(1-$D$70)*(1-IF(AND(20&gt;=$D$48,INDEX(Season_Flag,AF$113)=1),$D$71,0))</f>
        <v/>
      </c>
      <c r="AH169" s="53">
        <f>AG169*(1-$D$70)*(1-IF(AND(21&gt;=$D$48,INDEX(Season_Flag,AG$113)=1),$D$71,0))</f>
        <v/>
      </c>
      <c r="AI169" s="53">
        <f>AH169*(1-$D$70)*(1-IF(AND(22&gt;=$D$48,INDEX(Season_Flag,AH$113)=1),$D$71,0))</f>
        <v/>
      </c>
      <c r="AJ169" s="53">
        <f>AI169*(1-$D$70)*(1-IF(AND(23&gt;=$D$48,INDEX(Season_Flag,AI$113)=1),$D$71,0))</f>
        <v/>
      </c>
      <c r="AK169" s="53">
        <f>AJ169*(1-$D$70)*(1-IF(AND(24&gt;=$D$48,INDEX(Season_Flag,AJ$113)=1),$D$71,0))</f>
        <v/>
      </c>
      <c r="AL169" s="53">
        <f>AK169*(1-$D$70)*(1-IF(AND(25&gt;=$D$48,INDEX(Season_Flag,AK$113)=1),$D$71,0))</f>
        <v/>
      </c>
      <c r="AM169" s="53">
        <f>AL169*(1-$D$70)*(1-IF(AND(26&gt;=$D$48,INDEX(Season_Flag,AL$113)=1),$D$71,0))</f>
        <v/>
      </c>
      <c r="AN169" s="53">
        <f>AM169*(1-$D$70)*(1-IF(AND(27&gt;=$D$48,INDEX(Season_Flag,AM$113)=1),$D$71,0))</f>
        <v/>
      </c>
    </row>
    <row r="170">
      <c r="B170" s="7" t="inlineStr">
        <is>
          <t>Cohort signed in month 10</t>
        </is>
      </c>
      <c r="C170" s="5" t="inlineStr">
        <is>
          <t>institutes</t>
        </is>
      </c>
      <c r="N170" s="53">
        <f>N123</f>
        <v/>
      </c>
      <c r="O170" s="53">
        <f>N170*(1-$D$70)*(1-IF(AND(1&gt;=$D$48,INDEX(Season_Flag,N$113)=1),$D$71,0))</f>
        <v/>
      </c>
      <c r="P170" s="53">
        <f>O170*(1-$D$70)*(1-IF(AND(2&gt;=$D$48,INDEX(Season_Flag,O$113)=1),$D$71,0))</f>
        <v/>
      </c>
      <c r="Q170" s="53">
        <f>P170*(1-$D$70)*(1-IF(AND(3&gt;=$D$48,INDEX(Season_Flag,P$113)=1),$D$71,0))</f>
        <v/>
      </c>
      <c r="R170" s="53">
        <f>Q170*(1-$D$70)*(1-IF(AND(4&gt;=$D$48,INDEX(Season_Flag,Q$113)=1),$D$71,0))</f>
        <v/>
      </c>
      <c r="S170" s="53">
        <f>R170*(1-$D$70)*(1-IF(AND(5&gt;=$D$48,INDEX(Season_Flag,R$113)=1),$D$71,0))</f>
        <v/>
      </c>
      <c r="T170" s="53">
        <f>S170*(1-$D$70)*(1-IF(AND(6&gt;=$D$48,INDEX(Season_Flag,S$113)=1),$D$71,0))</f>
        <v/>
      </c>
      <c r="U170" s="53">
        <f>T170*(1-$D$70)*(1-IF(AND(7&gt;=$D$48,INDEX(Season_Flag,T$113)=1),$D$71,0))</f>
        <v/>
      </c>
      <c r="V170" s="53">
        <f>U170*(1-$D$70)*(1-IF(AND(8&gt;=$D$48,INDEX(Season_Flag,U$113)=1),$D$71,0))</f>
        <v/>
      </c>
      <c r="W170" s="53">
        <f>V170*(1-$D$70)*(1-IF(AND(9&gt;=$D$48,INDEX(Season_Flag,V$113)=1),$D$71,0))</f>
        <v/>
      </c>
      <c r="X170" s="53">
        <f>W170*(1-$D$70)*(1-IF(AND(10&gt;=$D$48,INDEX(Season_Flag,W$113)=1),$D$71,0))</f>
        <v/>
      </c>
      <c r="Y170" s="53">
        <f>X170*(1-$D$70)*(1-IF(AND(11&gt;=$D$48,INDEX(Season_Flag,X$113)=1),$D$71,0))</f>
        <v/>
      </c>
      <c r="Z170" s="53">
        <f>Y170*(1-$D$70)*(1-IF(AND(12&gt;=$D$48,INDEX(Season_Flag,Y$113)=1),$D$71,0))</f>
        <v/>
      </c>
      <c r="AA170" s="53">
        <f>Z170*(1-$D$70)*(1-IF(AND(13&gt;=$D$48,INDEX(Season_Flag,Z$113)=1),$D$71,0))</f>
        <v/>
      </c>
      <c r="AB170" s="53">
        <f>AA170*(1-$D$70)*(1-IF(AND(14&gt;=$D$48,INDEX(Season_Flag,AA$113)=1),$D$71,0))</f>
        <v/>
      </c>
      <c r="AC170" s="53">
        <f>AB170*(1-$D$70)*(1-IF(AND(15&gt;=$D$48,INDEX(Season_Flag,AB$113)=1),$D$71,0))</f>
        <v/>
      </c>
      <c r="AD170" s="53">
        <f>AC170*(1-$D$70)*(1-IF(AND(16&gt;=$D$48,INDEX(Season_Flag,AC$113)=1),$D$71,0))</f>
        <v/>
      </c>
      <c r="AE170" s="53">
        <f>AD170*(1-$D$70)*(1-IF(AND(17&gt;=$D$48,INDEX(Season_Flag,AD$113)=1),$D$71,0))</f>
        <v/>
      </c>
      <c r="AF170" s="53">
        <f>AE170*(1-$D$70)*(1-IF(AND(18&gt;=$D$48,INDEX(Season_Flag,AE$113)=1),$D$71,0))</f>
        <v/>
      </c>
      <c r="AG170" s="53">
        <f>AF170*(1-$D$70)*(1-IF(AND(19&gt;=$D$48,INDEX(Season_Flag,AF$113)=1),$D$71,0))</f>
        <v/>
      </c>
      <c r="AH170" s="53">
        <f>AG170*(1-$D$70)*(1-IF(AND(20&gt;=$D$48,INDEX(Season_Flag,AG$113)=1),$D$71,0))</f>
        <v/>
      </c>
      <c r="AI170" s="53">
        <f>AH170*(1-$D$70)*(1-IF(AND(21&gt;=$D$48,INDEX(Season_Flag,AH$113)=1),$D$71,0))</f>
        <v/>
      </c>
      <c r="AJ170" s="53">
        <f>AI170*(1-$D$70)*(1-IF(AND(22&gt;=$D$48,INDEX(Season_Flag,AI$113)=1),$D$71,0))</f>
        <v/>
      </c>
      <c r="AK170" s="53">
        <f>AJ170*(1-$D$70)*(1-IF(AND(23&gt;=$D$48,INDEX(Season_Flag,AJ$113)=1),$D$71,0))</f>
        <v/>
      </c>
      <c r="AL170" s="53">
        <f>AK170*(1-$D$70)*(1-IF(AND(24&gt;=$D$48,INDEX(Season_Flag,AK$113)=1),$D$71,0))</f>
        <v/>
      </c>
      <c r="AM170" s="53">
        <f>AL170*(1-$D$70)*(1-IF(AND(25&gt;=$D$48,INDEX(Season_Flag,AL$113)=1),$D$71,0))</f>
        <v/>
      </c>
      <c r="AN170" s="53">
        <f>AM170*(1-$D$70)*(1-IF(AND(26&gt;=$D$48,INDEX(Season_Flag,AM$113)=1),$D$71,0))</f>
        <v/>
      </c>
    </row>
    <row r="171">
      <c r="B171" s="7" t="inlineStr">
        <is>
          <t>Cohort signed in month 11</t>
        </is>
      </c>
      <c r="C171" s="5" t="inlineStr">
        <is>
          <t>institutes</t>
        </is>
      </c>
      <c r="O171" s="53">
        <f>O123</f>
        <v/>
      </c>
      <c r="P171" s="53">
        <f>O171*(1-$D$70)*(1-IF(AND(1&gt;=$D$48,INDEX(Season_Flag,O$113)=1),$D$71,0))</f>
        <v/>
      </c>
      <c r="Q171" s="53">
        <f>P171*(1-$D$70)*(1-IF(AND(2&gt;=$D$48,INDEX(Season_Flag,P$113)=1),$D$71,0))</f>
        <v/>
      </c>
      <c r="R171" s="53">
        <f>Q171*(1-$D$70)*(1-IF(AND(3&gt;=$D$48,INDEX(Season_Flag,Q$113)=1),$D$71,0))</f>
        <v/>
      </c>
      <c r="S171" s="53">
        <f>R171*(1-$D$70)*(1-IF(AND(4&gt;=$D$48,INDEX(Season_Flag,R$113)=1),$D$71,0))</f>
        <v/>
      </c>
      <c r="T171" s="53">
        <f>S171*(1-$D$70)*(1-IF(AND(5&gt;=$D$48,INDEX(Season_Flag,S$113)=1),$D$71,0))</f>
        <v/>
      </c>
      <c r="U171" s="53">
        <f>T171*(1-$D$70)*(1-IF(AND(6&gt;=$D$48,INDEX(Season_Flag,T$113)=1),$D$71,0))</f>
        <v/>
      </c>
      <c r="V171" s="53">
        <f>U171*(1-$D$70)*(1-IF(AND(7&gt;=$D$48,INDEX(Season_Flag,U$113)=1),$D$71,0))</f>
        <v/>
      </c>
      <c r="W171" s="53">
        <f>V171*(1-$D$70)*(1-IF(AND(8&gt;=$D$48,INDEX(Season_Flag,V$113)=1),$D$71,0))</f>
        <v/>
      </c>
      <c r="X171" s="53">
        <f>W171*(1-$D$70)*(1-IF(AND(9&gt;=$D$48,INDEX(Season_Flag,W$113)=1),$D$71,0))</f>
        <v/>
      </c>
      <c r="Y171" s="53">
        <f>X171*(1-$D$70)*(1-IF(AND(10&gt;=$D$48,INDEX(Season_Flag,X$113)=1),$D$71,0))</f>
        <v/>
      </c>
      <c r="Z171" s="53">
        <f>Y171*(1-$D$70)*(1-IF(AND(11&gt;=$D$48,INDEX(Season_Flag,Y$113)=1),$D$71,0))</f>
        <v/>
      </c>
      <c r="AA171" s="53">
        <f>Z171*(1-$D$70)*(1-IF(AND(12&gt;=$D$48,INDEX(Season_Flag,Z$113)=1),$D$71,0))</f>
        <v/>
      </c>
      <c r="AB171" s="53">
        <f>AA171*(1-$D$70)*(1-IF(AND(13&gt;=$D$48,INDEX(Season_Flag,AA$113)=1),$D$71,0))</f>
        <v/>
      </c>
      <c r="AC171" s="53">
        <f>AB171*(1-$D$70)*(1-IF(AND(14&gt;=$D$48,INDEX(Season_Flag,AB$113)=1),$D$71,0))</f>
        <v/>
      </c>
      <c r="AD171" s="53">
        <f>AC171*(1-$D$70)*(1-IF(AND(15&gt;=$D$48,INDEX(Season_Flag,AC$113)=1),$D$71,0))</f>
        <v/>
      </c>
      <c r="AE171" s="53">
        <f>AD171*(1-$D$70)*(1-IF(AND(16&gt;=$D$48,INDEX(Season_Flag,AD$113)=1),$D$71,0))</f>
        <v/>
      </c>
      <c r="AF171" s="53">
        <f>AE171*(1-$D$70)*(1-IF(AND(17&gt;=$D$48,INDEX(Season_Flag,AE$113)=1),$D$71,0))</f>
        <v/>
      </c>
      <c r="AG171" s="53">
        <f>AF171*(1-$D$70)*(1-IF(AND(18&gt;=$D$48,INDEX(Season_Flag,AF$113)=1),$D$71,0))</f>
        <v/>
      </c>
      <c r="AH171" s="53">
        <f>AG171*(1-$D$70)*(1-IF(AND(19&gt;=$D$48,INDEX(Season_Flag,AG$113)=1),$D$71,0))</f>
        <v/>
      </c>
      <c r="AI171" s="53">
        <f>AH171*(1-$D$70)*(1-IF(AND(20&gt;=$D$48,INDEX(Season_Flag,AH$113)=1),$D$71,0))</f>
        <v/>
      </c>
      <c r="AJ171" s="53">
        <f>AI171*(1-$D$70)*(1-IF(AND(21&gt;=$D$48,INDEX(Season_Flag,AI$113)=1),$D$71,0))</f>
        <v/>
      </c>
      <c r="AK171" s="53">
        <f>AJ171*(1-$D$70)*(1-IF(AND(22&gt;=$D$48,INDEX(Season_Flag,AJ$113)=1),$D$71,0))</f>
        <v/>
      </c>
      <c r="AL171" s="53">
        <f>AK171*(1-$D$70)*(1-IF(AND(23&gt;=$D$48,INDEX(Season_Flag,AK$113)=1),$D$71,0))</f>
        <v/>
      </c>
      <c r="AM171" s="53">
        <f>AL171*(1-$D$70)*(1-IF(AND(24&gt;=$D$48,INDEX(Season_Flag,AL$113)=1),$D$71,0))</f>
        <v/>
      </c>
      <c r="AN171" s="53">
        <f>AM171*(1-$D$70)*(1-IF(AND(25&gt;=$D$48,INDEX(Season_Flag,AM$113)=1),$D$71,0))</f>
        <v/>
      </c>
    </row>
    <row r="172">
      <c r="B172" s="7" t="inlineStr">
        <is>
          <t>Cohort signed in month 12</t>
        </is>
      </c>
      <c r="C172" s="5" t="inlineStr">
        <is>
          <t>institutes</t>
        </is>
      </c>
      <c r="P172" s="53">
        <f>P123</f>
        <v/>
      </c>
      <c r="Q172" s="53">
        <f>P172*(1-$D$70)*(1-IF(AND(1&gt;=$D$48,INDEX(Season_Flag,P$113)=1),$D$71,0))</f>
        <v/>
      </c>
      <c r="R172" s="53">
        <f>Q172*(1-$D$70)*(1-IF(AND(2&gt;=$D$48,INDEX(Season_Flag,Q$113)=1),$D$71,0))</f>
        <v/>
      </c>
      <c r="S172" s="53">
        <f>R172*(1-$D$70)*(1-IF(AND(3&gt;=$D$48,INDEX(Season_Flag,R$113)=1),$D$71,0))</f>
        <v/>
      </c>
      <c r="T172" s="53">
        <f>S172*(1-$D$70)*(1-IF(AND(4&gt;=$D$48,INDEX(Season_Flag,S$113)=1),$D$71,0))</f>
        <v/>
      </c>
      <c r="U172" s="53">
        <f>T172*(1-$D$70)*(1-IF(AND(5&gt;=$D$48,INDEX(Season_Flag,T$113)=1),$D$71,0))</f>
        <v/>
      </c>
      <c r="V172" s="53">
        <f>U172*(1-$D$70)*(1-IF(AND(6&gt;=$D$48,INDEX(Season_Flag,U$113)=1),$D$71,0))</f>
        <v/>
      </c>
      <c r="W172" s="53">
        <f>V172*(1-$D$70)*(1-IF(AND(7&gt;=$D$48,INDEX(Season_Flag,V$113)=1),$D$71,0))</f>
        <v/>
      </c>
      <c r="X172" s="53">
        <f>W172*(1-$D$70)*(1-IF(AND(8&gt;=$D$48,INDEX(Season_Flag,W$113)=1),$D$71,0))</f>
        <v/>
      </c>
      <c r="Y172" s="53">
        <f>X172*(1-$D$70)*(1-IF(AND(9&gt;=$D$48,INDEX(Season_Flag,X$113)=1),$D$71,0))</f>
        <v/>
      </c>
      <c r="Z172" s="53">
        <f>Y172*(1-$D$70)*(1-IF(AND(10&gt;=$D$48,INDEX(Season_Flag,Y$113)=1),$D$71,0))</f>
        <v/>
      </c>
      <c r="AA172" s="53">
        <f>Z172*(1-$D$70)*(1-IF(AND(11&gt;=$D$48,INDEX(Season_Flag,Z$113)=1),$D$71,0))</f>
        <v/>
      </c>
      <c r="AB172" s="53">
        <f>AA172*(1-$D$70)*(1-IF(AND(12&gt;=$D$48,INDEX(Season_Flag,AA$113)=1),$D$71,0))</f>
        <v/>
      </c>
      <c r="AC172" s="53">
        <f>AB172*(1-$D$70)*(1-IF(AND(13&gt;=$D$48,INDEX(Season_Flag,AB$113)=1),$D$71,0))</f>
        <v/>
      </c>
      <c r="AD172" s="53">
        <f>AC172*(1-$D$70)*(1-IF(AND(14&gt;=$D$48,INDEX(Season_Flag,AC$113)=1),$D$71,0))</f>
        <v/>
      </c>
      <c r="AE172" s="53">
        <f>AD172*(1-$D$70)*(1-IF(AND(15&gt;=$D$48,INDEX(Season_Flag,AD$113)=1),$D$71,0))</f>
        <v/>
      </c>
      <c r="AF172" s="53">
        <f>AE172*(1-$D$70)*(1-IF(AND(16&gt;=$D$48,INDEX(Season_Flag,AE$113)=1),$D$71,0))</f>
        <v/>
      </c>
      <c r="AG172" s="53">
        <f>AF172*(1-$D$70)*(1-IF(AND(17&gt;=$D$48,INDEX(Season_Flag,AF$113)=1),$D$71,0))</f>
        <v/>
      </c>
      <c r="AH172" s="53">
        <f>AG172*(1-$D$70)*(1-IF(AND(18&gt;=$D$48,INDEX(Season_Flag,AG$113)=1),$D$71,0))</f>
        <v/>
      </c>
      <c r="AI172" s="53">
        <f>AH172*(1-$D$70)*(1-IF(AND(19&gt;=$D$48,INDEX(Season_Flag,AH$113)=1),$D$71,0))</f>
        <v/>
      </c>
      <c r="AJ172" s="53">
        <f>AI172*(1-$D$70)*(1-IF(AND(20&gt;=$D$48,INDEX(Season_Flag,AI$113)=1),$D$71,0))</f>
        <v/>
      </c>
      <c r="AK172" s="53">
        <f>AJ172*(1-$D$70)*(1-IF(AND(21&gt;=$D$48,INDEX(Season_Flag,AJ$113)=1),$D$71,0))</f>
        <v/>
      </c>
      <c r="AL172" s="53">
        <f>AK172*(1-$D$70)*(1-IF(AND(22&gt;=$D$48,INDEX(Season_Flag,AK$113)=1),$D$71,0))</f>
        <v/>
      </c>
      <c r="AM172" s="53">
        <f>AL172*(1-$D$70)*(1-IF(AND(23&gt;=$D$48,INDEX(Season_Flag,AL$113)=1),$D$71,0))</f>
        <v/>
      </c>
      <c r="AN172" s="53">
        <f>AM172*(1-$D$70)*(1-IF(AND(24&gt;=$D$48,INDEX(Season_Flag,AM$113)=1),$D$71,0))</f>
        <v/>
      </c>
    </row>
    <row r="173">
      <c r="B173" s="7" t="inlineStr">
        <is>
          <t>Cohort signed in month 13</t>
        </is>
      </c>
      <c r="C173" s="5" t="inlineStr">
        <is>
          <t>institutes</t>
        </is>
      </c>
      <c r="Q173" s="53">
        <f>Q123</f>
        <v/>
      </c>
      <c r="R173" s="53">
        <f>Q173*(1-$D$70)*(1-IF(AND(1&gt;=$D$48,INDEX(Season_Flag,Q$113)=1),$D$71,0))</f>
        <v/>
      </c>
      <c r="S173" s="53">
        <f>R173*(1-$D$70)*(1-IF(AND(2&gt;=$D$48,INDEX(Season_Flag,R$113)=1),$D$71,0))</f>
        <v/>
      </c>
      <c r="T173" s="53">
        <f>S173*(1-$D$70)*(1-IF(AND(3&gt;=$D$48,INDEX(Season_Flag,S$113)=1),$D$71,0))</f>
        <v/>
      </c>
      <c r="U173" s="53">
        <f>T173*(1-$D$70)*(1-IF(AND(4&gt;=$D$48,INDEX(Season_Flag,T$113)=1),$D$71,0))</f>
        <v/>
      </c>
      <c r="V173" s="53">
        <f>U173*(1-$D$70)*(1-IF(AND(5&gt;=$D$48,INDEX(Season_Flag,U$113)=1),$D$71,0))</f>
        <v/>
      </c>
      <c r="W173" s="53">
        <f>V173*(1-$D$70)*(1-IF(AND(6&gt;=$D$48,INDEX(Season_Flag,V$113)=1),$D$71,0))</f>
        <v/>
      </c>
      <c r="X173" s="53">
        <f>W173*(1-$D$70)*(1-IF(AND(7&gt;=$D$48,INDEX(Season_Flag,W$113)=1),$D$71,0))</f>
        <v/>
      </c>
      <c r="Y173" s="53">
        <f>X173*(1-$D$70)*(1-IF(AND(8&gt;=$D$48,INDEX(Season_Flag,X$113)=1),$D$71,0))</f>
        <v/>
      </c>
      <c r="Z173" s="53">
        <f>Y173*(1-$D$70)*(1-IF(AND(9&gt;=$D$48,INDEX(Season_Flag,Y$113)=1),$D$71,0))</f>
        <v/>
      </c>
      <c r="AA173" s="53">
        <f>Z173*(1-$D$70)*(1-IF(AND(10&gt;=$D$48,INDEX(Season_Flag,Z$113)=1),$D$71,0))</f>
        <v/>
      </c>
      <c r="AB173" s="53">
        <f>AA173*(1-$D$70)*(1-IF(AND(11&gt;=$D$48,INDEX(Season_Flag,AA$113)=1),$D$71,0))</f>
        <v/>
      </c>
      <c r="AC173" s="53">
        <f>AB173*(1-$D$70)*(1-IF(AND(12&gt;=$D$48,INDEX(Season_Flag,AB$113)=1),$D$71,0))</f>
        <v/>
      </c>
      <c r="AD173" s="53">
        <f>AC173*(1-$D$70)*(1-IF(AND(13&gt;=$D$48,INDEX(Season_Flag,AC$113)=1),$D$71,0))</f>
        <v/>
      </c>
      <c r="AE173" s="53">
        <f>AD173*(1-$D$70)*(1-IF(AND(14&gt;=$D$48,INDEX(Season_Flag,AD$113)=1),$D$71,0))</f>
        <v/>
      </c>
      <c r="AF173" s="53">
        <f>AE173*(1-$D$70)*(1-IF(AND(15&gt;=$D$48,INDEX(Season_Flag,AE$113)=1),$D$71,0))</f>
        <v/>
      </c>
      <c r="AG173" s="53">
        <f>AF173*(1-$D$70)*(1-IF(AND(16&gt;=$D$48,INDEX(Season_Flag,AF$113)=1),$D$71,0))</f>
        <v/>
      </c>
      <c r="AH173" s="53">
        <f>AG173*(1-$D$70)*(1-IF(AND(17&gt;=$D$48,INDEX(Season_Flag,AG$113)=1),$D$71,0))</f>
        <v/>
      </c>
      <c r="AI173" s="53">
        <f>AH173*(1-$D$70)*(1-IF(AND(18&gt;=$D$48,INDEX(Season_Flag,AH$113)=1),$D$71,0))</f>
        <v/>
      </c>
      <c r="AJ173" s="53">
        <f>AI173*(1-$D$70)*(1-IF(AND(19&gt;=$D$48,INDEX(Season_Flag,AI$113)=1),$D$71,0))</f>
        <v/>
      </c>
      <c r="AK173" s="53">
        <f>AJ173*(1-$D$70)*(1-IF(AND(20&gt;=$D$48,INDEX(Season_Flag,AJ$113)=1),$D$71,0))</f>
        <v/>
      </c>
      <c r="AL173" s="53">
        <f>AK173*(1-$D$70)*(1-IF(AND(21&gt;=$D$48,INDEX(Season_Flag,AK$113)=1),$D$71,0))</f>
        <v/>
      </c>
      <c r="AM173" s="53">
        <f>AL173*(1-$D$70)*(1-IF(AND(22&gt;=$D$48,INDEX(Season_Flag,AL$113)=1),$D$71,0))</f>
        <v/>
      </c>
      <c r="AN173" s="53">
        <f>AM173*(1-$D$70)*(1-IF(AND(23&gt;=$D$48,INDEX(Season_Flag,AM$113)=1),$D$71,0))</f>
        <v/>
      </c>
    </row>
    <row r="174">
      <c r="B174" s="7" t="inlineStr">
        <is>
          <t>Cohort signed in month 14</t>
        </is>
      </c>
      <c r="C174" s="5" t="inlineStr">
        <is>
          <t>institutes</t>
        </is>
      </c>
      <c r="R174" s="53">
        <f>R123</f>
        <v/>
      </c>
      <c r="S174" s="53">
        <f>R174*(1-$D$70)*(1-IF(AND(1&gt;=$D$48,INDEX(Season_Flag,R$113)=1),$D$71,0))</f>
        <v/>
      </c>
      <c r="T174" s="53">
        <f>S174*(1-$D$70)*(1-IF(AND(2&gt;=$D$48,INDEX(Season_Flag,S$113)=1),$D$71,0))</f>
        <v/>
      </c>
      <c r="U174" s="53">
        <f>T174*(1-$D$70)*(1-IF(AND(3&gt;=$D$48,INDEX(Season_Flag,T$113)=1),$D$71,0))</f>
        <v/>
      </c>
      <c r="V174" s="53">
        <f>U174*(1-$D$70)*(1-IF(AND(4&gt;=$D$48,INDEX(Season_Flag,U$113)=1),$D$71,0))</f>
        <v/>
      </c>
      <c r="W174" s="53">
        <f>V174*(1-$D$70)*(1-IF(AND(5&gt;=$D$48,INDEX(Season_Flag,V$113)=1),$D$71,0))</f>
        <v/>
      </c>
      <c r="X174" s="53">
        <f>W174*(1-$D$70)*(1-IF(AND(6&gt;=$D$48,INDEX(Season_Flag,W$113)=1),$D$71,0))</f>
        <v/>
      </c>
      <c r="Y174" s="53">
        <f>X174*(1-$D$70)*(1-IF(AND(7&gt;=$D$48,INDEX(Season_Flag,X$113)=1),$D$71,0))</f>
        <v/>
      </c>
      <c r="Z174" s="53">
        <f>Y174*(1-$D$70)*(1-IF(AND(8&gt;=$D$48,INDEX(Season_Flag,Y$113)=1),$D$71,0))</f>
        <v/>
      </c>
      <c r="AA174" s="53">
        <f>Z174*(1-$D$70)*(1-IF(AND(9&gt;=$D$48,INDEX(Season_Flag,Z$113)=1),$D$71,0))</f>
        <v/>
      </c>
      <c r="AB174" s="53">
        <f>AA174*(1-$D$70)*(1-IF(AND(10&gt;=$D$48,INDEX(Season_Flag,AA$113)=1),$D$71,0))</f>
        <v/>
      </c>
      <c r="AC174" s="53">
        <f>AB174*(1-$D$70)*(1-IF(AND(11&gt;=$D$48,INDEX(Season_Flag,AB$113)=1),$D$71,0))</f>
        <v/>
      </c>
      <c r="AD174" s="53">
        <f>AC174*(1-$D$70)*(1-IF(AND(12&gt;=$D$48,INDEX(Season_Flag,AC$113)=1),$D$71,0))</f>
        <v/>
      </c>
      <c r="AE174" s="53">
        <f>AD174*(1-$D$70)*(1-IF(AND(13&gt;=$D$48,INDEX(Season_Flag,AD$113)=1),$D$71,0))</f>
        <v/>
      </c>
      <c r="AF174" s="53">
        <f>AE174*(1-$D$70)*(1-IF(AND(14&gt;=$D$48,INDEX(Season_Flag,AE$113)=1),$D$71,0))</f>
        <v/>
      </c>
      <c r="AG174" s="53">
        <f>AF174*(1-$D$70)*(1-IF(AND(15&gt;=$D$48,INDEX(Season_Flag,AF$113)=1),$D$71,0))</f>
        <v/>
      </c>
      <c r="AH174" s="53">
        <f>AG174*(1-$D$70)*(1-IF(AND(16&gt;=$D$48,INDEX(Season_Flag,AG$113)=1),$D$71,0))</f>
        <v/>
      </c>
      <c r="AI174" s="53">
        <f>AH174*(1-$D$70)*(1-IF(AND(17&gt;=$D$48,INDEX(Season_Flag,AH$113)=1),$D$71,0))</f>
        <v/>
      </c>
      <c r="AJ174" s="53">
        <f>AI174*(1-$D$70)*(1-IF(AND(18&gt;=$D$48,INDEX(Season_Flag,AI$113)=1),$D$71,0))</f>
        <v/>
      </c>
      <c r="AK174" s="53">
        <f>AJ174*(1-$D$70)*(1-IF(AND(19&gt;=$D$48,INDEX(Season_Flag,AJ$113)=1),$D$71,0))</f>
        <v/>
      </c>
      <c r="AL174" s="53">
        <f>AK174*(1-$D$70)*(1-IF(AND(20&gt;=$D$48,INDEX(Season_Flag,AK$113)=1),$D$71,0))</f>
        <v/>
      </c>
      <c r="AM174" s="53">
        <f>AL174*(1-$D$70)*(1-IF(AND(21&gt;=$D$48,INDEX(Season_Flag,AL$113)=1),$D$71,0))</f>
        <v/>
      </c>
      <c r="AN174" s="53">
        <f>AM174*(1-$D$70)*(1-IF(AND(22&gt;=$D$48,INDEX(Season_Flag,AM$113)=1),$D$71,0))</f>
        <v/>
      </c>
    </row>
    <row r="175">
      <c r="B175" s="7" t="inlineStr">
        <is>
          <t>Cohort signed in month 15</t>
        </is>
      </c>
      <c r="C175" s="5" t="inlineStr">
        <is>
          <t>institutes</t>
        </is>
      </c>
      <c r="S175" s="53">
        <f>S123</f>
        <v/>
      </c>
      <c r="T175" s="53">
        <f>S175*(1-$D$70)*(1-IF(AND(1&gt;=$D$48,INDEX(Season_Flag,S$113)=1),$D$71,0))</f>
        <v/>
      </c>
      <c r="U175" s="53">
        <f>T175*(1-$D$70)*(1-IF(AND(2&gt;=$D$48,INDEX(Season_Flag,T$113)=1),$D$71,0))</f>
        <v/>
      </c>
      <c r="V175" s="53">
        <f>U175*(1-$D$70)*(1-IF(AND(3&gt;=$D$48,INDEX(Season_Flag,U$113)=1),$D$71,0))</f>
        <v/>
      </c>
      <c r="W175" s="53">
        <f>V175*(1-$D$70)*(1-IF(AND(4&gt;=$D$48,INDEX(Season_Flag,V$113)=1),$D$71,0))</f>
        <v/>
      </c>
      <c r="X175" s="53">
        <f>W175*(1-$D$70)*(1-IF(AND(5&gt;=$D$48,INDEX(Season_Flag,W$113)=1),$D$71,0))</f>
        <v/>
      </c>
      <c r="Y175" s="53">
        <f>X175*(1-$D$70)*(1-IF(AND(6&gt;=$D$48,INDEX(Season_Flag,X$113)=1),$D$71,0))</f>
        <v/>
      </c>
      <c r="Z175" s="53">
        <f>Y175*(1-$D$70)*(1-IF(AND(7&gt;=$D$48,INDEX(Season_Flag,Y$113)=1),$D$71,0))</f>
        <v/>
      </c>
      <c r="AA175" s="53">
        <f>Z175*(1-$D$70)*(1-IF(AND(8&gt;=$D$48,INDEX(Season_Flag,Z$113)=1),$D$71,0))</f>
        <v/>
      </c>
      <c r="AB175" s="53">
        <f>AA175*(1-$D$70)*(1-IF(AND(9&gt;=$D$48,INDEX(Season_Flag,AA$113)=1),$D$71,0))</f>
        <v/>
      </c>
      <c r="AC175" s="53">
        <f>AB175*(1-$D$70)*(1-IF(AND(10&gt;=$D$48,INDEX(Season_Flag,AB$113)=1),$D$71,0))</f>
        <v/>
      </c>
      <c r="AD175" s="53">
        <f>AC175*(1-$D$70)*(1-IF(AND(11&gt;=$D$48,INDEX(Season_Flag,AC$113)=1),$D$71,0))</f>
        <v/>
      </c>
      <c r="AE175" s="53">
        <f>AD175*(1-$D$70)*(1-IF(AND(12&gt;=$D$48,INDEX(Season_Flag,AD$113)=1),$D$71,0))</f>
        <v/>
      </c>
      <c r="AF175" s="53">
        <f>AE175*(1-$D$70)*(1-IF(AND(13&gt;=$D$48,INDEX(Season_Flag,AE$113)=1),$D$71,0))</f>
        <v/>
      </c>
      <c r="AG175" s="53">
        <f>AF175*(1-$D$70)*(1-IF(AND(14&gt;=$D$48,INDEX(Season_Flag,AF$113)=1),$D$71,0))</f>
        <v/>
      </c>
      <c r="AH175" s="53">
        <f>AG175*(1-$D$70)*(1-IF(AND(15&gt;=$D$48,INDEX(Season_Flag,AG$113)=1),$D$71,0))</f>
        <v/>
      </c>
      <c r="AI175" s="53">
        <f>AH175*(1-$D$70)*(1-IF(AND(16&gt;=$D$48,INDEX(Season_Flag,AH$113)=1),$D$71,0))</f>
        <v/>
      </c>
      <c r="AJ175" s="53">
        <f>AI175*(1-$D$70)*(1-IF(AND(17&gt;=$D$48,INDEX(Season_Flag,AI$113)=1),$D$71,0))</f>
        <v/>
      </c>
      <c r="AK175" s="53">
        <f>AJ175*(1-$D$70)*(1-IF(AND(18&gt;=$D$48,INDEX(Season_Flag,AJ$113)=1),$D$71,0))</f>
        <v/>
      </c>
      <c r="AL175" s="53">
        <f>AK175*(1-$D$70)*(1-IF(AND(19&gt;=$D$48,INDEX(Season_Flag,AK$113)=1),$D$71,0))</f>
        <v/>
      </c>
      <c r="AM175" s="53">
        <f>AL175*(1-$D$70)*(1-IF(AND(20&gt;=$D$48,INDEX(Season_Flag,AL$113)=1),$D$71,0))</f>
        <v/>
      </c>
      <c r="AN175" s="53">
        <f>AM175*(1-$D$70)*(1-IF(AND(21&gt;=$D$48,INDEX(Season_Flag,AM$113)=1),$D$71,0))</f>
        <v/>
      </c>
    </row>
    <row r="176">
      <c r="B176" s="7" t="inlineStr">
        <is>
          <t>Cohort signed in month 16</t>
        </is>
      </c>
      <c r="C176" s="5" t="inlineStr">
        <is>
          <t>institutes</t>
        </is>
      </c>
      <c r="T176" s="53">
        <f>T123</f>
        <v/>
      </c>
      <c r="U176" s="53">
        <f>T176*(1-$D$70)*(1-IF(AND(1&gt;=$D$48,INDEX(Season_Flag,T$113)=1),$D$71,0))</f>
        <v/>
      </c>
      <c r="V176" s="53">
        <f>U176*(1-$D$70)*(1-IF(AND(2&gt;=$D$48,INDEX(Season_Flag,U$113)=1),$D$71,0))</f>
        <v/>
      </c>
      <c r="W176" s="53">
        <f>V176*(1-$D$70)*(1-IF(AND(3&gt;=$D$48,INDEX(Season_Flag,V$113)=1),$D$71,0))</f>
        <v/>
      </c>
      <c r="X176" s="53">
        <f>W176*(1-$D$70)*(1-IF(AND(4&gt;=$D$48,INDEX(Season_Flag,W$113)=1),$D$71,0))</f>
        <v/>
      </c>
      <c r="Y176" s="53">
        <f>X176*(1-$D$70)*(1-IF(AND(5&gt;=$D$48,INDEX(Season_Flag,X$113)=1),$D$71,0))</f>
        <v/>
      </c>
      <c r="Z176" s="53">
        <f>Y176*(1-$D$70)*(1-IF(AND(6&gt;=$D$48,INDEX(Season_Flag,Y$113)=1),$D$71,0))</f>
        <v/>
      </c>
      <c r="AA176" s="53">
        <f>Z176*(1-$D$70)*(1-IF(AND(7&gt;=$D$48,INDEX(Season_Flag,Z$113)=1),$D$71,0))</f>
        <v/>
      </c>
      <c r="AB176" s="53">
        <f>AA176*(1-$D$70)*(1-IF(AND(8&gt;=$D$48,INDEX(Season_Flag,AA$113)=1),$D$71,0))</f>
        <v/>
      </c>
      <c r="AC176" s="53">
        <f>AB176*(1-$D$70)*(1-IF(AND(9&gt;=$D$48,INDEX(Season_Flag,AB$113)=1),$D$71,0))</f>
        <v/>
      </c>
      <c r="AD176" s="53">
        <f>AC176*(1-$D$70)*(1-IF(AND(10&gt;=$D$48,INDEX(Season_Flag,AC$113)=1),$D$71,0))</f>
        <v/>
      </c>
      <c r="AE176" s="53">
        <f>AD176*(1-$D$70)*(1-IF(AND(11&gt;=$D$48,INDEX(Season_Flag,AD$113)=1),$D$71,0))</f>
        <v/>
      </c>
      <c r="AF176" s="53">
        <f>AE176*(1-$D$70)*(1-IF(AND(12&gt;=$D$48,INDEX(Season_Flag,AE$113)=1),$D$71,0))</f>
        <v/>
      </c>
      <c r="AG176" s="53">
        <f>AF176*(1-$D$70)*(1-IF(AND(13&gt;=$D$48,INDEX(Season_Flag,AF$113)=1),$D$71,0))</f>
        <v/>
      </c>
      <c r="AH176" s="53">
        <f>AG176*(1-$D$70)*(1-IF(AND(14&gt;=$D$48,INDEX(Season_Flag,AG$113)=1),$D$71,0))</f>
        <v/>
      </c>
      <c r="AI176" s="53">
        <f>AH176*(1-$D$70)*(1-IF(AND(15&gt;=$D$48,INDEX(Season_Flag,AH$113)=1),$D$71,0))</f>
        <v/>
      </c>
      <c r="AJ176" s="53">
        <f>AI176*(1-$D$70)*(1-IF(AND(16&gt;=$D$48,INDEX(Season_Flag,AI$113)=1),$D$71,0))</f>
        <v/>
      </c>
      <c r="AK176" s="53">
        <f>AJ176*(1-$D$70)*(1-IF(AND(17&gt;=$D$48,INDEX(Season_Flag,AJ$113)=1),$D$71,0))</f>
        <v/>
      </c>
      <c r="AL176" s="53">
        <f>AK176*(1-$D$70)*(1-IF(AND(18&gt;=$D$48,INDEX(Season_Flag,AK$113)=1),$D$71,0))</f>
        <v/>
      </c>
      <c r="AM176" s="53">
        <f>AL176*(1-$D$70)*(1-IF(AND(19&gt;=$D$48,INDEX(Season_Flag,AL$113)=1),$D$71,0))</f>
        <v/>
      </c>
      <c r="AN176" s="53">
        <f>AM176*(1-$D$70)*(1-IF(AND(20&gt;=$D$48,INDEX(Season_Flag,AM$113)=1),$D$71,0))</f>
        <v/>
      </c>
    </row>
    <row r="177">
      <c r="B177" s="7" t="inlineStr">
        <is>
          <t>Cohort signed in month 17</t>
        </is>
      </c>
      <c r="C177" s="5" t="inlineStr">
        <is>
          <t>institutes</t>
        </is>
      </c>
      <c r="U177" s="53">
        <f>U123</f>
        <v/>
      </c>
      <c r="V177" s="53">
        <f>U177*(1-$D$70)*(1-IF(AND(1&gt;=$D$48,INDEX(Season_Flag,U$113)=1),$D$71,0))</f>
        <v/>
      </c>
      <c r="W177" s="53">
        <f>V177*(1-$D$70)*(1-IF(AND(2&gt;=$D$48,INDEX(Season_Flag,V$113)=1),$D$71,0))</f>
        <v/>
      </c>
      <c r="X177" s="53">
        <f>W177*(1-$D$70)*(1-IF(AND(3&gt;=$D$48,INDEX(Season_Flag,W$113)=1),$D$71,0))</f>
        <v/>
      </c>
      <c r="Y177" s="53">
        <f>X177*(1-$D$70)*(1-IF(AND(4&gt;=$D$48,INDEX(Season_Flag,X$113)=1),$D$71,0))</f>
        <v/>
      </c>
      <c r="Z177" s="53">
        <f>Y177*(1-$D$70)*(1-IF(AND(5&gt;=$D$48,INDEX(Season_Flag,Y$113)=1),$D$71,0))</f>
        <v/>
      </c>
      <c r="AA177" s="53">
        <f>Z177*(1-$D$70)*(1-IF(AND(6&gt;=$D$48,INDEX(Season_Flag,Z$113)=1),$D$71,0))</f>
        <v/>
      </c>
      <c r="AB177" s="53">
        <f>AA177*(1-$D$70)*(1-IF(AND(7&gt;=$D$48,INDEX(Season_Flag,AA$113)=1),$D$71,0))</f>
        <v/>
      </c>
      <c r="AC177" s="53">
        <f>AB177*(1-$D$70)*(1-IF(AND(8&gt;=$D$48,INDEX(Season_Flag,AB$113)=1),$D$71,0))</f>
        <v/>
      </c>
      <c r="AD177" s="53">
        <f>AC177*(1-$D$70)*(1-IF(AND(9&gt;=$D$48,INDEX(Season_Flag,AC$113)=1),$D$71,0))</f>
        <v/>
      </c>
      <c r="AE177" s="53">
        <f>AD177*(1-$D$70)*(1-IF(AND(10&gt;=$D$48,INDEX(Season_Flag,AD$113)=1),$D$71,0))</f>
        <v/>
      </c>
      <c r="AF177" s="53">
        <f>AE177*(1-$D$70)*(1-IF(AND(11&gt;=$D$48,INDEX(Season_Flag,AE$113)=1),$D$71,0))</f>
        <v/>
      </c>
      <c r="AG177" s="53">
        <f>AF177*(1-$D$70)*(1-IF(AND(12&gt;=$D$48,INDEX(Season_Flag,AF$113)=1),$D$71,0))</f>
        <v/>
      </c>
      <c r="AH177" s="53">
        <f>AG177*(1-$D$70)*(1-IF(AND(13&gt;=$D$48,INDEX(Season_Flag,AG$113)=1),$D$71,0))</f>
        <v/>
      </c>
      <c r="AI177" s="53">
        <f>AH177*(1-$D$70)*(1-IF(AND(14&gt;=$D$48,INDEX(Season_Flag,AH$113)=1),$D$71,0))</f>
        <v/>
      </c>
      <c r="AJ177" s="53">
        <f>AI177*(1-$D$70)*(1-IF(AND(15&gt;=$D$48,INDEX(Season_Flag,AI$113)=1),$D$71,0))</f>
        <v/>
      </c>
      <c r="AK177" s="53">
        <f>AJ177*(1-$D$70)*(1-IF(AND(16&gt;=$D$48,INDEX(Season_Flag,AJ$113)=1),$D$71,0))</f>
        <v/>
      </c>
      <c r="AL177" s="53">
        <f>AK177*(1-$D$70)*(1-IF(AND(17&gt;=$D$48,INDEX(Season_Flag,AK$113)=1),$D$71,0))</f>
        <v/>
      </c>
      <c r="AM177" s="53">
        <f>AL177*(1-$D$70)*(1-IF(AND(18&gt;=$D$48,INDEX(Season_Flag,AL$113)=1),$D$71,0))</f>
        <v/>
      </c>
      <c r="AN177" s="53">
        <f>AM177*(1-$D$70)*(1-IF(AND(19&gt;=$D$48,INDEX(Season_Flag,AM$113)=1),$D$71,0))</f>
        <v/>
      </c>
    </row>
    <row r="178">
      <c r="B178" s="7" t="inlineStr">
        <is>
          <t>Cohort signed in month 18</t>
        </is>
      </c>
      <c r="C178" s="5" t="inlineStr">
        <is>
          <t>institutes</t>
        </is>
      </c>
      <c r="V178" s="53">
        <f>V123</f>
        <v/>
      </c>
      <c r="W178" s="53">
        <f>V178*(1-$D$70)*(1-IF(AND(1&gt;=$D$48,INDEX(Season_Flag,V$113)=1),$D$71,0))</f>
        <v/>
      </c>
      <c r="X178" s="53">
        <f>W178*(1-$D$70)*(1-IF(AND(2&gt;=$D$48,INDEX(Season_Flag,W$113)=1),$D$71,0))</f>
        <v/>
      </c>
      <c r="Y178" s="53">
        <f>X178*(1-$D$70)*(1-IF(AND(3&gt;=$D$48,INDEX(Season_Flag,X$113)=1),$D$71,0))</f>
        <v/>
      </c>
      <c r="Z178" s="53">
        <f>Y178*(1-$D$70)*(1-IF(AND(4&gt;=$D$48,INDEX(Season_Flag,Y$113)=1),$D$71,0))</f>
        <v/>
      </c>
      <c r="AA178" s="53">
        <f>Z178*(1-$D$70)*(1-IF(AND(5&gt;=$D$48,INDEX(Season_Flag,Z$113)=1),$D$71,0))</f>
        <v/>
      </c>
      <c r="AB178" s="53">
        <f>AA178*(1-$D$70)*(1-IF(AND(6&gt;=$D$48,INDEX(Season_Flag,AA$113)=1),$D$71,0))</f>
        <v/>
      </c>
      <c r="AC178" s="53">
        <f>AB178*(1-$D$70)*(1-IF(AND(7&gt;=$D$48,INDEX(Season_Flag,AB$113)=1),$D$71,0))</f>
        <v/>
      </c>
      <c r="AD178" s="53">
        <f>AC178*(1-$D$70)*(1-IF(AND(8&gt;=$D$48,INDEX(Season_Flag,AC$113)=1),$D$71,0))</f>
        <v/>
      </c>
      <c r="AE178" s="53">
        <f>AD178*(1-$D$70)*(1-IF(AND(9&gt;=$D$48,INDEX(Season_Flag,AD$113)=1),$D$71,0))</f>
        <v/>
      </c>
      <c r="AF178" s="53">
        <f>AE178*(1-$D$70)*(1-IF(AND(10&gt;=$D$48,INDEX(Season_Flag,AE$113)=1),$D$71,0))</f>
        <v/>
      </c>
      <c r="AG178" s="53">
        <f>AF178*(1-$D$70)*(1-IF(AND(11&gt;=$D$48,INDEX(Season_Flag,AF$113)=1),$D$71,0))</f>
        <v/>
      </c>
      <c r="AH178" s="53">
        <f>AG178*(1-$D$70)*(1-IF(AND(12&gt;=$D$48,INDEX(Season_Flag,AG$113)=1),$D$71,0))</f>
        <v/>
      </c>
      <c r="AI178" s="53">
        <f>AH178*(1-$D$70)*(1-IF(AND(13&gt;=$D$48,INDEX(Season_Flag,AH$113)=1),$D$71,0))</f>
        <v/>
      </c>
      <c r="AJ178" s="53">
        <f>AI178*(1-$D$70)*(1-IF(AND(14&gt;=$D$48,INDEX(Season_Flag,AI$113)=1),$D$71,0))</f>
        <v/>
      </c>
      <c r="AK178" s="53">
        <f>AJ178*(1-$D$70)*(1-IF(AND(15&gt;=$D$48,INDEX(Season_Flag,AJ$113)=1),$D$71,0))</f>
        <v/>
      </c>
      <c r="AL178" s="53">
        <f>AK178*(1-$D$70)*(1-IF(AND(16&gt;=$D$48,INDEX(Season_Flag,AK$113)=1),$D$71,0))</f>
        <v/>
      </c>
      <c r="AM178" s="53">
        <f>AL178*(1-$D$70)*(1-IF(AND(17&gt;=$D$48,INDEX(Season_Flag,AL$113)=1),$D$71,0))</f>
        <v/>
      </c>
      <c r="AN178" s="53">
        <f>AM178*(1-$D$70)*(1-IF(AND(18&gt;=$D$48,INDEX(Season_Flag,AM$113)=1),$D$71,0))</f>
        <v/>
      </c>
    </row>
    <row r="179">
      <c r="B179" s="7" t="inlineStr">
        <is>
          <t>Cohort signed in month 19</t>
        </is>
      </c>
      <c r="C179" s="5" t="inlineStr">
        <is>
          <t>institutes</t>
        </is>
      </c>
      <c r="W179" s="53">
        <f>W123</f>
        <v/>
      </c>
      <c r="X179" s="53">
        <f>W179*(1-$D$70)*(1-IF(AND(1&gt;=$D$48,INDEX(Season_Flag,W$113)=1),$D$71,0))</f>
        <v/>
      </c>
      <c r="Y179" s="53">
        <f>X179*(1-$D$70)*(1-IF(AND(2&gt;=$D$48,INDEX(Season_Flag,X$113)=1),$D$71,0))</f>
        <v/>
      </c>
      <c r="Z179" s="53">
        <f>Y179*(1-$D$70)*(1-IF(AND(3&gt;=$D$48,INDEX(Season_Flag,Y$113)=1),$D$71,0))</f>
        <v/>
      </c>
      <c r="AA179" s="53">
        <f>Z179*(1-$D$70)*(1-IF(AND(4&gt;=$D$48,INDEX(Season_Flag,Z$113)=1),$D$71,0))</f>
        <v/>
      </c>
      <c r="AB179" s="53">
        <f>AA179*(1-$D$70)*(1-IF(AND(5&gt;=$D$48,INDEX(Season_Flag,AA$113)=1),$D$71,0))</f>
        <v/>
      </c>
      <c r="AC179" s="53">
        <f>AB179*(1-$D$70)*(1-IF(AND(6&gt;=$D$48,INDEX(Season_Flag,AB$113)=1),$D$71,0))</f>
        <v/>
      </c>
      <c r="AD179" s="53">
        <f>AC179*(1-$D$70)*(1-IF(AND(7&gt;=$D$48,INDEX(Season_Flag,AC$113)=1),$D$71,0))</f>
        <v/>
      </c>
      <c r="AE179" s="53">
        <f>AD179*(1-$D$70)*(1-IF(AND(8&gt;=$D$48,INDEX(Season_Flag,AD$113)=1),$D$71,0))</f>
        <v/>
      </c>
      <c r="AF179" s="53">
        <f>AE179*(1-$D$70)*(1-IF(AND(9&gt;=$D$48,INDEX(Season_Flag,AE$113)=1),$D$71,0))</f>
        <v/>
      </c>
      <c r="AG179" s="53">
        <f>AF179*(1-$D$70)*(1-IF(AND(10&gt;=$D$48,INDEX(Season_Flag,AF$113)=1),$D$71,0))</f>
        <v/>
      </c>
      <c r="AH179" s="53">
        <f>AG179*(1-$D$70)*(1-IF(AND(11&gt;=$D$48,INDEX(Season_Flag,AG$113)=1),$D$71,0))</f>
        <v/>
      </c>
      <c r="AI179" s="53">
        <f>AH179*(1-$D$70)*(1-IF(AND(12&gt;=$D$48,INDEX(Season_Flag,AH$113)=1),$D$71,0))</f>
        <v/>
      </c>
      <c r="AJ179" s="53">
        <f>AI179*(1-$D$70)*(1-IF(AND(13&gt;=$D$48,INDEX(Season_Flag,AI$113)=1),$D$71,0))</f>
        <v/>
      </c>
      <c r="AK179" s="53">
        <f>AJ179*(1-$D$70)*(1-IF(AND(14&gt;=$D$48,INDEX(Season_Flag,AJ$113)=1),$D$71,0))</f>
        <v/>
      </c>
      <c r="AL179" s="53">
        <f>AK179*(1-$D$70)*(1-IF(AND(15&gt;=$D$48,INDEX(Season_Flag,AK$113)=1),$D$71,0))</f>
        <v/>
      </c>
      <c r="AM179" s="53">
        <f>AL179*(1-$D$70)*(1-IF(AND(16&gt;=$D$48,INDEX(Season_Flag,AL$113)=1),$D$71,0))</f>
        <v/>
      </c>
      <c r="AN179" s="53">
        <f>AM179*(1-$D$70)*(1-IF(AND(17&gt;=$D$48,INDEX(Season_Flag,AM$113)=1),$D$71,0))</f>
        <v/>
      </c>
    </row>
    <row r="180">
      <c r="B180" s="7" t="inlineStr">
        <is>
          <t>Cohort signed in month 20</t>
        </is>
      </c>
      <c r="C180" s="5" t="inlineStr">
        <is>
          <t>institutes</t>
        </is>
      </c>
      <c r="X180" s="53">
        <f>X123</f>
        <v/>
      </c>
      <c r="Y180" s="53">
        <f>X180*(1-$D$70)*(1-IF(AND(1&gt;=$D$48,INDEX(Season_Flag,X$113)=1),$D$71,0))</f>
        <v/>
      </c>
      <c r="Z180" s="53">
        <f>Y180*(1-$D$70)*(1-IF(AND(2&gt;=$D$48,INDEX(Season_Flag,Y$113)=1),$D$71,0))</f>
        <v/>
      </c>
      <c r="AA180" s="53">
        <f>Z180*(1-$D$70)*(1-IF(AND(3&gt;=$D$48,INDEX(Season_Flag,Z$113)=1),$D$71,0))</f>
        <v/>
      </c>
      <c r="AB180" s="53">
        <f>AA180*(1-$D$70)*(1-IF(AND(4&gt;=$D$48,INDEX(Season_Flag,AA$113)=1),$D$71,0))</f>
        <v/>
      </c>
      <c r="AC180" s="53">
        <f>AB180*(1-$D$70)*(1-IF(AND(5&gt;=$D$48,INDEX(Season_Flag,AB$113)=1),$D$71,0))</f>
        <v/>
      </c>
      <c r="AD180" s="53">
        <f>AC180*(1-$D$70)*(1-IF(AND(6&gt;=$D$48,INDEX(Season_Flag,AC$113)=1),$D$71,0))</f>
        <v/>
      </c>
      <c r="AE180" s="53">
        <f>AD180*(1-$D$70)*(1-IF(AND(7&gt;=$D$48,INDEX(Season_Flag,AD$113)=1),$D$71,0))</f>
        <v/>
      </c>
      <c r="AF180" s="53">
        <f>AE180*(1-$D$70)*(1-IF(AND(8&gt;=$D$48,INDEX(Season_Flag,AE$113)=1),$D$71,0))</f>
        <v/>
      </c>
      <c r="AG180" s="53">
        <f>AF180*(1-$D$70)*(1-IF(AND(9&gt;=$D$48,INDEX(Season_Flag,AF$113)=1),$D$71,0))</f>
        <v/>
      </c>
      <c r="AH180" s="53">
        <f>AG180*(1-$D$70)*(1-IF(AND(10&gt;=$D$48,INDEX(Season_Flag,AG$113)=1),$D$71,0))</f>
        <v/>
      </c>
      <c r="AI180" s="53">
        <f>AH180*(1-$D$70)*(1-IF(AND(11&gt;=$D$48,INDEX(Season_Flag,AH$113)=1),$D$71,0))</f>
        <v/>
      </c>
      <c r="AJ180" s="53">
        <f>AI180*(1-$D$70)*(1-IF(AND(12&gt;=$D$48,INDEX(Season_Flag,AI$113)=1),$D$71,0))</f>
        <v/>
      </c>
      <c r="AK180" s="53">
        <f>AJ180*(1-$D$70)*(1-IF(AND(13&gt;=$D$48,INDEX(Season_Flag,AJ$113)=1),$D$71,0))</f>
        <v/>
      </c>
      <c r="AL180" s="53">
        <f>AK180*(1-$D$70)*(1-IF(AND(14&gt;=$D$48,INDEX(Season_Flag,AK$113)=1),$D$71,0))</f>
        <v/>
      </c>
      <c r="AM180" s="53">
        <f>AL180*(1-$D$70)*(1-IF(AND(15&gt;=$D$48,INDEX(Season_Flag,AL$113)=1),$D$71,0))</f>
        <v/>
      </c>
      <c r="AN180" s="53">
        <f>AM180*(1-$D$70)*(1-IF(AND(16&gt;=$D$48,INDEX(Season_Flag,AM$113)=1),$D$71,0))</f>
        <v/>
      </c>
    </row>
    <row r="181">
      <c r="B181" s="7" t="inlineStr">
        <is>
          <t>Cohort signed in month 21</t>
        </is>
      </c>
      <c r="C181" s="5" t="inlineStr">
        <is>
          <t>institutes</t>
        </is>
      </c>
      <c r="Y181" s="53">
        <f>Y123</f>
        <v/>
      </c>
      <c r="Z181" s="53">
        <f>Y181*(1-$D$70)*(1-IF(AND(1&gt;=$D$48,INDEX(Season_Flag,Y$113)=1),$D$71,0))</f>
        <v/>
      </c>
      <c r="AA181" s="53">
        <f>Z181*(1-$D$70)*(1-IF(AND(2&gt;=$D$48,INDEX(Season_Flag,Z$113)=1),$D$71,0))</f>
        <v/>
      </c>
      <c r="AB181" s="53">
        <f>AA181*(1-$D$70)*(1-IF(AND(3&gt;=$D$48,INDEX(Season_Flag,AA$113)=1),$D$71,0))</f>
        <v/>
      </c>
      <c r="AC181" s="53">
        <f>AB181*(1-$D$70)*(1-IF(AND(4&gt;=$D$48,INDEX(Season_Flag,AB$113)=1),$D$71,0))</f>
        <v/>
      </c>
      <c r="AD181" s="53">
        <f>AC181*(1-$D$70)*(1-IF(AND(5&gt;=$D$48,INDEX(Season_Flag,AC$113)=1),$D$71,0))</f>
        <v/>
      </c>
      <c r="AE181" s="53">
        <f>AD181*(1-$D$70)*(1-IF(AND(6&gt;=$D$48,INDEX(Season_Flag,AD$113)=1),$D$71,0))</f>
        <v/>
      </c>
      <c r="AF181" s="53">
        <f>AE181*(1-$D$70)*(1-IF(AND(7&gt;=$D$48,INDEX(Season_Flag,AE$113)=1),$D$71,0))</f>
        <v/>
      </c>
      <c r="AG181" s="53">
        <f>AF181*(1-$D$70)*(1-IF(AND(8&gt;=$D$48,INDEX(Season_Flag,AF$113)=1),$D$71,0))</f>
        <v/>
      </c>
      <c r="AH181" s="53">
        <f>AG181*(1-$D$70)*(1-IF(AND(9&gt;=$D$48,INDEX(Season_Flag,AG$113)=1),$D$71,0))</f>
        <v/>
      </c>
      <c r="AI181" s="53">
        <f>AH181*(1-$D$70)*(1-IF(AND(10&gt;=$D$48,INDEX(Season_Flag,AH$113)=1),$D$71,0))</f>
        <v/>
      </c>
      <c r="AJ181" s="53">
        <f>AI181*(1-$D$70)*(1-IF(AND(11&gt;=$D$48,INDEX(Season_Flag,AI$113)=1),$D$71,0))</f>
        <v/>
      </c>
      <c r="AK181" s="53">
        <f>AJ181*(1-$D$70)*(1-IF(AND(12&gt;=$D$48,INDEX(Season_Flag,AJ$113)=1),$D$71,0))</f>
        <v/>
      </c>
      <c r="AL181" s="53">
        <f>AK181*(1-$D$70)*(1-IF(AND(13&gt;=$D$48,INDEX(Season_Flag,AK$113)=1),$D$71,0))</f>
        <v/>
      </c>
      <c r="AM181" s="53">
        <f>AL181*(1-$D$70)*(1-IF(AND(14&gt;=$D$48,INDEX(Season_Flag,AL$113)=1),$D$71,0))</f>
        <v/>
      </c>
      <c r="AN181" s="53">
        <f>AM181*(1-$D$70)*(1-IF(AND(15&gt;=$D$48,INDEX(Season_Flag,AM$113)=1),$D$71,0))</f>
        <v/>
      </c>
    </row>
    <row r="182">
      <c r="B182" s="7" t="inlineStr">
        <is>
          <t>Cohort signed in month 22</t>
        </is>
      </c>
      <c r="C182" s="5" t="inlineStr">
        <is>
          <t>institutes</t>
        </is>
      </c>
      <c r="Z182" s="53">
        <f>Z123</f>
        <v/>
      </c>
      <c r="AA182" s="53">
        <f>Z182*(1-$D$70)*(1-IF(AND(1&gt;=$D$48,INDEX(Season_Flag,Z$113)=1),$D$71,0))</f>
        <v/>
      </c>
      <c r="AB182" s="53">
        <f>AA182*(1-$D$70)*(1-IF(AND(2&gt;=$D$48,INDEX(Season_Flag,AA$113)=1),$D$71,0))</f>
        <v/>
      </c>
      <c r="AC182" s="53">
        <f>AB182*(1-$D$70)*(1-IF(AND(3&gt;=$D$48,INDEX(Season_Flag,AB$113)=1),$D$71,0))</f>
        <v/>
      </c>
      <c r="AD182" s="53">
        <f>AC182*(1-$D$70)*(1-IF(AND(4&gt;=$D$48,INDEX(Season_Flag,AC$113)=1),$D$71,0))</f>
        <v/>
      </c>
      <c r="AE182" s="53">
        <f>AD182*(1-$D$70)*(1-IF(AND(5&gt;=$D$48,INDEX(Season_Flag,AD$113)=1),$D$71,0))</f>
        <v/>
      </c>
      <c r="AF182" s="53">
        <f>AE182*(1-$D$70)*(1-IF(AND(6&gt;=$D$48,INDEX(Season_Flag,AE$113)=1),$D$71,0))</f>
        <v/>
      </c>
      <c r="AG182" s="53">
        <f>AF182*(1-$D$70)*(1-IF(AND(7&gt;=$D$48,INDEX(Season_Flag,AF$113)=1),$D$71,0))</f>
        <v/>
      </c>
      <c r="AH182" s="53">
        <f>AG182*(1-$D$70)*(1-IF(AND(8&gt;=$D$48,INDEX(Season_Flag,AG$113)=1),$D$71,0))</f>
        <v/>
      </c>
      <c r="AI182" s="53">
        <f>AH182*(1-$D$70)*(1-IF(AND(9&gt;=$D$48,INDEX(Season_Flag,AH$113)=1),$D$71,0))</f>
        <v/>
      </c>
      <c r="AJ182" s="53">
        <f>AI182*(1-$D$70)*(1-IF(AND(10&gt;=$D$48,INDEX(Season_Flag,AI$113)=1),$D$71,0))</f>
        <v/>
      </c>
      <c r="AK182" s="53">
        <f>AJ182*(1-$D$70)*(1-IF(AND(11&gt;=$D$48,INDEX(Season_Flag,AJ$113)=1),$D$71,0))</f>
        <v/>
      </c>
      <c r="AL182" s="53">
        <f>AK182*(1-$D$70)*(1-IF(AND(12&gt;=$D$48,INDEX(Season_Flag,AK$113)=1),$D$71,0))</f>
        <v/>
      </c>
      <c r="AM182" s="53">
        <f>AL182*(1-$D$70)*(1-IF(AND(13&gt;=$D$48,INDEX(Season_Flag,AL$113)=1),$D$71,0))</f>
        <v/>
      </c>
      <c r="AN182" s="53">
        <f>AM182*(1-$D$70)*(1-IF(AND(14&gt;=$D$48,INDEX(Season_Flag,AM$113)=1),$D$71,0))</f>
        <v/>
      </c>
    </row>
    <row r="183">
      <c r="B183" s="7" t="inlineStr">
        <is>
          <t>Cohort signed in month 23</t>
        </is>
      </c>
      <c r="C183" s="5" t="inlineStr">
        <is>
          <t>institutes</t>
        </is>
      </c>
      <c r="AA183" s="53">
        <f>AA123</f>
        <v/>
      </c>
      <c r="AB183" s="53">
        <f>AA183*(1-$D$70)*(1-IF(AND(1&gt;=$D$48,INDEX(Season_Flag,AA$113)=1),$D$71,0))</f>
        <v/>
      </c>
      <c r="AC183" s="53">
        <f>AB183*(1-$D$70)*(1-IF(AND(2&gt;=$D$48,INDEX(Season_Flag,AB$113)=1),$D$71,0))</f>
        <v/>
      </c>
      <c r="AD183" s="53">
        <f>AC183*(1-$D$70)*(1-IF(AND(3&gt;=$D$48,INDEX(Season_Flag,AC$113)=1),$D$71,0))</f>
        <v/>
      </c>
      <c r="AE183" s="53">
        <f>AD183*(1-$D$70)*(1-IF(AND(4&gt;=$D$48,INDEX(Season_Flag,AD$113)=1),$D$71,0))</f>
        <v/>
      </c>
      <c r="AF183" s="53">
        <f>AE183*(1-$D$70)*(1-IF(AND(5&gt;=$D$48,INDEX(Season_Flag,AE$113)=1),$D$71,0))</f>
        <v/>
      </c>
      <c r="AG183" s="53">
        <f>AF183*(1-$D$70)*(1-IF(AND(6&gt;=$D$48,INDEX(Season_Flag,AF$113)=1),$D$71,0))</f>
        <v/>
      </c>
      <c r="AH183" s="53">
        <f>AG183*(1-$D$70)*(1-IF(AND(7&gt;=$D$48,INDEX(Season_Flag,AG$113)=1),$D$71,0))</f>
        <v/>
      </c>
      <c r="AI183" s="53">
        <f>AH183*(1-$D$70)*(1-IF(AND(8&gt;=$D$48,INDEX(Season_Flag,AH$113)=1),$D$71,0))</f>
        <v/>
      </c>
      <c r="AJ183" s="53">
        <f>AI183*(1-$D$70)*(1-IF(AND(9&gt;=$D$48,INDEX(Season_Flag,AI$113)=1),$D$71,0))</f>
        <v/>
      </c>
      <c r="AK183" s="53">
        <f>AJ183*(1-$D$70)*(1-IF(AND(10&gt;=$D$48,INDEX(Season_Flag,AJ$113)=1),$D$71,0))</f>
        <v/>
      </c>
      <c r="AL183" s="53">
        <f>AK183*(1-$D$70)*(1-IF(AND(11&gt;=$D$48,INDEX(Season_Flag,AK$113)=1),$D$71,0))</f>
        <v/>
      </c>
      <c r="AM183" s="53">
        <f>AL183*(1-$D$70)*(1-IF(AND(12&gt;=$D$48,INDEX(Season_Flag,AL$113)=1),$D$71,0))</f>
        <v/>
      </c>
      <c r="AN183" s="53">
        <f>AM183*(1-$D$70)*(1-IF(AND(13&gt;=$D$48,INDEX(Season_Flag,AM$113)=1),$D$71,0))</f>
        <v/>
      </c>
    </row>
    <row r="184">
      <c r="B184" s="7" t="inlineStr">
        <is>
          <t>Cohort signed in month 24</t>
        </is>
      </c>
      <c r="C184" s="5" t="inlineStr">
        <is>
          <t>institutes</t>
        </is>
      </c>
      <c r="AB184" s="53">
        <f>AB123</f>
        <v/>
      </c>
      <c r="AC184" s="53">
        <f>AB184*(1-$D$70)*(1-IF(AND(1&gt;=$D$48,INDEX(Season_Flag,AB$113)=1),$D$71,0))</f>
        <v/>
      </c>
      <c r="AD184" s="53">
        <f>AC184*(1-$D$70)*(1-IF(AND(2&gt;=$D$48,INDEX(Season_Flag,AC$113)=1),$D$71,0))</f>
        <v/>
      </c>
      <c r="AE184" s="53">
        <f>AD184*(1-$D$70)*(1-IF(AND(3&gt;=$D$48,INDEX(Season_Flag,AD$113)=1),$D$71,0))</f>
        <v/>
      </c>
      <c r="AF184" s="53">
        <f>AE184*(1-$D$70)*(1-IF(AND(4&gt;=$D$48,INDEX(Season_Flag,AE$113)=1),$D$71,0))</f>
        <v/>
      </c>
      <c r="AG184" s="53">
        <f>AF184*(1-$D$70)*(1-IF(AND(5&gt;=$D$48,INDEX(Season_Flag,AF$113)=1),$D$71,0))</f>
        <v/>
      </c>
      <c r="AH184" s="53">
        <f>AG184*(1-$D$70)*(1-IF(AND(6&gt;=$D$48,INDEX(Season_Flag,AG$113)=1),$D$71,0))</f>
        <v/>
      </c>
      <c r="AI184" s="53">
        <f>AH184*(1-$D$70)*(1-IF(AND(7&gt;=$D$48,INDEX(Season_Flag,AH$113)=1),$D$71,0))</f>
        <v/>
      </c>
      <c r="AJ184" s="53">
        <f>AI184*(1-$D$70)*(1-IF(AND(8&gt;=$D$48,INDEX(Season_Flag,AI$113)=1),$D$71,0))</f>
        <v/>
      </c>
      <c r="AK184" s="53">
        <f>AJ184*(1-$D$70)*(1-IF(AND(9&gt;=$D$48,INDEX(Season_Flag,AJ$113)=1),$D$71,0))</f>
        <v/>
      </c>
      <c r="AL184" s="53">
        <f>AK184*(1-$D$70)*(1-IF(AND(10&gt;=$D$48,INDEX(Season_Flag,AK$113)=1),$D$71,0))</f>
        <v/>
      </c>
      <c r="AM184" s="53">
        <f>AL184*(1-$D$70)*(1-IF(AND(11&gt;=$D$48,INDEX(Season_Flag,AL$113)=1),$D$71,0))</f>
        <v/>
      </c>
      <c r="AN184" s="53">
        <f>AM184*(1-$D$70)*(1-IF(AND(12&gt;=$D$48,INDEX(Season_Flag,AM$113)=1),$D$71,0))</f>
        <v/>
      </c>
    </row>
    <row r="185">
      <c r="B185" s="7" t="inlineStr">
        <is>
          <t>Cohort signed in month 25</t>
        </is>
      </c>
      <c r="C185" s="5" t="inlineStr">
        <is>
          <t>institutes</t>
        </is>
      </c>
      <c r="AC185" s="53">
        <f>AC123</f>
        <v/>
      </c>
      <c r="AD185" s="53">
        <f>AC185*(1-$D$70)*(1-IF(AND(1&gt;=$D$48,INDEX(Season_Flag,AC$113)=1),$D$71,0))</f>
        <v/>
      </c>
      <c r="AE185" s="53">
        <f>AD185*(1-$D$70)*(1-IF(AND(2&gt;=$D$48,INDEX(Season_Flag,AD$113)=1),$D$71,0))</f>
        <v/>
      </c>
      <c r="AF185" s="53">
        <f>AE185*(1-$D$70)*(1-IF(AND(3&gt;=$D$48,INDEX(Season_Flag,AE$113)=1),$D$71,0))</f>
        <v/>
      </c>
      <c r="AG185" s="53">
        <f>AF185*(1-$D$70)*(1-IF(AND(4&gt;=$D$48,INDEX(Season_Flag,AF$113)=1),$D$71,0))</f>
        <v/>
      </c>
      <c r="AH185" s="53">
        <f>AG185*(1-$D$70)*(1-IF(AND(5&gt;=$D$48,INDEX(Season_Flag,AG$113)=1),$D$71,0))</f>
        <v/>
      </c>
      <c r="AI185" s="53">
        <f>AH185*(1-$D$70)*(1-IF(AND(6&gt;=$D$48,INDEX(Season_Flag,AH$113)=1),$D$71,0))</f>
        <v/>
      </c>
      <c r="AJ185" s="53">
        <f>AI185*(1-$D$70)*(1-IF(AND(7&gt;=$D$48,INDEX(Season_Flag,AI$113)=1),$D$71,0))</f>
        <v/>
      </c>
      <c r="AK185" s="53">
        <f>AJ185*(1-$D$70)*(1-IF(AND(8&gt;=$D$48,INDEX(Season_Flag,AJ$113)=1),$D$71,0))</f>
        <v/>
      </c>
      <c r="AL185" s="53">
        <f>AK185*(1-$D$70)*(1-IF(AND(9&gt;=$D$48,INDEX(Season_Flag,AK$113)=1),$D$71,0))</f>
        <v/>
      </c>
      <c r="AM185" s="53">
        <f>AL185*(1-$D$70)*(1-IF(AND(10&gt;=$D$48,INDEX(Season_Flag,AL$113)=1),$D$71,0))</f>
        <v/>
      </c>
      <c r="AN185" s="53">
        <f>AM185*(1-$D$70)*(1-IF(AND(11&gt;=$D$48,INDEX(Season_Flag,AM$113)=1),$D$71,0))</f>
        <v/>
      </c>
    </row>
    <row r="186">
      <c r="B186" s="7" t="inlineStr">
        <is>
          <t>Cohort signed in month 26</t>
        </is>
      </c>
      <c r="C186" s="5" t="inlineStr">
        <is>
          <t>institutes</t>
        </is>
      </c>
      <c r="AD186" s="53">
        <f>AD123</f>
        <v/>
      </c>
      <c r="AE186" s="53">
        <f>AD186*(1-$D$70)*(1-IF(AND(1&gt;=$D$48,INDEX(Season_Flag,AD$113)=1),$D$71,0))</f>
        <v/>
      </c>
      <c r="AF186" s="53">
        <f>AE186*(1-$D$70)*(1-IF(AND(2&gt;=$D$48,INDEX(Season_Flag,AE$113)=1),$D$71,0))</f>
        <v/>
      </c>
      <c r="AG186" s="53">
        <f>AF186*(1-$D$70)*(1-IF(AND(3&gt;=$D$48,INDEX(Season_Flag,AF$113)=1),$D$71,0))</f>
        <v/>
      </c>
      <c r="AH186" s="53">
        <f>AG186*(1-$D$70)*(1-IF(AND(4&gt;=$D$48,INDEX(Season_Flag,AG$113)=1),$D$71,0))</f>
        <v/>
      </c>
      <c r="AI186" s="53">
        <f>AH186*(1-$D$70)*(1-IF(AND(5&gt;=$D$48,INDEX(Season_Flag,AH$113)=1),$D$71,0))</f>
        <v/>
      </c>
      <c r="AJ186" s="53">
        <f>AI186*(1-$D$70)*(1-IF(AND(6&gt;=$D$48,INDEX(Season_Flag,AI$113)=1),$D$71,0))</f>
        <v/>
      </c>
      <c r="AK186" s="53">
        <f>AJ186*(1-$D$70)*(1-IF(AND(7&gt;=$D$48,INDEX(Season_Flag,AJ$113)=1),$D$71,0))</f>
        <v/>
      </c>
      <c r="AL186" s="53">
        <f>AK186*(1-$D$70)*(1-IF(AND(8&gt;=$D$48,INDEX(Season_Flag,AK$113)=1),$D$71,0))</f>
        <v/>
      </c>
      <c r="AM186" s="53">
        <f>AL186*(1-$D$70)*(1-IF(AND(9&gt;=$D$48,INDEX(Season_Flag,AL$113)=1),$D$71,0))</f>
        <v/>
      </c>
      <c r="AN186" s="53">
        <f>AM186*(1-$D$70)*(1-IF(AND(10&gt;=$D$48,INDEX(Season_Flag,AM$113)=1),$D$71,0))</f>
        <v/>
      </c>
    </row>
    <row r="187">
      <c r="B187" s="7" t="inlineStr">
        <is>
          <t>Cohort signed in month 27</t>
        </is>
      </c>
      <c r="C187" s="5" t="inlineStr">
        <is>
          <t>institutes</t>
        </is>
      </c>
      <c r="AE187" s="53">
        <f>AE123</f>
        <v/>
      </c>
      <c r="AF187" s="53">
        <f>AE187*(1-$D$70)*(1-IF(AND(1&gt;=$D$48,INDEX(Season_Flag,AE$113)=1),$D$71,0))</f>
        <v/>
      </c>
      <c r="AG187" s="53">
        <f>AF187*(1-$D$70)*(1-IF(AND(2&gt;=$D$48,INDEX(Season_Flag,AF$113)=1),$D$71,0))</f>
        <v/>
      </c>
      <c r="AH187" s="53">
        <f>AG187*(1-$D$70)*(1-IF(AND(3&gt;=$D$48,INDEX(Season_Flag,AG$113)=1),$D$71,0))</f>
        <v/>
      </c>
      <c r="AI187" s="53">
        <f>AH187*(1-$D$70)*(1-IF(AND(4&gt;=$D$48,INDEX(Season_Flag,AH$113)=1),$D$71,0))</f>
        <v/>
      </c>
      <c r="AJ187" s="53">
        <f>AI187*(1-$D$70)*(1-IF(AND(5&gt;=$D$48,INDEX(Season_Flag,AI$113)=1),$D$71,0))</f>
        <v/>
      </c>
      <c r="AK187" s="53">
        <f>AJ187*(1-$D$70)*(1-IF(AND(6&gt;=$D$48,INDEX(Season_Flag,AJ$113)=1),$D$71,0))</f>
        <v/>
      </c>
      <c r="AL187" s="53">
        <f>AK187*(1-$D$70)*(1-IF(AND(7&gt;=$D$48,INDEX(Season_Flag,AK$113)=1),$D$71,0))</f>
        <v/>
      </c>
      <c r="AM187" s="53">
        <f>AL187*(1-$D$70)*(1-IF(AND(8&gt;=$D$48,INDEX(Season_Flag,AL$113)=1),$D$71,0))</f>
        <v/>
      </c>
      <c r="AN187" s="53">
        <f>AM187*(1-$D$70)*(1-IF(AND(9&gt;=$D$48,INDEX(Season_Flag,AM$113)=1),$D$71,0))</f>
        <v/>
      </c>
    </row>
    <row r="188">
      <c r="B188" s="7" t="inlineStr">
        <is>
          <t>Cohort signed in month 28</t>
        </is>
      </c>
      <c r="C188" s="5" t="inlineStr">
        <is>
          <t>institutes</t>
        </is>
      </c>
      <c r="AF188" s="53">
        <f>AF123</f>
        <v/>
      </c>
      <c r="AG188" s="53">
        <f>AF188*(1-$D$70)*(1-IF(AND(1&gt;=$D$48,INDEX(Season_Flag,AF$113)=1),$D$71,0))</f>
        <v/>
      </c>
      <c r="AH188" s="53">
        <f>AG188*(1-$D$70)*(1-IF(AND(2&gt;=$D$48,INDEX(Season_Flag,AG$113)=1),$D$71,0))</f>
        <v/>
      </c>
      <c r="AI188" s="53">
        <f>AH188*(1-$D$70)*(1-IF(AND(3&gt;=$D$48,INDEX(Season_Flag,AH$113)=1),$D$71,0))</f>
        <v/>
      </c>
      <c r="AJ188" s="53">
        <f>AI188*(1-$D$70)*(1-IF(AND(4&gt;=$D$48,INDEX(Season_Flag,AI$113)=1),$D$71,0))</f>
        <v/>
      </c>
      <c r="AK188" s="53">
        <f>AJ188*(1-$D$70)*(1-IF(AND(5&gt;=$D$48,INDEX(Season_Flag,AJ$113)=1),$D$71,0))</f>
        <v/>
      </c>
      <c r="AL188" s="53">
        <f>AK188*(1-$D$70)*(1-IF(AND(6&gt;=$D$48,INDEX(Season_Flag,AK$113)=1),$D$71,0))</f>
        <v/>
      </c>
      <c r="AM188" s="53">
        <f>AL188*(1-$D$70)*(1-IF(AND(7&gt;=$D$48,INDEX(Season_Flag,AL$113)=1),$D$71,0))</f>
        <v/>
      </c>
      <c r="AN188" s="53">
        <f>AM188*(1-$D$70)*(1-IF(AND(8&gt;=$D$48,INDEX(Season_Flag,AM$113)=1),$D$71,0))</f>
        <v/>
      </c>
    </row>
    <row r="189">
      <c r="B189" s="7" t="inlineStr">
        <is>
          <t>Cohort signed in month 29</t>
        </is>
      </c>
      <c r="C189" s="5" t="inlineStr">
        <is>
          <t>institutes</t>
        </is>
      </c>
      <c r="AG189" s="53">
        <f>AG123</f>
        <v/>
      </c>
      <c r="AH189" s="53">
        <f>AG189*(1-$D$70)*(1-IF(AND(1&gt;=$D$48,INDEX(Season_Flag,AG$113)=1),$D$71,0))</f>
        <v/>
      </c>
      <c r="AI189" s="53">
        <f>AH189*(1-$D$70)*(1-IF(AND(2&gt;=$D$48,INDEX(Season_Flag,AH$113)=1),$D$71,0))</f>
        <v/>
      </c>
      <c r="AJ189" s="53">
        <f>AI189*(1-$D$70)*(1-IF(AND(3&gt;=$D$48,INDEX(Season_Flag,AI$113)=1),$D$71,0))</f>
        <v/>
      </c>
      <c r="AK189" s="53">
        <f>AJ189*(1-$D$70)*(1-IF(AND(4&gt;=$D$48,INDEX(Season_Flag,AJ$113)=1),$D$71,0))</f>
        <v/>
      </c>
      <c r="AL189" s="53">
        <f>AK189*(1-$D$70)*(1-IF(AND(5&gt;=$D$48,INDEX(Season_Flag,AK$113)=1),$D$71,0))</f>
        <v/>
      </c>
      <c r="AM189" s="53">
        <f>AL189*(1-$D$70)*(1-IF(AND(6&gt;=$D$48,INDEX(Season_Flag,AL$113)=1),$D$71,0))</f>
        <v/>
      </c>
      <c r="AN189" s="53">
        <f>AM189*(1-$D$70)*(1-IF(AND(7&gt;=$D$48,INDEX(Season_Flag,AM$113)=1),$D$71,0))</f>
        <v/>
      </c>
    </row>
    <row r="190">
      <c r="B190" s="7" t="inlineStr">
        <is>
          <t>Cohort signed in month 30</t>
        </is>
      </c>
      <c r="C190" s="5" t="inlineStr">
        <is>
          <t>institutes</t>
        </is>
      </c>
      <c r="AH190" s="53">
        <f>AH123</f>
        <v/>
      </c>
      <c r="AI190" s="53">
        <f>AH190*(1-$D$70)*(1-IF(AND(1&gt;=$D$48,INDEX(Season_Flag,AH$113)=1),$D$71,0))</f>
        <v/>
      </c>
      <c r="AJ190" s="53">
        <f>AI190*(1-$D$70)*(1-IF(AND(2&gt;=$D$48,INDEX(Season_Flag,AI$113)=1),$D$71,0))</f>
        <v/>
      </c>
      <c r="AK190" s="53">
        <f>AJ190*(1-$D$70)*(1-IF(AND(3&gt;=$D$48,INDEX(Season_Flag,AJ$113)=1),$D$71,0))</f>
        <v/>
      </c>
      <c r="AL190" s="53">
        <f>AK190*(1-$D$70)*(1-IF(AND(4&gt;=$D$48,INDEX(Season_Flag,AK$113)=1),$D$71,0))</f>
        <v/>
      </c>
      <c r="AM190" s="53">
        <f>AL190*(1-$D$70)*(1-IF(AND(5&gt;=$D$48,INDEX(Season_Flag,AL$113)=1),$D$71,0))</f>
        <v/>
      </c>
      <c r="AN190" s="53">
        <f>AM190*(1-$D$70)*(1-IF(AND(6&gt;=$D$48,INDEX(Season_Flag,AM$113)=1),$D$71,0))</f>
        <v/>
      </c>
    </row>
    <row r="191">
      <c r="B191" s="7" t="inlineStr">
        <is>
          <t>Cohort signed in month 31</t>
        </is>
      </c>
      <c r="C191" s="5" t="inlineStr">
        <is>
          <t>institutes</t>
        </is>
      </c>
      <c r="AI191" s="53">
        <f>AI123</f>
        <v/>
      </c>
      <c r="AJ191" s="53">
        <f>AI191*(1-$D$70)*(1-IF(AND(1&gt;=$D$48,INDEX(Season_Flag,AI$113)=1),$D$71,0))</f>
        <v/>
      </c>
      <c r="AK191" s="53">
        <f>AJ191*(1-$D$70)*(1-IF(AND(2&gt;=$D$48,INDEX(Season_Flag,AJ$113)=1),$D$71,0))</f>
        <v/>
      </c>
      <c r="AL191" s="53">
        <f>AK191*(1-$D$70)*(1-IF(AND(3&gt;=$D$48,INDEX(Season_Flag,AK$113)=1),$D$71,0))</f>
        <v/>
      </c>
      <c r="AM191" s="53">
        <f>AL191*(1-$D$70)*(1-IF(AND(4&gt;=$D$48,INDEX(Season_Flag,AL$113)=1),$D$71,0))</f>
        <v/>
      </c>
      <c r="AN191" s="53">
        <f>AM191*(1-$D$70)*(1-IF(AND(5&gt;=$D$48,INDEX(Season_Flag,AM$113)=1),$D$71,0))</f>
        <v/>
      </c>
    </row>
    <row r="192">
      <c r="B192" s="7" t="inlineStr">
        <is>
          <t>Cohort signed in month 32</t>
        </is>
      </c>
      <c r="C192" s="5" t="inlineStr">
        <is>
          <t>institutes</t>
        </is>
      </c>
      <c r="AJ192" s="53">
        <f>AJ123</f>
        <v/>
      </c>
      <c r="AK192" s="53">
        <f>AJ192*(1-$D$70)*(1-IF(AND(1&gt;=$D$48,INDEX(Season_Flag,AJ$113)=1),$D$71,0))</f>
        <v/>
      </c>
      <c r="AL192" s="53">
        <f>AK192*(1-$D$70)*(1-IF(AND(2&gt;=$D$48,INDEX(Season_Flag,AK$113)=1),$D$71,0))</f>
        <v/>
      </c>
      <c r="AM192" s="53">
        <f>AL192*(1-$D$70)*(1-IF(AND(3&gt;=$D$48,INDEX(Season_Flag,AL$113)=1),$D$71,0))</f>
        <v/>
      </c>
      <c r="AN192" s="53">
        <f>AM192*(1-$D$70)*(1-IF(AND(4&gt;=$D$48,INDEX(Season_Flag,AM$113)=1),$D$71,0))</f>
        <v/>
      </c>
    </row>
    <row r="193">
      <c r="B193" s="7" t="inlineStr">
        <is>
          <t>Cohort signed in month 33</t>
        </is>
      </c>
      <c r="C193" s="5" t="inlineStr">
        <is>
          <t>institutes</t>
        </is>
      </c>
      <c r="AK193" s="53">
        <f>AK123</f>
        <v/>
      </c>
      <c r="AL193" s="53">
        <f>AK193*(1-$D$70)*(1-IF(AND(1&gt;=$D$48,INDEX(Season_Flag,AK$113)=1),$D$71,0))</f>
        <v/>
      </c>
      <c r="AM193" s="53">
        <f>AL193*(1-$D$70)*(1-IF(AND(2&gt;=$D$48,INDEX(Season_Flag,AL$113)=1),$D$71,0))</f>
        <v/>
      </c>
      <c r="AN193" s="53">
        <f>AM193*(1-$D$70)*(1-IF(AND(3&gt;=$D$48,INDEX(Season_Flag,AM$113)=1),$D$71,0))</f>
        <v/>
      </c>
    </row>
    <row r="194">
      <c r="B194" s="7" t="inlineStr">
        <is>
          <t>Cohort signed in month 34</t>
        </is>
      </c>
      <c r="C194" s="5" t="inlineStr">
        <is>
          <t>institutes</t>
        </is>
      </c>
      <c r="AL194" s="53">
        <f>AL123</f>
        <v/>
      </c>
      <c r="AM194" s="53">
        <f>AL194*(1-$D$70)*(1-IF(AND(1&gt;=$D$48,INDEX(Season_Flag,AL$113)=1),$D$71,0))</f>
        <v/>
      </c>
      <c r="AN194" s="53">
        <f>AM194*(1-$D$70)*(1-IF(AND(2&gt;=$D$48,INDEX(Season_Flag,AM$113)=1),$D$71,0))</f>
        <v/>
      </c>
    </row>
    <row r="195">
      <c r="B195" s="7" t="inlineStr">
        <is>
          <t>Cohort signed in month 35</t>
        </is>
      </c>
      <c r="C195" s="5" t="inlineStr">
        <is>
          <t>institutes</t>
        </is>
      </c>
      <c r="AM195" s="53">
        <f>AM123</f>
        <v/>
      </c>
      <c r="AN195" s="53">
        <f>AM195*(1-$D$70)*(1-IF(AND(1&gt;=$D$48,INDEX(Season_Flag,AM$113)=1),$D$71,0))</f>
        <v/>
      </c>
    </row>
    <row r="196">
      <c r="B196" s="7" t="inlineStr">
        <is>
          <t>Cohort signed in month 36</t>
        </is>
      </c>
      <c r="C196" s="5" t="inlineStr">
        <is>
          <t>institutes</t>
        </is>
      </c>
      <c r="AN196" s="53">
        <f>AN123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2026-10-22T13:05:26Z</dcterms:created>
  <dcterms:modified xmlns:dcterms="http://purl.org/dc/terms/" xmlns:xsi="http://www.w3.org/2001/XMLSchema-instance" xsi:type="dcterms:W3CDTF">2026-10-22T13:05:28Z</dcterms:modified>
</cp:coreProperties>
</file>